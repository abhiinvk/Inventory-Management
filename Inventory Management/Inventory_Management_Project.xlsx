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ff361477962c419/Desktop/"/>
    </mc:Choice>
  </mc:AlternateContent>
  <xr:revisionPtr revIDLastSave="2" documentId="8_{9E3EDFF8-D7E0-42C1-A230-35858CD1AE1B}" xr6:coauthVersionLast="47" xr6:coauthVersionMax="47" xr10:uidLastSave="{922528B9-2E8A-470F-8C18-F07F7EC17A8D}"/>
  <bookViews>
    <workbookView xWindow="-108" yWindow="-108" windowWidth="23256" windowHeight="12456" activeTab="4" xr2:uid="{00000000-000D-0000-FFFF-FFFF00000000}"/>
  </bookViews>
  <sheets>
    <sheet name="Products" sheetId="1" r:id="rId1"/>
    <sheet name="Purchases" sheetId="2" r:id="rId2"/>
    <sheet name="Sales" sheetId="3" r:id="rId3"/>
    <sheet name="Inventory report" sheetId="4" r:id="rId4"/>
    <sheet name="Pivot Report" sheetId="7" r:id="rId5"/>
    <sheet name="Dashboard" sheetId="5" r:id="rId6"/>
  </sheets>
  <definedNames>
    <definedName name="Slicer_Category">#N/A</definedName>
    <definedName name="Slicer_Low_Stock_Aler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5" l="1"/>
  <c r="M3"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F2" i="4"/>
  <c r="H2" i="4" s="1"/>
  <c r="I2" i="4" s="1"/>
  <c r="F3" i="4"/>
  <c r="H3" i="4" s="1"/>
  <c r="I3" i="4" s="1"/>
  <c r="F4" i="4"/>
  <c r="H4" i="4" s="1"/>
  <c r="I4" i="4" s="1"/>
  <c r="F5" i="4"/>
  <c r="H5" i="4" s="1"/>
  <c r="I5" i="4" s="1"/>
  <c r="F6" i="4"/>
  <c r="F7" i="4"/>
  <c r="H7" i="4" s="1"/>
  <c r="I7" i="4" s="1"/>
  <c r="F8" i="4"/>
  <c r="H8" i="4" s="1"/>
  <c r="I8" i="4" s="1"/>
  <c r="F9" i="4"/>
  <c r="H9" i="4" s="1"/>
  <c r="I9" i="4" s="1"/>
  <c r="F10" i="4"/>
  <c r="H10" i="4" s="1"/>
  <c r="I10" i="4" s="1"/>
  <c r="F11" i="4"/>
  <c r="H11" i="4" s="1"/>
  <c r="I11" i="4" s="1"/>
  <c r="F12" i="4"/>
  <c r="H12" i="4" s="1"/>
  <c r="I12" i="4" s="1"/>
  <c r="F13" i="4"/>
  <c r="H13" i="4" s="1"/>
  <c r="I13" i="4" s="1"/>
  <c r="F14" i="4"/>
  <c r="F15" i="4"/>
  <c r="H15" i="4" s="1"/>
  <c r="I15" i="4" s="1"/>
  <c r="F16" i="4"/>
  <c r="H16" i="4" s="1"/>
  <c r="I16" i="4" s="1"/>
  <c r="F17" i="4"/>
  <c r="H17" i="4" s="1"/>
  <c r="I17" i="4" s="1"/>
  <c r="F18" i="4"/>
  <c r="H18" i="4" s="1"/>
  <c r="I18" i="4" s="1"/>
  <c r="F19" i="4"/>
  <c r="H19" i="4" s="1"/>
  <c r="I19" i="4" s="1"/>
  <c r="F20" i="4"/>
  <c r="H20" i="4" s="1"/>
  <c r="I20" i="4" s="1"/>
  <c r="F21" i="4"/>
  <c r="H21" i="4" s="1"/>
  <c r="I21" i="4" s="1"/>
  <c r="F22" i="4"/>
  <c r="F23" i="4"/>
  <c r="H23" i="4" s="1"/>
  <c r="I23" i="4" s="1"/>
  <c r="F24" i="4"/>
  <c r="H24" i="4" s="1"/>
  <c r="I24" i="4" s="1"/>
  <c r="F25" i="4"/>
  <c r="H25" i="4" s="1"/>
  <c r="I25" i="4" s="1"/>
  <c r="F26" i="4"/>
  <c r="H26" i="4" s="1"/>
  <c r="I26" i="4" s="1"/>
  <c r="F27" i="4"/>
  <c r="H27" i="4" s="1"/>
  <c r="I27" i="4" s="1"/>
  <c r="F28" i="4"/>
  <c r="H28" i="4" s="1"/>
  <c r="I28" i="4" s="1"/>
  <c r="F29" i="4"/>
  <c r="H29" i="4" s="1"/>
  <c r="I29" i="4" s="1"/>
  <c r="F30" i="4"/>
  <c r="F31" i="4"/>
  <c r="H31" i="4" s="1"/>
  <c r="I31" i="4" s="1"/>
  <c r="F32" i="4"/>
  <c r="H32" i="4" s="1"/>
  <c r="I32" i="4" s="1"/>
  <c r="F33" i="4"/>
  <c r="H33" i="4" s="1"/>
  <c r="I33" i="4" s="1"/>
  <c r="F34" i="4"/>
  <c r="H34" i="4" s="1"/>
  <c r="I34" i="4" s="1"/>
  <c r="F35" i="4"/>
  <c r="H35" i="4" s="1"/>
  <c r="I35" i="4" s="1"/>
  <c r="F36" i="4"/>
  <c r="H36" i="4" s="1"/>
  <c r="I36" i="4" s="1"/>
  <c r="F37" i="4"/>
  <c r="H37" i="4" s="1"/>
  <c r="I37" i="4" s="1"/>
  <c r="F38" i="4"/>
  <c r="F39" i="4"/>
  <c r="H39" i="4" s="1"/>
  <c r="I39" i="4" s="1"/>
  <c r="F40" i="4"/>
  <c r="H40" i="4" s="1"/>
  <c r="I40" i="4" s="1"/>
  <c r="F41" i="4"/>
  <c r="H41" i="4" s="1"/>
  <c r="I41" i="4" s="1"/>
  <c r="F42" i="4"/>
  <c r="H42" i="4" s="1"/>
  <c r="I42" i="4" s="1"/>
  <c r="F43" i="4"/>
  <c r="H43" i="4" s="1"/>
  <c r="I43" i="4" s="1"/>
  <c r="F44" i="4"/>
  <c r="H44" i="4" s="1"/>
  <c r="I44" i="4" s="1"/>
  <c r="F45" i="4"/>
  <c r="H45" i="4" s="1"/>
  <c r="I45" i="4" s="1"/>
  <c r="F46" i="4"/>
  <c r="F47" i="4"/>
  <c r="H47" i="4" s="1"/>
  <c r="I47" i="4" s="1"/>
  <c r="F48" i="4"/>
  <c r="H48" i="4" s="1"/>
  <c r="I48" i="4" s="1"/>
  <c r="F49" i="4"/>
  <c r="H49" i="4" s="1"/>
  <c r="I49" i="4" s="1"/>
  <c r="F50" i="4"/>
  <c r="H50" i="4" s="1"/>
  <c r="I50" i="4" s="1"/>
  <c r="F51" i="4"/>
  <c r="H51" i="4" s="1"/>
  <c r="I51" i="4" s="1"/>
  <c r="F52" i="4"/>
  <c r="H52" i="4" s="1"/>
  <c r="I52" i="4" s="1"/>
  <c r="F53" i="4"/>
  <c r="H53" i="4" s="1"/>
  <c r="I53" i="4" s="1"/>
  <c r="F54" i="4"/>
  <c r="F55" i="4"/>
  <c r="H55" i="4" s="1"/>
  <c r="I55" i="4" s="1"/>
  <c r="F56" i="4"/>
  <c r="H56" i="4" s="1"/>
  <c r="I56" i="4" s="1"/>
  <c r="F57" i="4"/>
  <c r="H57" i="4" s="1"/>
  <c r="I57" i="4" s="1"/>
  <c r="F58" i="4"/>
  <c r="H58" i="4" s="1"/>
  <c r="I58" i="4" s="1"/>
  <c r="F59" i="4"/>
  <c r="H59" i="4" s="1"/>
  <c r="I59" i="4" s="1"/>
  <c r="F60" i="4"/>
  <c r="H60" i="4" s="1"/>
  <c r="I60" i="4" s="1"/>
  <c r="F61" i="4"/>
  <c r="H61" i="4" s="1"/>
  <c r="I61" i="4" s="1"/>
  <c r="F62" i="4"/>
  <c r="F63" i="4"/>
  <c r="H63" i="4" s="1"/>
  <c r="I63" i="4" s="1"/>
  <c r="F64" i="4"/>
  <c r="H64" i="4" s="1"/>
  <c r="I64" i="4" s="1"/>
  <c r="F65" i="4"/>
  <c r="H65" i="4" s="1"/>
  <c r="I65" i="4" s="1"/>
  <c r="F66" i="4"/>
  <c r="H66" i="4" s="1"/>
  <c r="I66" i="4" s="1"/>
  <c r="F67" i="4"/>
  <c r="H67" i="4" s="1"/>
  <c r="I67" i="4" s="1"/>
  <c r="F68" i="4"/>
  <c r="H68" i="4" s="1"/>
  <c r="I68" i="4" s="1"/>
  <c r="F69" i="4"/>
  <c r="H69" i="4" s="1"/>
  <c r="I69" i="4" s="1"/>
  <c r="F70" i="4"/>
  <c r="F71" i="4"/>
  <c r="H71" i="4" s="1"/>
  <c r="I71" i="4" s="1"/>
  <c r="F72" i="4"/>
  <c r="H72" i="4" s="1"/>
  <c r="I72" i="4" s="1"/>
  <c r="F73" i="4"/>
  <c r="H73" i="4" s="1"/>
  <c r="I73" i="4" s="1"/>
  <c r="F74" i="4"/>
  <c r="H74" i="4" s="1"/>
  <c r="I74" i="4" s="1"/>
  <c r="F75" i="4"/>
  <c r="H75" i="4" s="1"/>
  <c r="I75" i="4" s="1"/>
  <c r="F76" i="4"/>
  <c r="H76" i="4" s="1"/>
  <c r="I76" i="4" s="1"/>
  <c r="F77" i="4"/>
  <c r="H77" i="4" s="1"/>
  <c r="I77" i="4" s="1"/>
  <c r="F78" i="4"/>
  <c r="F79" i="4"/>
  <c r="H79" i="4" s="1"/>
  <c r="I79" i="4" s="1"/>
  <c r="F80" i="4"/>
  <c r="H80" i="4" s="1"/>
  <c r="I80" i="4" s="1"/>
  <c r="F81" i="4"/>
  <c r="H81" i="4" s="1"/>
  <c r="I81" i="4" s="1"/>
  <c r="F82" i="4"/>
  <c r="H82" i="4" s="1"/>
  <c r="I82" i="4" s="1"/>
  <c r="F83" i="4"/>
  <c r="H83" i="4" s="1"/>
  <c r="I83" i="4" s="1"/>
  <c r="F84" i="4"/>
  <c r="H84" i="4" s="1"/>
  <c r="I84" i="4" s="1"/>
  <c r="F85" i="4"/>
  <c r="H85" i="4" s="1"/>
  <c r="I85" i="4" s="1"/>
  <c r="F86" i="4"/>
  <c r="F87" i="4"/>
  <c r="H87" i="4" s="1"/>
  <c r="I87" i="4" s="1"/>
  <c r="F88" i="4"/>
  <c r="H88" i="4" s="1"/>
  <c r="I88" i="4" s="1"/>
  <c r="F89" i="4"/>
  <c r="H89" i="4" s="1"/>
  <c r="I89" i="4" s="1"/>
  <c r="F90" i="4"/>
  <c r="H90" i="4" s="1"/>
  <c r="I90" i="4" s="1"/>
  <c r="F91" i="4"/>
  <c r="H91" i="4" s="1"/>
  <c r="I91" i="4" s="1"/>
  <c r="F92" i="4"/>
  <c r="H92" i="4" s="1"/>
  <c r="I92" i="4" s="1"/>
  <c r="F93" i="4"/>
  <c r="H93" i="4" s="1"/>
  <c r="I93" i="4" s="1"/>
  <c r="F94" i="4"/>
  <c r="F95" i="4"/>
  <c r="H95" i="4" s="1"/>
  <c r="I95" i="4" s="1"/>
  <c r="F96" i="4"/>
  <c r="H96" i="4" s="1"/>
  <c r="I96" i="4" s="1"/>
  <c r="F97" i="4"/>
  <c r="H97" i="4" s="1"/>
  <c r="I97" i="4" s="1"/>
  <c r="F98" i="4"/>
  <c r="H98" i="4" s="1"/>
  <c r="I98" i="4" s="1"/>
  <c r="F99" i="4"/>
  <c r="H99" i="4" s="1"/>
  <c r="F100" i="4"/>
  <c r="H100" i="4" s="1"/>
  <c r="I100" i="4" s="1"/>
  <c r="F101" i="4"/>
  <c r="H101" i="4" s="1"/>
  <c r="I101" i="4" s="1"/>
  <c r="F102" i="4"/>
  <c r="F103" i="4"/>
  <c r="H103" i="4" s="1"/>
  <c r="I103" i="4" s="1"/>
  <c r="F104" i="4"/>
  <c r="H104" i="4" s="1"/>
  <c r="I104" i="4" s="1"/>
  <c r="F105" i="4"/>
  <c r="H105" i="4" s="1"/>
  <c r="I105" i="4" s="1"/>
  <c r="F106" i="4"/>
  <c r="H106" i="4" s="1"/>
  <c r="I106" i="4" s="1"/>
  <c r="F107" i="4"/>
  <c r="H107" i="4" s="1"/>
  <c r="F108" i="4"/>
  <c r="H108" i="4" s="1"/>
  <c r="I108" i="4" s="1"/>
  <c r="F109" i="4"/>
  <c r="H109" i="4" s="1"/>
  <c r="I109" i="4" s="1"/>
  <c r="F110" i="4"/>
  <c r="F111" i="4"/>
  <c r="H111" i="4" s="1"/>
  <c r="I111" i="4" s="1"/>
  <c r="F112" i="4"/>
  <c r="H112" i="4" s="1"/>
  <c r="I112" i="4" s="1"/>
  <c r="F113" i="4"/>
  <c r="H113" i="4" s="1"/>
  <c r="I113" i="4" s="1"/>
  <c r="F114" i="4"/>
  <c r="H114" i="4" s="1"/>
  <c r="I114" i="4" s="1"/>
  <c r="F115" i="4"/>
  <c r="H115" i="4" s="1"/>
  <c r="F116" i="4"/>
  <c r="H116" i="4" s="1"/>
  <c r="I116" i="4" s="1"/>
  <c r="F117" i="4"/>
  <c r="H117" i="4" s="1"/>
  <c r="I117" i="4" s="1"/>
  <c r="F118" i="4"/>
  <c r="F119" i="4"/>
  <c r="H119" i="4" s="1"/>
  <c r="I119" i="4" s="1"/>
  <c r="F120" i="4"/>
  <c r="H120" i="4" s="1"/>
  <c r="I120" i="4" s="1"/>
  <c r="F121" i="4"/>
  <c r="H121" i="4" s="1"/>
  <c r="I121" i="4" s="1"/>
  <c r="F122" i="4"/>
  <c r="H122" i="4" s="1"/>
  <c r="I122" i="4" s="1"/>
  <c r="F123" i="4"/>
  <c r="H123" i="4" s="1"/>
  <c r="F124" i="4"/>
  <c r="H124" i="4" s="1"/>
  <c r="I124" i="4" s="1"/>
  <c r="F125" i="4"/>
  <c r="H125" i="4" s="1"/>
  <c r="I125" i="4" s="1"/>
  <c r="F126" i="4"/>
  <c r="F127" i="4"/>
  <c r="H127" i="4" s="1"/>
  <c r="I127" i="4" s="1"/>
  <c r="F128" i="4"/>
  <c r="H128" i="4" s="1"/>
  <c r="I128" i="4" s="1"/>
  <c r="F129" i="4"/>
  <c r="H129" i="4" s="1"/>
  <c r="I129" i="4" s="1"/>
  <c r="F130" i="4"/>
  <c r="H130" i="4" s="1"/>
  <c r="I130" i="4" s="1"/>
  <c r="F131" i="4"/>
  <c r="H131" i="4" s="1"/>
  <c r="F132" i="4"/>
  <c r="H132" i="4" s="1"/>
  <c r="I132" i="4" s="1"/>
  <c r="F133" i="4"/>
  <c r="H133" i="4" s="1"/>
  <c r="I133" i="4" s="1"/>
  <c r="F134" i="4"/>
  <c r="F135" i="4"/>
  <c r="H135" i="4" s="1"/>
  <c r="I135" i="4" s="1"/>
  <c r="F136" i="4"/>
  <c r="H136" i="4" s="1"/>
  <c r="I136" i="4" s="1"/>
  <c r="F137" i="4"/>
  <c r="H137" i="4" s="1"/>
  <c r="I137" i="4" s="1"/>
  <c r="F138" i="4"/>
  <c r="H138" i="4" s="1"/>
  <c r="I138" i="4" s="1"/>
  <c r="F139" i="4"/>
  <c r="H139" i="4" s="1"/>
  <c r="F140" i="4"/>
  <c r="H140" i="4" s="1"/>
  <c r="I140" i="4" s="1"/>
  <c r="F141" i="4"/>
  <c r="H141" i="4" s="1"/>
  <c r="I141" i="4" s="1"/>
  <c r="F142" i="4"/>
  <c r="F143" i="4"/>
  <c r="H143" i="4" s="1"/>
  <c r="I143" i="4" s="1"/>
  <c r="F144" i="4"/>
  <c r="H144" i="4" s="1"/>
  <c r="I144" i="4" s="1"/>
  <c r="F145" i="4"/>
  <c r="H145" i="4" s="1"/>
  <c r="I145" i="4" s="1"/>
  <c r="F146" i="4"/>
  <c r="H146" i="4" s="1"/>
  <c r="I146" i="4" s="1"/>
  <c r="F147" i="4"/>
  <c r="H147" i="4" s="1"/>
  <c r="F148" i="4"/>
  <c r="H148" i="4" s="1"/>
  <c r="I148" i="4" s="1"/>
  <c r="F149" i="4"/>
  <c r="H149" i="4" s="1"/>
  <c r="I149" i="4" s="1"/>
  <c r="F150" i="4"/>
  <c r="F151" i="4"/>
  <c r="H151" i="4" s="1"/>
  <c r="I151" i="4" s="1"/>
  <c r="F152" i="4"/>
  <c r="H152" i="4" s="1"/>
  <c r="I152" i="4" s="1"/>
  <c r="F153" i="4"/>
  <c r="H153" i="4" s="1"/>
  <c r="I153" i="4" s="1"/>
  <c r="F154" i="4"/>
  <c r="H154" i="4" s="1"/>
  <c r="I154" i="4" s="1"/>
  <c r="F155" i="4"/>
  <c r="F156" i="4"/>
  <c r="H156" i="4" s="1"/>
  <c r="I156" i="4" s="1"/>
  <c r="F157" i="4"/>
  <c r="H157" i="4" s="1"/>
  <c r="I157" i="4" s="1"/>
  <c r="F158" i="4"/>
  <c r="F159" i="4"/>
  <c r="H159" i="4" s="1"/>
  <c r="I159" i="4" s="1"/>
  <c r="F160" i="4"/>
  <c r="H160" i="4" s="1"/>
  <c r="I160" i="4" s="1"/>
  <c r="F161" i="4"/>
  <c r="H161" i="4" s="1"/>
  <c r="I161" i="4" s="1"/>
  <c r="F162" i="4"/>
  <c r="H162" i="4" s="1"/>
  <c r="I162" i="4" s="1"/>
  <c r="F163" i="4"/>
  <c r="F164" i="4"/>
  <c r="H164" i="4" s="1"/>
  <c r="I164" i="4" s="1"/>
  <c r="F165" i="4"/>
  <c r="H165" i="4" s="1"/>
  <c r="I165" i="4" s="1"/>
  <c r="F166" i="4"/>
  <c r="F167" i="4"/>
  <c r="H167" i="4" s="1"/>
  <c r="I167" i="4" s="1"/>
  <c r="F168" i="4"/>
  <c r="H168" i="4" s="1"/>
  <c r="I168" i="4" s="1"/>
  <c r="F169" i="4"/>
  <c r="H169" i="4" s="1"/>
  <c r="I169" i="4" s="1"/>
  <c r="F170" i="4"/>
  <c r="H170" i="4" s="1"/>
  <c r="I170" i="4" s="1"/>
  <c r="F171" i="4"/>
  <c r="F172" i="4"/>
  <c r="H172" i="4" s="1"/>
  <c r="I172" i="4" s="1"/>
  <c r="F173" i="4"/>
  <c r="H173" i="4" s="1"/>
  <c r="I173" i="4" s="1"/>
  <c r="F174" i="4"/>
  <c r="F175" i="4"/>
  <c r="H175" i="4" s="1"/>
  <c r="I175" i="4" s="1"/>
  <c r="F176" i="4"/>
  <c r="H176" i="4" s="1"/>
  <c r="I176" i="4" s="1"/>
  <c r="F177" i="4"/>
  <c r="H177" i="4" s="1"/>
  <c r="I177" i="4" s="1"/>
  <c r="F178" i="4"/>
  <c r="H178" i="4" s="1"/>
  <c r="I178" i="4" s="1"/>
  <c r="F179" i="4"/>
  <c r="F180" i="4"/>
  <c r="H180" i="4" s="1"/>
  <c r="I180" i="4" s="1"/>
  <c r="F181" i="4"/>
  <c r="H181" i="4" s="1"/>
  <c r="I181" i="4" s="1"/>
  <c r="F182" i="4"/>
  <c r="F183" i="4"/>
  <c r="H183" i="4" s="1"/>
  <c r="I183" i="4" s="1"/>
  <c r="F184" i="4"/>
  <c r="H184" i="4" s="1"/>
  <c r="I184" i="4" s="1"/>
  <c r="F185" i="4"/>
  <c r="H185" i="4" s="1"/>
  <c r="I185" i="4" s="1"/>
  <c r="F186" i="4"/>
  <c r="H186" i="4" s="1"/>
  <c r="I186" i="4" s="1"/>
  <c r="F187" i="4"/>
  <c r="F188" i="4"/>
  <c r="H188" i="4" s="1"/>
  <c r="I188" i="4" s="1"/>
  <c r="F189" i="4"/>
  <c r="H189" i="4" s="1"/>
  <c r="I189" i="4" s="1"/>
  <c r="F190" i="4"/>
  <c r="F191" i="4"/>
  <c r="H191" i="4" s="1"/>
  <c r="I191" i="4" s="1"/>
  <c r="F192" i="4"/>
  <c r="H192" i="4" s="1"/>
  <c r="I192" i="4" s="1"/>
  <c r="F193" i="4"/>
  <c r="H193" i="4" s="1"/>
  <c r="I193" i="4" s="1"/>
  <c r="F194" i="4"/>
  <c r="H194" i="4" s="1"/>
  <c r="I194" i="4" s="1"/>
  <c r="F195" i="4"/>
  <c r="F196" i="4"/>
  <c r="H196" i="4" s="1"/>
  <c r="I196" i="4" s="1"/>
  <c r="F197" i="4"/>
  <c r="H197" i="4" s="1"/>
  <c r="I197" i="4" s="1"/>
  <c r="F198" i="4"/>
  <c r="F199" i="4"/>
  <c r="H199" i="4" s="1"/>
  <c r="F200" i="4"/>
  <c r="H200" i="4" s="1"/>
  <c r="F201" i="4"/>
  <c r="H201" i="4" s="1"/>
  <c r="F202" i="4"/>
  <c r="H202" i="4" s="1"/>
  <c r="I202" i="4" s="1"/>
  <c r="F203" i="4"/>
  <c r="F204" i="4"/>
  <c r="H204" i="4" s="1"/>
  <c r="I204" i="4" s="1"/>
  <c r="F205" i="4"/>
  <c r="H205" i="4" s="1"/>
  <c r="F206" i="4"/>
  <c r="F207" i="4"/>
  <c r="H207" i="4" s="1"/>
  <c r="F208" i="4"/>
  <c r="H208" i="4" s="1"/>
  <c r="F209" i="4"/>
  <c r="H209" i="4" s="1"/>
  <c r="F210" i="4"/>
  <c r="H210" i="4" s="1"/>
  <c r="I210" i="4" s="1"/>
  <c r="F211" i="4"/>
  <c r="F212" i="4"/>
  <c r="H212" i="4" s="1"/>
  <c r="I212" i="4" s="1"/>
  <c r="F213" i="4"/>
  <c r="H213" i="4" s="1"/>
  <c r="F214" i="4"/>
  <c r="F215" i="4"/>
  <c r="H215" i="4" s="1"/>
  <c r="F216" i="4"/>
  <c r="H216" i="4" s="1"/>
  <c r="F217" i="4"/>
  <c r="H217" i="4" s="1"/>
  <c r="F218" i="4"/>
  <c r="H218" i="4" s="1"/>
  <c r="I218" i="4" s="1"/>
  <c r="F219" i="4"/>
  <c r="F220" i="4"/>
  <c r="H220" i="4" s="1"/>
  <c r="I220" i="4" s="1"/>
  <c r="F221" i="4"/>
  <c r="H221" i="4" s="1"/>
  <c r="F222" i="4"/>
  <c r="F223" i="4"/>
  <c r="H223" i="4" s="1"/>
  <c r="F224" i="4"/>
  <c r="H224" i="4" s="1"/>
  <c r="F225" i="4"/>
  <c r="H225" i="4" s="1"/>
  <c r="F226" i="4"/>
  <c r="H226" i="4" s="1"/>
  <c r="I226" i="4" s="1"/>
  <c r="F227" i="4"/>
  <c r="F228" i="4"/>
  <c r="H228" i="4" s="1"/>
  <c r="I228" i="4" s="1"/>
  <c r="F229" i="4"/>
  <c r="H229" i="4" s="1"/>
  <c r="F230" i="4"/>
  <c r="F231" i="4"/>
  <c r="H231" i="4" s="1"/>
  <c r="F232" i="4"/>
  <c r="H232" i="4" s="1"/>
  <c r="F233" i="4"/>
  <c r="H233" i="4" s="1"/>
  <c r="F234" i="4"/>
  <c r="H234" i="4" s="1"/>
  <c r="I234" i="4" s="1"/>
  <c r="F235" i="4"/>
  <c r="F236" i="4"/>
  <c r="H236" i="4" s="1"/>
  <c r="I236" i="4" s="1"/>
  <c r="F237" i="4"/>
  <c r="H237" i="4" s="1"/>
  <c r="F238" i="4"/>
  <c r="F239" i="4"/>
  <c r="H239" i="4" s="1"/>
  <c r="F240" i="4"/>
  <c r="H240" i="4" s="1"/>
  <c r="F241" i="4"/>
  <c r="H241" i="4" s="1"/>
  <c r="F242" i="4"/>
  <c r="H242" i="4" s="1"/>
  <c r="I242" i="4" s="1"/>
  <c r="F243" i="4"/>
  <c r="F244" i="4"/>
  <c r="H244" i="4" s="1"/>
  <c r="I244" i="4" s="1"/>
  <c r="F245" i="4"/>
  <c r="H245" i="4" s="1"/>
  <c r="F246" i="4"/>
  <c r="F247" i="4"/>
  <c r="H247" i="4" s="1"/>
  <c r="F248" i="4"/>
  <c r="H248" i="4" s="1"/>
  <c r="F249" i="4"/>
  <c r="H249" i="4" s="1"/>
  <c r="F250" i="4"/>
  <c r="H250" i="4" s="1"/>
  <c r="I250" i="4" s="1"/>
  <c r="F251" i="4"/>
  <c r="F252" i="4"/>
  <c r="H252" i="4" s="1"/>
  <c r="I252" i="4" s="1"/>
  <c r="F253" i="4"/>
  <c r="H253" i="4" s="1"/>
  <c r="F254" i="4"/>
  <c r="F255" i="4"/>
  <c r="H255" i="4" s="1"/>
  <c r="F256" i="4"/>
  <c r="H256" i="4" s="1"/>
  <c r="F257" i="4"/>
  <c r="H257" i="4" s="1"/>
  <c r="F258" i="4"/>
  <c r="H258" i="4" s="1"/>
  <c r="I258" i="4" s="1"/>
  <c r="F259" i="4"/>
  <c r="F260" i="4"/>
  <c r="H260" i="4" s="1"/>
  <c r="I260" i="4" s="1"/>
  <c r="F261" i="4"/>
  <c r="H261" i="4" s="1"/>
  <c r="F262" i="4"/>
  <c r="F263" i="4"/>
  <c r="H263" i="4" s="1"/>
  <c r="F264" i="4"/>
  <c r="H264" i="4" s="1"/>
  <c r="F265" i="4"/>
  <c r="H265" i="4" s="1"/>
  <c r="F266" i="4"/>
  <c r="H266" i="4" s="1"/>
  <c r="I266" i="4" s="1"/>
  <c r="F267" i="4"/>
  <c r="F268" i="4"/>
  <c r="H268" i="4" s="1"/>
  <c r="I268" i="4" s="1"/>
  <c r="F269" i="4"/>
  <c r="H269" i="4" s="1"/>
  <c r="F270" i="4"/>
  <c r="F271" i="4"/>
  <c r="H271" i="4" s="1"/>
  <c r="F272" i="4"/>
  <c r="H272" i="4" s="1"/>
  <c r="F273" i="4"/>
  <c r="H273" i="4" s="1"/>
  <c r="F274" i="4"/>
  <c r="H274" i="4" s="1"/>
  <c r="I274" i="4" s="1"/>
  <c r="F275" i="4"/>
  <c r="F276" i="4"/>
  <c r="H276" i="4" s="1"/>
  <c r="I276" i="4" s="1"/>
  <c r="F277" i="4"/>
  <c r="H277" i="4" s="1"/>
  <c r="F278" i="4"/>
  <c r="F279" i="4"/>
  <c r="H279" i="4" s="1"/>
  <c r="F280" i="4"/>
  <c r="H280" i="4" s="1"/>
  <c r="F281" i="4"/>
  <c r="H281" i="4" s="1"/>
  <c r="F282" i="4"/>
  <c r="H282" i="4" s="1"/>
  <c r="I282" i="4" s="1"/>
  <c r="F283" i="4"/>
  <c r="F284" i="4"/>
  <c r="H284" i="4" s="1"/>
  <c r="I284" i="4" s="1"/>
  <c r="F285" i="4"/>
  <c r="H285" i="4" s="1"/>
  <c r="F286" i="4"/>
  <c r="F287" i="4"/>
  <c r="H287" i="4" s="1"/>
  <c r="F288" i="4"/>
  <c r="H288" i="4" s="1"/>
  <c r="F289" i="4"/>
  <c r="H289" i="4" s="1"/>
  <c r="F290" i="4"/>
  <c r="H290" i="4" s="1"/>
  <c r="I290" i="4" s="1"/>
  <c r="F291" i="4"/>
  <c r="F292" i="4"/>
  <c r="H292" i="4" s="1"/>
  <c r="I292" i="4" s="1"/>
  <c r="F293" i="4"/>
  <c r="H293" i="4" s="1"/>
  <c r="F294" i="4"/>
  <c r="F295" i="4"/>
  <c r="H295" i="4" s="1"/>
  <c r="F296" i="4"/>
  <c r="H296" i="4" s="1"/>
  <c r="F297" i="4"/>
  <c r="H297" i="4" s="1"/>
  <c r="F298" i="4"/>
  <c r="H298" i="4" s="1"/>
  <c r="I298" i="4" s="1"/>
  <c r="F299" i="4"/>
  <c r="F300" i="4"/>
  <c r="H300" i="4" s="1"/>
  <c r="I300" i="4" s="1"/>
  <c r="F301" i="4"/>
  <c r="H301" i="4" s="1"/>
  <c r="F302" i="4"/>
  <c r="F303" i="4"/>
  <c r="H303" i="4" s="1"/>
  <c r="F304" i="4"/>
  <c r="H304" i="4" s="1"/>
  <c r="F305" i="4"/>
  <c r="H305" i="4" s="1"/>
  <c r="F306" i="4"/>
  <c r="H306" i="4" s="1"/>
  <c r="I306" i="4" s="1"/>
  <c r="F307" i="4"/>
  <c r="F308" i="4"/>
  <c r="H308" i="4" s="1"/>
  <c r="I308" i="4" s="1"/>
  <c r="F309" i="4"/>
  <c r="H309" i="4" s="1"/>
  <c r="F310" i="4"/>
  <c r="F311" i="4"/>
  <c r="H311" i="4" s="1"/>
  <c r="F312" i="4"/>
  <c r="H312" i="4" s="1"/>
  <c r="F313" i="4"/>
  <c r="H313" i="4" s="1"/>
  <c r="F314" i="4"/>
  <c r="H314" i="4" s="1"/>
  <c r="I314" i="4" s="1"/>
  <c r="F315" i="4"/>
  <c r="F316" i="4"/>
  <c r="H316" i="4" s="1"/>
  <c r="I316" i="4" s="1"/>
  <c r="F317" i="4"/>
  <c r="H317" i="4" s="1"/>
  <c r="F318" i="4"/>
  <c r="F319" i="4"/>
  <c r="H319" i="4" s="1"/>
  <c r="F320" i="4"/>
  <c r="H320" i="4" s="1"/>
  <c r="F321" i="4"/>
  <c r="H321" i="4" s="1"/>
  <c r="F322" i="4"/>
  <c r="H322" i="4" s="1"/>
  <c r="I322" i="4" s="1"/>
  <c r="F323" i="4"/>
  <c r="F324" i="4"/>
  <c r="H324" i="4" s="1"/>
  <c r="I324" i="4" s="1"/>
  <c r="F325" i="4"/>
  <c r="H325" i="4" s="1"/>
  <c r="F326" i="4"/>
  <c r="F327" i="4"/>
  <c r="H327" i="4" s="1"/>
  <c r="F328" i="4"/>
  <c r="H328" i="4" s="1"/>
  <c r="F329" i="4"/>
  <c r="H329" i="4" s="1"/>
  <c r="F330" i="4"/>
  <c r="H330" i="4" s="1"/>
  <c r="I330" i="4" s="1"/>
  <c r="F331" i="4"/>
  <c r="F332" i="4"/>
  <c r="H332" i="4" s="1"/>
  <c r="F333" i="4"/>
  <c r="H333" i="4" s="1"/>
  <c r="F334" i="4"/>
  <c r="F335" i="4"/>
  <c r="H335" i="4" s="1"/>
  <c r="F336" i="4"/>
  <c r="H336" i="4" s="1"/>
  <c r="F337" i="4"/>
  <c r="H337" i="4" s="1"/>
  <c r="F338" i="4"/>
  <c r="H338" i="4" s="1"/>
  <c r="I338" i="4" s="1"/>
  <c r="F339" i="4"/>
  <c r="F340" i="4"/>
  <c r="H340" i="4" s="1"/>
  <c r="F341" i="4"/>
  <c r="H341" i="4" s="1"/>
  <c r="F342" i="4"/>
  <c r="F343" i="4"/>
  <c r="H343" i="4" s="1"/>
  <c r="F344" i="4"/>
  <c r="H344" i="4" s="1"/>
  <c r="F345" i="4"/>
  <c r="H345" i="4" s="1"/>
  <c r="F346" i="4"/>
  <c r="H346" i="4" s="1"/>
  <c r="I346" i="4" s="1"/>
  <c r="F347" i="4"/>
  <c r="F348" i="4"/>
  <c r="H348" i="4" s="1"/>
  <c r="F349" i="4"/>
  <c r="H349" i="4" s="1"/>
  <c r="F350" i="4"/>
  <c r="F351" i="4"/>
  <c r="H351" i="4" s="1"/>
  <c r="F352" i="4"/>
  <c r="H352" i="4" s="1"/>
  <c r="F353" i="4"/>
  <c r="H353" i="4" s="1"/>
  <c r="F354" i="4"/>
  <c r="H354" i="4" s="1"/>
  <c r="I354" i="4" s="1"/>
  <c r="F355" i="4"/>
  <c r="F356" i="4"/>
  <c r="H356" i="4" s="1"/>
  <c r="F357" i="4"/>
  <c r="H357" i="4" s="1"/>
  <c r="F358" i="4"/>
  <c r="F359" i="4"/>
  <c r="H359" i="4" s="1"/>
  <c r="F360" i="4"/>
  <c r="H360" i="4" s="1"/>
  <c r="F361" i="4"/>
  <c r="H361" i="4" s="1"/>
  <c r="F362" i="4"/>
  <c r="H362" i="4" s="1"/>
  <c r="I362" i="4" s="1"/>
  <c r="F363" i="4"/>
  <c r="F364" i="4"/>
  <c r="H364" i="4" s="1"/>
  <c r="F365" i="4"/>
  <c r="H365" i="4" s="1"/>
  <c r="F366" i="4"/>
  <c r="F367" i="4"/>
  <c r="H367" i="4" s="1"/>
  <c r="F368" i="4"/>
  <c r="H368" i="4" s="1"/>
  <c r="F369" i="4"/>
  <c r="H369" i="4" s="1"/>
  <c r="F370" i="4"/>
  <c r="H370" i="4" s="1"/>
  <c r="I370" i="4" s="1"/>
  <c r="F371" i="4"/>
  <c r="F372" i="4"/>
  <c r="H372" i="4" s="1"/>
  <c r="F373" i="4"/>
  <c r="H373" i="4" s="1"/>
  <c r="F374" i="4"/>
  <c r="F375" i="4"/>
  <c r="H375" i="4" s="1"/>
  <c r="F376" i="4"/>
  <c r="H376" i="4" s="1"/>
  <c r="F377" i="4"/>
  <c r="H377" i="4" s="1"/>
  <c r="F378" i="4"/>
  <c r="H378" i="4" s="1"/>
  <c r="I378" i="4" s="1"/>
  <c r="F379" i="4"/>
  <c r="F380" i="4"/>
  <c r="H380" i="4" s="1"/>
  <c r="F381" i="4"/>
  <c r="H381" i="4" s="1"/>
  <c r="F382" i="4"/>
  <c r="F383" i="4"/>
  <c r="H383" i="4" s="1"/>
  <c r="F384" i="4"/>
  <c r="H384" i="4" s="1"/>
  <c r="F385" i="4"/>
  <c r="H385" i="4" s="1"/>
  <c r="F386" i="4"/>
  <c r="H386" i="4" s="1"/>
  <c r="I386" i="4" s="1"/>
  <c r="F387" i="4"/>
  <c r="F388" i="4"/>
  <c r="H388" i="4" s="1"/>
  <c r="F389" i="4"/>
  <c r="H389" i="4" s="1"/>
  <c r="F390" i="4"/>
  <c r="F391" i="4"/>
  <c r="H391" i="4" s="1"/>
  <c r="F392" i="4"/>
  <c r="H392" i="4" s="1"/>
  <c r="F393" i="4"/>
  <c r="H393" i="4" s="1"/>
  <c r="F394" i="4"/>
  <c r="H394" i="4" s="1"/>
  <c r="I394" i="4" s="1"/>
  <c r="F395" i="4"/>
  <c r="F396" i="4"/>
  <c r="H396" i="4" s="1"/>
  <c r="F397" i="4"/>
  <c r="H397" i="4" s="1"/>
  <c r="F398" i="4"/>
  <c r="F399" i="4"/>
  <c r="H399" i="4" s="1"/>
  <c r="F400" i="4"/>
  <c r="H400" i="4" s="1"/>
  <c r="F401" i="4"/>
  <c r="H401" i="4" s="1"/>
  <c r="F402" i="4"/>
  <c r="H402" i="4" s="1"/>
  <c r="I402" i="4" s="1"/>
  <c r="F403" i="4"/>
  <c r="F404" i="4"/>
  <c r="H404" i="4" s="1"/>
  <c r="F405" i="4"/>
  <c r="H405" i="4" s="1"/>
  <c r="F406" i="4"/>
  <c r="F407" i="4"/>
  <c r="H407" i="4" s="1"/>
  <c r="F408" i="4"/>
  <c r="H408" i="4" s="1"/>
  <c r="F409" i="4"/>
  <c r="H409" i="4" s="1"/>
  <c r="F410" i="4"/>
  <c r="H410" i="4" s="1"/>
  <c r="I410" i="4" s="1"/>
  <c r="F411" i="4"/>
  <c r="F412" i="4"/>
  <c r="H412" i="4" s="1"/>
  <c r="F413" i="4"/>
  <c r="H413" i="4" s="1"/>
  <c r="F414" i="4"/>
  <c r="F415" i="4"/>
  <c r="H415" i="4" s="1"/>
  <c r="F416" i="4"/>
  <c r="H416" i="4" s="1"/>
  <c r="F417" i="4"/>
  <c r="H417" i="4" s="1"/>
  <c r="F418" i="4"/>
  <c r="H418" i="4" s="1"/>
  <c r="I418" i="4" s="1"/>
  <c r="F419" i="4"/>
  <c r="F420" i="4"/>
  <c r="H420" i="4" s="1"/>
  <c r="F421" i="4"/>
  <c r="H421" i="4" s="1"/>
  <c r="F422" i="4"/>
  <c r="F423" i="4"/>
  <c r="H423" i="4" s="1"/>
  <c r="F424" i="4"/>
  <c r="H424" i="4" s="1"/>
  <c r="F425" i="4"/>
  <c r="H425" i="4" s="1"/>
  <c r="F426" i="4"/>
  <c r="H426" i="4" s="1"/>
  <c r="I426" i="4" s="1"/>
  <c r="F427" i="4"/>
  <c r="F428" i="4"/>
  <c r="H428" i="4" s="1"/>
  <c r="F429" i="4"/>
  <c r="H429" i="4" s="1"/>
  <c r="F430" i="4"/>
  <c r="F431" i="4"/>
  <c r="H431" i="4" s="1"/>
  <c r="F432" i="4"/>
  <c r="H432" i="4" s="1"/>
  <c r="F433" i="4"/>
  <c r="H433" i="4" s="1"/>
  <c r="F434" i="4"/>
  <c r="H434" i="4" s="1"/>
  <c r="I434" i="4" s="1"/>
  <c r="F435" i="4"/>
  <c r="F436" i="4"/>
  <c r="H436" i="4" s="1"/>
  <c r="F437" i="4"/>
  <c r="H437" i="4" s="1"/>
  <c r="F438" i="4"/>
  <c r="F439" i="4"/>
  <c r="H439" i="4" s="1"/>
  <c r="F440" i="4"/>
  <c r="H440" i="4" s="1"/>
  <c r="F441" i="4"/>
  <c r="H441" i="4" s="1"/>
  <c r="F442" i="4"/>
  <c r="H442" i="4" s="1"/>
  <c r="I442" i="4" s="1"/>
  <c r="F443" i="4"/>
  <c r="F444" i="4"/>
  <c r="H444" i="4" s="1"/>
  <c r="F445" i="4"/>
  <c r="H445" i="4" s="1"/>
  <c r="F446" i="4"/>
  <c r="F447" i="4"/>
  <c r="H447" i="4" s="1"/>
  <c r="F448" i="4"/>
  <c r="H448" i="4" s="1"/>
  <c r="F449" i="4"/>
  <c r="H449" i="4" s="1"/>
  <c r="F450" i="4"/>
  <c r="H450" i="4" s="1"/>
  <c r="I450" i="4" s="1"/>
  <c r="F451" i="4"/>
  <c r="F452" i="4"/>
  <c r="H452" i="4" s="1"/>
  <c r="F453" i="4"/>
  <c r="H453" i="4" s="1"/>
  <c r="F454" i="4"/>
  <c r="F455" i="4"/>
  <c r="H455" i="4" s="1"/>
  <c r="F456" i="4"/>
  <c r="H456" i="4" s="1"/>
  <c r="F457" i="4"/>
  <c r="H457" i="4" s="1"/>
  <c r="F458" i="4"/>
  <c r="H458" i="4" s="1"/>
  <c r="I458" i="4" s="1"/>
  <c r="F459" i="4"/>
  <c r="F460" i="4"/>
  <c r="H460" i="4" s="1"/>
  <c r="F461" i="4"/>
  <c r="H461" i="4" s="1"/>
  <c r="F462" i="4"/>
  <c r="F463" i="4"/>
  <c r="H463" i="4" s="1"/>
  <c r="F464" i="4"/>
  <c r="H464" i="4" s="1"/>
  <c r="F465" i="4"/>
  <c r="H465" i="4" s="1"/>
  <c r="F466" i="4"/>
  <c r="H466" i="4" s="1"/>
  <c r="I466" i="4" s="1"/>
  <c r="F467" i="4"/>
  <c r="F468" i="4"/>
  <c r="H468" i="4" s="1"/>
  <c r="F469" i="4"/>
  <c r="H469" i="4" s="1"/>
  <c r="F470" i="4"/>
  <c r="F471" i="4"/>
  <c r="H471" i="4" s="1"/>
  <c r="F472" i="4"/>
  <c r="H472" i="4" s="1"/>
  <c r="F473" i="4"/>
  <c r="H473" i="4" s="1"/>
  <c r="F474" i="4"/>
  <c r="H474" i="4" s="1"/>
  <c r="I474" i="4" s="1"/>
  <c r="F475" i="4"/>
  <c r="F476" i="4"/>
  <c r="H476" i="4" s="1"/>
  <c r="F477" i="4"/>
  <c r="H477" i="4" s="1"/>
  <c r="F478" i="4"/>
  <c r="F479" i="4"/>
  <c r="H479" i="4" s="1"/>
  <c r="F480" i="4"/>
  <c r="H480" i="4" s="1"/>
  <c r="F481" i="4"/>
  <c r="H481" i="4" s="1"/>
  <c r="F482" i="4"/>
  <c r="H482" i="4" s="1"/>
  <c r="I482" i="4" s="1"/>
  <c r="F483" i="4"/>
  <c r="F484" i="4"/>
  <c r="H484" i="4" s="1"/>
  <c r="F485" i="4"/>
  <c r="H485" i="4" s="1"/>
  <c r="F486" i="4"/>
  <c r="F487" i="4"/>
  <c r="H487" i="4" s="1"/>
  <c r="F488" i="4"/>
  <c r="H488" i="4" s="1"/>
  <c r="F489" i="4"/>
  <c r="H489" i="4" s="1"/>
  <c r="F490" i="4"/>
  <c r="H490" i="4" s="1"/>
  <c r="I490" i="4" s="1"/>
  <c r="F491" i="4"/>
  <c r="F492" i="4"/>
  <c r="H492" i="4" s="1"/>
  <c r="F493" i="4"/>
  <c r="H493" i="4" s="1"/>
  <c r="F494" i="4"/>
  <c r="F495" i="4"/>
  <c r="H495" i="4" s="1"/>
  <c r="F496" i="4"/>
  <c r="H496" i="4" s="1"/>
  <c r="F497" i="4"/>
  <c r="H497" i="4" s="1"/>
  <c r="F498" i="4"/>
  <c r="H498" i="4" s="1"/>
  <c r="I498" i="4" s="1"/>
  <c r="F499" i="4"/>
  <c r="F500" i="4"/>
  <c r="H500" i="4" s="1"/>
  <c r="F501" i="4"/>
  <c r="H501" i="4"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5003" i="3"/>
  <c r="D5004" i="3"/>
  <c r="D5005" i="3"/>
  <c r="D5006" i="3"/>
  <c r="D5007" i="3"/>
  <c r="D5008" i="3"/>
  <c r="D5009" i="3"/>
  <c r="D5010" i="3"/>
  <c r="D5011" i="3"/>
  <c r="D5012" i="3"/>
  <c r="D5013" i="3"/>
  <c r="D5014" i="3"/>
  <c r="D5015" i="3"/>
  <c r="D5016" i="3"/>
  <c r="D5017" i="3"/>
  <c r="D5018" i="3"/>
  <c r="D5019" i="3"/>
  <c r="D5020" i="3"/>
  <c r="D5021" i="3"/>
  <c r="D5022" i="3"/>
  <c r="D5023" i="3"/>
  <c r="D5024" i="3"/>
  <c r="D5025" i="3"/>
  <c r="D5026" i="3"/>
  <c r="D5027" i="3"/>
  <c r="D5028" i="3"/>
  <c r="D5029" i="3"/>
  <c r="D5030" i="3"/>
  <c r="D5031" i="3"/>
  <c r="D5032" i="3"/>
  <c r="D5033" i="3"/>
  <c r="D5034" i="3"/>
  <c r="D5035" i="3"/>
  <c r="D5036" i="3"/>
  <c r="D5037" i="3"/>
  <c r="D5038" i="3"/>
  <c r="D5039" i="3"/>
  <c r="D5040" i="3"/>
  <c r="D5041" i="3"/>
  <c r="D5042" i="3"/>
  <c r="D5043" i="3"/>
  <c r="D5044" i="3"/>
  <c r="D5045" i="3"/>
  <c r="D5046" i="3"/>
  <c r="D5047" i="3"/>
  <c r="D5048" i="3"/>
  <c r="D5049" i="3"/>
  <c r="D5050" i="3"/>
  <c r="D5051" i="3"/>
  <c r="D5052" i="3"/>
  <c r="D5053" i="3"/>
  <c r="D5054" i="3"/>
  <c r="D5055" i="3"/>
  <c r="D5056" i="3"/>
  <c r="D5057" i="3"/>
  <c r="D5058" i="3"/>
  <c r="D5059" i="3"/>
  <c r="D5060" i="3"/>
  <c r="D5061" i="3"/>
  <c r="D5062" i="3"/>
  <c r="D5063" i="3"/>
  <c r="D5064" i="3"/>
  <c r="D5065" i="3"/>
  <c r="D5066" i="3"/>
  <c r="D5067" i="3"/>
  <c r="D5068" i="3"/>
  <c r="D5069" i="3"/>
  <c r="D5070" i="3"/>
  <c r="D5071" i="3"/>
  <c r="D5072" i="3"/>
  <c r="D5073" i="3"/>
  <c r="D5074" i="3"/>
  <c r="D5075" i="3"/>
  <c r="D5076" i="3"/>
  <c r="D5077" i="3"/>
  <c r="D5078" i="3"/>
  <c r="D5079" i="3"/>
  <c r="D5080" i="3"/>
  <c r="D5081" i="3"/>
  <c r="D5082" i="3"/>
  <c r="D5083" i="3"/>
  <c r="D5084" i="3"/>
  <c r="D5085" i="3"/>
  <c r="D5086" i="3"/>
  <c r="D5087" i="3"/>
  <c r="D5088" i="3"/>
  <c r="D5089" i="3"/>
  <c r="D5090" i="3"/>
  <c r="D5091" i="3"/>
  <c r="D5092" i="3"/>
  <c r="D5093" i="3"/>
  <c r="D5094" i="3"/>
  <c r="D5095" i="3"/>
  <c r="D5096" i="3"/>
  <c r="D5097" i="3"/>
  <c r="D5098" i="3"/>
  <c r="D5099" i="3"/>
  <c r="D5100" i="3"/>
  <c r="D5101" i="3"/>
  <c r="D5102" i="3"/>
  <c r="D5103" i="3"/>
  <c r="D5104" i="3"/>
  <c r="D5105" i="3"/>
  <c r="D5106" i="3"/>
  <c r="D5107" i="3"/>
  <c r="D5108" i="3"/>
  <c r="D5109" i="3"/>
  <c r="D5110" i="3"/>
  <c r="D5111" i="3"/>
  <c r="D5112" i="3"/>
  <c r="D5113" i="3"/>
  <c r="D5114" i="3"/>
  <c r="D5115" i="3"/>
  <c r="D5116" i="3"/>
  <c r="D5117" i="3"/>
  <c r="D5118" i="3"/>
  <c r="D5119" i="3"/>
  <c r="D5120" i="3"/>
  <c r="D5121" i="3"/>
  <c r="D5122" i="3"/>
  <c r="D5123" i="3"/>
  <c r="D5124" i="3"/>
  <c r="D5125" i="3"/>
  <c r="D5126" i="3"/>
  <c r="D5127" i="3"/>
  <c r="D5128" i="3"/>
  <c r="D5129" i="3"/>
  <c r="D5130" i="3"/>
  <c r="D5131" i="3"/>
  <c r="D5132" i="3"/>
  <c r="D5133" i="3"/>
  <c r="D5134" i="3"/>
  <c r="D5135" i="3"/>
  <c r="D5136" i="3"/>
  <c r="D5137" i="3"/>
  <c r="D5138" i="3"/>
  <c r="D5139" i="3"/>
  <c r="D5140" i="3"/>
  <c r="D5141" i="3"/>
  <c r="D5142" i="3"/>
  <c r="D5143" i="3"/>
  <c r="D5144" i="3"/>
  <c r="D5145" i="3"/>
  <c r="D5146" i="3"/>
  <c r="D5147" i="3"/>
  <c r="D5148" i="3"/>
  <c r="D5149" i="3"/>
  <c r="D5150" i="3"/>
  <c r="D5151" i="3"/>
  <c r="D5152" i="3"/>
  <c r="D5153" i="3"/>
  <c r="D5154" i="3"/>
  <c r="D5155" i="3"/>
  <c r="D5156" i="3"/>
  <c r="D5157" i="3"/>
  <c r="D5158" i="3"/>
  <c r="D5159" i="3"/>
  <c r="D5160" i="3"/>
  <c r="D5161" i="3"/>
  <c r="D5162" i="3"/>
  <c r="D5163" i="3"/>
  <c r="D5164" i="3"/>
  <c r="D5165" i="3"/>
  <c r="D5166" i="3"/>
  <c r="D5167" i="3"/>
  <c r="D5168" i="3"/>
  <c r="D5169" i="3"/>
  <c r="D5170" i="3"/>
  <c r="D5171" i="3"/>
  <c r="D5172" i="3"/>
  <c r="D5173" i="3"/>
  <c r="D5174" i="3"/>
  <c r="D5175" i="3"/>
  <c r="D5176" i="3"/>
  <c r="D5177" i="3"/>
  <c r="D5178" i="3"/>
  <c r="D5179" i="3"/>
  <c r="D5180" i="3"/>
  <c r="D5181" i="3"/>
  <c r="D5182" i="3"/>
  <c r="D5183" i="3"/>
  <c r="D5184" i="3"/>
  <c r="D5185" i="3"/>
  <c r="D5186" i="3"/>
  <c r="D5187" i="3"/>
  <c r="D5188" i="3"/>
  <c r="D5189" i="3"/>
  <c r="D5190" i="3"/>
  <c r="D5191" i="3"/>
  <c r="D5192" i="3"/>
  <c r="D5193" i="3"/>
  <c r="D5194" i="3"/>
  <c r="D5195" i="3"/>
  <c r="D5196" i="3"/>
  <c r="D5197" i="3"/>
  <c r="D5198" i="3"/>
  <c r="D5199" i="3"/>
  <c r="D5200" i="3"/>
  <c r="D5201" i="3"/>
  <c r="D5202" i="3"/>
  <c r="D5203" i="3"/>
  <c r="D5204" i="3"/>
  <c r="D5205" i="3"/>
  <c r="D5206" i="3"/>
  <c r="D5207" i="3"/>
  <c r="D5208" i="3"/>
  <c r="D5209" i="3"/>
  <c r="D5210" i="3"/>
  <c r="D5211" i="3"/>
  <c r="D5212" i="3"/>
  <c r="D5213" i="3"/>
  <c r="D5214" i="3"/>
  <c r="D5215" i="3"/>
  <c r="D5216" i="3"/>
  <c r="D5217" i="3"/>
  <c r="D5218" i="3"/>
  <c r="D5219" i="3"/>
  <c r="D5220" i="3"/>
  <c r="D5221" i="3"/>
  <c r="D5222" i="3"/>
  <c r="D5223" i="3"/>
  <c r="D5224" i="3"/>
  <c r="D5225" i="3"/>
  <c r="D5226" i="3"/>
  <c r="D5227" i="3"/>
  <c r="D5228" i="3"/>
  <c r="D5229" i="3"/>
  <c r="D5230" i="3"/>
  <c r="D5231" i="3"/>
  <c r="D5232" i="3"/>
  <c r="D5233" i="3"/>
  <c r="D5234" i="3"/>
  <c r="D5235" i="3"/>
  <c r="D5236" i="3"/>
  <c r="D5237" i="3"/>
  <c r="D5238" i="3"/>
  <c r="D5239" i="3"/>
  <c r="D5240" i="3"/>
  <c r="D5241" i="3"/>
  <c r="D5242" i="3"/>
  <c r="D5243" i="3"/>
  <c r="D5244" i="3"/>
  <c r="D5245" i="3"/>
  <c r="D5246" i="3"/>
  <c r="D5247" i="3"/>
  <c r="D5248" i="3"/>
  <c r="D5249" i="3"/>
  <c r="D5250" i="3"/>
  <c r="D5251" i="3"/>
  <c r="D5252" i="3"/>
  <c r="D5253" i="3"/>
  <c r="D5254" i="3"/>
  <c r="D5255" i="3"/>
  <c r="D5256" i="3"/>
  <c r="D5257" i="3"/>
  <c r="D5258" i="3"/>
  <c r="D5259" i="3"/>
  <c r="D5260" i="3"/>
  <c r="D5261" i="3"/>
  <c r="D5262" i="3"/>
  <c r="D5263" i="3"/>
  <c r="D5264" i="3"/>
  <c r="D5265" i="3"/>
  <c r="D5266" i="3"/>
  <c r="D5267" i="3"/>
  <c r="D5268" i="3"/>
  <c r="D5269" i="3"/>
  <c r="D5270" i="3"/>
  <c r="D5271" i="3"/>
  <c r="D5272" i="3"/>
  <c r="D5273" i="3"/>
  <c r="D5274" i="3"/>
  <c r="D5275" i="3"/>
  <c r="D5276" i="3"/>
  <c r="D5277" i="3"/>
  <c r="D5278" i="3"/>
  <c r="D5279" i="3"/>
  <c r="D5280" i="3"/>
  <c r="D5281" i="3"/>
  <c r="D5282" i="3"/>
  <c r="D5283" i="3"/>
  <c r="D5284" i="3"/>
  <c r="D5285" i="3"/>
  <c r="D5286" i="3"/>
  <c r="D5287" i="3"/>
  <c r="D5288" i="3"/>
  <c r="D5289" i="3"/>
  <c r="D5290" i="3"/>
  <c r="D5291" i="3"/>
  <c r="D5292" i="3"/>
  <c r="D5293" i="3"/>
  <c r="D5294" i="3"/>
  <c r="D5295" i="3"/>
  <c r="D5296" i="3"/>
  <c r="D5297" i="3"/>
  <c r="D5298" i="3"/>
  <c r="D5299" i="3"/>
  <c r="D5300" i="3"/>
  <c r="D5301" i="3"/>
  <c r="D5302" i="3"/>
  <c r="D5303" i="3"/>
  <c r="D5304" i="3"/>
  <c r="D5305" i="3"/>
  <c r="D5306" i="3"/>
  <c r="D5307" i="3"/>
  <c r="D5308" i="3"/>
  <c r="D5309" i="3"/>
  <c r="D5310" i="3"/>
  <c r="D5311" i="3"/>
  <c r="D5312" i="3"/>
  <c r="D5313" i="3"/>
  <c r="D5314" i="3"/>
  <c r="D5315" i="3"/>
  <c r="D5316" i="3"/>
  <c r="D5317" i="3"/>
  <c r="D5318" i="3"/>
  <c r="D5319" i="3"/>
  <c r="D5320" i="3"/>
  <c r="D5321" i="3"/>
  <c r="D5322" i="3"/>
  <c r="D5323" i="3"/>
  <c r="D5324" i="3"/>
  <c r="D5325" i="3"/>
  <c r="D5326" i="3"/>
  <c r="D5327" i="3"/>
  <c r="D5328" i="3"/>
  <c r="D5329" i="3"/>
  <c r="D5330" i="3"/>
  <c r="D5331" i="3"/>
  <c r="D5332" i="3"/>
  <c r="D5333" i="3"/>
  <c r="D5334" i="3"/>
  <c r="D5335" i="3"/>
  <c r="D5336" i="3"/>
  <c r="D5337" i="3"/>
  <c r="D5338" i="3"/>
  <c r="D5339" i="3"/>
  <c r="D5340" i="3"/>
  <c r="D5341" i="3"/>
  <c r="D5342" i="3"/>
  <c r="D5343" i="3"/>
  <c r="D5344" i="3"/>
  <c r="D5345" i="3"/>
  <c r="D5346" i="3"/>
  <c r="D5347" i="3"/>
  <c r="D5348" i="3"/>
  <c r="D5349" i="3"/>
  <c r="D5350" i="3"/>
  <c r="D5351" i="3"/>
  <c r="D5352" i="3"/>
  <c r="D5353" i="3"/>
  <c r="D5354" i="3"/>
  <c r="D5355" i="3"/>
  <c r="D5356" i="3"/>
  <c r="D5357" i="3"/>
  <c r="D5358" i="3"/>
  <c r="D5359" i="3"/>
  <c r="D5360" i="3"/>
  <c r="D5361" i="3"/>
  <c r="D5362" i="3"/>
  <c r="D5363" i="3"/>
  <c r="D5364" i="3"/>
  <c r="D5365" i="3"/>
  <c r="D5366" i="3"/>
  <c r="D5367" i="3"/>
  <c r="D5368" i="3"/>
  <c r="D5369" i="3"/>
  <c r="D5370" i="3"/>
  <c r="D5371" i="3"/>
  <c r="D5372" i="3"/>
  <c r="D5373" i="3"/>
  <c r="D5374" i="3"/>
  <c r="D5375" i="3"/>
  <c r="D5376" i="3"/>
  <c r="D5377" i="3"/>
  <c r="D5378" i="3"/>
  <c r="D5379" i="3"/>
  <c r="D5380" i="3"/>
  <c r="D5381" i="3"/>
  <c r="D5382" i="3"/>
  <c r="D5383" i="3"/>
  <c r="D5384" i="3"/>
  <c r="D5385" i="3"/>
  <c r="D5386" i="3"/>
  <c r="D5387" i="3"/>
  <c r="D5388" i="3"/>
  <c r="D5389" i="3"/>
  <c r="D5390" i="3"/>
  <c r="D5391" i="3"/>
  <c r="D5392" i="3"/>
  <c r="D5393" i="3"/>
  <c r="D5394" i="3"/>
  <c r="D5395" i="3"/>
  <c r="D5396" i="3"/>
  <c r="D5397" i="3"/>
  <c r="D5398" i="3"/>
  <c r="D5399" i="3"/>
  <c r="D5400" i="3"/>
  <c r="D5401" i="3"/>
  <c r="D5402" i="3"/>
  <c r="D5403" i="3"/>
  <c r="D5404" i="3"/>
  <c r="D5405" i="3"/>
  <c r="D5406" i="3"/>
  <c r="D5407" i="3"/>
  <c r="D5408" i="3"/>
  <c r="D5409" i="3"/>
  <c r="D5410" i="3"/>
  <c r="D5411" i="3"/>
  <c r="D5412" i="3"/>
  <c r="D5413" i="3"/>
  <c r="D5414" i="3"/>
  <c r="D5415" i="3"/>
  <c r="D5416" i="3"/>
  <c r="D5417" i="3"/>
  <c r="D5418" i="3"/>
  <c r="D5419" i="3"/>
  <c r="D5420" i="3"/>
  <c r="D5421" i="3"/>
  <c r="D5422" i="3"/>
  <c r="D5423" i="3"/>
  <c r="D5424" i="3"/>
  <c r="D5425" i="3"/>
  <c r="D5426" i="3"/>
  <c r="D5427" i="3"/>
  <c r="D5428" i="3"/>
  <c r="D5429" i="3"/>
  <c r="D5430" i="3"/>
  <c r="D5431" i="3"/>
  <c r="D5432" i="3"/>
  <c r="D5433" i="3"/>
  <c r="D5434" i="3"/>
  <c r="D5435" i="3"/>
  <c r="D5436" i="3"/>
  <c r="D5437" i="3"/>
  <c r="D5438" i="3"/>
  <c r="D5439" i="3"/>
  <c r="D5440" i="3"/>
  <c r="D5441" i="3"/>
  <c r="D5442" i="3"/>
  <c r="D5443" i="3"/>
  <c r="D5444" i="3"/>
  <c r="D5445" i="3"/>
  <c r="D5446" i="3"/>
  <c r="D5447" i="3"/>
  <c r="D5448" i="3"/>
  <c r="D5449" i="3"/>
  <c r="D5450" i="3"/>
  <c r="D5451" i="3"/>
  <c r="D5452" i="3"/>
  <c r="D5453" i="3"/>
  <c r="D5454" i="3"/>
  <c r="D5455" i="3"/>
  <c r="D5456" i="3"/>
  <c r="D5457" i="3"/>
  <c r="D5458" i="3"/>
  <c r="D5459" i="3"/>
  <c r="D5460" i="3"/>
  <c r="D5461" i="3"/>
  <c r="D5462" i="3"/>
  <c r="D5463" i="3"/>
  <c r="D5464" i="3"/>
  <c r="D5465" i="3"/>
  <c r="D5466" i="3"/>
  <c r="D5467" i="3"/>
  <c r="D5468" i="3"/>
  <c r="D5469" i="3"/>
  <c r="D5470" i="3"/>
  <c r="D5471" i="3"/>
  <c r="D5472" i="3"/>
  <c r="D5473" i="3"/>
  <c r="D5474" i="3"/>
  <c r="D5475" i="3"/>
  <c r="D5476" i="3"/>
  <c r="D5477" i="3"/>
  <c r="D5478" i="3"/>
  <c r="D5479" i="3"/>
  <c r="D5480" i="3"/>
  <c r="D5481" i="3"/>
  <c r="D5482" i="3"/>
  <c r="D5483" i="3"/>
  <c r="D5484" i="3"/>
  <c r="D5485" i="3"/>
  <c r="D5486" i="3"/>
  <c r="D5487" i="3"/>
  <c r="D5488" i="3"/>
  <c r="D5489" i="3"/>
  <c r="D5490" i="3"/>
  <c r="D5491" i="3"/>
  <c r="D5492" i="3"/>
  <c r="D5493" i="3"/>
  <c r="D5494" i="3"/>
  <c r="D5495" i="3"/>
  <c r="D5496" i="3"/>
  <c r="D5497" i="3"/>
  <c r="D5498" i="3"/>
  <c r="D5499" i="3"/>
  <c r="D5500" i="3"/>
  <c r="D5501" i="3"/>
  <c r="D5502" i="3"/>
  <c r="D5503" i="3"/>
  <c r="D5504" i="3"/>
  <c r="D5505" i="3"/>
  <c r="D5506" i="3"/>
  <c r="D5507" i="3"/>
  <c r="D5508" i="3"/>
  <c r="D5509" i="3"/>
  <c r="D5510" i="3"/>
  <c r="D5511" i="3"/>
  <c r="D5512" i="3"/>
  <c r="D5513" i="3"/>
  <c r="D5514" i="3"/>
  <c r="D5515" i="3"/>
  <c r="D5516" i="3"/>
  <c r="D5517" i="3"/>
  <c r="D5518" i="3"/>
  <c r="D5519" i="3"/>
  <c r="D5520" i="3"/>
  <c r="D5521" i="3"/>
  <c r="D5522" i="3"/>
  <c r="D5523" i="3"/>
  <c r="D5524" i="3"/>
  <c r="D5525" i="3"/>
  <c r="D5526" i="3"/>
  <c r="D5527" i="3"/>
  <c r="D5528" i="3"/>
  <c r="D5529" i="3"/>
  <c r="D5530" i="3"/>
  <c r="D5531" i="3"/>
  <c r="D5532" i="3"/>
  <c r="D5533" i="3"/>
  <c r="D5534" i="3"/>
  <c r="D5535" i="3"/>
  <c r="D5536" i="3"/>
  <c r="D5537" i="3"/>
  <c r="D5538" i="3"/>
  <c r="D5539" i="3"/>
  <c r="D5540" i="3"/>
  <c r="D5541" i="3"/>
  <c r="D5542" i="3"/>
  <c r="D5543" i="3"/>
  <c r="D5544" i="3"/>
  <c r="D5545" i="3"/>
  <c r="D5546" i="3"/>
  <c r="D5547" i="3"/>
  <c r="D5548" i="3"/>
  <c r="D5549" i="3"/>
  <c r="D5550" i="3"/>
  <c r="D5551" i="3"/>
  <c r="D5552" i="3"/>
  <c r="D5553" i="3"/>
  <c r="D5554" i="3"/>
  <c r="D5555" i="3"/>
  <c r="D5556" i="3"/>
  <c r="D5557" i="3"/>
  <c r="D5558" i="3"/>
  <c r="D5559" i="3"/>
  <c r="D5560" i="3"/>
  <c r="D5561" i="3"/>
  <c r="D5562" i="3"/>
  <c r="D5563" i="3"/>
  <c r="D5564" i="3"/>
  <c r="D5565" i="3"/>
  <c r="D5566" i="3"/>
  <c r="D5567" i="3"/>
  <c r="D5568" i="3"/>
  <c r="D5569" i="3"/>
  <c r="D5570" i="3"/>
  <c r="D5571" i="3"/>
  <c r="D5572" i="3"/>
  <c r="D5573" i="3"/>
  <c r="D5574" i="3"/>
  <c r="D5575" i="3"/>
  <c r="D5576" i="3"/>
  <c r="D5577" i="3"/>
  <c r="D5578" i="3"/>
  <c r="D5579" i="3"/>
  <c r="D5580" i="3"/>
  <c r="D5581" i="3"/>
  <c r="D5582" i="3"/>
  <c r="D5583" i="3"/>
  <c r="D5584" i="3"/>
  <c r="D5585" i="3"/>
  <c r="D5586" i="3"/>
  <c r="D5587" i="3"/>
  <c r="D5588" i="3"/>
  <c r="D5589" i="3"/>
  <c r="D5590" i="3"/>
  <c r="D5591" i="3"/>
  <c r="D5592" i="3"/>
  <c r="D5593" i="3"/>
  <c r="D5594" i="3"/>
  <c r="D5595" i="3"/>
  <c r="D5596" i="3"/>
  <c r="D5597" i="3"/>
  <c r="D5598" i="3"/>
  <c r="D5599" i="3"/>
  <c r="D5600" i="3"/>
  <c r="D5601" i="3"/>
  <c r="D5602" i="3"/>
  <c r="D5603" i="3"/>
  <c r="D5604" i="3"/>
  <c r="D5605" i="3"/>
  <c r="D5606" i="3"/>
  <c r="D5607" i="3"/>
  <c r="D5608" i="3"/>
  <c r="D5609" i="3"/>
  <c r="D5610" i="3"/>
  <c r="D5611" i="3"/>
  <c r="D5612" i="3"/>
  <c r="D5613" i="3"/>
  <c r="D5614" i="3"/>
  <c r="D5615" i="3"/>
  <c r="D5616" i="3"/>
  <c r="D5617" i="3"/>
  <c r="D5618" i="3"/>
  <c r="D5619" i="3"/>
  <c r="D5620" i="3"/>
  <c r="D5621" i="3"/>
  <c r="D5622" i="3"/>
  <c r="D5623" i="3"/>
  <c r="D5624" i="3"/>
  <c r="D5625" i="3"/>
  <c r="D5626" i="3"/>
  <c r="D5627" i="3"/>
  <c r="D5628" i="3"/>
  <c r="D5629" i="3"/>
  <c r="D5630" i="3"/>
  <c r="D5631" i="3"/>
  <c r="D5632" i="3"/>
  <c r="D5633" i="3"/>
  <c r="D5634" i="3"/>
  <c r="D5635" i="3"/>
  <c r="D5636" i="3"/>
  <c r="D5637" i="3"/>
  <c r="D5638" i="3"/>
  <c r="D5639" i="3"/>
  <c r="D5640" i="3"/>
  <c r="D5641" i="3"/>
  <c r="D5642" i="3"/>
  <c r="D5643" i="3"/>
  <c r="D5644" i="3"/>
  <c r="D5645" i="3"/>
  <c r="D5646" i="3"/>
  <c r="D5647" i="3"/>
  <c r="D5648" i="3"/>
  <c r="D5649" i="3"/>
  <c r="D5650" i="3"/>
  <c r="D5651" i="3"/>
  <c r="D5652" i="3"/>
  <c r="D5653" i="3"/>
  <c r="D5654" i="3"/>
  <c r="D5655" i="3"/>
  <c r="D5656" i="3"/>
  <c r="D5657" i="3"/>
  <c r="D5658" i="3"/>
  <c r="D5659" i="3"/>
  <c r="D5660" i="3"/>
  <c r="D5661" i="3"/>
  <c r="D5662" i="3"/>
  <c r="D5663" i="3"/>
  <c r="D5664" i="3"/>
  <c r="D5665" i="3"/>
  <c r="D5666" i="3"/>
  <c r="D5667" i="3"/>
  <c r="D5668" i="3"/>
  <c r="D5669" i="3"/>
  <c r="D5670" i="3"/>
  <c r="D5671" i="3"/>
  <c r="D5672" i="3"/>
  <c r="D5673" i="3"/>
  <c r="D5674" i="3"/>
  <c r="D5675" i="3"/>
  <c r="D5676" i="3"/>
  <c r="D5677" i="3"/>
  <c r="D5678" i="3"/>
  <c r="D5679" i="3"/>
  <c r="D5680" i="3"/>
  <c r="D5681" i="3"/>
  <c r="D5682" i="3"/>
  <c r="D5683" i="3"/>
  <c r="D5684" i="3"/>
  <c r="D5685" i="3"/>
  <c r="D5686" i="3"/>
  <c r="D5687" i="3"/>
  <c r="D5688" i="3"/>
  <c r="D5689" i="3"/>
  <c r="D5690" i="3"/>
  <c r="D5691" i="3"/>
  <c r="D5692" i="3"/>
  <c r="D5693" i="3"/>
  <c r="D5694" i="3"/>
  <c r="D5695" i="3"/>
  <c r="D5696" i="3"/>
  <c r="D5697" i="3"/>
  <c r="D5698" i="3"/>
  <c r="D5699" i="3"/>
  <c r="D5700" i="3"/>
  <c r="D5701" i="3"/>
  <c r="D5702" i="3"/>
  <c r="D5703" i="3"/>
  <c r="D5704" i="3"/>
  <c r="D5705" i="3"/>
  <c r="D5706" i="3"/>
  <c r="D5707" i="3"/>
  <c r="D5708" i="3"/>
  <c r="D5709" i="3"/>
  <c r="D5710" i="3"/>
  <c r="D5711" i="3"/>
  <c r="D5712" i="3"/>
  <c r="D5713" i="3"/>
  <c r="D5714" i="3"/>
  <c r="D5715" i="3"/>
  <c r="D5716" i="3"/>
  <c r="D5717" i="3"/>
  <c r="D5718" i="3"/>
  <c r="D5719" i="3"/>
  <c r="D5720" i="3"/>
  <c r="D5721" i="3"/>
  <c r="D5722" i="3"/>
  <c r="D5723" i="3"/>
  <c r="D5724" i="3"/>
  <c r="D5725" i="3"/>
  <c r="D5726" i="3"/>
  <c r="D5727" i="3"/>
  <c r="D5728" i="3"/>
  <c r="D5729" i="3"/>
  <c r="D5730" i="3"/>
  <c r="D5731" i="3"/>
  <c r="D5732" i="3"/>
  <c r="D5733" i="3"/>
  <c r="D5734" i="3"/>
  <c r="D5735" i="3"/>
  <c r="D5736" i="3"/>
  <c r="D5737" i="3"/>
  <c r="D5738" i="3"/>
  <c r="D5739" i="3"/>
  <c r="D5740" i="3"/>
  <c r="D5741" i="3"/>
  <c r="D5742" i="3"/>
  <c r="D5743" i="3"/>
  <c r="D5744" i="3"/>
  <c r="D5745" i="3"/>
  <c r="D5746" i="3"/>
  <c r="D5747" i="3"/>
  <c r="D5748" i="3"/>
  <c r="D5749" i="3"/>
  <c r="D5750" i="3"/>
  <c r="D5751" i="3"/>
  <c r="D5752" i="3"/>
  <c r="D5753" i="3"/>
  <c r="D5754" i="3"/>
  <c r="D5755" i="3"/>
  <c r="D5756" i="3"/>
  <c r="D5757" i="3"/>
  <c r="D5758" i="3"/>
  <c r="D5759" i="3"/>
  <c r="D5760" i="3"/>
  <c r="D5761" i="3"/>
  <c r="D5762" i="3"/>
  <c r="D5763" i="3"/>
  <c r="D5764" i="3"/>
  <c r="D5765" i="3"/>
  <c r="D5766" i="3"/>
  <c r="D5767" i="3"/>
  <c r="D5768" i="3"/>
  <c r="D5769" i="3"/>
  <c r="D5770" i="3"/>
  <c r="D5771" i="3"/>
  <c r="D5772" i="3"/>
  <c r="D5773" i="3"/>
  <c r="D5774" i="3"/>
  <c r="D5775" i="3"/>
  <c r="D5776" i="3"/>
  <c r="D5777" i="3"/>
  <c r="D5778" i="3"/>
  <c r="D5779" i="3"/>
  <c r="D5780" i="3"/>
  <c r="D5781" i="3"/>
  <c r="D5782" i="3"/>
  <c r="D5783" i="3"/>
  <c r="D5784" i="3"/>
  <c r="D5785" i="3"/>
  <c r="D5786" i="3"/>
  <c r="D5787" i="3"/>
  <c r="D5788" i="3"/>
  <c r="D5789" i="3"/>
  <c r="D5790" i="3"/>
  <c r="D5791" i="3"/>
  <c r="D5792" i="3"/>
  <c r="D5793" i="3"/>
  <c r="D5794" i="3"/>
  <c r="D5795" i="3"/>
  <c r="D5796" i="3"/>
  <c r="D5797" i="3"/>
  <c r="D5798" i="3"/>
  <c r="D5799" i="3"/>
  <c r="D5800" i="3"/>
  <c r="D5801" i="3"/>
  <c r="D5802" i="3"/>
  <c r="D5803" i="3"/>
  <c r="D5804" i="3"/>
  <c r="D5805" i="3"/>
  <c r="D5806" i="3"/>
  <c r="D5807" i="3"/>
  <c r="D5808" i="3"/>
  <c r="D5809" i="3"/>
  <c r="D5810" i="3"/>
  <c r="D5811" i="3"/>
  <c r="D5812" i="3"/>
  <c r="D5813" i="3"/>
  <c r="D5814" i="3"/>
  <c r="D5815" i="3"/>
  <c r="D5816" i="3"/>
  <c r="D5817" i="3"/>
  <c r="D5818" i="3"/>
  <c r="D5819" i="3"/>
  <c r="D5820" i="3"/>
  <c r="D5821" i="3"/>
  <c r="D5822" i="3"/>
  <c r="D5823" i="3"/>
  <c r="D5824" i="3"/>
  <c r="D5825" i="3"/>
  <c r="D5826" i="3"/>
  <c r="D5827" i="3"/>
  <c r="D5828" i="3"/>
  <c r="D5829" i="3"/>
  <c r="D5830" i="3"/>
  <c r="D5831" i="3"/>
  <c r="D5832" i="3"/>
  <c r="D5833" i="3"/>
  <c r="D5834" i="3"/>
  <c r="D5835" i="3"/>
  <c r="D5836" i="3"/>
  <c r="D5837" i="3"/>
  <c r="D5838" i="3"/>
  <c r="D5839" i="3"/>
  <c r="D5840" i="3"/>
  <c r="D5841" i="3"/>
  <c r="D5842" i="3"/>
  <c r="D5843" i="3"/>
  <c r="D5844" i="3"/>
  <c r="D5845" i="3"/>
  <c r="D5846" i="3"/>
  <c r="D5847" i="3"/>
  <c r="D5848" i="3"/>
  <c r="D5849" i="3"/>
  <c r="D5850" i="3"/>
  <c r="D5851" i="3"/>
  <c r="D5852" i="3"/>
  <c r="D5853" i="3"/>
  <c r="D5854" i="3"/>
  <c r="D5855" i="3"/>
  <c r="D5856" i="3"/>
  <c r="D5857" i="3"/>
  <c r="D5858" i="3"/>
  <c r="D5859" i="3"/>
  <c r="D5860" i="3"/>
  <c r="D5861" i="3"/>
  <c r="D5862" i="3"/>
  <c r="D5863" i="3"/>
  <c r="D5864" i="3"/>
  <c r="D5865" i="3"/>
  <c r="D5866" i="3"/>
  <c r="D5867" i="3"/>
  <c r="D5868" i="3"/>
  <c r="D5869" i="3"/>
  <c r="D5870" i="3"/>
  <c r="D5871" i="3"/>
  <c r="D5872" i="3"/>
  <c r="D5873" i="3"/>
  <c r="D5874" i="3"/>
  <c r="D5875" i="3"/>
  <c r="D5876" i="3"/>
  <c r="D5877" i="3"/>
  <c r="D5878" i="3"/>
  <c r="D5879" i="3"/>
  <c r="D5880" i="3"/>
  <c r="D5881" i="3"/>
  <c r="D5882" i="3"/>
  <c r="D5883" i="3"/>
  <c r="D5884" i="3"/>
  <c r="D5885" i="3"/>
  <c r="D5886" i="3"/>
  <c r="D5887" i="3"/>
  <c r="D5888" i="3"/>
  <c r="D5889" i="3"/>
  <c r="D5890" i="3"/>
  <c r="D5891" i="3"/>
  <c r="D5892" i="3"/>
  <c r="D5893" i="3"/>
  <c r="D5894" i="3"/>
  <c r="D5895" i="3"/>
  <c r="D5896" i="3"/>
  <c r="D5897" i="3"/>
  <c r="D5898" i="3"/>
  <c r="D5899" i="3"/>
  <c r="D5900" i="3"/>
  <c r="D5901" i="3"/>
  <c r="D5902" i="3"/>
  <c r="D5903" i="3"/>
  <c r="D5904" i="3"/>
  <c r="D5905" i="3"/>
  <c r="D5906" i="3"/>
  <c r="D5907" i="3"/>
  <c r="D5908" i="3"/>
  <c r="D5909" i="3"/>
  <c r="D5910" i="3"/>
  <c r="D5911" i="3"/>
  <c r="D5912" i="3"/>
  <c r="D5913" i="3"/>
  <c r="D5914" i="3"/>
  <c r="D5915" i="3"/>
  <c r="D5916" i="3"/>
  <c r="D5917" i="3"/>
  <c r="D5918" i="3"/>
  <c r="D5919" i="3"/>
  <c r="D5920" i="3"/>
  <c r="D5921" i="3"/>
  <c r="D5922" i="3"/>
  <c r="D5923" i="3"/>
  <c r="D5924" i="3"/>
  <c r="D5925" i="3"/>
  <c r="D5926" i="3"/>
  <c r="D5927" i="3"/>
  <c r="D5928" i="3"/>
  <c r="D5929" i="3"/>
  <c r="D5930" i="3"/>
  <c r="D5931" i="3"/>
  <c r="D5932" i="3"/>
  <c r="D5933" i="3"/>
  <c r="D5934" i="3"/>
  <c r="D5935" i="3"/>
  <c r="D5936" i="3"/>
  <c r="D5937" i="3"/>
  <c r="D5938" i="3"/>
  <c r="D5939" i="3"/>
  <c r="D5940" i="3"/>
  <c r="D5941" i="3"/>
  <c r="D5942" i="3"/>
  <c r="D5943" i="3"/>
  <c r="D5944" i="3"/>
  <c r="D5945" i="3"/>
  <c r="D5946" i="3"/>
  <c r="D5947" i="3"/>
  <c r="D5948" i="3"/>
  <c r="D5949" i="3"/>
  <c r="D5950" i="3"/>
  <c r="D5951" i="3"/>
  <c r="D5952" i="3"/>
  <c r="D5953" i="3"/>
  <c r="D5954" i="3"/>
  <c r="D5955" i="3"/>
  <c r="D5956" i="3"/>
  <c r="D5957" i="3"/>
  <c r="D5958" i="3"/>
  <c r="D5959" i="3"/>
  <c r="D5960" i="3"/>
  <c r="D5961" i="3"/>
  <c r="D5962" i="3"/>
  <c r="D5963" i="3"/>
  <c r="D5964" i="3"/>
  <c r="D5965" i="3"/>
  <c r="D5966" i="3"/>
  <c r="D5967" i="3"/>
  <c r="D5968" i="3"/>
  <c r="D5969" i="3"/>
  <c r="D5970" i="3"/>
  <c r="D5971" i="3"/>
  <c r="D5972" i="3"/>
  <c r="D5973" i="3"/>
  <c r="D5974" i="3"/>
  <c r="D5975" i="3"/>
  <c r="D5976" i="3"/>
  <c r="D5977" i="3"/>
  <c r="D5978" i="3"/>
  <c r="D5979" i="3"/>
  <c r="D5980" i="3"/>
  <c r="D5981" i="3"/>
  <c r="D5982" i="3"/>
  <c r="D5983" i="3"/>
  <c r="D5984" i="3"/>
  <c r="D5985" i="3"/>
  <c r="D5986" i="3"/>
  <c r="D5987" i="3"/>
  <c r="D5988" i="3"/>
  <c r="D5989" i="3"/>
  <c r="D5990" i="3"/>
  <c r="D5991" i="3"/>
  <c r="D5992" i="3"/>
  <c r="D5993" i="3"/>
  <c r="D5994" i="3"/>
  <c r="D5995" i="3"/>
  <c r="D5996" i="3"/>
  <c r="D5997" i="3"/>
  <c r="D5998" i="3"/>
  <c r="D5999" i="3"/>
  <c r="D6000" i="3"/>
  <c r="D6001" i="3"/>
  <c r="D6002" i="3"/>
  <c r="D6003" i="3"/>
  <c r="D6004" i="3"/>
  <c r="D6005" i="3"/>
  <c r="D6006" i="3"/>
  <c r="D6007" i="3"/>
  <c r="D6008" i="3"/>
  <c r="D6009" i="3"/>
  <c r="D6010" i="3"/>
  <c r="D6011" i="3"/>
  <c r="D6012" i="3"/>
  <c r="D6013" i="3"/>
  <c r="D6014" i="3"/>
  <c r="D6015" i="3"/>
  <c r="D6016" i="3"/>
  <c r="D6017" i="3"/>
  <c r="D6018" i="3"/>
  <c r="D6019" i="3"/>
  <c r="D6020" i="3"/>
  <c r="D6021" i="3"/>
  <c r="D6022" i="3"/>
  <c r="D6023" i="3"/>
  <c r="D6024" i="3"/>
  <c r="D6025" i="3"/>
  <c r="D6026" i="3"/>
  <c r="D6027" i="3"/>
  <c r="D6028" i="3"/>
  <c r="D6029" i="3"/>
  <c r="D6030" i="3"/>
  <c r="D6031" i="3"/>
  <c r="D6032" i="3"/>
  <c r="D6033" i="3"/>
  <c r="D6034" i="3"/>
  <c r="D6035" i="3"/>
  <c r="D6036" i="3"/>
  <c r="D6037" i="3"/>
  <c r="D6038" i="3"/>
  <c r="D6039" i="3"/>
  <c r="D6040" i="3"/>
  <c r="D6041" i="3"/>
  <c r="D6042" i="3"/>
  <c r="D6043" i="3"/>
  <c r="D6044" i="3"/>
  <c r="D6045" i="3"/>
  <c r="D6046" i="3"/>
  <c r="D6047" i="3"/>
  <c r="D6048" i="3"/>
  <c r="D6049" i="3"/>
  <c r="D6050" i="3"/>
  <c r="D6051" i="3"/>
  <c r="D6052" i="3"/>
  <c r="D6053" i="3"/>
  <c r="D6054" i="3"/>
  <c r="D6055" i="3"/>
  <c r="D6056" i="3"/>
  <c r="D6057" i="3"/>
  <c r="D6058" i="3"/>
  <c r="D6059" i="3"/>
  <c r="D6060" i="3"/>
  <c r="D6061" i="3"/>
  <c r="D6062" i="3"/>
  <c r="D6063" i="3"/>
  <c r="D6064" i="3"/>
  <c r="D6065" i="3"/>
  <c r="D6066" i="3"/>
  <c r="D6067" i="3"/>
  <c r="D6068" i="3"/>
  <c r="D6069" i="3"/>
  <c r="D6070" i="3"/>
  <c r="D6071" i="3"/>
  <c r="D6072" i="3"/>
  <c r="D6073" i="3"/>
  <c r="D6074" i="3"/>
  <c r="D6075" i="3"/>
  <c r="D6076" i="3"/>
  <c r="D6077" i="3"/>
  <c r="D6078" i="3"/>
  <c r="D6079" i="3"/>
  <c r="D6080" i="3"/>
  <c r="D6081" i="3"/>
  <c r="D6082" i="3"/>
  <c r="D6083" i="3"/>
  <c r="D6084" i="3"/>
  <c r="D6085" i="3"/>
  <c r="D6086" i="3"/>
  <c r="D6087" i="3"/>
  <c r="D6088" i="3"/>
  <c r="D6089" i="3"/>
  <c r="D6090" i="3"/>
  <c r="D6091" i="3"/>
  <c r="D6092" i="3"/>
  <c r="D6093" i="3"/>
  <c r="D6094" i="3"/>
  <c r="D6095" i="3"/>
  <c r="D6096" i="3"/>
  <c r="D6097" i="3"/>
  <c r="D6098" i="3"/>
  <c r="D6099" i="3"/>
  <c r="D6100" i="3"/>
  <c r="D6101" i="3"/>
  <c r="D6102" i="3"/>
  <c r="D6103" i="3"/>
  <c r="D6104" i="3"/>
  <c r="D6105" i="3"/>
  <c r="D6106" i="3"/>
  <c r="D6107" i="3"/>
  <c r="D6108" i="3"/>
  <c r="D6109" i="3"/>
  <c r="D6110" i="3"/>
  <c r="D6111" i="3"/>
  <c r="D6112" i="3"/>
  <c r="D6113" i="3"/>
  <c r="D6114" i="3"/>
  <c r="D6115" i="3"/>
  <c r="D6116" i="3"/>
  <c r="D6117" i="3"/>
  <c r="D6118" i="3"/>
  <c r="D6119" i="3"/>
  <c r="D6120" i="3"/>
  <c r="D6121" i="3"/>
  <c r="D6122" i="3"/>
  <c r="D6123" i="3"/>
  <c r="D6124" i="3"/>
  <c r="D6125" i="3"/>
  <c r="D6126" i="3"/>
  <c r="D6127" i="3"/>
  <c r="D6128" i="3"/>
  <c r="D6129" i="3"/>
  <c r="D6130" i="3"/>
  <c r="D6131" i="3"/>
  <c r="D6132" i="3"/>
  <c r="D6133" i="3"/>
  <c r="D6134" i="3"/>
  <c r="D6135" i="3"/>
  <c r="D6136" i="3"/>
  <c r="D6137" i="3"/>
  <c r="D6138" i="3"/>
  <c r="D6139" i="3"/>
  <c r="D6140" i="3"/>
  <c r="D6141" i="3"/>
  <c r="D6142" i="3"/>
  <c r="D6143" i="3"/>
  <c r="D6144" i="3"/>
  <c r="D6145" i="3"/>
  <c r="D6146" i="3"/>
  <c r="D6147" i="3"/>
  <c r="D6148" i="3"/>
  <c r="D6149" i="3"/>
  <c r="D6150" i="3"/>
  <c r="D6151" i="3"/>
  <c r="D6152" i="3"/>
  <c r="D6153" i="3"/>
  <c r="D6154" i="3"/>
  <c r="D6155" i="3"/>
  <c r="D6156" i="3"/>
  <c r="D6157" i="3"/>
  <c r="D6158" i="3"/>
  <c r="D6159" i="3"/>
  <c r="D6160" i="3"/>
  <c r="D6161" i="3"/>
  <c r="D6162" i="3"/>
  <c r="D6163" i="3"/>
  <c r="D6164" i="3"/>
  <c r="D6165" i="3"/>
  <c r="D6166" i="3"/>
  <c r="D6167" i="3"/>
  <c r="D6168" i="3"/>
  <c r="D6169" i="3"/>
  <c r="D6170" i="3"/>
  <c r="D6171" i="3"/>
  <c r="D6172" i="3"/>
  <c r="D6173" i="3"/>
  <c r="D6174" i="3"/>
  <c r="D6175" i="3"/>
  <c r="D6176" i="3"/>
  <c r="D6177" i="3"/>
  <c r="D6178" i="3"/>
  <c r="D6179" i="3"/>
  <c r="D6180" i="3"/>
  <c r="D6181" i="3"/>
  <c r="D6182" i="3"/>
  <c r="D6183" i="3"/>
  <c r="D6184" i="3"/>
  <c r="D6185" i="3"/>
  <c r="D6186" i="3"/>
  <c r="D6187" i="3"/>
  <c r="D6188" i="3"/>
  <c r="D6189" i="3"/>
  <c r="D6190" i="3"/>
  <c r="D6191" i="3"/>
  <c r="D6192" i="3"/>
  <c r="D6193" i="3"/>
  <c r="D6194" i="3"/>
  <c r="D6195" i="3"/>
  <c r="D6196" i="3"/>
  <c r="D6197" i="3"/>
  <c r="D6198" i="3"/>
  <c r="D6199" i="3"/>
  <c r="D6200" i="3"/>
  <c r="D6201" i="3"/>
  <c r="D6202" i="3"/>
  <c r="D6203" i="3"/>
  <c r="D6204" i="3"/>
  <c r="D6205" i="3"/>
  <c r="D6206" i="3"/>
  <c r="D6207" i="3"/>
  <c r="D6208" i="3"/>
  <c r="D6209" i="3"/>
  <c r="D6210" i="3"/>
  <c r="D6211" i="3"/>
  <c r="D6212" i="3"/>
  <c r="D6213" i="3"/>
  <c r="D6214" i="3"/>
  <c r="D6215" i="3"/>
  <c r="D6216" i="3"/>
  <c r="D6217" i="3"/>
  <c r="D6218" i="3"/>
  <c r="D6219" i="3"/>
  <c r="D6220" i="3"/>
  <c r="D6221" i="3"/>
  <c r="D6222" i="3"/>
  <c r="D6223" i="3"/>
  <c r="D6224" i="3"/>
  <c r="D6225" i="3"/>
  <c r="D6226" i="3"/>
  <c r="D6227" i="3"/>
  <c r="D6228" i="3"/>
  <c r="D6229" i="3"/>
  <c r="D6230" i="3"/>
  <c r="D6231" i="3"/>
  <c r="D6232" i="3"/>
  <c r="D6233" i="3"/>
  <c r="D6234" i="3"/>
  <c r="D6235" i="3"/>
  <c r="D6236" i="3"/>
  <c r="D6237" i="3"/>
  <c r="D6238" i="3"/>
  <c r="D6239" i="3"/>
  <c r="D6240" i="3"/>
  <c r="D6241" i="3"/>
  <c r="D6242" i="3"/>
  <c r="D6243" i="3"/>
  <c r="D6244" i="3"/>
  <c r="D6245" i="3"/>
  <c r="D6246" i="3"/>
  <c r="D6247" i="3"/>
  <c r="D6248" i="3"/>
  <c r="D6249" i="3"/>
  <c r="D6250" i="3"/>
  <c r="D6251" i="3"/>
  <c r="D6252" i="3"/>
  <c r="D6253" i="3"/>
  <c r="D6254" i="3"/>
  <c r="D6255" i="3"/>
  <c r="D6256" i="3"/>
  <c r="D6257" i="3"/>
  <c r="D6258" i="3"/>
  <c r="D6259" i="3"/>
  <c r="D6260" i="3"/>
  <c r="D6261" i="3"/>
  <c r="D6262" i="3"/>
  <c r="D6263" i="3"/>
  <c r="D6264" i="3"/>
  <c r="D6265" i="3"/>
  <c r="D6266" i="3"/>
  <c r="D6267" i="3"/>
  <c r="D6268" i="3"/>
  <c r="D6269" i="3"/>
  <c r="D6270" i="3"/>
  <c r="D6271" i="3"/>
  <c r="D6272" i="3"/>
  <c r="D6273" i="3"/>
  <c r="D6274" i="3"/>
  <c r="D6275" i="3"/>
  <c r="D6276" i="3"/>
  <c r="D6277" i="3"/>
  <c r="D6278" i="3"/>
  <c r="D6279" i="3"/>
  <c r="D6280" i="3"/>
  <c r="D6281" i="3"/>
  <c r="D6282" i="3"/>
  <c r="D6283" i="3"/>
  <c r="D6284" i="3"/>
  <c r="D6285" i="3"/>
  <c r="D6286" i="3"/>
  <c r="D6287" i="3"/>
  <c r="D6288" i="3"/>
  <c r="D6289" i="3"/>
  <c r="D6290" i="3"/>
  <c r="D6291" i="3"/>
  <c r="D6292" i="3"/>
  <c r="D6293" i="3"/>
  <c r="D6294" i="3"/>
  <c r="D6295" i="3"/>
  <c r="D6296" i="3"/>
  <c r="D6297" i="3"/>
  <c r="D6298" i="3"/>
  <c r="D6299" i="3"/>
  <c r="D6300" i="3"/>
  <c r="D6301" i="3"/>
  <c r="D6302" i="3"/>
  <c r="D6303" i="3"/>
  <c r="D6304" i="3"/>
  <c r="D6305" i="3"/>
  <c r="D6306" i="3"/>
  <c r="D6307" i="3"/>
  <c r="D6308" i="3"/>
  <c r="D6309" i="3"/>
  <c r="D6310" i="3"/>
  <c r="D6311" i="3"/>
  <c r="D6312" i="3"/>
  <c r="D6313" i="3"/>
  <c r="D6314" i="3"/>
  <c r="D6315" i="3"/>
  <c r="D6316" i="3"/>
  <c r="D6317" i="3"/>
  <c r="D6318" i="3"/>
  <c r="D6319" i="3"/>
  <c r="D6320" i="3"/>
  <c r="D6321" i="3"/>
  <c r="D6322" i="3"/>
  <c r="D6323" i="3"/>
  <c r="D6324" i="3"/>
  <c r="D6325" i="3"/>
  <c r="D6326" i="3"/>
  <c r="D6327" i="3"/>
  <c r="D6328" i="3"/>
  <c r="D6329" i="3"/>
  <c r="D6330" i="3"/>
  <c r="D6331" i="3"/>
  <c r="D6332" i="3"/>
  <c r="D6333" i="3"/>
  <c r="D6334" i="3"/>
  <c r="D6335" i="3"/>
  <c r="D6336" i="3"/>
  <c r="D6337" i="3"/>
  <c r="D6338" i="3"/>
  <c r="D6339" i="3"/>
  <c r="D6340" i="3"/>
  <c r="D6341" i="3"/>
  <c r="D6342" i="3"/>
  <c r="D6343" i="3"/>
  <c r="D6344" i="3"/>
  <c r="D6345" i="3"/>
  <c r="D6346" i="3"/>
  <c r="D6347" i="3"/>
  <c r="D6348" i="3"/>
  <c r="D6349" i="3"/>
  <c r="D6350" i="3"/>
  <c r="D6351" i="3"/>
  <c r="D6352" i="3"/>
  <c r="D6353" i="3"/>
  <c r="D6354" i="3"/>
  <c r="D6355" i="3"/>
  <c r="D6356" i="3"/>
  <c r="D6357" i="3"/>
  <c r="D6358" i="3"/>
  <c r="D6359" i="3"/>
  <c r="D6360" i="3"/>
  <c r="D6361" i="3"/>
  <c r="D6362" i="3"/>
  <c r="D6363" i="3"/>
  <c r="D6364" i="3"/>
  <c r="D6365" i="3"/>
  <c r="D6366" i="3"/>
  <c r="D6367" i="3"/>
  <c r="D6368" i="3"/>
  <c r="D6369" i="3"/>
  <c r="D6370" i="3"/>
  <c r="D6371" i="3"/>
  <c r="D6372" i="3"/>
  <c r="D6373" i="3"/>
  <c r="D6374" i="3"/>
  <c r="D6375" i="3"/>
  <c r="D6376" i="3"/>
  <c r="D6377" i="3"/>
  <c r="D6378" i="3"/>
  <c r="D6379" i="3"/>
  <c r="D6380" i="3"/>
  <c r="D6381" i="3"/>
  <c r="D6382" i="3"/>
  <c r="D6383" i="3"/>
  <c r="D6384" i="3"/>
  <c r="D6385" i="3"/>
  <c r="D6386" i="3"/>
  <c r="D6387" i="3"/>
  <c r="D6388" i="3"/>
  <c r="D6389" i="3"/>
  <c r="D6390" i="3"/>
  <c r="D6391" i="3"/>
  <c r="D6392" i="3"/>
  <c r="D6393" i="3"/>
  <c r="D6394" i="3"/>
  <c r="D6395" i="3"/>
  <c r="D6396" i="3"/>
  <c r="D6397" i="3"/>
  <c r="D6398" i="3"/>
  <c r="D6399" i="3"/>
  <c r="D6400" i="3"/>
  <c r="D6401" i="3"/>
  <c r="D6402" i="3"/>
  <c r="D6403" i="3"/>
  <c r="D6404" i="3"/>
  <c r="D6405" i="3"/>
  <c r="D6406" i="3"/>
  <c r="D6407" i="3"/>
  <c r="D6408" i="3"/>
  <c r="D6409" i="3"/>
  <c r="D6410" i="3"/>
  <c r="D6411" i="3"/>
  <c r="D6412" i="3"/>
  <c r="D6413" i="3"/>
  <c r="D6414" i="3"/>
  <c r="D6415" i="3"/>
  <c r="D6416" i="3"/>
  <c r="D6417" i="3"/>
  <c r="D6418" i="3"/>
  <c r="D6419" i="3"/>
  <c r="D6420" i="3"/>
  <c r="D6421" i="3"/>
  <c r="D6422" i="3"/>
  <c r="D6423" i="3"/>
  <c r="D6424" i="3"/>
  <c r="D6425" i="3"/>
  <c r="D6426" i="3"/>
  <c r="D6427" i="3"/>
  <c r="D6428" i="3"/>
  <c r="D6429" i="3"/>
  <c r="D6430" i="3"/>
  <c r="D6431" i="3"/>
  <c r="D6432" i="3"/>
  <c r="D6433" i="3"/>
  <c r="D6434" i="3"/>
  <c r="D6435" i="3"/>
  <c r="D6436" i="3"/>
  <c r="D6437" i="3"/>
  <c r="D6438" i="3"/>
  <c r="D6439" i="3"/>
  <c r="D6440" i="3"/>
  <c r="D6441" i="3"/>
  <c r="D6442" i="3"/>
  <c r="D6443" i="3"/>
  <c r="D6444" i="3"/>
  <c r="D6445" i="3"/>
  <c r="D6446" i="3"/>
  <c r="D6447" i="3"/>
  <c r="D6448" i="3"/>
  <c r="D6449" i="3"/>
  <c r="D6450" i="3"/>
  <c r="D6451" i="3"/>
  <c r="D6452" i="3"/>
  <c r="D6453" i="3"/>
  <c r="D6454" i="3"/>
  <c r="D6455" i="3"/>
  <c r="D6456" i="3"/>
  <c r="D6457" i="3"/>
  <c r="D6458" i="3"/>
  <c r="D6459" i="3"/>
  <c r="D6460" i="3"/>
  <c r="D6461" i="3"/>
  <c r="D6462" i="3"/>
  <c r="D6463" i="3"/>
  <c r="D6464" i="3"/>
  <c r="D6465" i="3"/>
  <c r="D6466" i="3"/>
  <c r="D6467" i="3"/>
  <c r="D6468" i="3"/>
  <c r="D6469" i="3"/>
  <c r="D6470" i="3"/>
  <c r="D6471" i="3"/>
  <c r="D6472" i="3"/>
  <c r="D6473" i="3"/>
  <c r="D6474" i="3"/>
  <c r="D6475" i="3"/>
  <c r="D6476" i="3"/>
  <c r="D6477" i="3"/>
  <c r="D6478" i="3"/>
  <c r="D6479" i="3"/>
  <c r="D6480" i="3"/>
  <c r="D6481" i="3"/>
  <c r="D6482" i="3"/>
  <c r="D6483" i="3"/>
  <c r="D6484" i="3"/>
  <c r="D6485" i="3"/>
  <c r="D6486" i="3"/>
  <c r="D6487" i="3"/>
  <c r="D6488" i="3"/>
  <c r="D6489" i="3"/>
  <c r="D6490" i="3"/>
  <c r="D6491" i="3"/>
  <c r="D6492" i="3"/>
  <c r="D6493" i="3"/>
  <c r="D6494" i="3"/>
  <c r="D6495" i="3"/>
  <c r="D6496" i="3"/>
  <c r="D6497" i="3"/>
  <c r="D6498" i="3"/>
  <c r="D6499" i="3"/>
  <c r="D6500" i="3"/>
  <c r="D6501" i="3"/>
  <c r="D6502" i="3"/>
  <c r="D6503" i="3"/>
  <c r="D6504" i="3"/>
  <c r="D6505" i="3"/>
  <c r="D6506" i="3"/>
  <c r="D6507" i="3"/>
  <c r="D6508" i="3"/>
  <c r="D6509" i="3"/>
  <c r="D6510" i="3"/>
  <c r="D6511" i="3"/>
  <c r="D6512" i="3"/>
  <c r="D6513" i="3"/>
  <c r="D6514" i="3"/>
  <c r="D6515" i="3"/>
  <c r="D6516" i="3"/>
  <c r="D6517" i="3"/>
  <c r="D6518" i="3"/>
  <c r="D6519" i="3"/>
  <c r="D6520" i="3"/>
  <c r="D6521" i="3"/>
  <c r="D6522" i="3"/>
  <c r="D6523" i="3"/>
  <c r="D6524" i="3"/>
  <c r="D6525" i="3"/>
  <c r="D6526" i="3"/>
  <c r="D6527" i="3"/>
  <c r="D6528" i="3"/>
  <c r="D6529" i="3"/>
  <c r="D6530" i="3"/>
  <c r="D6531" i="3"/>
  <c r="D6532" i="3"/>
  <c r="D6533" i="3"/>
  <c r="D6534" i="3"/>
  <c r="D6535" i="3"/>
  <c r="D6536" i="3"/>
  <c r="D6537" i="3"/>
  <c r="D6538" i="3"/>
  <c r="D6539" i="3"/>
  <c r="D6540" i="3"/>
  <c r="D6541" i="3"/>
  <c r="D6542" i="3"/>
  <c r="D6543" i="3"/>
  <c r="D6544" i="3"/>
  <c r="D6545" i="3"/>
  <c r="D6546" i="3"/>
  <c r="D6547" i="3"/>
  <c r="D6548" i="3"/>
  <c r="D6549" i="3"/>
  <c r="D6550" i="3"/>
  <c r="D6551" i="3"/>
  <c r="D6552" i="3"/>
  <c r="D6553" i="3"/>
  <c r="D6554" i="3"/>
  <c r="D6555" i="3"/>
  <c r="D6556" i="3"/>
  <c r="D6557" i="3"/>
  <c r="D6558" i="3"/>
  <c r="D6559" i="3"/>
  <c r="D6560" i="3"/>
  <c r="D6561" i="3"/>
  <c r="D6562" i="3"/>
  <c r="D6563" i="3"/>
  <c r="D6564" i="3"/>
  <c r="D6565" i="3"/>
  <c r="D6566" i="3"/>
  <c r="D6567" i="3"/>
  <c r="D6568" i="3"/>
  <c r="D6569" i="3"/>
  <c r="D6570" i="3"/>
  <c r="D6571" i="3"/>
  <c r="D6572" i="3"/>
  <c r="D6573" i="3"/>
  <c r="D6574" i="3"/>
  <c r="D6575" i="3"/>
  <c r="D6576" i="3"/>
  <c r="D6577" i="3"/>
  <c r="D6578" i="3"/>
  <c r="D6579" i="3"/>
  <c r="D6580" i="3"/>
  <c r="D6581" i="3"/>
  <c r="D6582" i="3"/>
  <c r="D6583" i="3"/>
  <c r="D6584" i="3"/>
  <c r="D6585" i="3"/>
  <c r="D6586" i="3"/>
  <c r="D6587" i="3"/>
  <c r="D6588" i="3"/>
  <c r="D6589" i="3"/>
  <c r="D6590" i="3"/>
  <c r="D6591" i="3"/>
  <c r="D6592" i="3"/>
  <c r="D6593" i="3"/>
  <c r="D6594" i="3"/>
  <c r="D6595" i="3"/>
  <c r="D6596" i="3"/>
  <c r="D6597" i="3"/>
  <c r="D6598" i="3"/>
  <c r="D6599" i="3"/>
  <c r="D6600" i="3"/>
  <c r="D6601" i="3"/>
  <c r="D6602" i="3"/>
  <c r="D6603" i="3"/>
  <c r="D6604" i="3"/>
  <c r="D6605" i="3"/>
  <c r="D6606" i="3"/>
  <c r="D6607" i="3"/>
  <c r="D6608" i="3"/>
  <c r="D6609" i="3"/>
  <c r="D6610" i="3"/>
  <c r="D6611" i="3"/>
  <c r="D6612" i="3"/>
  <c r="D6613" i="3"/>
  <c r="D6614" i="3"/>
  <c r="D6615" i="3"/>
  <c r="D6616" i="3"/>
  <c r="D6617" i="3"/>
  <c r="D6618" i="3"/>
  <c r="D6619" i="3"/>
  <c r="D6620" i="3"/>
  <c r="D6621" i="3"/>
  <c r="D6622" i="3"/>
  <c r="D6623" i="3"/>
  <c r="D6624" i="3"/>
  <c r="D6625" i="3"/>
  <c r="D6626" i="3"/>
  <c r="D6627" i="3"/>
  <c r="D6628" i="3"/>
  <c r="D6629" i="3"/>
  <c r="D6630" i="3"/>
  <c r="D6631" i="3"/>
  <c r="D6632" i="3"/>
  <c r="D6633" i="3"/>
  <c r="D6634" i="3"/>
  <c r="D6635" i="3"/>
  <c r="D6636" i="3"/>
  <c r="D6637" i="3"/>
  <c r="D6638" i="3"/>
  <c r="D6639" i="3"/>
  <c r="D6640" i="3"/>
  <c r="D6641" i="3"/>
  <c r="D6642" i="3"/>
  <c r="D6643" i="3"/>
  <c r="D6644" i="3"/>
  <c r="D6645" i="3"/>
  <c r="D6646" i="3"/>
  <c r="D6647" i="3"/>
  <c r="D6648" i="3"/>
  <c r="D6649" i="3"/>
  <c r="D6650" i="3"/>
  <c r="D6651" i="3"/>
  <c r="D6652" i="3"/>
  <c r="D6653" i="3"/>
  <c r="D6654" i="3"/>
  <c r="D6655" i="3"/>
  <c r="D6656" i="3"/>
  <c r="D6657" i="3"/>
  <c r="D6658" i="3"/>
  <c r="D6659" i="3"/>
  <c r="D6660" i="3"/>
  <c r="D6661" i="3"/>
  <c r="D6662" i="3"/>
  <c r="D6663" i="3"/>
  <c r="D6664" i="3"/>
  <c r="D6665" i="3"/>
  <c r="D6666" i="3"/>
  <c r="D6667" i="3"/>
  <c r="D6668" i="3"/>
  <c r="D6669" i="3"/>
  <c r="D6670" i="3"/>
  <c r="D6671" i="3"/>
  <c r="D6672" i="3"/>
  <c r="D6673" i="3"/>
  <c r="D6674" i="3"/>
  <c r="D6675" i="3"/>
  <c r="D6676" i="3"/>
  <c r="D6677" i="3"/>
  <c r="D6678" i="3"/>
  <c r="D6679" i="3"/>
  <c r="D6680" i="3"/>
  <c r="D6681" i="3"/>
  <c r="D6682" i="3"/>
  <c r="D6683" i="3"/>
  <c r="D6684" i="3"/>
  <c r="D6685" i="3"/>
  <c r="D6686" i="3"/>
  <c r="D6687" i="3"/>
  <c r="D6688" i="3"/>
  <c r="D6689" i="3"/>
  <c r="D6690" i="3"/>
  <c r="D6691" i="3"/>
  <c r="D6692" i="3"/>
  <c r="D6693" i="3"/>
  <c r="D6694" i="3"/>
  <c r="D6695" i="3"/>
  <c r="D6696" i="3"/>
  <c r="D6697" i="3"/>
  <c r="D6698" i="3"/>
  <c r="D6699" i="3"/>
  <c r="D6700" i="3"/>
  <c r="D6701" i="3"/>
  <c r="D6702" i="3"/>
  <c r="D6703" i="3"/>
  <c r="D6704" i="3"/>
  <c r="D6705" i="3"/>
  <c r="D6706" i="3"/>
  <c r="D6707" i="3"/>
  <c r="D6708" i="3"/>
  <c r="D6709" i="3"/>
  <c r="D6710" i="3"/>
  <c r="D6711" i="3"/>
  <c r="D6712" i="3"/>
  <c r="D6713" i="3"/>
  <c r="D6714" i="3"/>
  <c r="D6715" i="3"/>
  <c r="D6716" i="3"/>
  <c r="D6717" i="3"/>
  <c r="D6718" i="3"/>
  <c r="D6719" i="3"/>
  <c r="D6720" i="3"/>
  <c r="D6721" i="3"/>
  <c r="D6722" i="3"/>
  <c r="D6723" i="3"/>
  <c r="D6724" i="3"/>
  <c r="D6725" i="3"/>
  <c r="D6726" i="3"/>
  <c r="D6727" i="3"/>
  <c r="D6728" i="3"/>
  <c r="D6729" i="3"/>
  <c r="D6730" i="3"/>
  <c r="D6731" i="3"/>
  <c r="D6732" i="3"/>
  <c r="D6733" i="3"/>
  <c r="D6734" i="3"/>
  <c r="D6735" i="3"/>
  <c r="D6736" i="3"/>
  <c r="D6737" i="3"/>
  <c r="D6738" i="3"/>
  <c r="D6739" i="3"/>
  <c r="D6740" i="3"/>
  <c r="D6741" i="3"/>
  <c r="D6742" i="3"/>
  <c r="D6743" i="3"/>
  <c r="D6744" i="3"/>
  <c r="D6745" i="3"/>
  <c r="D6746" i="3"/>
  <c r="D6747" i="3"/>
  <c r="D6748" i="3"/>
  <c r="D6749" i="3"/>
  <c r="D6750" i="3"/>
  <c r="D6751" i="3"/>
  <c r="D6752" i="3"/>
  <c r="D6753" i="3"/>
  <c r="D6754" i="3"/>
  <c r="D6755" i="3"/>
  <c r="D6756" i="3"/>
  <c r="D6757" i="3"/>
  <c r="D6758" i="3"/>
  <c r="D6759" i="3"/>
  <c r="D6760" i="3"/>
  <c r="D6761" i="3"/>
  <c r="D6762" i="3"/>
  <c r="D6763" i="3"/>
  <c r="D6764" i="3"/>
  <c r="D6765" i="3"/>
  <c r="D6766" i="3"/>
  <c r="D6767" i="3"/>
  <c r="D6768" i="3"/>
  <c r="D6769" i="3"/>
  <c r="D6770" i="3"/>
  <c r="D6771" i="3"/>
  <c r="D6772" i="3"/>
  <c r="D6773" i="3"/>
  <c r="D6774" i="3"/>
  <c r="D6775" i="3"/>
  <c r="D6776" i="3"/>
  <c r="D6777" i="3"/>
  <c r="D6778" i="3"/>
  <c r="D6779" i="3"/>
  <c r="D6780" i="3"/>
  <c r="D6781" i="3"/>
  <c r="D6782" i="3"/>
  <c r="D6783" i="3"/>
  <c r="D6784" i="3"/>
  <c r="D6785" i="3"/>
  <c r="D6786" i="3"/>
  <c r="D6787" i="3"/>
  <c r="D6788" i="3"/>
  <c r="D6789" i="3"/>
  <c r="D6790" i="3"/>
  <c r="D6791" i="3"/>
  <c r="D6792" i="3"/>
  <c r="D6793" i="3"/>
  <c r="D6794" i="3"/>
  <c r="D6795" i="3"/>
  <c r="D6796" i="3"/>
  <c r="D6797" i="3"/>
  <c r="D6798" i="3"/>
  <c r="D6799" i="3"/>
  <c r="D6800" i="3"/>
  <c r="D6801" i="3"/>
  <c r="D6802" i="3"/>
  <c r="D6803" i="3"/>
  <c r="D6804" i="3"/>
  <c r="D6805" i="3"/>
  <c r="D6806" i="3"/>
  <c r="D6807" i="3"/>
  <c r="D6808" i="3"/>
  <c r="D6809" i="3"/>
  <c r="D6810" i="3"/>
  <c r="D6811" i="3"/>
  <c r="D6812" i="3"/>
  <c r="D6813" i="3"/>
  <c r="D6814" i="3"/>
  <c r="D6815" i="3"/>
  <c r="D6816" i="3"/>
  <c r="D6817" i="3"/>
  <c r="D6818" i="3"/>
  <c r="D6819" i="3"/>
  <c r="D6820" i="3"/>
  <c r="D6821" i="3"/>
  <c r="D6822" i="3"/>
  <c r="D6823" i="3"/>
  <c r="D6824" i="3"/>
  <c r="D6825" i="3"/>
  <c r="D6826" i="3"/>
  <c r="D6827" i="3"/>
  <c r="D6828" i="3"/>
  <c r="D6829" i="3"/>
  <c r="D6830" i="3"/>
  <c r="D6831" i="3"/>
  <c r="D6832" i="3"/>
  <c r="D6833" i="3"/>
  <c r="D6834" i="3"/>
  <c r="D6835" i="3"/>
  <c r="D6836" i="3"/>
  <c r="D6837" i="3"/>
  <c r="D6838" i="3"/>
  <c r="D6839" i="3"/>
  <c r="D6840" i="3"/>
  <c r="D6841" i="3"/>
  <c r="D6842" i="3"/>
  <c r="D6843" i="3"/>
  <c r="D6844" i="3"/>
  <c r="D6845" i="3"/>
  <c r="D6846" i="3"/>
  <c r="D6847" i="3"/>
  <c r="D6848" i="3"/>
  <c r="D6849" i="3"/>
  <c r="D6850" i="3"/>
  <c r="D6851" i="3"/>
  <c r="D6852" i="3"/>
  <c r="D6853" i="3"/>
  <c r="D6854" i="3"/>
  <c r="D6855" i="3"/>
  <c r="D6856" i="3"/>
  <c r="D6857" i="3"/>
  <c r="D6858" i="3"/>
  <c r="D6859" i="3"/>
  <c r="D6860" i="3"/>
  <c r="D6861" i="3"/>
  <c r="D6862" i="3"/>
  <c r="D6863" i="3"/>
  <c r="D6864" i="3"/>
  <c r="D6865" i="3"/>
  <c r="D6866" i="3"/>
  <c r="D6867" i="3"/>
  <c r="D6868" i="3"/>
  <c r="D6869" i="3"/>
  <c r="D6870" i="3"/>
  <c r="D6871" i="3"/>
  <c r="D6872" i="3"/>
  <c r="D6873" i="3"/>
  <c r="D6874" i="3"/>
  <c r="D6875" i="3"/>
  <c r="D6876" i="3"/>
  <c r="D6877" i="3"/>
  <c r="D6878" i="3"/>
  <c r="D6879" i="3"/>
  <c r="D6880" i="3"/>
  <c r="D6881" i="3"/>
  <c r="D6882" i="3"/>
  <c r="D6883" i="3"/>
  <c r="D6884" i="3"/>
  <c r="D6885" i="3"/>
  <c r="D6886" i="3"/>
  <c r="D6887" i="3"/>
  <c r="D6888" i="3"/>
  <c r="D6889" i="3"/>
  <c r="D6890" i="3"/>
  <c r="D6891" i="3"/>
  <c r="D6892" i="3"/>
  <c r="D6893" i="3"/>
  <c r="D6894" i="3"/>
  <c r="D6895" i="3"/>
  <c r="D6896" i="3"/>
  <c r="D6897" i="3"/>
  <c r="D6898" i="3"/>
  <c r="D6899" i="3"/>
  <c r="D6900" i="3"/>
  <c r="D6901" i="3"/>
  <c r="D6902" i="3"/>
  <c r="D6903" i="3"/>
  <c r="D6904" i="3"/>
  <c r="D6905" i="3"/>
  <c r="D6906" i="3"/>
  <c r="D6907" i="3"/>
  <c r="D6908" i="3"/>
  <c r="D6909" i="3"/>
  <c r="D6910" i="3"/>
  <c r="D6911" i="3"/>
  <c r="D6912" i="3"/>
  <c r="D6913" i="3"/>
  <c r="D6914" i="3"/>
  <c r="D6915" i="3"/>
  <c r="D6916" i="3"/>
  <c r="D6917" i="3"/>
  <c r="D6918" i="3"/>
  <c r="D6919" i="3"/>
  <c r="D6920" i="3"/>
  <c r="D6921" i="3"/>
  <c r="D6922" i="3"/>
  <c r="D6923" i="3"/>
  <c r="D6924" i="3"/>
  <c r="D6925" i="3"/>
  <c r="D6926" i="3"/>
  <c r="D6927" i="3"/>
  <c r="D6928" i="3"/>
  <c r="D6929" i="3"/>
  <c r="D6930" i="3"/>
  <c r="D6931" i="3"/>
  <c r="D6932" i="3"/>
  <c r="D6933" i="3"/>
  <c r="D6934" i="3"/>
  <c r="D6935" i="3"/>
  <c r="D6936" i="3"/>
  <c r="D6937" i="3"/>
  <c r="D6938" i="3"/>
  <c r="D6939" i="3"/>
  <c r="D6940" i="3"/>
  <c r="D6941" i="3"/>
  <c r="D6942" i="3"/>
  <c r="D6943" i="3"/>
  <c r="D6944" i="3"/>
  <c r="D6945" i="3"/>
  <c r="D6946" i="3"/>
  <c r="D6947" i="3"/>
  <c r="D6948" i="3"/>
  <c r="D6949" i="3"/>
  <c r="D6950" i="3"/>
  <c r="D6951" i="3"/>
  <c r="D6952" i="3"/>
  <c r="D6953" i="3"/>
  <c r="D6954" i="3"/>
  <c r="D6955" i="3"/>
  <c r="D6956" i="3"/>
  <c r="D6957" i="3"/>
  <c r="D6958" i="3"/>
  <c r="D6959" i="3"/>
  <c r="D6960" i="3"/>
  <c r="D6961" i="3"/>
  <c r="D6962" i="3"/>
  <c r="D6963" i="3"/>
  <c r="D6964" i="3"/>
  <c r="D6965" i="3"/>
  <c r="D6966" i="3"/>
  <c r="D6967" i="3"/>
  <c r="D6968" i="3"/>
  <c r="D6969" i="3"/>
  <c r="D6970" i="3"/>
  <c r="D6971" i="3"/>
  <c r="D6972" i="3"/>
  <c r="D6973" i="3"/>
  <c r="D6974" i="3"/>
  <c r="D6975" i="3"/>
  <c r="D6976" i="3"/>
  <c r="D6977" i="3"/>
  <c r="D6978" i="3"/>
  <c r="D6979" i="3"/>
  <c r="D6980" i="3"/>
  <c r="D6981" i="3"/>
  <c r="D6982" i="3"/>
  <c r="D6983" i="3"/>
  <c r="D6984" i="3"/>
  <c r="D6985" i="3"/>
  <c r="D6986" i="3"/>
  <c r="D6987" i="3"/>
  <c r="D6988" i="3"/>
  <c r="D6989" i="3"/>
  <c r="D6990" i="3"/>
  <c r="D6991" i="3"/>
  <c r="D6992" i="3"/>
  <c r="D6993" i="3"/>
  <c r="D6994" i="3"/>
  <c r="D6995" i="3"/>
  <c r="D6996" i="3"/>
  <c r="D6997" i="3"/>
  <c r="D6998" i="3"/>
  <c r="D6999" i="3"/>
  <c r="D7000" i="3"/>
  <c r="D7001" i="3"/>
  <c r="D2" i="3"/>
  <c r="D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I147" i="4" l="1"/>
  <c r="J147" i="4"/>
  <c r="I139" i="4"/>
  <c r="J139" i="4"/>
  <c r="I131" i="4"/>
  <c r="J131" i="4"/>
  <c r="I123" i="4"/>
  <c r="J123" i="4"/>
  <c r="I115" i="4"/>
  <c r="J115" i="4"/>
  <c r="I107" i="4"/>
  <c r="J107" i="4"/>
  <c r="I99" i="4"/>
  <c r="J99" i="4"/>
  <c r="J482" i="4"/>
  <c r="J418" i="4"/>
  <c r="J354" i="4"/>
  <c r="J290" i="4"/>
  <c r="J226" i="4"/>
  <c r="J162" i="4"/>
  <c r="J98" i="4"/>
  <c r="J34" i="4"/>
  <c r="J474" i="4"/>
  <c r="J410" i="4"/>
  <c r="J346" i="4"/>
  <c r="J282" i="4"/>
  <c r="J218" i="4"/>
  <c r="J26" i="4"/>
  <c r="I457" i="4"/>
  <c r="J457" i="4"/>
  <c r="I417" i="4"/>
  <c r="J417" i="4"/>
  <c r="I377" i="4"/>
  <c r="J377" i="4"/>
  <c r="I337" i="4"/>
  <c r="J337" i="4"/>
  <c r="I313" i="4"/>
  <c r="J313" i="4"/>
  <c r="I281" i="4"/>
  <c r="J281" i="4"/>
  <c r="I273" i="4"/>
  <c r="J273" i="4"/>
  <c r="I265" i="4"/>
  <c r="J265" i="4"/>
  <c r="I257" i="4"/>
  <c r="J257" i="4"/>
  <c r="I249" i="4"/>
  <c r="J249" i="4"/>
  <c r="I241" i="4"/>
  <c r="J241" i="4"/>
  <c r="I233" i="4"/>
  <c r="J233" i="4"/>
  <c r="I225" i="4"/>
  <c r="J225" i="4"/>
  <c r="I217" i="4"/>
  <c r="J217" i="4"/>
  <c r="I209" i="4"/>
  <c r="J209" i="4"/>
  <c r="I201" i="4"/>
  <c r="J201" i="4"/>
  <c r="J466" i="4"/>
  <c r="J402" i="4"/>
  <c r="J338" i="4"/>
  <c r="J274" i="4"/>
  <c r="J210" i="4"/>
  <c r="J146" i="4"/>
  <c r="J82" i="4"/>
  <c r="J18" i="4"/>
  <c r="I497" i="4"/>
  <c r="J497" i="4"/>
  <c r="I449" i="4"/>
  <c r="J449" i="4"/>
  <c r="I393" i="4"/>
  <c r="J393" i="4"/>
  <c r="I345" i="4"/>
  <c r="J345" i="4"/>
  <c r="I297" i="4"/>
  <c r="J297" i="4"/>
  <c r="I496" i="4"/>
  <c r="J496" i="4"/>
  <c r="I488" i="4"/>
  <c r="J488" i="4"/>
  <c r="I480" i="4"/>
  <c r="J480" i="4"/>
  <c r="I472" i="4"/>
  <c r="J472" i="4"/>
  <c r="I464" i="4"/>
  <c r="J464" i="4"/>
  <c r="I456" i="4"/>
  <c r="J456" i="4"/>
  <c r="I448" i="4"/>
  <c r="J448" i="4"/>
  <c r="I440" i="4"/>
  <c r="J440" i="4"/>
  <c r="I432" i="4"/>
  <c r="J432" i="4"/>
  <c r="I424" i="4"/>
  <c r="J424" i="4"/>
  <c r="I416" i="4"/>
  <c r="J416" i="4"/>
  <c r="I408" i="4"/>
  <c r="J408" i="4"/>
  <c r="I400" i="4"/>
  <c r="J400" i="4"/>
  <c r="I392" i="4"/>
  <c r="J392" i="4"/>
  <c r="I384" i="4"/>
  <c r="J384" i="4"/>
  <c r="I376" i="4"/>
  <c r="J376" i="4"/>
  <c r="I368" i="4"/>
  <c r="J368" i="4"/>
  <c r="I360" i="4"/>
  <c r="J360" i="4"/>
  <c r="I352" i="4"/>
  <c r="J352" i="4"/>
  <c r="I344" i="4"/>
  <c r="J344" i="4"/>
  <c r="I336" i="4"/>
  <c r="J336" i="4"/>
  <c r="I328" i="4"/>
  <c r="J328" i="4"/>
  <c r="I320" i="4"/>
  <c r="J320" i="4"/>
  <c r="I312" i="4"/>
  <c r="J312" i="4"/>
  <c r="I304" i="4"/>
  <c r="J304" i="4"/>
  <c r="I296" i="4"/>
  <c r="J296" i="4"/>
  <c r="I288" i="4"/>
  <c r="J288" i="4"/>
  <c r="I280" i="4"/>
  <c r="J280" i="4"/>
  <c r="I272" i="4"/>
  <c r="J272" i="4"/>
  <c r="I264" i="4"/>
  <c r="J264" i="4"/>
  <c r="I256" i="4"/>
  <c r="J256" i="4"/>
  <c r="I248" i="4"/>
  <c r="J248" i="4"/>
  <c r="I240" i="4"/>
  <c r="J240" i="4"/>
  <c r="I232" i="4"/>
  <c r="J232" i="4"/>
  <c r="I224" i="4"/>
  <c r="J224" i="4"/>
  <c r="I216" i="4"/>
  <c r="J216" i="4"/>
  <c r="I208" i="4"/>
  <c r="J208" i="4"/>
  <c r="I200" i="4"/>
  <c r="J200" i="4"/>
  <c r="J458" i="4"/>
  <c r="J394" i="4"/>
  <c r="J330" i="4"/>
  <c r="J266" i="4"/>
  <c r="J202" i="4"/>
  <c r="J138" i="4"/>
  <c r="J74" i="4"/>
  <c r="J10" i="4"/>
  <c r="I489" i="4"/>
  <c r="J489" i="4"/>
  <c r="I441" i="4"/>
  <c r="J441" i="4"/>
  <c r="I401" i="4"/>
  <c r="J401" i="4"/>
  <c r="I353" i="4"/>
  <c r="J353" i="4"/>
  <c r="I289" i="4"/>
  <c r="J289" i="4"/>
  <c r="I487" i="4"/>
  <c r="J487" i="4"/>
  <c r="I471" i="4"/>
  <c r="J471" i="4"/>
  <c r="I455" i="4"/>
  <c r="J455" i="4"/>
  <c r="I447" i="4"/>
  <c r="J447" i="4"/>
  <c r="I439" i="4"/>
  <c r="J439" i="4"/>
  <c r="I431" i="4"/>
  <c r="J431" i="4"/>
  <c r="I423" i="4"/>
  <c r="J423" i="4"/>
  <c r="I415" i="4"/>
  <c r="J415" i="4"/>
  <c r="I407" i="4"/>
  <c r="J407" i="4"/>
  <c r="I399" i="4"/>
  <c r="J399" i="4"/>
  <c r="I391" i="4"/>
  <c r="J391" i="4"/>
  <c r="I383" i="4"/>
  <c r="J383" i="4"/>
  <c r="I375" i="4"/>
  <c r="J375" i="4"/>
  <c r="I367" i="4"/>
  <c r="J367" i="4"/>
  <c r="I359" i="4"/>
  <c r="J359" i="4"/>
  <c r="I351" i="4"/>
  <c r="J351" i="4"/>
  <c r="I343" i="4"/>
  <c r="J343" i="4"/>
  <c r="I335" i="4"/>
  <c r="J335" i="4"/>
  <c r="I327" i="4"/>
  <c r="J327" i="4"/>
  <c r="I319" i="4"/>
  <c r="J319" i="4"/>
  <c r="I311" i="4"/>
  <c r="J311" i="4"/>
  <c r="I303" i="4"/>
  <c r="J303" i="4"/>
  <c r="I295" i="4"/>
  <c r="J295" i="4"/>
  <c r="I287" i="4"/>
  <c r="J287" i="4"/>
  <c r="I279" i="4"/>
  <c r="J279" i="4"/>
  <c r="I271" i="4"/>
  <c r="J271" i="4"/>
  <c r="I263" i="4"/>
  <c r="J263" i="4"/>
  <c r="I255" i="4"/>
  <c r="J255" i="4"/>
  <c r="I247" i="4"/>
  <c r="J247" i="4"/>
  <c r="I239" i="4"/>
  <c r="J239" i="4"/>
  <c r="I231" i="4"/>
  <c r="J231" i="4"/>
  <c r="I223" i="4"/>
  <c r="J223" i="4"/>
  <c r="I215" i="4"/>
  <c r="J215" i="4"/>
  <c r="I207" i="4"/>
  <c r="J207" i="4"/>
  <c r="I199" i="4"/>
  <c r="J199" i="4"/>
  <c r="J450" i="4"/>
  <c r="J386" i="4"/>
  <c r="J322" i="4"/>
  <c r="J258" i="4"/>
  <c r="J194" i="4"/>
  <c r="J130" i="4"/>
  <c r="J66" i="4"/>
  <c r="J2" i="4"/>
  <c r="I481" i="4"/>
  <c r="J481" i="4"/>
  <c r="I433" i="4"/>
  <c r="J433" i="4"/>
  <c r="I385" i="4"/>
  <c r="J385" i="4"/>
  <c r="I329" i="4"/>
  <c r="J329" i="4"/>
  <c r="I495" i="4"/>
  <c r="J495" i="4"/>
  <c r="H494" i="4"/>
  <c r="H470" i="4"/>
  <c r="H454" i="4"/>
  <c r="H430" i="4"/>
  <c r="H422" i="4"/>
  <c r="H414" i="4"/>
  <c r="H406" i="4"/>
  <c r="H398" i="4"/>
  <c r="H390" i="4"/>
  <c r="H382" i="4"/>
  <c r="H374" i="4"/>
  <c r="H366" i="4"/>
  <c r="H358" i="4"/>
  <c r="H350" i="4"/>
  <c r="H342" i="4"/>
  <c r="H334" i="4"/>
  <c r="H326" i="4"/>
  <c r="H318" i="4"/>
  <c r="H310" i="4"/>
  <c r="H302" i="4"/>
  <c r="H294" i="4"/>
  <c r="H286" i="4"/>
  <c r="H278" i="4"/>
  <c r="H270" i="4"/>
  <c r="H262" i="4"/>
  <c r="H254" i="4"/>
  <c r="H246" i="4"/>
  <c r="H238" i="4"/>
  <c r="H230" i="4"/>
  <c r="H222" i="4"/>
  <c r="H214" i="4"/>
  <c r="H206" i="4"/>
  <c r="H198" i="4"/>
  <c r="H190" i="4"/>
  <c r="H182" i="4"/>
  <c r="M6" i="4"/>
  <c r="N6" i="5" s="1"/>
  <c r="J442" i="4"/>
  <c r="J378" i="4"/>
  <c r="J314" i="4"/>
  <c r="J250" i="4"/>
  <c r="J186" i="4"/>
  <c r="J122" i="4"/>
  <c r="J58" i="4"/>
  <c r="J90" i="4"/>
  <c r="I465" i="4"/>
  <c r="J465" i="4"/>
  <c r="I409" i="4"/>
  <c r="J409" i="4"/>
  <c r="I361" i="4"/>
  <c r="J361" i="4"/>
  <c r="I305" i="4"/>
  <c r="J305" i="4"/>
  <c r="I463" i="4"/>
  <c r="J463" i="4"/>
  <c r="H478" i="4"/>
  <c r="H446" i="4"/>
  <c r="I493" i="4"/>
  <c r="J493" i="4"/>
  <c r="I477" i="4"/>
  <c r="J477" i="4"/>
  <c r="I461" i="4"/>
  <c r="J461" i="4"/>
  <c r="I445" i="4"/>
  <c r="J445" i="4"/>
  <c r="I429" i="4"/>
  <c r="J429" i="4"/>
  <c r="I413" i="4"/>
  <c r="J413" i="4"/>
  <c r="I397" i="4"/>
  <c r="J397" i="4"/>
  <c r="I381" i="4"/>
  <c r="J381" i="4"/>
  <c r="I373" i="4"/>
  <c r="J373" i="4"/>
  <c r="I365" i="4"/>
  <c r="J365" i="4"/>
  <c r="I357" i="4"/>
  <c r="J357" i="4"/>
  <c r="I349" i="4"/>
  <c r="J349" i="4"/>
  <c r="I341" i="4"/>
  <c r="J341" i="4"/>
  <c r="I333" i="4"/>
  <c r="J333" i="4"/>
  <c r="I325" i="4"/>
  <c r="J325" i="4"/>
  <c r="I317" i="4"/>
  <c r="J317" i="4"/>
  <c r="I309" i="4"/>
  <c r="J309" i="4"/>
  <c r="I301" i="4"/>
  <c r="J301" i="4"/>
  <c r="I293" i="4"/>
  <c r="J293" i="4"/>
  <c r="I285" i="4"/>
  <c r="J285" i="4"/>
  <c r="I277" i="4"/>
  <c r="J277" i="4"/>
  <c r="I269" i="4"/>
  <c r="J269" i="4"/>
  <c r="I261" i="4"/>
  <c r="J261" i="4"/>
  <c r="I253" i="4"/>
  <c r="J253" i="4"/>
  <c r="I245" i="4"/>
  <c r="J245" i="4"/>
  <c r="I237" i="4"/>
  <c r="J237" i="4"/>
  <c r="I229" i="4"/>
  <c r="J229" i="4"/>
  <c r="I221" i="4"/>
  <c r="J221" i="4"/>
  <c r="I213" i="4"/>
  <c r="J213" i="4"/>
  <c r="I205" i="4"/>
  <c r="J205" i="4"/>
  <c r="J498" i="4"/>
  <c r="J434" i="4"/>
  <c r="J370" i="4"/>
  <c r="J306" i="4"/>
  <c r="J242" i="4"/>
  <c r="J178" i="4"/>
  <c r="J114" i="4"/>
  <c r="J50" i="4"/>
  <c r="J154" i="4"/>
  <c r="I473" i="4"/>
  <c r="J473" i="4"/>
  <c r="I425" i="4"/>
  <c r="J425" i="4"/>
  <c r="I369" i="4"/>
  <c r="J369" i="4"/>
  <c r="I321" i="4"/>
  <c r="J321" i="4"/>
  <c r="I479" i="4"/>
  <c r="J479" i="4"/>
  <c r="H486" i="4"/>
  <c r="H462" i="4"/>
  <c r="H438" i="4"/>
  <c r="I501" i="4"/>
  <c r="J501" i="4"/>
  <c r="I485" i="4"/>
  <c r="J485" i="4"/>
  <c r="I469" i="4"/>
  <c r="J469" i="4"/>
  <c r="I453" i="4"/>
  <c r="J453" i="4"/>
  <c r="I437" i="4"/>
  <c r="J437" i="4"/>
  <c r="I421" i="4"/>
  <c r="J421" i="4"/>
  <c r="I405" i="4"/>
  <c r="J405" i="4"/>
  <c r="I389" i="4"/>
  <c r="J389" i="4"/>
  <c r="I500" i="4"/>
  <c r="J500" i="4"/>
  <c r="I492" i="4"/>
  <c r="J492" i="4"/>
  <c r="I484" i="4"/>
  <c r="J484" i="4"/>
  <c r="I476" i="4"/>
  <c r="J476" i="4"/>
  <c r="I468" i="4"/>
  <c r="J468" i="4"/>
  <c r="I460" i="4"/>
  <c r="J460" i="4"/>
  <c r="I452" i="4"/>
  <c r="J452" i="4"/>
  <c r="I444" i="4"/>
  <c r="J444" i="4"/>
  <c r="I436" i="4"/>
  <c r="J436" i="4"/>
  <c r="I428" i="4"/>
  <c r="J428" i="4"/>
  <c r="I420" i="4"/>
  <c r="J420" i="4"/>
  <c r="I412" i="4"/>
  <c r="J412" i="4"/>
  <c r="I404" i="4"/>
  <c r="J404" i="4"/>
  <c r="I396" i="4"/>
  <c r="J396" i="4"/>
  <c r="I388" i="4"/>
  <c r="J388" i="4"/>
  <c r="I380" i="4"/>
  <c r="J380" i="4"/>
  <c r="I372" i="4"/>
  <c r="J372" i="4"/>
  <c r="I364" i="4"/>
  <c r="J364" i="4"/>
  <c r="I356" i="4"/>
  <c r="J356" i="4"/>
  <c r="I348" i="4"/>
  <c r="J348" i="4"/>
  <c r="I340" i="4"/>
  <c r="J340" i="4"/>
  <c r="I332" i="4"/>
  <c r="J332" i="4"/>
  <c r="J490" i="4"/>
  <c r="J426" i="4"/>
  <c r="J362" i="4"/>
  <c r="J298" i="4"/>
  <c r="J234" i="4"/>
  <c r="J170" i="4"/>
  <c r="J106" i="4"/>
  <c r="J42" i="4"/>
  <c r="J193" i="4"/>
  <c r="J185" i="4"/>
  <c r="J177" i="4"/>
  <c r="J169" i="4"/>
  <c r="J161" i="4"/>
  <c r="J153" i="4"/>
  <c r="J145" i="4"/>
  <c r="J137" i="4"/>
  <c r="J129" i="4"/>
  <c r="J121" i="4"/>
  <c r="J113" i="4"/>
  <c r="J105" i="4"/>
  <c r="J97" i="4"/>
  <c r="J89" i="4"/>
  <c r="J81" i="4"/>
  <c r="J73" i="4"/>
  <c r="J65" i="4"/>
  <c r="J57" i="4"/>
  <c r="J49" i="4"/>
  <c r="J41" i="4"/>
  <c r="J33" i="4"/>
  <c r="J25" i="4"/>
  <c r="J17" i="4"/>
  <c r="J9" i="4"/>
  <c r="J192" i="4"/>
  <c r="J184" i="4"/>
  <c r="J176" i="4"/>
  <c r="J168" i="4"/>
  <c r="J160" i="4"/>
  <c r="J152" i="4"/>
  <c r="J144" i="4"/>
  <c r="J136" i="4"/>
  <c r="J128" i="4"/>
  <c r="J120" i="4"/>
  <c r="J112" i="4"/>
  <c r="J104" i="4"/>
  <c r="J96" i="4"/>
  <c r="J88" i="4"/>
  <c r="J80" i="4"/>
  <c r="J72" i="4"/>
  <c r="J64" i="4"/>
  <c r="J56" i="4"/>
  <c r="J48" i="4"/>
  <c r="J40" i="4"/>
  <c r="J32" i="4"/>
  <c r="J24" i="4"/>
  <c r="J16" i="4"/>
  <c r="J8" i="4"/>
  <c r="J191" i="4"/>
  <c r="J183" i="4"/>
  <c r="J175" i="4"/>
  <c r="J167" i="4"/>
  <c r="J159" i="4"/>
  <c r="J151" i="4"/>
  <c r="J143" i="4"/>
  <c r="J135" i="4"/>
  <c r="J127" i="4"/>
  <c r="J119" i="4"/>
  <c r="J111" i="4"/>
  <c r="J103" i="4"/>
  <c r="J95" i="4"/>
  <c r="J87" i="4"/>
  <c r="J79" i="4"/>
  <c r="J71" i="4"/>
  <c r="J63" i="4"/>
  <c r="J55" i="4"/>
  <c r="J47" i="4"/>
  <c r="J39" i="4"/>
  <c r="J31" i="4"/>
  <c r="J23" i="4"/>
  <c r="J15" i="4"/>
  <c r="J7" i="4"/>
  <c r="H174" i="4"/>
  <c r="H166" i="4"/>
  <c r="H158" i="4"/>
  <c r="H150" i="4"/>
  <c r="H142" i="4"/>
  <c r="H134" i="4"/>
  <c r="H126" i="4"/>
  <c r="H118" i="4"/>
  <c r="H110" i="4"/>
  <c r="H102" i="4"/>
  <c r="H94" i="4"/>
  <c r="H86" i="4"/>
  <c r="H78" i="4"/>
  <c r="H70" i="4"/>
  <c r="H62" i="4"/>
  <c r="H54" i="4"/>
  <c r="H46" i="4"/>
  <c r="H38" i="4"/>
  <c r="H30" i="4"/>
  <c r="H22" i="4"/>
  <c r="H14" i="4"/>
  <c r="H6" i="4"/>
  <c r="J197" i="4"/>
  <c r="J189" i="4"/>
  <c r="J181" i="4"/>
  <c r="J173" i="4"/>
  <c r="J165" i="4"/>
  <c r="J157" i="4"/>
  <c r="J149" i="4"/>
  <c r="J141" i="4"/>
  <c r="J133" i="4"/>
  <c r="J125" i="4"/>
  <c r="J117" i="4"/>
  <c r="J109" i="4"/>
  <c r="J101" i="4"/>
  <c r="J93" i="4"/>
  <c r="J85" i="4"/>
  <c r="J77" i="4"/>
  <c r="J69" i="4"/>
  <c r="J61" i="4"/>
  <c r="J53" i="4"/>
  <c r="J45" i="4"/>
  <c r="J37" i="4"/>
  <c r="J29" i="4"/>
  <c r="J21" i="4"/>
  <c r="J13" i="4"/>
  <c r="J5" i="4"/>
  <c r="J324" i="4"/>
  <c r="J316" i="4"/>
  <c r="J308" i="4"/>
  <c r="J300" i="4"/>
  <c r="J292" i="4"/>
  <c r="J284" i="4"/>
  <c r="J276" i="4"/>
  <c r="J268" i="4"/>
  <c r="J260" i="4"/>
  <c r="J252" i="4"/>
  <c r="J244" i="4"/>
  <c r="J236" i="4"/>
  <c r="J228" i="4"/>
  <c r="J220" i="4"/>
  <c r="J212" i="4"/>
  <c r="J204" i="4"/>
  <c r="J196" i="4"/>
  <c r="J188" i="4"/>
  <c r="J180" i="4"/>
  <c r="J172" i="4"/>
  <c r="J164" i="4"/>
  <c r="J156" i="4"/>
  <c r="J148" i="4"/>
  <c r="J140" i="4"/>
  <c r="J132" i="4"/>
  <c r="J124" i="4"/>
  <c r="J116" i="4"/>
  <c r="J108" i="4"/>
  <c r="J100" i="4"/>
  <c r="J92" i="4"/>
  <c r="J84" i="4"/>
  <c r="J76" i="4"/>
  <c r="J68" i="4"/>
  <c r="J60" i="4"/>
  <c r="J52" i="4"/>
  <c r="J44" i="4"/>
  <c r="J36" i="4"/>
  <c r="J28" i="4"/>
  <c r="J20" i="4"/>
  <c r="J12" i="4"/>
  <c r="J4" i="4"/>
  <c r="J91" i="4"/>
  <c r="J83" i="4"/>
  <c r="J75" i="4"/>
  <c r="J67" i="4"/>
  <c r="J59" i="4"/>
  <c r="J51" i="4"/>
  <c r="J43" i="4"/>
  <c r="J35" i="4"/>
  <c r="J27" i="4"/>
  <c r="J19" i="4"/>
  <c r="J11" i="4"/>
  <c r="J3" i="4"/>
  <c r="H499" i="4"/>
  <c r="H491" i="4"/>
  <c r="H483" i="4"/>
  <c r="H475" i="4"/>
  <c r="H467" i="4"/>
  <c r="H459" i="4"/>
  <c r="H451" i="4"/>
  <c r="H443" i="4"/>
  <c r="H435" i="4"/>
  <c r="H427" i="4"/>
  <c r="H419" i="4"/>
  <c r="H411" i="4"/>
  <c r="H403" i="4"/>
  <c r="H395" i="4"/>
  <c r="H387" i="4"/>
  <c r="H379" i="4"/>
  <c r="H371" i="4"/>
  <c r="H363" i="4"/>
  <c r="H355" i="4"/>
  <c r="H347" i="4"/>
  <c r="H339" i="4"/>
  <c r="H331" i="4"/>
  <c r="H323" i="4"/>
  <c r="H315" i="4"/>
  <c r="H307" i="4"/>
  <c r="H299" i="4"/>
  <c r="H291" i="4"/>
  <c r="H283" i="4"/>
  <c r="H275" i="4"/>
  <c r="H267" i="4"/>
  <c r="H259" i="4"/>
  <c r="H251" i="4"/>
  <c r="H243" i="4"/>
  <c r="H235" i="4"/>
  <c r="H227" i="4"/>
  <c r="H219" i="4"/>
  <c r="H211" i="4"/>
  <c r="H203" i="4"/>
  <c r="H195" i="4"/>
  <c r="H187" i="4"/>
  <c r="H179" i="4"/>
  <c r="H171" i="4"/>
  <c r="H163" i="4"/>
  <c r="H155" i="4"/>
  <c r="I379" i="4" l="1"/>
  <c r="J379" i="4"/>
  <c r="I86" i="4"/>
  <c r="J86" i="4"/>
  <c r="I318" i="4"/>
  <c r="J318" i="4"/>
  <c r="I387" i="4"/>
  <c r="J387" i="4"/>
  <c r="I158" i="4"/>
  <c r="J158" i="4"/>
  <c r="I275" i="4"/>
  <c r="J275" i="4"/>
  <c r="I110" i="4"/>
  <c r="J110" i="4"/>
  <c r="I235" i="4"/>
  <c r="J235" i="4"/>
  <c r="I363" i="4"/>
  <c r="J363" i="4"/>
  <c r="I491" i="4"/>
  <c r="J491" i="4"/>
  <c r="I70" i="4"/>
  <c r="J70" i="4"/>
  <c r="I134" i="4"/>
  <c r="J134" i="4"/>
  <c r="I179" i="4"/>
  <c r="J179" i="4"/>
  <c r="I243" i="4"/>
  <c r="J243" i="4"/>
  <c r="I307" i="4"/>
  <c r="J307" i="4"/>
  <c r="I371" i="4"/>
  <c r="J371" i="4"/>
  <c r="I435" i="4"/>
  <c r="J435" i="4"/>
  <c r="I499" i="4"/>
  <c r="J499" i="4"/>
  <c r="I14" i="4"/>
  <c r="J14" i="4"/>
  <c r="I78" i="4"/>
  <c r="J78" i="4"/>
  <c r="I142" i="4"/>
  <c r="J142" i="4"/>
  <c r="I182" i="4"/>
  <c r="J182" i="4"/>
  <c r="I246" i="4"/>
  <c r="J246" i="4"/>
  <c r="I310" i="4"/>
  <c r="J310" i="4"/>
  <c r="I374" i="4"/>
  <c r="J374" i="4"/>
  <c r="I454" i="4"/>
  <c r="J454" i="4"/>
  <c r="I315" i="4"/>
  <c r="J315" i="4"/>
  <c r="I22" i="4"/>
  <c r="J22" i="4"/>
  <c r="I438" i="4"/>
  <c r="J438" i="4"/>
  <c r="I382" i="4"/>
  <c r="J382" i="4"/>
  <c r="I195" i="4"/>
  <c r="J195" i="4"/>
  <c r="I451" i="4"/>
  <c r="J451" i="4"/>
  <c r="I462" i="4"/>
  <c r="J462" i="4"/>
  <c r="I198" i="4"/>
  <c r="J198" i="4"/>
  <c r="I262" i="4"/>
  <c r="J262" i="4"/>
  <c r="I326" i="4"/>
  <c r="J326" i="4"/>
  <c r="I390" i="4"/>
  <c r="J390" i="4"/>
  <c r="I494" i="4"/>
  <c r="J494" i="4"/>
  <c r="I203" i="4"/>
  <c r="J203" i="4"/>
  <c r="I267" i="4"/>
  <c r="J267" i="4"/>
  <c r="I331" i="4"/>
  <c r="J331" i="4"/>
  <c r="I395" i="4"/>
  <c r="J395" i="4"/>
  <c r="I459" i="4"/>
  <c r="J459" i="4"/>
  <c r="I38" i="4"/>
  <c r="J38" i="4"/>
  <c r="I102" i="4"/>
  <c r="J102" i="4"/>
  <c r="I166" i="4"/>
  <c r="J166" i="4"/>
  <c r="I486" i="4"/>
  <c r="J486" i="4"/>
  <c r="I446" i="4"/>
  <c r="J446" i="4"/>
  <c r="I206" i="4"/>
  <c r="J206" i="4"/>
  <c r="I270" i="4"/>
  <c r="J270" i="4"/>
  <c r="I334" i="4"/>
  <c r="J334" i="4"/>
  <c r="I398" i="4"/>
  <c r="J398" i="4"/>
  <c r="I150" i="4"/>
  <c r="J150" i="4"/>
  <c r="I259" i="4"/>
  <c r="J259" i="4"/>
  <c r="I30" i="4"/>
  <c r="J30" i="4"/>
  <c r="I339" i="4"/>
  <c r="J339" i="4"/>
  <c r="I467" i="4"/>
  <c r="J467" i="4"/>
  <c r="I478" i="4"/>
  <c r="J478" i="4"/>
  <c r="I214" i="4"/>
  <c r="J214" i="4"/>
  <c r="I406" i="4"/>
  <c r="J406" i="4"/>
  <c r="I155" i="4"/>
  <c r="J155" i="4"/>
  <c r="I283" i="4"/>
  <c r="J283" i="4"/>
  <c r="I411" i="4"/>
  <c r="J411" i="4"/>
  <c r="I475" i="4"/>
  <c r="J475" i="4"/>
  <c r="I118" i="4"/>
  <c r="J118" i="4"/>
  <c r="I222" i="4"/>
  <c r="J222" i="4"/>
  <c r="I286" i="4"/>
  <c r="J286" i="4"/>
  <c r="I350" i="4"/>
  <c r="J350" i="4"/>
  <c r="I414" i="4"/>
  <c r="J414" i="4"/>
  <c r="M5" i="4"/>
  <c r="J6" i="5" s="1"/>
  <c r="I187" i="4"/>
  <c r="J187" i="4"/>
  <c r="I190" i="4"/>
  <c r="J190" i="4"/>
  <c r="I94" i="4"/>
  <c r="J94" i="4"/>
  <c r="I211" i="4"/>
  <c r="J211" i="4"/>
  <c r="I278" i="4"/>
  <c r="J278" i="4"/>
  <c r="I219" i="4"/>
  <c r="J219" i="4"/>
  <c r="I347" i="4"/>
  <c r="J347" i="4"/>
  <c r="I54" i="4"/>
  <c r="J54" i="4"/>
  <c r="I163" i="4"/>
  <c r="J163" i="4"/>
  <c r="I227" i="4"/>
  <c r="J227" i="4"/>
  <c r="I291" i="4"/>
  <c r="J291" i="4"/>
  <c r="I355" i="4"/>
  <c r="J355" i="4"/>
  <c r="I419" i="4"/>
  <c r="J419" i="4"/>
  <c r="I483" i="4"/>
  <c r="J483" i="4"/>
  <c r="I62" i="4"/>
  <c r="J62" i="4"/>
  <c r="I126" i="4"/>
  <c r="J126" i="4"/>
  <c r="I230" i="4"/>
  <c r="J230" i="4"/>
  <c r="I294" i="4"/>
  <c r="J294" i="4"/>
  <c r="I358" i="4"/>
  <c r="J358" i="4"/>
  <c r="I422" i="4"/>
  <c r="J422" i="4"/>
  <c r="I251" i="4"/>
  <c r="J251" i="4"/>
  <c r="I443" i="4"/>
  <c r="J443" i="4"/>
  <c r="I254" i="4"/>
  <c r="J254" i="4"/>
  <c r="I470" i="4"/>
  <c r="J470" i="4"/>
  <c r="I323" i="4"/>
  <c r="J323" i="4"/>
  <c r="I403" i="4"/>
  <c r="J403" i="4"/>
  <c r="I46" i="4"/>
  <c r="J46" i="4"/>
  <c r="I174" i="4"/>
  <c r="J174" i="4"/>
  <c r="I342" i="4"/>
  <c r="J342" i="4"/>
  <c r="I171" i="4"/>
  <c r="J171" i="4"/>
  <c r="I299" i="4"/>
  <c r="J299" i="4"/>
  <c r="I427" i="4"/>
  <c r="J427" i="4"/>
  <c r="I6" i="4"/>
  <c r="J6" i="4"/>
  <c r="I238" i="4"/>
  <c r="J238" i="4"/>
  <c r="I302" i="4"/>
  <c r="J302" i="4"/>
  <c r="I366" i="4"/>
  <c r="J366" i="4"/>
  <c r="I430" i="4"/>
  <c r="J430" i="4"/>
  <c r="M4" i="4" l="1"/>
  <c r="F6" i="5" s="1"/>
</calcChain>
</file>

<file path=xl/sharedStrings.xml><?xml version="1.0" encoding="utf-8"?>
<sst xmlns="http://schemas.openxmlformats.org/spreadsheetml/2006/main" count="27169" uniqueCount="13036">
  <si>
    <t>Product ID</t>
  </si>
  <si>
    <t>Product Name</t>
  </si>
  <si>
    <t>Category</t>
  </si>
  <si>
    <t>Unit Cost</t>
  </si>
  <si>
    <t>Opening Stock</t>
  </si>
  <si>
    <t>P0001</t>
  </si>
  <si>
    <t>Product_1</t>
  </si>
  <si>
    <t>Electronics</t>
  </si>
  <si>
    <t>P0002</t>
  </si>
  <si>
    <t>Product_2</t>
  </si>
  <si>
    <t>Office Supplies</t>
  </si>
  <si>
    <t>P0003</t>
  </si>
  <si>
    <t>Product_3</t>
  </si>
  <si>
    <t>Accessories</t>
  </si>
  <si>
    <t>P0004</t>
  </si>
  <si>
    <t>Product_4</t>
  </si>
  <si>
    <t>Storage</t>
  </si>
  <si>
    <t>P0005</t>
  </si>
  <si>
    <t>Product_5</t>
  </si>
  <si>
    <t>Networking</t>
  </si>
  <si>
    <t>P0006</t>
  </si>
  <si>
    <t>Product_6</t>
  </si>
  <si>
    <t>P0007</t>
  </si>
  <si>
    <t>Product_7</t>
  </si>
  <si>
    <t>P0008</t>
  </si>
  <si>
    <t>Product_8</t>
  </si>
  <si>
    <t>P0009</t>
  </si>
  <si>
    <t>Product_9</t>
  </si>
  <si>
    <t>P0010</t>
  </si>
  <si>
    <t>Product_10</t>
  </si>
  <si>
    <t>P0011</t>
  </si>
  <si>
    <t>Product_11</t>
  </si>
  <si>
    <t>P0012</t>
  </si>
  <si>
    <t>Product_12</t>
  </si>
  <si>
    <t>P0013</t>
  </si>
  <si>
    <t>Product_13</t>
  </si>
  <si>
    <t>P0014</t>
  </si>
  <si>
    <t>Product_14</t>
  </si>
  <si>
    <t>P0015</t>
  </si>
  <si>
    <t>Product_15</t>
  </si>
  <si>
    <t>P0016</t>
  </si>
  <si>
    <t>Product_16</t>
  </si>
  <si>
    <t>P0017</t>
  </si>
  <si>
    <t>Product_17</t>
  </si>
  <si>
    <t>P0018</t>
  </si>
  <si>
    <t>Product_18</t>
  </si>
  <si>
    <t>P0019</t>
  </si>
  <si>
    <t>Product_19</t>
  </si>
  <si>
    <t>P0020</t>
  </si>
  <si>
    <t>Product_20</t>
  </si>
  <si>
    <t>P0021</t>
  </si>
  <si>
    <t>Product_21</t>
  </si>
  <si>
    <t>P0022</t>
  </si>
  <si>
    <t>Product_22</t>
  </si>
  <si>
    <t>P0023</t>
  </si>
  <si>
    <t>Product_23</t>
  </si>
  <si>
    <t>P0024</t>
  </si>
  <si>
    <t>Product_24</t>
  </si>
  <si>
    <t>P0025</t>
  </si>
  <si>
    <t>Product_25</t>
  </si>
  <si>
    <t>P0026</t>
  </si>
  <si>
    <t>Product_26</t>
  </si>
  <si>
    <t>P0027</t>
  </si>
  <si>
    <t>Product_27</t>
  </si>
  <si>
    <t>P0028</t>
  </si>
  <si>
    <t>Product_28</t>
  </si>
  <si>
    <t>P0029</t>
  </si>
  <si>
    <t>Product_29</t>
  </si>
  <si>
    <t>P0030</t>
  </si>
  <si>
    <t>Product_30</t>
  </si>
  <si>
    <t>P0031</t>
  </si>
  <si>
    <t>Product_31</t>
  </si>
  <si>
    <t>P0032</t>
  </si>
  <si>
    <t>Product_32</t>
  </si>
  <si>
    <t>P0033</t>
  </si>
  <si>
    <t>Product_33</t>
  </si>
  <si>
    <t>P0034</t>
  </si>
  <si>
    <t>Product_34</t>
  </si>
  <si>
    <t>P0035</t>
  </si>
  <si>
    <t>Product_35</t>
  </si>
  <si>
    <t>P0036</t>
  </si>
  <si>
    <t>Product_36</t>
  </si>
  <si>
    <t>P0037</t>
  </si>
  <si>
    <t>Product_37</t>
  </si>
  <si>
    <t>P0038</t>
  </si>
  <si>
    <t>Product_38</t>
  </si>
  <si>
    <t>P0039</t>
  </si>
  <si>
    <t>Product_39</t>
  </si>
  <si>
    <t>P0040</t>
  </si>
  <si>
    <t>Product_40</t>
  </si>
  <si>
    <t>P0041</t>
  </si>
  <si>
    <t>Product_41</t>
  </si>
  <si>
    <t>P0042</t>
  </si>
  <si>
    <t>Product_42</t>
  </si>
  <si>
    <t>P0043</t>
  </si>
  <si>
    <t>Product_43</t>
  </si>
  <si>
    <t>P0044</t>
  </si>
  <si>
    <t>Product_44</t>
  </si>
  <si>
    <t>P0045</t>
  </si>
  <si>
    <t>Product_45</t>
  </si>
  <si>
    <t>P0046</t>
  </si>
  <si>
    <t>Product_46</t>
  </si>
  <si>
    <t>P0047</t>
  </si>
  <si>
    <t>Product_47</t>
  </si>
  <si>
    <t>P0048</t>
  </si>
  <si>
    <t>Product_48</t>
  </si>
  <si>
    <t>P0049</t>
  </si>
  <si>
    <t>Product_49</t>
  </si>
  <si>
    <t>P0050</t>
  </si>
  <si>
    <t>Product_50</t>
  </si>
  <si>
    <t>P0051</t>
  </si>
  <si>
    <t>Product_51</t>
  </si>
  <si>
    <t>P0052</t>
  </si>
  <si>
    <t>Product_52</t>
  </si>
  <si>
    <t>P0053</t>
  </si>
  <si>
    <t>Product_53</t>
  </si>
  <si>
    <t>P0054</t>
  </si>
  <si>
    <t>Product_54</t>
  </si>
  <si>
    <t>P0055</t>
  </si>
  <si>
    <t>Product_55</t>
  </si>
  <si>
    <t>P0056</t>
  </si>
  <si>
    <t>Product_56</t>
  </si>
  <si>
    <t>P0057</t>
  </si>
  <si>
    <t>Product_57</t>
  </si>
  <si>
    <t>P0058</t>
  </si>
  <si>
    <t>Product_58</t>
  </si>
  <si>
    <t>P0059</t>
  </si>
  <si>
    <t>Product_59</t>
  </si>
  <si>
    <t>P0060</t>
  </si>
  <si>
    <t>Product_60</t>
  </si>
  <si>
    <t>P0061</t>
  </si>
  <si>
    <t>Product_61</t>
  </si>
  <si>
    <t>P0062</t>
  </si>
  <si>
    <t>Product_62</t>
  </si>
  <si>
    <t>P0063</t>
  </si>
  <si>
    <t>Product_63</t>
  </si>
  <si>
    <t>P0064</t>
  </si>
  <si>
    <t>Product_64</t>
  </si>
  <si>
    <t>P0065</t>
  </si>
  <si>
    <t>Product_65</t>
  </si>
  <si>
    <t>P0066</t>
  </si>
  <si>
    <t>Product_66</t>
  </si>
  <si>
    <t>P0067</t>
  </si>
  <si>
    <t>Product_67</t>
  </si>
  <si>
    <t>P0068</t>
  </si>
  <si>
    <t>Product_68</t>
  </si>
  <si>
    <t>P0069</t>
  </si>
  <si>
    <t>Product_69</t>
  </si>
  <si>
    <t>P0070</t>
  </si>
  <si>
    <t>Product_70</t>
  </si>
  <si>
    <t>P0071</t>
  </si>
  <si>
    <t>Product_71</t>
  </si>
  <si>
    <t>P0072</t>
  </si>
  <si>
    <t>Product_72</t>
  </si>
  <si>
    <t>P0073</t>
  </si>
  <si>
    <t>Product_73</t>
  </si>
  <si>
    <t>P0074</t>
  </si>
  <si>
    <t>Product_74</t>
  </si>
  <si>
    <t>P0075</t>
  </si>
  <si>
    <t>Product_75</t>
  </si>
  <si>
    <t>P0076</t>
  </si>
  <si>
    <t>Product_76</t>
  </si>
  <si>
    <t>P0077</t>
  </si>
  <si>
    <t>Product_77</t>
  </si>
  <si>
    <t>P0078</t>
  </si>
  <si>
    <t>Product_78</t>
  </si>
  <si>
    <t>P0079</t>
  </si>
  <si>
    <t>Product_79</t>
  </si>
  <si>
    <t>P0080</t>
  </si>
  <si>
    <t>Product_80</t>
  </si>
  <si>
    <t>P0081</t>
  </si>
  <si>
    <t>Product_81</t>
  </si>
  <si>
    <t>P0082</t>
  </si>
  <si>
    <t>Product_82</t>
  </si>
  <si>
    <t>P0083</t>
  </si>
  <si>
    <t>Product_83</t>
  </si>
  <si>
    <t>P0084</t>
  </si>
  <si>
    <t>Product_84</t>
  </si>
  <si>
    <t>P0085</t>
  </si>
  <si>
    <t>Product_85</t>
  </si>
  <si>
    <t>P0086</t>
  </si>
  <si>
    <t>Product_86</t>
  </si>
  <si>
    <t>P0087</t>
  </si>
  <si>
    <t>Product_87</t>
  </si>
  <si>
    <t>P0088</t>
  </si>
  <si>
    <t>Product_88</t>
  </si>
  <si>
    <t>P0089</t>
  </si>
  <si>
    <t>Product_89</t>
  </si>
  <si>
    <t>P0090</t>
  </si>
  <si>
    <t>Product_90</t>
  </si>
  <si>
    <t>P0091</t>
  </si>
  <si>
    <t>Product_91</t>
  </si>
  <si>
    <t>P0092</t>
  </si>
  <si>
    <t>Product_92</t>
  </si>
  <si>
    <t>P0093</t>
  </si>
  <si>
    <t>Product_93</t>
  </si>
  <si>
    <t>P0094</t>
  </si>
  <si>
    <t>Product_94</t>
  </si>
  <si>
    <t>P0095</t>
  </si>
  <si>
    <t>Product_95</t>
  </si>
  <si>
    <t>P0096</t>
  </si>
  <si>
    <t>Product_96</t>
  </si>
  <si>
    <t>P0097</t>
  </si>
  <si>
    <t>Product_97</t>
  </si>
  <si>
    <t>P0098</t>
  </si>
  <si>
    <t>Product_98</t>
  </si>
  <si>
    <t>P0099</t>
  </si>
  <si>
    <t>Product_99</t>
  </si>
  <si>
    <t>P0100</t>
  </si>
  <si>
    <t>Product_100</t>
  </si>
  <si>
    <t>P0101</t>
  </si>
  <si>
    <t>Product_101</t>
  </si>
  <si>
    <t>P0102</t>
  </si>
  <si>
    <t>Product_102</t>
  </si>
  <si>
    <t>P0103</t>
  </si>
  <si>
    <t>Product_103</t>
  </si>
  <si>
    <t>P0104</t>
  </si>
  <si>
    <t>Product_104</t>
  </si>
  <si>
    <t>P0105</t>
  </si>
  <si>
    <t>Product_105</t>
  </si>
  <si>
    <t>P0106</t>
  </si>
  <si>
    <t>Product_106</t>
  </si>
  <si>
    <t>P0107</t>
  </si>
  <si>
    <t>Product_107</t>
  </si>
  <si>
    <t>P0108</t>
  </si>
  <si>
    <t>Product_108</t>
  </si>
  <si>
    <t>P0109</t>
  </si>
  <si>
    <t>Product_109</t>
  </si>
  <si>
    <t>P0110</t>
  </si>
  <si>
    <t>Product_110</t>
  </si>
  <si>
    <t>P0111</t>
  </si>
  <si>
    <t>Product_111</t>
  </si>
  <si>
    <t>P0112</t>
  </si>
  <si>
    <t>Product_112</t>
  </si>
  <si>
    <t>P0113</t>
  </si>
  <si>
    <t>Product_113</t>
  </si>
  <si>
    <t>P0114</t>
  </si>
  <si>
    <t>Product_114</t>
  </si>
  <si>
    <t>P0115</t>
  </si>
  <si>
    <t>Product_115</t>
  </si>
  <si>
    <t>P0116</t>
  </si>
  <si>
    <t>Product_116</t>
  </si>
  <si>
    <t>P0117</t>
  </si>
  <si>
    <t>Product_117</t>
  </si>
  <si>
    <t>P0118</t>
  </si>
  <si>
    <t>Product_118</t>
  </si>
  <si>
    <t>P0119</t>
  </si>
  <si>
    <t>Product_119</t>
  </si>
  <si>
    <t>P0120</t>
  </si>
  <si>
    <t>Product_120</t>
  </si>
  <si>
    <t>P0121</t>
  </si>
  <si>
    <t>Product_121</t>
  </si>
  <si>
    <t>P0122</t>
  </si>
  <si>
    <t>Product_122</t>
  </si>
  <si>
    <t>P0123</t>
  </si>
  <si>
    <t>Product_123</t>
  </si>
  <si>
    <t>P0124</t>
  </si>
  <si>
    <t>Product_124</t>
  </si>
  <si>
    <t>P0125</t>
  </si>
  <si>
    <t>Product_125</t>
  </si>
  <si>
    <t>P0126</t>
  </si>
  <si>
    <t>Product_126</t>
  </si>
  <si>
    <t>P0127</t>
  </si>
  <si>
    <t>Product_127</t>
  </si>
  <si>
    <t>P0128</t>
  </si>
  <si>
    <t>Product_128</t>
  </si>
  <si>
    <t>P0129</t>
  </si>
  <si>
    <t>Product_129</t>
  </si>
  <si>
    <t>P0130</t>
  </si>
  <si>
    <t>Product_130</t>
  </si>
  <si>
    <t>P0131</t>
  </si>
  <si>
    <t>Product_131</t>
  </si>
  <si>
    <t>P0132</t>
  </si>
  <si>
    <t>Product_132</t>
  </si>
  <si>
    <t>P0133</t>
  </si>
  <si>
    <t>Product_133</t>
  </si>
  <si>
    <t>P0134</t>
  </si>
  <si>
    <t>Product_134</t>
  </si>
  <si>
    <t>P0135</t>
  </si>
  <si>
    <t>Product_135</t>
  </si>
  <si>
    <t>P0136</t>
  </si>
  <si>
    <t>Product_136</t>
  </si>
  <si>
    <t>P0137</t>
  </si>
  <si>
    <t>Product_137</t>
  </si>
  <si>
    <t>P0138</t>
  </si>
  <si>
    <t>Product_138</t>
  </si>
  <si>
    <t>P0139</t>
  </si>
  <si>
    <t>Product_139</t>
  </si>
  <si>
    <t>P0140</t>
  </si>
  <si>
    <t>Product_140</t>
  </si>
  <si>
    <t>P0141</t>
  </si>
  <si>
    <t>Product_141</t>
  </si>
  <si>
    <t>P0142</t>
  </si>
  <si>
    <t>Product_142</t>
  </si>
  <si>
    <t>P0143</t>
  </si>
  <si>
    <t>Product_143</t>
  </si>
  <si>
    <t>P0144</t>
  </si>
  <si>
    <t>Product_144</t>
  </si>
  <si>
    <t>P0145</t>
  </si>
  <si>
    <t>Product_145</t>
  </si>
  <si>
    <t>P0146</t>
  </si>
  <si>
    <t>Product_146</t>
  </si>
  <si>
    <t>P0147</t>
  </si>
  <si>
    <t>Product_147</t>
  </si>
  <si>
    <t>P0148</t>
  </si>
  <si>
    <t>Product_148</t>
  </si>
  <si>
    <t>P0149</t>
  </si>
  <si>
    <t>Product_149</t>
  </si>
  <si>
    <t>P0150</t>
  </si>
  <si>
    <t>Product_150</t>
  </si>
  <si>
    <t>P0151</t>
  </si>
  <si>
    <t>Product_151</t>
  </si>
  <si>
    <t>P0152</t>
  </si>
  <si>
    <t>Product_152</t>
  </si>
  <si>
    <t>P0153</t>
  </si>
  <si>
    <t>Product_153</t>
  </si>
  <si>
    <t>P0154</t>
  </si>
  <si>
    <t>Product_154</t>
  </si>
  <si>
    <t>P0155</t>
  </si>
  <si>
    <t>Product_155</t>
  </si>
  <si>
    <t>P0156</t>
  </si>
  <si>
    <t>Product_156</t>
  </si>
  <si>
    <t>P0157</t>
  </si>
  <si>
    <t>Product_157</t>
  </si>
  <si>
    <t>P0158</t>
  </si>
  <si>
    <t>Product_158</t>
  </si>
  <si>
    <t>P0159</t>
  </si>
  <si>
    <t>Product_159</t>
  </si>
  <si>
    <t>P0160</t>
  </si>
  <si>
    <t>Product_160</t>
  </si>
  <si>
    <t>P0161</t>
  </si>
  <si>
    <t>Product_161</t>
  </si>
  <si>
    <t>P0162</t>
  </si>
  <si>
    <t>Product_162</t>
  </si>
  <si>
    <t>P0163</t>
  </si>
  <si>
    <t>Product_163</t>
  </si>
  <si>
    <t>P0164</t>
  </si>
  <si>
    <t>Product_164</t>
  </si>
  <si>
    <t>P0165</t>
  </si>
  <si>
    <t>Product_165</t>
  </si>
  <si>
    <t>P0166</t>
  </si>
  <si>
    <t>Product_166</t>
  </si>
  <si>
    <t>P0167</t>
  </si>
  <si>
    <t>Product_167</t>
  </si>
  <si>
    <t>P0168</t>
  </si>
  <si>
    <t>Product_168</t>
  </si>
  <si>
    <t>P0169</t>
  </si>
  <si>
    <t>Product_169</t>
  </si>
  <si>
    <t>P0170</t>
  </si>
  <si>
    <t>Product_170</t>
  </si>
  <si>
    <t>P0171</t>
  </si>
  <si>
    <t>Product_171</t>
  </si>
  <si>
    <t>P0172</t>
  </si>
  <si>
    <t>Product_172</t>
  </si>
  <si>
    <t>P0173</t>
  </si>
  <si>
    <t>Product_173</t>
  </si>
  <si>
    <t>P0174</t>
  </si>
  <si>
    <t>Product_174</t>
  </si>
  <si>
    <t>P0175</t>
  </si>
  <si>
    <t>Product_175</t>
  </si>
  <si>
    <t>P0176</t>
  </si>
  <si>
    <t>Product_176</t>
  </si>
  <si>
    <t>P0177</t>
  </si>
  <si>
    <t>Product_177</t>
  </si>
  <si>
    <t>P0178</t>
  </si>
  <si>
    <t>Product_178</t>
  </si>
  <si>
    <t>P0179</t>
  </si>
  <si>
    <t>Product_179</t>
  </si>
  <si>
    <t>P0180</t>
  </si>
  <si>
    <t>Product_180</t>
  </si>
  <si>
    <t>P0181</t>
  </si>
  <si>
    <t>Product_181</t>
  </si>
  <si>
    <t>P0182</t>
  </si>
  <si>
    <t>Product_182</t>
  </si>
  <si>
    <t>P0183</t>
  </si>
  <si>
    <t>Product_183</t>
  </si>
  <si>
    <t>P0184</t>
  </si>
  <si>
    <t>Product_184</t>
  </si>
  <si>
    <t>P0185</t>
  </si>
  <si>
    <t>Product_185</t>
  </si>
  <si>
    <t>P0186</t>
  </si>
  <si>
    <t>Product_186</t>
  </si>
  <si>
    <t>P0187</t>
  </si>
  <si>
    <t>Product_187</t>
  </si>
  <si>
    <t>P0188</t>
  </si>
  <si>
    <t>Product_188</t>
  </si>
  <si>
    <t>P0189</t>
  </si>
  <si>
    <t>Product_189</t>
  </si>
  <si>
    <t>P0190</t>
  </si>
  <si>
    <t>Product_190</t>
  </si>
  <si>
    <t>P0191</t>
  </si>
  <si>
    <t>Product_191</t>
  </si>
  <si>
    <t>P0192</t>
  </si>
  <si>
    <t>Product_192</t>
  </si>
  <si>
    <t>P0193</t>
  </si>
  <si>
    <t>Product_193</t>
  </si>
  <si>
    <t>P0194</t>
  </si>
  <si>
    <t>Product_194</t>
  </si>
  <si>
    <t>P0195</t>
  </si>
  <si>
    <t>Product_195</t>
  </si>
  <si>
    <t>P0196</t>
  </si>
  <si>
    <t>Product_196</t>
  </si>
  <si>
    <t>P0197</t>
  </si>
  <si>
    <t>Product_197</t>
  </si>
  <si>
    <t>P0198</t>
  </si>
  <si>
    <t>Product_198</t>
  </si>
  <si>
    <t>P0199</t>
  </si>
  <si>
    <t>Product_199</t>
  </si>
  <si>
    <t>P0200</t>
  </si>
  <si>
    <t>Product_200</t>
  </si>
  <si>
    <t>P0201</t>
  </si>
  <si>
    <t>Product_201</t>
  </si>
  <si>
    <t>P0202</t>
  </si>
  <si>
    <t>Product_202</t>
  </si>
  <si>
    <t>P0203</t>
  </si>
  <si>
    <t>Product_203</t>
  </si>
  <si>
    <t>P0204</t>
  </si>
  <si>
    <t>Product_204</t>
  </si>
  <si>
    <t>P0205</t>
  </si>
  <si>
    <t>Product_205</t>
  </si>
  <si>
    <t>P0206</t>
  </si>
  <si>
    <t>Product_206</t>
  </si>
  <si>
    <t>P0207</t>
  </si>
  <si>
    <t>Product_207</t>
  </si>
  <si>
    <t>P0208</t>
  </si>
  <si>
    <t>Product_208</t>
  </si>
  <si>
    <t>P0209</t>
  </si>
  <si>
    <t>Product_209</t>
  </si>
  <si>
    <t>P0210</t>
  </si>
  <si>
    <t>Product_210</t>
  </si>
  <si>
    <t>P0211</t>
  </si>
  <si>
    <t>Product_211</t>
  </si>
  <si>
    <t>P0212</t>
  </si>
  <si>
    <t>Product_212</t>
  </si>
  <si>
    <t>P0213</t>
  </si>
  <si>
    <t>Product_213</t>
  </si>
  <si>
    <t>P0214</t>
  </si>
  <si>
    <t>Product_214</t>
  </si>
  <si>
    <t>P0215</t>
  </si>
  <si>
    <t>Product_215</t>
  </si>
  <si>
    <t>P0216</t>
  </si>
  <si>
    <t>Product_216</t>
  </si>
  <si>
    <t>P0217</t>
  </si>
  <si>
    <t>Product_217</t>
  </si>
  <si>
    <t>P0218</t>
  </si>
  <si>
    <t>Product_218</t>
  </si>
  <si>
    <t>P0219</t>
  </si>
  <si>
    <t>Product_219</t>
  </si>
  <si>
    <t>P0220</t>
  </si>
  <si>
    <t>Product_220</t>
  </si>
  <si>
    <t>P0221</t>
  </si>
  <si>
    <t>Product_221</t>
  </si>
  <si>
    <t>P0222</t>
  </si>
  <si>
    <t>Product_222</t>
  </si>
  <si>
    <t>P0223</t>
  </si>
  <si>
    <t>Product_223</t>
  </si>
  <si>
    <t>P0224</t>
  </si>
  <si>
    <t>Product_224</t>
  </si>
  <si>
    <t>P0225</t>
  </si>
  <si>
    <t>Product_225</t>
  </si>
  <si>
    <t>P0226</t>
  </si>
  <si>
    <t>Product_226</t>
  </si>
  <si>
    <t>P0227</t>
  </si>
  <si>
    <t>Product_227</t>
  </si>
  <si>
    <t>P0228</t>
  </si>
  <si>
    <t>Product_228</t>
  </si>
  <si>
    <t>P0229</t>
  </si>
  <si>
    <t>Product_229</t>
  </si>
  <si>
    <t>P0230</t>
  </si>
  <si>
    <t>Product_230</t>
  </si>
  <si>
    <t>P0231</t>
  </si>
  <si>
    <t>Product_231</t>
  </si>
  <si>
    <t>P0232</t>
  </si>
  <si>
    <t>Product_232</t>
  </si>
  <si>
    <t>P0233</t>
  </si>
  <si>
    <t>Product_233</t>
  </si>
  <si>
    <t>P0234</t>
  </si>
  <si>
    <t>Product_234</t>
  </si>
  <si>
    <t>P0235</t>
  </si>
  <si>
    <t>Product_235</t>
  </si>
  <si>
    <t>P0236</t>
  </si>
  <si>
    <t>Product_236</t>
  </si>
  <si>
    <t>P0237</t>
  </si>
  <si>
    <t>Product_237</t>
  </si>
  <si>
    <t>P0238</t>
  </si>
  <si>
    <t>Product_238</t>
  </si>
  <si>
    <t>P0239</t>
  </si>
  <si>
    <t>Product_239</t>
  </si>
  <si>
    <t>P0240</t>
  </si>
  <si>
    <t>Product_240</t>
  </si>
  <si>
    <t>P0241</t>
  </si>
  <si>
    <t>Product_241</t>
  </si>
  <si>
    <t>P0242</t>
  </si>
  <si>
    <t>Product_242</t>
  </si>
  <si>
    <t>P0243</t>
  </si>
  <si>
    <t>Product_243</t>
  </si>
  <si>
    <t>P0244</t>
  </si>
  <si>
    <t>Product_244</t>
  </si>
  <si>
    <t>P0245</t>
  </si>
  <si>
    <t>Product_245</t>
  </si>
  <si>
    <t>P0246</t>
  </si>
  <si>
    <t>Product_246</t>
  </si>
  <si>
    <t>P0247</t>
  </si>
  <si>
    <t>Product_247</t>
  </si>
  <si>
    <t>P0248</t>
  </si>
  <si>
    <t>Product_248</t>
  </si>
  <si>
    <t>P0249</t>
  </si>
  <si>
    <t>Product_249</t>
  </si>
  <si>
    <t>P0250</t>
  </si>
  <si>
    <t>Product_250</t>
  </si>
  <si>
    <t>P0251</t>
  </si>
  <si>
    <t>Product_251</t>
  </si>
  <si>
    <t>P0252</t>
  </si>
  <si>
    <t>Product_252</t>
  </si>
  <si>
    <t>P0253</t>
  </si>
  <si>
    <t>Product_253</t>
  </si>
  <si>
    <t>P0254</t>
  </si>
  <si>
    <t>Product_254</t>
  </si>
  <si>
    <t>P0255</t>
  </si>
  <si>
    <t>Product_255</t>
  </si>
  <si>
    <t>P0256</t>
  </si>
  <si>
    <t>Product_256</t>
  </si>
  <si>
    <t>P0257</t>
  </si>
  <si>
    <t>Product_257</t>
  </si>
  <si>
    <t>P0258</t>
  </si>
  <si>
    <t>Product_258</t>
  </si>
  <si>
    <t>P0259</t>
  </si>
  <si>
    <t>Product_259</t>
  </si>
  <si>
    <t>P0260</t>
  </si>
  <si>
    <t>Product_260</t>
  </si>
  <si>
    <t>P0261</t>
  </si>
  <si>
    <t>Product_261</t>
  </si>
  <si>
    <t>P0262</t>
  </si>
  <si>
    <t>Product_262</t>
  </si>
  <si>
    <t>P0263</t>
  </si>
  <si>
    <t>Product_263</t>
  </si>
  <si>
    <t>P0264</t>
  </si>
  <si>
    <t>Product_264</t>
  </si>
  <si>
    <t>P0265</t>
  </si>
  <si>
    <t>Product_265</t>
  </si>
  <si>
    <t>P0266</t>
  </si>
  <si>
    <t>Product_266</t>
  </si>
  <si>
    <t>P0267</t>
  </si>
  <si>
    <t>Product_267</t>
  </si>
  <si>
    <t>P0268</t>
  </si>
  <si>
    <t>Product_268</t>
  </si>
  <si>
    <t>P0269</t>
  </si>
  <si>
    <t>Product_269</t>
  </si>
  <si>
    <t>P0270</t>
  </si>
  <si>
    <t>Product_270</t>
  </si>
  <si>
    <t>P0271</t>
  </si>
  <si>
    <t>Product_271</t>
  </si>
  <si>
    <t>P0272</t>
  </si>
  <si>
    <t>Product_272</t>
  </si>
  <si>
    <t>P0273</t>
  </si>
  <si>
    <t>Product_273</t>
  </si>
  <si>
    <t>P0274</t>
  </si>
  <si>
    <t>Product_274</t>
  </si>
  <si>
    <t>P0275</t>
  </si>
  <si>
    <t>Product_275</t>
  </si>
  <si>
    <t>P0276</t>
  </si>
  <si>
    <t>Product_276</t>
  </si>
  <si>
    <t>P0277</t>
  </si>
  <si>
    <t>Product_277</t>
  </si>
  <si>
    <t>P0278</t>
  </si>
  <si>
    <t>Product_278</t>
  </si>
  <si>
    <t>P0279</t>
  </si>
  <si>
    <t>Product_279</t>
  </si>
  <si>
    <t>P0280</t>
  </si>
  <si>
    <t>Product_280</t>
  </si>
  <si>
    <t>P0281</t>
  </si>
  <si>
    <t>Product_281</t>
  </si>
  <si>
    <t>P0282</t>
  </si>
  <si>
    <t>Product_282</t>
  </si>
  <si>
    <t>P0283</t>
  </si>
  <si>
    <t>Product_283</t>
  </si>
  <si>
    <t>P0284</t>
  </si>
  <si>
    <t>Product_284</t>
  </si>
  <si>
    <t>P0285</t>
  </si>
  <si>
    <t>Product_285</t>
  </si>
  <si>
    <t>P0286</t>
  </si>
  <si>
    <t>Product_286</t>
  </si>
  <si>
    <t>P0287</t>
  </si>
  <si>
    <t>Product_287</t>
  </si>
  <si>
    <t>P0288</t>
  </si>
  <si>
    <t>Product_288</t>
  </si>
  <si>
    <t>P0289</t>
  </si>
  <si>
    <t>Product_289</t>
  </si>
  <si>
    <t>P0290</t>
  </si>
  <si>
    <t>Product_290</t>
  </si>
  <si>
    <t>P0291</t>
  </si>
  <si>
    <t>Product_291</t>
  </si>
  <si>
    <t>P0292</t>
  </si>
  <si>
    <t>Product_292</t>
  </si>
  <si>
    <t>P0293</t>
  </si>
  <si>
    <t>Product_293</t>
  </si>
  <si>
    <t>P0294</t>
  </si>
  <si>
    <t>Product_294</t>
  </si>
  <si>
    <t>P0295</t>
  </si>
  <si>
    <t>Product_295</t>
  </si>
  <si>
    <t>P0296</t>
  </si>
  <si>
    <t>Product_296</t>
  </si>
  <si>
    <t>P0297</t>
  </si>
  <si>
    <t>Product_297</t>
  </si>
  <si>
    <t>P0298</t>
  </si>
  <si>
    <t>Product_298</t>
  </si>
  <si>
    <t>P0299</t>
  </si>
  <si>
    <t>Product_299</t>
  </si>
  <si>
    <t>P0300</t>
  </si>
  <si>
    <t>Product_300</t>
  </si>
  <si>
    <t>P0301</t>
  </si>
  <si>
    <t>Product_301</t>
  </si>
  <si>
    <t>P0302</t>
  </si>
  <si>
    <t>Product_302</t>
  </si>
  <si>
    <t>P0303</t>
  </si>
  <si>
    <t>Product_303</t>
  </si>
  <si>
    <t>P0304</t>
  </si>
  <si>
    <t>Product_304</t>
  </si>
  <si>
    <t>P0305</t>
  </si>
  <si>
    <t>Product_305</t>
  </si>
  <si>
    <t>P0306</t>
  </si>
  <si>
    <t>Product_306</t>
  </si>
  <si>
    <t>P0307</t>
  </si>
  <si>
    <t>Product_307</t>
  </si>
  <si>
    <t>P0308</t>
  </si>
  <si>
    <t>Product_308</t>
  </si>
  <si>
    <t>P0309</t>
  </si>
  <si>
    <t>Product_309</t>
  </si>
  <si>
    <t>P0310</t>
  </si>
  <si>
    <t>Product_310</t>
  </si>
  <si>
    <t>P0311</t>
  </si>
  <si>
    <t>Product_311</t>
  </si>
  <si>
    <t>P0312</t>
  </si>
  <si>
    <t>Product_312</t>
  </si>
  <si>
    <t>P0313</t>
  </si>
  <si>
    <t>Product_313</t>
  </si>
  <si>
    <t>P0314</t>
  </si>
  <si>
    <t>Product_314</t>
  </si>
  <si>
    <t>P0315</t>
  </si>
  <si>
    <t>Product_315</t>
  </si>
  <si>
    <t>P0316</t>
  </si>
  <si>
    <t>Product_316</t>
  </si>
  <si>
    <t>P0317</t>
  </si>
  <si>
    <t>Product_317</t>
  </si>
  <si>
    <t>P0318</t>
  </si>
  <si>
    <t>Product_318</t>
  </si>
  <si>
    <t>P0319</t>
  </si>
  <si>
    <t>Product_319</t>
  </si>
  <si>
    <t>P0320</t>
  </si>
  <si>
    <t>Product_320</t>
  </si>
  <si>
    <t>P0321</t>
  </si>
  <si>
    <t>Product_321</t>
  </si>
  <si>
    <t>P0322</t>
  </si>
  <si>
    <t>Product_322</t>
  </si>
  <si>
    <t>P0323</t>
  </si>
  <si>
    <t>Product_323</t>
  </si>
  <si>
    <t>P0324</t>
  </si>
  <si>
    <t>Product_324</t>
  </si>
  <si>
    <t>P0325</t>
  </si>
  <si>
    <t>Product_325</t>
  </si>
  <si>
    <t>P0326</t>
  </si>
  <si>
    <t>Product_326</t>
  </si>
  <si>
    <t>P0327</t>
  </si>
  <si>
    <t>Product_327</t>
  </si>
  <si>
    <t>P0328</t>
  </si>
  <si>
    <t>Product_328</t>
  </si>
  <si>
    <t>P0329</t>
  </si>
  <si>
    <t>Product_329</t>
  </si>
  <si>
    <t>P0330</t>
  </si>
  <si>
    <t>Product_330</t>
  </si>
  <si>
    <t>P0331</t>
  </si>
  <si>
    <t>Product_331</t>
  </si>
  <si>
    <t>P0332</t>
  </si>
  <si>
    <t>Product_332</t>
  </si>
  <si>
    <t>P0333</t>
  </si>
  <si>
    <t>Product_333</t>
  </si>
  <si>
    <t>P0334</t>
  </si>
  <si>
    <t>Product_334</t>
  </si>
  <si>
    <t>P0335</t>
  </si>
  <si>
    <t>Product_335</t>
  </si>
  <si>
    <t>P0336</t>
  </si>
  <si>
    <t>Product_336</t>
  </si>
  <si>
    <t>P0337</t>
  </si>
  <si>
    <t>Product_337</t>
  </si>
  <si>
    <t>P0338</t>
  </si>
  <si>
    <t>Product_338</t>
  </si>
  <si>
    <t>P0339</t>
  </si>
  <si>
    <t>Product_339</t>
  </si>
  <si>
    <t>P0340</t>
  </si>
  <si>
    <t>Product_340</t>
  </si>
  <si>
    <t>P0341</t>
  </si>
  <si>
    <t>Product_341</t>
  </si>
  <si>
    <t>P0342</t>
  </si>
  <si>
    <t>Product_342</t>
  </si>
  <si>
    <t>P0343</t>
  </si>
  <si>
    <t>Product_343</t>
  </si>
  <si>
    <t>P0344</t>
  </si>
  <si>
    <t>Product_344</t>
  </si>
  <si>
    <t>P0345</t>
  </si>
  <si>
    <t>Product_345</t>
  </si>
  <si>
    <t>P0346</t>
  </si>
  <si>
    <t>Product_346</t>
  </si>
  <si>
    <t>P0347</t>
  </si>
  <si>
    <t>Product_347</t>
  </si>
  <si>
    <t>P0348</t>
  </si>
  <si>
    <t>Product_348</t>
  </si>
  <si>
    <t>P0349</t>
  </si>
  <si>
    <t>Product_349</t>
  </si>
  <si>
    <t>P0350</t>
  </si>
  <si>
    <t>Product_350</t>
  </si>
  <si>
    <t>P0351</t>
  </si>
  <si>
    <t>Product_351</t>
  </si>
  <si>
    <t>P0352</t>
  </si>
  <si>
    <t>Product_352</t>
  </si>
  <si>
    <t>P0353</t>
  </si>
  <si>
    <t>Product_353</t>
  </si>
  <si>
    <t>P0354</t>
  </si>
  <si>
    <t>Product_354</t>
  </si>
  <si>
    <t>P0355</t>
  </si>
  <si>
    <t>Product_355</t>
  </si>
  <si>
    <t>P0356</t>
  </si>
  <si>
    <t>Product_356</t>
  </si>
  <si>
    <t>P0357</t>
  </si>
  <si>
    <t>Product_357</t>
  </si>
  <si>
    <t>P0358</t>
  </si>
  <si>
    <t>Product_358</t>
  </si>
  <si>
    <t>P0359</t>
  </si>
  <si>
    <t>Product_359</t>
  </si>
  <si>
    <t>P0360</t>
  </si>
  <si>
    <t>Product_360</t>
  </si>
  <si>
    <t>P0361</t>
  </si>
  <si>
    <t>Product_361</t>
  </si>
  <si>
    <t>P0362</t>
  </si>
  <si>
    <t>Product_362</t>
  </si>
  <si>
    <t>P0363</t>
  </si>
  <si>
    <t>Product_363</t>
  </si>
  <si>
    <t>P0364</t>
  </si>
  <si>
    <t>Product_364</t>
  </si>
  <si>
    <t>P0365</t>
  </si>
  <si>
    <t>Product_365</t>
  </si>
  <si>
    <t>P0366</t>
  </si>
  <si>
    <t>Product_366</t>
  </si>
  <si>
    <t>P0367</t>
  </si>
  <si>
    <t>Product_367</t>
  </si>
  <si>
    <t>P0368</t>
  </si>
  <si>
    <t>Product_368</t>
  </si>
  <si>
    <t>P0369</t>
  </si>
  <si>
    <t>Product_369</t>
  </si>
  <si>
    <t>P0370</t>
  </si>
  <si>
    <t>Product_370</t>
  </si>
  <si>
    <t>P0371</t>
  </si>
  <si>
    <t>Product_371</t>
  </si>
  <si>
    <t>P0372</t>
  </si>
  <si>
    <t>Product_372</t>
  </si>
  <si>
    <t>P0373</t>
  </si>
  <si>
    <t>Product_373</t>
  </si>
  <si>
    <t>P0374</t>
  </si>
  <si>
    <t>Product_374</t>
  </si>
  <si>
    <t>P0375</t>
  </si>
  <si>
    <t>Product_375</t>
  </si>
  <si>
    <t>P0376</t>
  </si>
  <si>
    <t>Product_376</t>
  </si>
  <si>
    <t>P0377</t>
  </si>
  <si>
    <t>Product_377</t>
  </si>
  <si>
    <t>P0378</t>
  </si>
  <si>
    <t>Product_378</t>
  </si>
  <si>
    <t>P0379</t>
  </si>
  <si>
    <t>Product_379</t>
  </si>
  <si>
    <t>P0380</t>
  </si>
  <si>
    <t>Product_380</t>
  </si>
  <si>
    <t>P0381</t>
  </si>
  <si>
    <t>Product_381</t>
  </si>
  <si>
    <t>P0382</t>
  </si>
  <si>
    <t>Product_382</t>
  </si>
  <si>
    <t>P0383</t>
  </si>
  <si>
    <t>Product_383</t>
  </si>
  <si>
    <t>P0384</t>
  </si>
  <si>
    <t>Product_384</t>
  </si>
  <si>
    <t>P0385</t>
  </si>
  <si>
    <t>Product_385</t>
  </si>
  <si>
    <t>P0386</t>
  </si>
  <si>
    <t>Product_386</t>
  </si>
  <si>
    <t>P0387</t>
  </si>
  <si>
    <t>Product_387</t>
  </si>
  <si>
    <t>P0388</t>
  </si>
  <si>
    <t>Product_388</t>
  </si>
  <si>
    <t>P0389</t>
  </si>
  <si>
    <t>Product_389</t>
  </si>
  <si>
    <t>P0390</t>
  </si>
  <si>
    <t>Product_390</t>
  </si>
  <si>
    <t>P0391</t>
  </si>
  <si>
    <t>Product_391</t>
  </si>
  <si>
    <t>P0392</t>
  </si>
  <si>
    <t>Product_392</t>
  </si>
  <si>
    <t>P0393</t>
  </si>
  <si>
    <t>Product_393</t>
  </si>
  <si>
    <t>P0394</t>
  </si>
  <si>
    <t>Product_394</t>
  </si>
  <si>
    <t>P0395</t>
  </si>
  <si>
    <t>Product_395</t>
  </si>
  <si>
    <t>P0396</t>
  </si>
  <si>
    <t>Product_396</t>
  </si>
  <si>
    <t>P0397</t>
  </si>
  <si>
    <t>Product_397</t>
  </si>
  <si>
    <t>P0398</t>
  </si>
  <si>
    <t>Product_398</t>
  </si>
  <si>
    <t>P0399</t>
  </si>
  <si>
    <t>Product_399</t>
  </si>
  <si>
    <t>P0400</t>
  </si>
  <si>
    <t>Product_400</t>
  </si>
  <si>
    <t>P0401</t>
  </si>
  <si>
    <t>Product_401</t>
  </si>
  <si>
    <t>P0402</t>
  </si>
  <si>
    <t>Product_402</t>
  </si>
  <si>
    <t>P0403</t>
  </si>
  <si>
    <t>Product_403</t>
  </si>
  <si>
    <t>P0404</t>
  </si>
  <si>
    <t>Product_404</t>
  </si>
  <si>
    <t>P0405</t>
  </si>
  <si>
    <t>Product_405</t>
  </si>
  <si>
    <t>P0406</t>
  </si>
  <si>
    <t>Product_406</t>
  </si>
  <si>
    <t>P0407</t>
  </si>
  <si>
    <t>Product_407</t>
  </si>
  <si>
    <t>P0408</t>
  </si>
  <si>
    <t>Product_408</t>
  </si>
  <si>
    <t>P0409</t>
  </si>
  <si>
    <t>Product_409</t>
  </si>
  <si>
    <t>P0410</t>
  </si>
  <si>
    <t>Product_410</t>
  </si>
  <si>
    <t>P0411</t>
  </si>
  <si>
    <t>Product_411</t>
  </si>
  <si>
    <t>P0412</t>
  </si>
  <si>
    <t>Product_412</t>
  </si>
  <si>
    <t>P0413</t>
  </si>
  <si>
    <t>Product_413</t>
  </si>
  <si>
    <t>P0414</t>
  </si>
  <si>
    <t>Product_414</t>
  </si>
  <si>
    <t>P0415</t>
  </si>
  <si>
    <t>Product_415</t>
  </si>
  <si>
    <t>P0416</t>
  </si>
  <si>
    <t>Product_416</t>
  </si>
  <si>
    <t>P0417</t>
  </si>
  <si>
    <t>Product_417</t>
  </si>
  <si>
    <t>P0418</t>
  </si>
  <si>
    <t>Product_418</t>
  </si>
  <si>
    <t>P0419</t>
  </si>
  <si>
    <t>Product_419</t>
  </si>
  <si>
    <t>P0420</t>
  </si>
  <si>
    <t>Product_420</t>
  </si>
  <si>
    <t>P0421</t>
  </si>
  <si>
    <t>Product_421</t>
  </si>
  <si>
    <t>P0422</t>
  </si>
  <si>
    <t>Product_422</t>
  </si>
  <si>
    <t>P0423</t>
  </si>
  <si>
    <t>Product_423</t>
  </si>
  <si>
    <t>P0424</t>
  </si>
  <si>
    <t>Product_424</t>
  </si>
  <si>
    <t>P0425</t>
  </si>
  <si>
    <t>Product_425</t>
  </si>
  <si>
    <t>P0426</t>
  </si>
  <si>
    <t>Product_426</t>
  </si>
  <si>
    <t>P0427</t>
  </si>
  <si>
    <t>Product_427</t>
  </si>
  <si>
    <t>P0428</t>
  </si>
  <si>
    <t>Product_428</t>
  </si>
  <si>
    <t>P0429</t>
  </si>
  <si>
    <t>Product_429</t>
  </si>
  <si>
    <t>P0430</t>
  </si>
  <si>
    <t>Product_430</t>
  </si>
  <si>
    <t>P0431</t>
  </si>
  <si>
    <t>Product_431</t>
  </si>
  <si>
    <t>P0432</t>
  </si>
  <si>
    <t>Product_432</t>
  </si>
  <si>
    <t>P0433</t>
  </si>
  <si>
    <t>Product_433</t>
  </si>
  <si>
    <t>P0434</t>
  </si>
  <si>
    <t>Product_434</t>
  </si>
  <si>
    <t>P0435</t>
  </si>
  <si>
    <t>Product_435</t>
  </si>
  <si>
    <t>P0436</t>
  </si>
  <si>
    <t>Product_436</t>
  </si>
  <si>
    <t>P0437</t>
  </si>
  <si>
    <t>Product_437</t>
  </si>
  <si>
    <t>P0438</t>
  </si>
  <si>
    <t>Product_438</t>
  </si>
  <si>
    <t>P0439</t>
  </si>
  <si>
    <t>Product_439</t>
  </si>
  <si>
    <t>P0440</t>
  </si>
  <si>
    <t>Product_440</t>
  </si>
  <si>
    <t>P0441</t>
  </si>
  <si>
    <t>Product_441</t>
  </si>
  <si>
    <t>P0442</t>
  </si>
  <si>
    <t>Product_442</t>
  </si>
  <si>
    <t>P0443</t>
  </si>
  <si>
    <t>Product_443</t>
  </si>
  <si>
    <t>P0444</t>
  </si>
  <si>
    <t>Product_444</t>
  </si>
  <si>
    <t>P0445</t>
  </si>
  <si>
    <t>Product_445</t>
  </si>
  <si>
    <t>P0446</t>
  </si>
  <si>
    <t>Product_446</t>
  </si>
  <si>
    <t>P0447</t>
  </si>
  <si>
    <t>Product_447</t>
  </si>
  <si>
    <t>P0448</t>
  </si>
  <si>
    <t>Product_448</t>
  </si>
  <si>
    <t>P0449</t>
  </si>
  <si>
    <t>Product_449</t>
  </si>
  <si>
    <t>P0450</t>
  </si>
  <si>
    <t>Product_450</t>
  </si>
  <si>
    <t>P0451</t>
  </si>
  <si>
    <t>Product_451</t>
  </si>
  <si>
    <t>P0452</t>
  </si>
  <si>
    <t>Product_452</t>
  </si>
  <si>
    <t>P0453</t>
  </si>
  <si>
    <t>Product_453</t>
  </si>
  <si>
    <t>P0454</t>
  </si>
  <si>
    <t>Product_454</t>
  </si>
  <si>
    <t>P0455</t>
  </si>
  <si>
    <t>Product_455</t>
  </si>
  <si>
    <t>P0456</t>
  </si>
  <si>
    <t>Product_456</t>
  </si>
  <si>
    <t>P0457</t>
  </si>
  <si>
    <t>Product_457</t>
  </si>
  <si>
    <t>P0458</t>
  </si>
  <si>
    <t>Product_458</t>
  </si>
  <si>
    <t>P0459</t>
  </si>
  <si>
    <t>Product_459</t>
  </si>
  <si>
    <t>P0460</t>
  </si>
  <si>
    <t>Product_460</t>
  </si>
  <si>
    <t>P0461</t>
  </si>
  <si>
    <t>Product_461</t>
  </si>
  <si>
    <t>P0462</t>
  </si>
  <si>
    <t>Product_462</t>
  </si>
  <si>
    <t>P0463</t>
  </si>
  <si>
    <t>Product_463</t>
  </si>
  <si>
    <t>P0464</t>
  </si>
  <si>
    <t>Product_464</t>
  </si>
  <si>
    <t>P0465</t>
  </si>
  <si>
    <t>Product_465</t>
  </si>
  <si>
    <t>P0466</t>
  </si>
  <si>
    <t>Product_466</t>
  </si>
  <si>
    <t>P0467</t>
  </si>
  <si>
    <t>Product_467</t>
  </si>
  <si>
    <t>P0468</t>
  </si>
  <si>
    <t>Product_468</t>
  </si>
  <si>
    <t>P0469</t>
  </si>
  <si>
    <t>Product_469</t>
  </si>
  <si>
    <t>P0470</t>
  </si>
  <si>
    <t>Product_470</t>
  </si>
  <si>
    <t>P0471</t>
  </si>
  <si>
    <t>Product_471</t>
  </si>
  <si>
    <t>P0472</t>
  </si>
  <si>
    <t>Product_472</t>
  </si>
  <si>
    <t>P0473</t>
  </si>
  <si>
    <t>Product_473</t>
  </si>
  <si>
    <t>P0474</t>
  </si>
  <si>
    <t>Product_474</t>
  </si>
  <si>
    <t>P0475</t>
  </si>
  <si>
    <t>Product_475</t>
  </si>
  <si>
    <t>P0476</t>
  </si>
  <si>
    <t>Product_476</t>
  </si>
  <si>
    <t>P0477</t>
  </si>
  <si>
    <t>Product_477</t>
  </si>
  <si>
    <t>P0478</t>
  </si>
  <si>
    <t>Product_478</t>
  </si>
  <si>
    <t>P0479</t>
  </si>
  <si>
    <t>Product_479</t>
  </si>
  <si>
    <t>P0480</t>
  </si>
  <si>
    <t>Product_480</t>
  </si>
  <si>
    <t>P0481</t>
  </si>
  <si>
    <t>Product_481</t>
  </si>
  <si>
    <t>P0482</t>
  </si>
  <si>
    <t>Product_482</t>
  </si>
  <si>
    <t>P0483</t>
  </si>
  <si>
    <t>Product_483</t>
  </si>
  <si>
    <t>P0484</t>
  </si>
  <si>
    <t>Product_484</t>
  </si>
  <si>
    <t>P0485</t>
  </si>
  <si>
    <t>Product_485</t>
  </si>
  <si>
    <t>P0486</t>
  </si>
  <si>
    <t>Product_486</t>
  </si>
  <si>
    <t>P0487</t>
  </si>
  <si>
    <t>Product_487</t>
  </si>
  <si>
    <t>P0488</t>
  </si>
  <si>
    <t>Product_488</t>
  </si>
  <si>
    <t>P0489</t>
  </si>
  <si>
    <t>Product_489</t>
  </si>
  <si>
    <t>P0490</t>
  </si>
  <si>
    <t>Product_490</t>
  </si>
  <si>
    <t>P0491</t>
  </si>
  <si>
    <t>Product_491</t>
  </si>
  <si>
    <t>P0492</t>
  </si>
  <si>
    <t>Product_492</t>
  </si>
  <si>
    <t>P0493</t>
  </si>
  <si>
    <t>Product_493</t>
  </si>
  <si>
    <t>P0494</t>
  </si>
  <si>
    <t>Product_494</t>
  </si>
  <si>
    <t>P0495</t>
  </si>
  <si>
    <t>Product_495</t>
  </si>
  <si>
    <t>P0496</t>
  </si>
  <si>
    <t>Product_496</t>
  </si>
  <si>
    <t>P0497</t>
  </si>
  <si>
    <t>Product_497</t>
  </si>
  <si>
    <t>P0498</t>
  </si>
  <si>
    <t>Product_498</t>
  </si>
  <si>
    <t>P0499</t>
  </si>
  <si>
    <t>Product_499</t>
  </si>
  <si>
    <t>P0500</t>
  </si>
  <si>
    <t>Product_500</t>
  </si>
  <si>
    <t>Purchase ID</t>
  </si>
  <si>
    <t>Quantity Purchased</t>
  </si>
  <si>
    <t>PU00001</t>
  </si>
  <si>
    <t>PU00002</t>
  </si>
  <si>
    <t>PU00003</t>
  </si>
  <si>
    <t>PU00004</t>
  </si>
  <si>
    <t>PU00005</t>
  </si>
  <si>
    <t>PU00006</t>
  </si>
  <si>
    <t>PU00007</t>
  </si>
  <si>
    <t>PU00008</t>
  </si>
  <si>
    <t>PU00009</t>
  </si>
  <si>
    <t>PU00010</t>
  </si>
  <si>
    <t>PU00011</t>
  </si>
  <si>
    <t>PU00012</t>
  </si>
  <si>
    <t>PU00013</t>
  </si>
  <si>
    <t>PU00014</t>
  </si>
  <si>
    <t>PU00015</t>
  </si>
  <si>
    <t>PU00016</t>
  </si>
  <si>
    <t>PU00017</t>
  </si>
  <si>
    <t>PU00018</t>
  </si>
  <si>
    <t>PU00019</t>
  </si>
  <si>
    <t>PU00020</t>
  </si>
  <si>
    <t>PU00021</t>
  </si>
  <si>
    <t>PU00022</t>
  </si>
  <si>
    <t>PU00023</t>
  </si>
  <si>
    <t>PU00024</t>
  </si>
  <si>
    <t>PU00025</t>
  </si>
  <si>
    <t>PU00026</t>
  </si>
  <si>
    <t>PU00027</t>
  </si>
  <si>
    <t>PU00028</t>
  </si>
  <si>
    <t>PU00029</t>
  </si>
  <si>
    <t>PU00030</t>
  </si>
  <si>
    <t>PU00031</t>
  </si>
  <si>
    <t>PU00032</t>
  </si>
  <si>
    <t>PU00033</t>
  </si>
  <si>
    <t>PU00034</t>
  </si>
  <si>
    <t>PU00035</t>
  </si>
  <si>
    <t>PU00036</t>
  </si>
  <si>
    <t>PU00037</t>
  </si>
  <si>
    <t>PU00038</t>
  </si>
  <si>
    <t>PU00039</t>
  </si>
  <si>
    <t>PU00040</t>
  </si>
  <si>
    <t>PU00041</t>
  </si>
  <si>
    <t>PU00042</t>
  </si>
  <si>
    <t>PU00043</t>
  </si>
  <si>
    <t>PU00044</t>
  </si>
  <si>
    <t>PU00045</t>
  </si>
  <si>
    <t>PU00046</t>
  </si>
  <si>
    <t>PU00047</t>
  </si>
  <si>
    <t>PU00048</t>
  </si>
  <si>
    <t>PU00049</t>
  </si>
  <si>
    <t>PU00050</t>
  </si>
  <si>
    <t>PU00051</t>
  </si>
  <si>
    <t>PU00052</t>
  </si>
  <si>
    <t>PU00053</t>
  </si>
  <si>
    <t>PU00054</t>
  </si>
  <si>
    <t>PU00055</t>
  </si>
  <si>
    <t>PU00056</t>
  </si>
  <si>
    <t>PU00057</t>
  </si>
  <si>
    <t>PU00058</t>
  </si>
  <si>
    <t>PU00059</t>
  </si>
  <si>
    <t>PU00060</t>
  </si>
  <si>
    <t>PU00061</t>
  </si>
  <si>
    <t>PU00062</t>
  </si>
  <si>
    <t>PU00063</t>
  </si>
  <si>
    <t>PU00064</t>
  </si>
  <si>
    <t>PU00065</t>
  </si>
  <si>
    <t>PU00066</t>
  </si>
  <si>
    <t>PU00067</t>
  </si>
  <si>
    <t>PU00068</t>
  </si>
  <si>
    <t>PU00069</t>
  </si>
  <si>
    <t>PU00070</t>
  </si>
  <si>
    <t>PU00071</t>
  </si>
  <si>
    <t>PU00072</t>
  </si>
  <si>
    <t>PU00073</t>
  </si>
  <si>
    <t>PU00074</t>
  </si>
  <si>
    <t>PU00075</t>
  </si>
  <si>
    <t>PU00076</t>
  </si>
  <si>
    <t>PU00077</t>
  </si>
  <si>
    <t>PU00078</t>
  </si>
  <si>
    <t>PU00079</t>
  </si>
  <si>
    <t>PU00080</t>
  </si>
  <si>
    <t>PU00081</t>
  </si>
  <si>
    <t>PU00082</t>
  </si>
  <si>
    <t>PU00083</t>
  </si>
  <si>
    <t>PU00084</t>
  </si>
  <si>
    <t>PU00085</t>
  </si>
  <si>
    <t>PU00086</t>
  </si>
  <si>
    <t>PU00087</t>
  </si>
  <si>
    <t>PU00088</t>
  </si>
  <si>
    <t>PU00089</t>
  </si>
  <si>
    <t>PU00090</t>
  </si>
  <si>
    <t>PU00091</t>
  </si>
  <si>
    <t>PU00092</t>
  </si>
  <si>
    <t>PU00093</t>
  </si>
  <si>
    <t>PU00094</t>
  </si>
  <si>
    <t>PU00095</t>
  </si>
  <si>
    <t>PU00096</t>
  </si>
  <si>
    <t>PU00097</t>
  </si>
  <si>
    <t>PU00098</t>
  </si>
  <si>
    <t>PU00099</t>
  </si>
  <si>
    <t>PU00100</t>
  </si>
  <si>
    <t>PU00101</t>
  </si>
  <si>
    <t>PU00102</t>
  </si>
  <si>
    <t>PU00103</t>
  </si>
  <si>
    <t>PU00104</t>
  </si>
  <si>
    <t>PU00105</t>
  </si>
  <si>
    <t>PU00106</t>
  </si>
  <si>
    <t>PU00107</t>
  </si>
  <si>
    <t>PU00108</t>
  </si>
  <si>
    <t>PU00109</t>
  </si>
  <si>
    <t>PU00110</t>
  </si>
  <si>
    <t>PU00111</t>
  </si>
  <si>
    <t>PU00112</t>
  </si>
  <si>
    <t>PU00113</t>
  </si>
  <si>
    <t>PU00114</t>
  </si>
  <si>
    <t>PU00115</t>
  </si>
  <si>
    <t>PU00116</t>
  </si>
  <si>
    <t>PU00117</t>
  </si>
  <si>
    <t>PU00118</t>
  </si>
  <si>
    <t>PU00119</t>
  </si>
  <si>
    <t>PU00120</t>
  </si>
  <si>
    <t>PU00121</t>
  </si>
  <si>
    <t>PU00122</t>
  </si>
  <si>
    <t>PU00123</t>
  </si>
  <si>
    <t>PU00124</t>
  </si>
  <si>
    <t>PU00125</t>
  </si>
  <si>
    <t>PU00126</t>
  </si>
  <si>
    <t>PU00127</t>
  </si>
  <si>
    <t>PU00128</t>
  </si>
  <si>
    <t>PU00129</t>
  </si>
  <si>
    <t>PU00130</t>
  </si>
  <si>
    <t>PU00131</t>
  </si>
  <si>
    <t>PU00132</t>
  </si>
  <si>
    <t>PU00133</t>
  </si>
  <si>
    <t>PU00134</t>
  </si>
  <si>
    <t>PU00135</t>
  </si>
  <si>
    <t>PU00136</t>
  </si>
  <si>
    <t>PU00137</t>
  </si>
  <si>
    <t>PU00138</t>
  </si>
  <si>
    <t>PU00139</t>
  </si>
  <si>
    <t>PU00140</t>
  </si>
  <si>
    <t>PU00141</t>
  </si>
  <si>
    <t>PU00142</t>
  </si>
  <si>
    <t>PU00143</t>
  </si>
  <si>
    <t>PU00144</t>
  </si>
  <si>
    <t>PU00145</t>
  </si>
  <si>
    <t>PU00146</t>
  </si>
  <si>
    <t>PU00147</t>
  </si>
  <si>
    <t>PU00148</t>
  </si>
  <si>
    <t>PU00149</t>
  </si>
  <si>
    <t>PU00150</t>
  </si>
  <si>
    <t>PU00151</t>
  </si>
  <si>
    <t>PU00152</t>
  </si>
  <si>
    <t>PU00153</t>
  </si>
  <si>
    <t>PU00154</t>
  </si>
  <si>
    <t>PU00155</t>
  </si>
  <si>
    <t>PU00156</t>
  </si>
  <si>
    <t>PU00157</t>
  </si>
  <si>
    <t>PU00158</t>
  </si>
  <si>
    <t>PU00159</t>
  </si>
  <si>
    <t>PU00160</t>
  </si>
  <si>
    <t>PU00161</t>
  </si>
  <si>
    <t>PU00162</t>
  </si>
  <si>
    <t>PU00163</t>
  </si>
  <si>
    <t>PU00164</t>
  </si>
  <si>
    <t>PU00165</t>
  </si>
  <si>
    <t>PU00166</t>
  </si>
  <si>
    <t>PU00167</t>
  </si>
  <si>
    <t>PU00168</t>
  </si>
  <si>
    <t>PU00169</t>
  </si>
  <si>
    <t>PU00170</t>
  </si>
  <si>
    <t>PU00171</t>
  </si>
  <si>
    <t>PU00172</t>
  </si>
  <si>
    <t>PU00173</t>
  </si>
  <si>
    <t>PU00174</t>
  </si>
  <si>
    <t>PU00175</t>
  </si>
  <si>
    <t>PU00176</t>
  </si>
  <si>
    <t>PU00177</t>
  </si>
  <si>
    <t>PU00178</t>
  </si>
  <si>
    <t>PU00179</t>
  </si>
  <si>
    <t>PU00180</t>
  </si>
  <si>
    <t>PU00181</t>
  </si>
  <si>
    <t>PU00182</t>
  </si>
  <si>
    <t>PU00183</t>
  </si>
  <si>
    <t>PU00184</t>
  </si>
  <si>
    <t>PU00185</t>
  </si>
  <si>
    <t>PU00186</t>
  </si>
  <si>
    <t>PU00187</t>
  </si>
  <si>
    <t>PU00188</t>
  </si>
  <si>
    <t>PU00189</t>
  </si>
  <si>
    <t>PU00190</t>
  </si>
  <si>
    <t>PU00191</t>
  </si>
  <si>
    <t>PU00192</t>
  </si>
  <si>
    <t>PU00193</t>
  </si>
  <si>
    <t>PU00194</t>
  </si>
  <si>
    <t>PU00195</t>
  </si>
  <si>
    <t>PU00196</t>
  </si>
  <si>
    <t>PU00197</t>
  </si>
  <si>
    <t>PU00198</t>
  </si>
  <si>
    <t>PU00199</t>
  </si>
  <si>
    <t>PU00200</t>
  </si>
  <si>
    <t>PU00201</t>
  </si>
  <si>
    <t>PU00202</t>
  </si>
  <si>
    <t>PU00203</t>
  </si>
  <si>
    <t>PU00204</t>
  </si>
  <si>
    <t>PU00205</t>
  </si>
  <si>
    <t>PU00206</t>
  </si>
  <si>
    <t>PU00207</t>
  </si>
  <si>
    <t>PU00208</t>
  </si>
  <si>
    <t>PU00209</t>
  </si>
  <si>
    <t>PU00210</t>
  </si>
  <si>
    <t>PU00211</t>
  </si>
  <si>
    <t>PU00212</t>
  </si>
  <si>
    <t>PU00213</t>
  </si>
  <si>
    <t>PU00214</t>
  </si>
  <si>
    <t>PU00215</t>
  </si>
  <si>
    <t>PU00216</t>
  </si>
  <si>
    <t>PU00217</t>
  </si>
  <si>
    <t>PU00218</t>
  </si>
  <si>
    <t>PU00219</t>
  </si>
  <si>
    <t>PU00220</t>
  </si>
  <si>
    <t>PU00221</t>
  </si>
  <si>
    <t>PU00222</t>
  </si>
  <si>
    <t>PU00223</t>
  </si>
  <si>
    <t>PU00224</t>
  </si>
  <si>
    <t>PU00225</t>
  </si>
  <si>
    <t>PU00226</t>
  </si>
  <si>
    <t>PU00227</t>
  </si>
  <si>
    <t>PU00228</t>
  </si>
  <si>
    <t>PU00229</t>
  </si>
  <si>
    <t>PU00230</t>
  </si>
  <si>
    <t>PU00231</t>
  </si>
  <si>
    <t>PU00232</t>
  </si>
  <si>
    <t>PU00233</t>
  </si>
  <si>
    <t>PU00234</t>
  </si>
  <si>
    <t>PU00235</t>
  </si>
  <si>
    <t>PU00236</t>
  </si>
  <si>
    <t>PU00237</t>
  </si>
  <si>
    <t>PU00238</t>
  </si>
  <si>
    <t>PU00239</t>
  </si>
  <si>
    <t>PU00240</t>
  </si>
  <si>
    <t>PU00241</t>
  </si>
  <si>
    <t>PU00242</t>
  </si>
  <si>
    <t>PU00243</t>
  </si>
  <si>
    <t>PU00244</t>
  </si>
  <si>
    <t>PU00245</t>
  </si>
  <si>
    <t>PU00246</t>
  </si>
  <si>
    <t>PU00247</t>
  </si>
  <si>
    <t>PU00248</t>
  </si>
  <si>
    <t>PU00249</t>
  </si>
  <si>
    <t>PU00250</t>
  </si>
  <si>
    <t>PU00251</t>
  </si>
  <si>
    <t>PU00252</t>
  </si>
  <si>
    <t>PU00253</t>
  </si>
  <si>
    <t>PU00254</t>
  </si>
  <si>
    <t>PU00255</t>
  </si>
  <si>
    <t>PU00256</t>
  </si>
  <si>
    <t>PU00257</t>
  </si>
  <si>
    <t>PU00258</t>
  </si>
  <si>
    <t>PU00259</t>
  </si>
  <si>
    <t>PU00260</t>
  </si>
  <si>
    <t>PU00261</t>
  </si>
  <si>
    <t>PU00262</t>
  </si>
  <si>
    <t>PU00263</t>
  </si>
  <si>
    <t>PU00264</t>
  </si>
  <si>
    <t>PU00265</t>
  </si>
  <si>
    <t>PU00266</t>
  </si>
  <si>
    <t>PU00267</t>
  </si>
  <si>
    <t>PU00268</t>
  </si>
  <si>
    <t>PU00269</t>
  </si>
  <si>
    <t>PU00270</t>
  </si>
  <si>
    <t>PU00271</t>
  </si>
  <si>
    <t>PU00272</t>
  </si>
  <si>
    <t>PU00273</t>
  </si>
  <si>
    <t>PU00274</t>
  </si>
  <si>
    <t>PU00275</t>
  </si>
  <si>
    <t>PU00276</t>
  </si>
  <si>
    <t>PU00277</t>
  </si>
  <si>
    <t>PU00278</t>
  </si>
  <si>
    <t>PU00279</t>
  </si>
  <si>
    <t>PU00280</t>
  </si>
  <si>
    <t>PU00281</t>
  </si>
  <si>
    <t>PU00282</t>
  </si>
  <si>
    <t>PU00283</t>
  </si>
  <si>
    <t>PU00284</t>
  </si>
  <si>
    <t>PU00285</t>
  </si>
  <si>
    <t>PU00286</t>
  </si>
  <si>
    <t>PU00287</t>
  </si>
  <si>
    <t>PU00288</t>
  </si>
  <si>
    <t>PU00289</t>
  </si>
  <si>
    <t>PU00290</t>
  </si>
  <si>
    <t>PU00291</t>
  </si>
  <si>
    <t>PU00292</t>
  </si>
  <si>
    <t>PU00293</t>
  </si>
  <si>
    <t>PU00294</t>
  </si>
  <si>
    <t>PU00295</t>
  </si>
  <si>
    <t>PU00296</t>
  </si>
  <si>
    <t>PU00297</t>
  </si>
  <si>
    <t>PU00298</t>
  </si>
  <si>
    <t>PU00299</t>
  </si>
  <si>
    <t>PU00300</t>
  </si>
  <si>
    <t>PU00301</t>
  </si>
  <si>
    <t>PU00302</t>
  </si>
  <si>
    <t>PU00303</t>
  </si>
  <si>
    <t>PU00304</t>
  </si>
  <si>
    <t>PU00305</t>
  </si>
  <si>
    <t>PU00306</t>
  </si>
  <si>
    <t>PU00307</t>
  </si>
  <si>
    <t>PU00308</t>
  </si>
  <si>
    <t>PU00309</t>
  </si>
  <si>
    <t>PU00310</t>
  </si>
  <si>
    <t>PU00311</t>
  </si>
  <si>
    <t>PU00312</t>
  </si>
  <si>
    <t>PU00313</t>
  </si>
  <si>
    <t>PU00314</t>
  </si>
  <si>
    <t>PU00315</t>
  </si>
  <si>
    <t>PU00316</t>
  </si>
  <si>
    <t>PU00317</t>
  </si>
  <si>
    <t>PU00318</t>
  </si>
  <si>
    <t>PU00319</t>
  </si>
  <si>
    <t>PU00320</t>
  </si>
  <si>
    <t>PU00321</t>
  </si>
  <si>
    <t>PU00322</t>
  </si>
  <si>
    <t>PU00323</t>
  </si>
  <si>
    <t>PU00324</t>
  </si>
  <si>
    <t>PU00325</t>
  </si>
  <si>
    <t>PU00326</t>
  </si>
  <si>
    <t>PU00327</t>
  </si>
  <si>
    <t>PU00328</t>
  </si>
  <si>
    <t>PU00329</t>
  </si>
  <si>
    <t>PU00330</t>
  </si>
  <si>
    <t>PU00331</t>
  </si>
  <si>
    <t>PU00332</t>
  </si>
  <si>
    <t>PU00333</t>
  </si>
  <si>
    <t>PU00334</t>
  </si>
  <si>
    <t>PU00335</t>
  </si>
  <si>
    <t>PU00336</t>
  </si>
  <si>
    <t>PU00337</t>
  </si>
  <si>
    <t>PU00338</t>
  </si>
  <si>
    <t>PU00339</t>
  </si>
  <si>
    <t>PU00340</t>
  </si>
  <si>
    <t>PU00341</t>
  </si>
  <si>
    <t>PU00342</t>
  </si>
  <si>
    <t>PU00343</t>
  </si>
  <si>
    <t>PU00344</t>
  </si>
  <si>
    <t>PU00345</t>
  </si>
  <si>
    <t>PU00346</t>
  </si>
  <si>
    <t>PU00347</t>
  </si>
  <si>
    <t>PU00348</t>
  </si>
  <si>
    <t>PU00349</t>
  </si>
  <si>
    <t>PU00350</t>
  </si>
  <si>
    <t>PU00351</t>
  </si>
  <si>
    <t>PU00352</t>
  </si>
  <si>
    <t>PU00353</t>
  </si>
  <si>
    <t>PU00354</t>
  </si>
  <si>
    <t>PU00355</t>
  </si>
  <si>
    <t>PU00356</t>
  </si>
  <si>
    <t>PU00357</t>
  </si>
  <si>
    <t>PU00358</t>
  </si>
  <si>
    <t>PU00359</t>
  </si>
  <si>
    <t>PU00360</t>
  </si>
  <si>
    <t>PU00361</t>
  </si>
  <si>
    <t>PU00362</t>
  </si>
  <si>
    <t>PU00363</t>
  </si>
  <si>
    <t>PU00364</t>
  </si>
  <si>
    <t>PU00365</t>
  </si>
  <si>
    <t>PU00366</t>
  </si>
  <si>
    <t>PU00367</t>
  </si>
  <si>
    <t>PU00368</t>
  </si>
  <si>
    <t>PU00369</t>
  </si>
  <si>
    <t>PU00370</t>
  </si>
  <si>
    <t>PU00371</t>
  </si>
  <si>
    <t>PU00372</t>
  </si>
  <si>
    <t>PU00373</t>
  </si>
  <si>
    <t>PU00374</t>
  </si>
  <si>
    <t>PU00375</t>
  </si>
  <si>
    <t>PU00376</t>
  </si>
  <si>
    <t>PU00377</t>
  </si>
  <si>
    <t>PU00378</t>
  </si>
  <si>
    <t>PU00379</t>
  </si>
  <si>
    <t>PU00380</t>
  </si>
  <si>
    <t>PU00381</t>
  </si>
  <si>
    <t>PU00382</t>
  </si>
  <si>
    <t>PU00383</t>
  </si>
  <si>
    <t>PU00384</t>
  </si>
  <si>
    <t>PU00385</t>
  </si>
  <si>
    <t>PU00386</t>
  </si>
  <si>
    <t>PU00387</t>
  </si>
  <si>
    <t>PU00388</t>
  </si>
  <si>
    <t>PU00389</t>
  </si>
  <si>
    <t>PU00390</t>
  </si>
  <si>
    <t>PU00391</t>
  </si>
  <si>
    <t>PU00392</t>
  </si>
  <si>
    <t>PU00393</t>
  </si>
  <si>
    <t>PU00394</t>
  </si>
  <si>
    <t>PU00395</t>
  </si>
  <si>
    <t>PU00396</t>
  </si>
  <si>
    <t>PU00397</t>
  </si>
  <si>
    <t>PU00398</t>
  </si>
  <si>
    <t>PU00399</t>
  </si>
  <si>
    <t>PU00400</t>
  </si>
  <si>
    <t>PU00401</t>
  </si>
  <si>
    <t>PU00402</t>
  </si>
  <si>
    <t>PU00403</t>
  </si>
  <si>
    <t>PU00404</t>
  </si>
  <si>
    <t>PU00405</t>
  </si>
  <si>
    <t>PU00406</t>
  </si>
  <si>
    <t>PU00407</t>
  </si>
  <si>
    <t>PU00408</t>
  </si>
  <si>
    <t>PU00409</t>
  </si>
  <si>
    <t>PU00410</t>
  </si>
  <si>
    <t>PU00411</t>
  </si>
  <si>
    <t>PU00412</t>
  </si>
  <si>
    <t>PU00413</t>
  </si>
  <si>
    <t>PU00414</t>
  </si>
  <si>
    <t>PU00415</t>
  </si>
  <si>
    <t>PU00416</t>
  </si>
  <si>
    <t>PU00417</t>
  </si>
  <si>
    <t>PU00418</t>
  </si>
  <si>
    <t>PU00419</t>
  </si>
  <si>
    <t>PU00420</t>
  </si>
  <si>
    <t>PU00421</t>
  </si>
  <si>
    <t>PU00422</t>
  </si>
  <si>
    <t>PU00423</t>
  </si>
  <si>
    <t>PU00424</t>
  </si>
  <si>
    <t>PU00425</t>
  </si>
  <si>
    <t>PU00426</t>
  </si>
  <si>
    <t>PU00427</t>
  </si>
  <si>
    <t>PU00428</t>
  </si>
  <si>
    <t>PU00429</t>
  </si>
  <si>
    <t>PU00430</t>
  </si>
  <si>
    <t>PU00431</t>
  </si>
  <si>
    <t>PU00432</t>
  </si>
  <si>
    <t>PU00433</t>
  </si>
  <si>
    <t>PU00434</t>
  </si>
  <si>
    <t>PU00435</t>
  </si>
  <si>
    <t>PU00436</t>
  </si>
  <si>
    <t>PU00437</t>
  </si>
  <si>
    <t>PU00438</t>
  </si>
  <si>
    <t>PU00439</t>
  </si>
  <si>
    <t>PU00440</t>
  </si>
  <si>
    <t>PU00441</t>
  </si>
  <si>
    <t>PU00442</t>
  </si>
  <si>
    <t>PU00443</t>
  </si>
  <si>
    <t>PU00444</t>
  </si>
  <si>
    <t>PU00445</t>
  </si>
  <si>
    <t>PU00446</t>
  </si>
  <si>
    <t>PU00447</t>
  </si>
  <si>
    <t>PU00448</t>
  </si>
  <si>
    <t>PU00449</t>
  </si>
  <si>
    <t>PU00450</t>
  </si>
  <si>
    <t>PU00451</t>
  </si>
  <si>
    <t>PU00452</t>
  </si>
  <si>
    <t>PU00453</t>
  </si>
  <si>
    <t>PU00454</t>
  </si>
  <si>
    <t>PU00455</t>
  </si>
  <si>
    <t>PU00456</t>
  </si>
  <si>
    <t>PU00457</t>
  </si>
  <si>
    <t>PU00458</t>
  </si>
  <si>
    <t>PU00459</t>
  </si>
  <si>
    <t>PU00460</t>
  </si>
  <si>
    <t>PU00461</t>
  </si>
  <si>
    <t>PU00462</t>
  </si>
  <si>
    <t>PU00463</t>
  </si>
  <si>
    <t>PU00464</t>
  </si>
  <si>
    <t>PU00465</t>
  </si>
  <si>
    <t>PU00466</t>
  </si>
  <si>
    <t>PU00467</t>
  </si>
  <si>
    <t>PU00468</t>
  </si>
  <si>
    <t>PU00469</t>
  </si>
  <si>
    <t>PU00470</t>
  </si>
  <si>
    <t>PU00471</t>
  </si>
  <si>
    <t>PU00472</t>
  </si>
  <si>
    <t>PU00473</t>
  </si>
  <si>
    <t>PU00474</t>
  </si>
  <si>
    <t>PU00475</t>
  </si>
  <si>
    <t>PU00476</t>
  </si>
  <si>
    <t>PU00477</t>
  </si>
  <si>
    <t>PU00478</t>
  </si>
  <si>
    <t>PU00479</t>
  </si>
  <si>
    <t>PU00480</t>
  </si>
  <si>
    <t>PU00481</t>
  </si>
  <si>
    <t>PU00482</t>
  </si>
  <si>
    <t>PU00483</t>
  </si>
  <si>
    <t>PU00484</t>
  </si>
  <si>
    <t>PU00485</t>
  </si>
  <si>
    <t>PU00486</t>
  </si>
  <si>
    <t>PU00487</t>
  </si>
  <si>
    <t>PU00488</t>
  </si>
  <si>
    <t>PU00489</t>
  </si>
  <si>
    <t>PU00490</t>
  </si>
  <si>
    <t>PU00491</t>
  </si>
  <si>
    <t>PU00492</t>
  </si>
  <si>
    <t>PU00493</t>
  </si>
  <si>
    <t>PU00494</t>
  </si>
  <si>
    <t>PU00495</t>
  </si>
  <si>
    <t>PU00496</t>
  </si>
  <si>
    <t>PU00497</t>
  </si>
  <si>
    <t>PU00498</t>
  </si>
  <si>
    <t>PU00499</t>
  </si>
  <si>
    <t>PU00500</t>
  </si>
  <si>
    <t>PU00501</t>
  </si>
  <si>
    <t>PU00502</t>
  </si>
  <si>
    <t>PU00503</t>
  </si>
  <si>
    <t>PU00504</t>
  </si>
  <si>
    <t>PU00505</t>
  </si>
  <si>
    <t>PU00506</t>
  </si>
  <si>
    <t>PU00507</t>
  </si>
  <si>
    <t>PU00508</t>
  </si>
  <si>
    <t>PU00509</t>
  </si>
  <si>
    <t>PU00510</t>
  </si>
  <si>
    <t>PU00511</t>
  </si>
  <si>
    <t>PU00512</t>
  </si>
  <si>
    <t>PU00513</t>
  </si>
  <si>
    <t>PU00514</t>
  </si>
  <si>
    <t>PU00515</t>
  </si>
  <si>
    <t>PU00516</t>
  </si>
  <si>
    <t>PU00517</t>
  </si>
  <si>
    <t>PU00518</t>
  </si>
  <si>
    <t>PU00519</t>
  </si>
  <si>
    <t>PU00520</t>
  </si>
  <si>
    <t>PU00521</t>
  </si>
  <si>
    <t>PU00522</t>
  </si>
  <si>
    <t>PU00523</t>
  </si>
  <si>
    <t>PU00524</t>
  </si>
  <si>
    <t>PU00525</t>
  </si>
  <si>
    <t>PU00526</t>
  </si>
  <si>
    <t>PU00527</t>
  </si>
  <si>
    <t>PU00528</t>
  </si>
  <si>
    <t>PU00529</t>
  </si>
  <si>
    <t>PU00530</t>
  </si>
  <si>
    <t>PU00531</t>
  </si>
  <si>
    <t>PU00532</t>
  </si>
  <si>
    <t>PU00533</t>
  </si>
  <si>
    <t>PU00534</t>
  </si>
  <si>
    <t>PU00535</t>
  </si>
  <si>
    <t>PU00536</t>
  </si>
  <si>
    <t>PU00537</t>
  </si>
  <si>
    <t>PU00538</t>
  </si>
  <si>
    <t>PU00539</t>
  </si>
  <si>
    <t>PU00540</t>
  </si>
  <si>
    <t>PU00541</t>
  </si>
  <si>
    <t>PU00542</t>
  </si>
  <si>
    <t>PU00543</t>
  </si>
  <si>
    <t>PU00544</t>
  </si>
  <si>
    <t>PU00545</t>
  </si>
  <si>
    <t>PU00546</t>
  </si>
  <si>
    <t>PU00547</t>
  </si>
  <si>
    <t>PU00548</t>
  </si>
  <si>
    <t>PU00549</t>
  </si>
  <si>
    <t>PU00550</t>
  </si>
  <si>
    <t>PU00551</t>
  </si>
  <si>
    <t>PU00552</t>
  </si>
  <si>
    <t>PU00553</t>
  </si>
  <si>
    <t>PU00554</t>
  </si>
  <si>
    <t>PU00555</t>
  </si>
  <si>
    <t>PU00556</t>
  </si>
  <si>
    <t>PU00557</t>
  </si>
  <si>
    <t>PU00558</t>
  </si>
  <si>
    <t>PU00559</t>
  </si>
  <si>
    <t>PU00560</t>
  </si>
  <si>
    <t>PU00561</t>
  </si>
  <si>
    <t>PU00562</t>
  </si>
  <si>
    <t>PU00563</t>
  </si>
  <si>
    <t>PU00564</t>
  </si>
  <si>
    <t>PU00565</t>
  </si>
  <si>
    <t>PU00566</t>
  </si>
  <si>
    <t>PU00567</t>
  </si>
  <si>
    <t>PU00568</t>
  </si>
  <si>
    <t>PU00569</t>
  </si>
  <si>
    <t>PU00570</t>
  </si>
  <si>
    <t>PU00571</t>
  </si>
  <si>
    <t>PU00572</t>
  </si>
  <si>
    <t>PU00573</t>
  </si>
  <si>
    <t>PU00574</t>
  </si>
  <si>
    <t>PU00575</t>
  </si>
  <si>
    <t>PU00576</t>
  </si>
  <si>
    <t>PU00577</t>
  </si>
  <si>
    <t>PU00578</t>
  </si>
  <si>
    <t>PU00579</t>
  </si>
  <si>
    <t>PU00580</t>
  </si>
  <si>
    <t>PU00581</t>
  </si>
  <si>
    <t>PU00582</t>
  </si>
  <si>
    <t>PU00583</t>
  </si>
  <si>
    <t>PU00584</t>
  </si>
  <si>
    <t>PU00585</t>
  </si>
  <si>
    <t>PU00586</t>
  </si>
  <si>
    <t>PU00587</t>
  </si>
  <si>
    <t>PU00588</t>
  </si>
  <si>
    <t>PU00589</t>
  </si>
  <si>
    <t>PU00590</t>
  </si>
  <si>
    <t>PU00591</t>
  </si>
  <si>
    <t>PU00592</t>
  </si>
  <si>
    <t>PU00593</t>
  </si>
  <si>
    <t>PU00594</t>
  </si>
  <si>
    <t>PU00595</t>
  </si>
  <si>
    <t>PU00596</t>
  </si>
  <si>
    <t>PU00597</t>
  </si>
  <si>
    <t>PU00598</t>
  </si>
  <si>
    <t>PU00599</t>
  </si>
  <si>
    <t>PU00600</t>
  </si>
  <si>
    <t>PU00601</t>
  </si>
  <si>
    <t>PU00602</t>
  </si>
  <si>
    <t>PU00603</t>
  </si>
  <si>
    <t>PU00604</t>
  </si>
  <si>
    <t>PU00605</t>
  </si>
  <si>
    <t>PU00606</t>
  </si>
  <si>
    <t>PU00607</t>
  </si>
  <si>
    <t>PU00608</t>
  </si>
  <si>
    <t>PU00609</t>
  </si>
  <si>
    <t>PU00610</t>
  </si>
  <si>
    <t>PU00611</t>
  </si>
  <si>
    <t>PU00612</t>
  </si>
  <si>
    <t>PU00613</t>
  </si>
  <si>
    <t>PU00614</t>
  </si>
  <si>
    <t>PU00615</t>
  </si>
  <si>
    <t>PU00616</t>
  </si>
  <si>
    <t>PU00617</t>
  </si>
  <si>
    <t>PU00618</t>
  </si>
  <si>
    <t>PU00619</t>
  </si>
  <si>
    <t>PU00620</t>
  </si>
  <si>
    <t>PU00621</t>
  </si>
  <si>
    <t>PU00622</t>
  </si>
  <si>
    <t>PU00623</t>
  </si>
  <si>
    <t>PU00624</t>
  </si>
  <si>
    <t>PU00625</t>
  </si>
  <si>
    <t>PU00626</t>
  </si>
  <si>
    <t>PU00627</t>
  </si>
  <si>
    <t>PU00628</t>
  </si>
  <si>
    <t>PU00629</t>
  </si>
  <si>
    <t>PU00630</t>
  </si>
  <si>
    <t>PU00631</t>
  </si>
  <si>
    <t>PU00632</t>
  </si>
  <si>
    <t>PU00633</t>
  </si>
  <si>
    <t>PU00634</t>
  </si>
  <si>
    <t>PU00635</t>
  </si>
  <si>
    <t>PU00636</t>
  </si>
  <si>
    <t>PU00637</t>
  </si>
  <si>
    <t>PU00638</t>
  </si>
  <si>
    <t>PU00639</t>
  </si>
  <si>
    <t>PU00640</t>
  </si>
  <si>
    <t>PU00641</t>
  </si>
  <si>
    <t>PU00642</t>
  </si>
  <si>
    <t>PU00643</t>
  </si>
  <si>
    <t>PU00644</t>
  </si>
  <si>
    <t>PU00645</t>
  </si>
  <si>
    <t>PU00646</t>
  </si>
  <si>
    <t>PU00647</t>
  </si>
  <si>
    <t>PU00648</t>
  </si>
  <si>
    <t>PU00649</t>
  </si>
  <si>
    <t>PU00650</t>
  </si>
  <si>
    <t>PU00651</t>
  </si>
  <si>
    <t>PU00652</t>
  </si>
  <si>
    <t>PU00653</t>
  </si>
  <si>
    <t>PU00654</t>
  </si>
  <si>
    <t>PU00655</t>
  </si>
  <si>
    <t>PU00656</t>
  </si>
  <si>
    <t>PU00657</t>
  </si>
  <si>
    <t>PU00658</t>
  </si>
  <si>
    <t>PU00659</t>
  </si>
  <si>
    <t>PU00660</t>
  </si>
  <si>
    <t>PU00661</t>
  </si>
  <si>
    <t>PU00662</t>
  </si>
  <si>
    <t>PU00663</t>
  </si>
  <si>
    <t>PU00664</t>
  </si>
  <si>
    <t>PU00665</t>
  </si>
  <si>
    <t>PU00666</t>
  </si>
  <si>
    <t>PU00667</t>
  </si>
  <si>
    <t>PU00668</t>
  </si>
  <si>
    <t>PU00669</t>
  </si>
  <si>
    <t>PU00670</t>
  </si>
  <si>
    <t>PU00671</t>
  </si>
  <si>
    <t>PU00672</t>
  </si>
  <si>
    <t>PU00673</t>
  </si>
  <si>
    <t>PU00674</t>
  </si>
  <si>
    <t>PU00675</t>
  </si>
  <si>
    <t>PU00676</t>
  </si>
  <si>
    <t>PU00677</t>
  </si>
  <si>
    <t>PU00678</t>
  </si>
  <si>
    <t>PU00679</t>
  </si>
  <si>
    <t>PU00680</t>
  </si>
  <si>
    <t>PU00681</t>
  </si>
  <si>
    <t>PU00682</t>
  </si>
  <si>
    <t>PU00683</t>
  </si>
  <si>
    <t>PU00684</t>
  </si>
  <si>
    <t>PU00685</t>
  </si>
  <si>
    <t>PU00686</t>
  </si>
  <si>
    <t>PU00687</t>
  </si>
  <si>
    <t>PU00688</t>
  </si>
  <si>
    <t>PU00689</t>
  </si>
  <si>
    <t>PU00690</t>
  </si>
  <si>
    <t>PU00691</t>
  </si>
  <si>
    <t>PU00692</t>
  </si>
  <si>
    <t>PU00693</t>
  </si>
  <si>
    <t>PU00694</t>
  </si>
  <si>
    <t>PU00695</t>
  </si>
  <si>
    <t>PU00696</t>
  </si>
  <si>
    <t>PU00697</t>
  </si>
  <si>
    <t>PU00698</t>
  </si>
  <si>
    <t>PU00699</t>
  </si>
  <si>
    <t>PU00700</t>
  </si>
  <si>
    <t>PU00701</t>
  </si>
  <si>
    <t>PU00702</t>
  </si>
  <si>
    <t>PU00703</t>
  </si>
  <si>
    <t>PU00704</t>
  </si>
  <si>
    <t>PU00705</t>
  </si>
  <si>
    <t>PU00706</t>
  </si>
  <si>
    <t>PU00707</t>
  </si>
  <si>
    <t>PU00708</t>
  </si>
  <si>
    <t>PU00709</t>
  </si>
  <si>
    <t>PU00710</t>
  </si>
  <si>
    <t>PU00711</t>
  </si>
  <si>
    <t>PU00712</t>
  </si>
  <si>
    <t>PU00713</t>
  </si>
  <si>
    <t>PU00714</t>
  </si>
  <si>
    <t>PU00715</t>
  </si>
  <si>
    <t>PU00716</t>
  </si>
  <si>
    <t>PU00717</t>
  </si>
  <si>
    <t>PU00718</t>
  </si>
  <si>
    <t>PU00719</t>
  </si>
  <si>
    <t>PU00720</t>
  </si>
  <si>
    <t>PU00721</t>
  </si>
  <si>
    <t>PU00722</t>
  </si>
  <si>
    <t>PU00723</t>
  </si>
  <si>
    <t>PU00724</t>
  </si>
  <si>
    <t>PU00725</t>
  </si>
  <si>
    <t>PU00726</t>
  </si>
  <si>
    <t>PU00727</t>
  </si>
  <si>
    <t>PU00728</t>
  </si>
  <si>
    <t>PU00729</t>
  </si>
  <si>
    <t>PU00730</t>
  </si>
  <si>
    <t>PU00731</t>
  </si>
  <si>
    <t>PU00732</t>
  </si>
  <si>
    <t>PU00733</t>
  </si>
  <si>
    <t>PU00734</t>
  </si>
  <si>
    <t>PU00735</t>
  </si>
  <si>
    <t>PU00736</t>
  </si>
  <si>
    <t>PU00737</t>
  </si>
  <si>
    <t>PU00738</t>
  </si>
  <si>
    <t>PU00739</t>
  </si>
  <si>
    <t>PU00740</t>
  </si>
  <si>
    <t>PU00741</t>
  </si>
  <si>
    <t>PU00742</t>
  </si>
  <si>
    <t>PU00743</t>
  </si>
  <si>
    <t>PU00744</t>
  </si>
  <si>
    <t>PU00745</t>
  </si>
  <si>
    <t>PU00746</t>
  </si>
  <si>
    <t>PU00747</t>
  </si>
  <si>
    <t>PU00748</t>
  </si>
  <si>
    <t>PU00749</t>
  </si>
  <si>
    <t>PU00750</t>
  </si>
  <si>
    <t>PU00751</t>
  </si>
  <si>
    <t>PU00752</t>
  </si>
  <si>
    <t>PU00753</t>
  </si>
  <si>
    <t>PU00754</t>
  </si>
  <si>
    <t>PU00755</t>
  </si>
  <si>
    <t>PU00756</t>
  </si>
  <si>
    <t>PU00757</t>
  </si>
  <si>
    <t>PU00758</t>
  </si>
  <si>
    <t>PU00759</t>
  </si>
  <si>
    <t>PU00760</t>
  </si>
  <si>
    <t>PU00761</t>
  </si>
  <si>
    <t>PU00762</t>
  </si>
  <si>
    <t>PU00763</t>
  </si>
  <si>
    <t>PU00764</t>
  </si>
  <si>
    <t>PU00765</t>
  </si>
  <si>
    <t>PU00766</t>
  </si>
  <si>
    <t>PU00767</t>
  </si>
  <si>
    <t>PU00768</t>
  </si>
  <si>
    <t>PU00769</t>
  </si>
  <si>
    <t>PU00770</t>
  </si>
  <si>
    <t>PU00771</t>
  </si>
  <si>
    <t>PU00772</t>
  </si>
  <si>
    <t>PU00773</t>
  </si>
  <si>
    <t>PU00774</t>
  </si>
  <si>
    <t>PU00775</t>
  </si>
  <si>
    <t>PU00776</t>
  </si>
  <si>
    <t>PU00777</t>
  </si>
  <si>
    <t>PU00778</t>
  </si>
  <si>
    <t>PU00779</t>
  </si>
  <si>
    <t>PU00780</t>
  </si>
  <si>
    <t>PU00781</t>
  </si>
  <si>
    <t>PU00782</t>
  </si>
  <si>
    <t>PU00783</t>
  </si>
  <si>
    <t>PU00784</t>
  </si>
  <si>
    <t>PU00785</t>
  </si>
  <si>
    <t>PU00786</t>
  </si>
  <si>
    <t>PU00787</t>
  </si>
  <si>
    <t>PU00788</t>
  </si>
  <si>
    <t>PU00789</t>
  </si>
  <si>
    <t>PU00790</t>
  </si>
  <si>
    <t>PU00791</t>
  </si>
  <si>
    <t>PU00792</t>
  </si>
  <si>
    <t>PU00793</t>
  </si>
  <si>
    <t>PU00794</t>
  </si>
  <si>
    <t>PU00795</t>
  </si>
  <si>
    <t>PU00796</t>
  </si>
  <si>
    <t>PU00797</t>
  </si>
  <si>
    <t>PU00798</t>
  </si>
  <si>
    <t>PU00799</t>
  </si>
  <si>
    <t>PU00800</t>
  </si>
  <si>
    <t>PU00801</t>
  </si>
  <si>
    <t>PU00802</t>
  </si>
  <si>
    <t>PU00803</t>
  </si>
  <si>
    <t>PU00804</t>
  </si>
  <si>
    <t>PU00805</t>
  </si>
  <si>
    <t>PU00806</t>
  </si>
  <si>
    <t>PU00807</t>
  </si>
  <si>
    <t>PU00808</t>
  </si>
  <si>
    <t>PU00809</t>
  </si>
  <si>
    <t>PU00810</t>
  </si>
  <si>
    <t>PU00811</t>
  </si>
  <si>
    <t>PU00812</t>
  </si>
  <si>
    <t>PU00813</t>
  </si>
  <si>
    <t>PU00814</t>
  </si>
  <si>
    <t>PU00815</t>
  </si>
  <si>
    <t>PU00816</t>
  </si>
  <si>
    <t>PU00817</t>
  </si>
  <si>
    <t>PU00818</t>
  </si>
  <si>
    <t>PU00819</t>
  </si>
  <si>
    <t>PU00820</t>
  </si>
  <si>
    <t>PU00821</t>
  </si>
  <si>
    <t>PU00822</t>
  </si>
  <si>
    <t>PU00823</t>
  </si>
  <si>
    <t>PU00824</t>
  </si>
  <si>
    <t>PU00825</t>
  </si>
  <si>
    <t>PU00826</t>
  </si>
  <si>
    <t>PU00827</t>
  </si>
  <si>
    <t>PU00828</t>
  </si>
  <si>
    <t>PU00829</t>
  </si>
  <si>
    <t>PU00830</t>
  </si>
  <si>
    <t>PU00831</t>
  </si>
  <si>
    <t>PU00832</t>
  </si>
  <si>
    <t>PU00833</t>
  </si>
  <si>
    <t>PU00834</t>
  </si>
  <si>
    <t>PU00835</t>
  </si>
  <si>
    <t>PU00836</t>
  </si>
  <si>
    <t>PU00837</t>
  </si>
  <si>
    <t>PU00838</t>
  </si>
  <si>
    <t>PU00839</t>
  </si>
  <si>
    <t>PU00840</t>
  </si>
  <si>
    <t>PU00841</t>
  </si>
  <si>
    <t>PU00842</t>
  </si>
  <si>
    <t>PU00843</t>
  </si>
  <si>
    <t>PU00844</t>
  </si>
  <si>
    <t>PU00845</t>
  </si>
  <si>
    <t>PU00846</t>
  </si>
  <si>
    <t>PU00847</t>
  </si>
  <si>
    <t>PU00848</t>
  </si>
  <si>
    <t>PU00849</t>
  </si>
  <si>
    <t>PU00850</t>
  </si>
  <si>
    <t>PU00851</t>
  </si>
  <si>
    <t>PU00852</t>
  </si>
  <si>
    <t>PU00853</t>
  </si>
  <si>
    <t>PU00854</t>
  </si>
  <si>
    <t>PU00855</t>
  </si>
  <si>
    <t>PU00856</t>
  </si>
  <si>
    <t>PU00857</t>
  </si>
  <si>
    <t>PU00858</t>
  </si>
  <si>
    <t>PU00859</t>
  </si>
  <si>
    <t>PU00860</t>
  </si>
  <si>
    <t>PU00861</t>
  </si>
  <si>
    <t>PU00862</t>
  </si>
  <si>
    <t>PU00863</t>
  </si>
  <si>
    <t>PU00864</t>
  </si>
  <si>
    <t>PU00865</t>
  </si>
  <si>
    <t>PU00866</t>
  </si>
  <si>
    <t>PU00867</t>
  </si>
  <si>
    <t>PU00868</t>
  </si>
  <si>
    <t>PU00869</t>
  </si>
  <si>
    <t>PU00870</t>
  </si>
  <si>
    <t>PU00871</t>
  </si>
  <si>
    <t>PU00872</t>
  </si>
  <si>
    <t>PU00873</t>
  </si>
  <si>
    <t>PU00874</t>
  </si>
  <si>
    <t>PU00875</t>
  </si>
  <si>
    <t>PU00876</t>
  </si>
  <si>
    <t>PU00877</t>
  </si>
  <si>
    <t>PU00878</t>
  </si>
  <si>
    <t>PU00879</t>
  </si>
  <si>
    <t>PU00880</t>
  </si>
  <si>
    <t>PU00881</t>
  </si>
  <si>
    <t>PU00882</t>
  </si>
  <si>
    <t>PU00883</t>
  </si>
  <si>
    <t>PU00884</t>
  </si>
  <si>
    <t>PU00885</t>
  </si>
  <si>
    <t>PU00886</t>
  </si>
  <si>
    <t>PU00887</t>
  </si>
  <si>
    <t>PU00888</t>
  </si>
  <si>
    <t>PU00889</t>
  </si>
  <si>
    <t>PU00890</t>
  </si>
  <si>
    <t>PU00891</t>
  </si>
  <si>
    <t>PU00892</t>
  </si>
  <si>
    <t>PU00893</t>
  </si>
  <si>
    <t>PU00894</t>
  </si>
  <si>
    <t>PU00895</t>
  </si>
  <si>
    <t>PU00896</t>
  </si>
  <si>
    <t>PU00897</t>
  </si>
  <si>
    <t>PU00898</t>
  </si>
  <si>
    <t>PU00899</t>
  </si>
  <si>
    <t>PU00900</t>
  </si>
  <si>
    <t>PU00901</t>
  </si>
  <si>
    <t>PU00902</t>
  </si>
  <si>
    <t>PU00903</t>
  </si>
  <si>
    <t>PU00904</t>
  </si>
  <si>
    <t>PU00905</t>
  </si>
  <si>
    <t>PU00906</t>
  </si>
  <si>
    <t>PU00907</t>
  </si>
  <si>
    <t>PU00908</t>
  </si>
  <si>
    <t>PU00909</t>
  </si>
  <si>
    <t>PU00910</t>
  </si>
  <si>
    <t>PU00911</t>
  </si>
  <si>
    <t>PU00912</t>
  </si>
  <si>
    <t>PU00913</t>
  </si>
  <si>
    <t>PU00914</t>
  </si>
  <si>
    <t>PU00915</t>
  </si>
  <si>
    <t>PU00916</t>
  </si>
  <si>
    <t>PU00917</t>
  </si>
  <si>
    <t>PU00918</t>
  </si>
  <si>
    <t>PU00919</t>
  </si>
  <si>
    <t>PU00920</t>
  </si>
  <si>
    <t>PU00921</t>
  </si>
  <si>
    <t>PU00922</t>
  </si>
  <si>
    <t>PU00923</t>
  </si>
  <si>
    <t>PU00924</t>
  </si>
  <si>
    <t>PU00925</t>
  </si>
  <si>
    <t>PU00926</t>
  </si>
  <si>
    <t>PU00927</t>
  </si>
  <si>
    <t>PU00928</t>
  </si>
  <si>
    <t>PU00929</t>
  </si>
  <si>
    <t>PU00930</t>
  </si>
  <si>
    <t>PU00931</t>
  </si>
  <si>
    <t>PU00932</t>
  </si>
  <si>
    <t>PU00933</t>
  </si>
  <si>
    <t>PU00934</t>
  </si>
  <si>
    <t>PU00935</t>
  </si>
  <si>
    <t>PU00936</t>
  </si>
  <si>
    <t>PU00937</t>
  </si>
  <si>
    <t>PU00938</t>
  </si>
  <si>
    <t>PU00939</t>
  </si>
  <si>
    <t>PU00940</t>
  </si>
  <si>
    <t>PU00941</t>
  </si>
  <si>
    <t>PU00942</t>
  </si>
  <si>
    <t>PU00943</t>
  </si>
  <si>
    <t>PU00944</t>
  </si>
  <si>
    <t>PU00945</t>
  </si>
  <si>
    <t>PU00946</t>
  </si>
  <si>
    <t>PU00947</t>
  </si>
  <si>
    <t>PU00948</t>
  </si>
  <si>
    <t>PU00949</t>
  </si>
  <si>
    <t>PU00950</t>
  </si>
  <si>
    <t>PU00951</t>
  </si>
  <si>
    <t>PU00952</t>
  </si>
  <si>
    <t>PU00953</t>
  </si>
  <si>
    <t>PU00954</t>
  </si>
  <si>
    <t>PU00955</t>
  </si>
  <si>
    <t>PU00956</t>
  </si>
  <si>
    <t>PU00957</t>
  </si>
  <si>
    <t>PU00958</t>
  </si>
  <si>
    <t>PU00959</t>
  </si>
  <si>
    <t>PU00960</t>
  </si>
  <si>
    <t>PU00961</t>
  </si>
  <si>
    <t>PU00962</t>
  </si>
  <si>
    <t>PU00963</t>
  </si>
  <si>
    <t>PU00964</t>
  </si>
  <si>
    <t>PU00965</t>
  </si>
  <si>
    <t>PU00966</t>
  </si>
  <si>
    <t>PU00967</t>
  </si>
  <si>
    <t>PU00968</t>
  </si>
  <si>
    <t>PU00969</t>
  </si>
  <si>
    <t>PU00970</t>
  </si>
  <si>
    <t>PU00971</t>
  </si>
  <si>
    <t>PU00972</t>
  </si>
  <si>
    <t>PU00973</t>
  </si>
  <si>
    <t>PU00974</t>
  </si>
  <si>
    <t>PU00975</t>
  </si>
  <si>
    <t>PU00976</t>
  </si>
  <si>
    <t>PU00977</t>
  </si>
  <si>
    <t>PU00978</t>
  </si>
  <si>
    <t>PU00979</t>
  </si>
  <si>
    <t>PU00980</t>
  </si>
  <si>
    <t>PU00981</t>
  </si>
  <si>
    <t>PU00982</t>
  </si>
  <si>
    <t>PU00983</t>
  </si>
  <si>
    <t>PU00984</t>
  </si>
  <si>
    <t>PU00985</t>
  </si>
  <si>
    <t>PU00986</t>
  </si>
  <si>
    <t>PU00987</t>
  </si>
  <si>
    <t>PU00988</t>
  </si>
  <si>
    <t>PU00989</t>
  </si>
  <si>
    <t>PU00990</t>
  </si>
  <si>
    <t>PU00991</t>
  </si>
  <si>
    <t>PU00992</t>
  </si>
  <si>
    <t>PU00993</t>
  </si>
  <si>
    <t>PU00994</t>
  </si>
  <si>
    <t>PU00995</t>
  </si>
  <si>
    <t>PU00996</t>
  </si>
  <si>
    <t>PU00997</t>
  </si>
  <si>
    <t>PU00998</t>
  </si>
  <si>
    <t>PU00999</t>
  </si>
  <si>
    <t>PU01000</t>
  </si>
  <si>
    <t>PU01001</t>
  </si>
  <si>
    <t>PU01002</t>
  </si>
  <si>
    <t>PU01003</t>
  </si>
  <si>
    <t>PU01004</t>
  </si>
  <si>
    <t>PU01005</t>
  </si>
  <si>
    <t>PU01006</t>
  </si>
  <si>
    <t>PU01007</t>
  </si>
  <si>
    <t>PU01008</t>
  </si>
  <si>
    <t>PU01009</t>
  </si>
  <si>
    <t>PU01010</t>
  </si>
  <si>
    <t>PU01011</t>
  </si>
  <si>
    <t>PU01012</t>
  </si>
  <si>
    <t>PU01013</t>
  </si>
  <si>
    <t>PU01014</t>
  </si>
  <si>
    <t>PU01015</t>
  </si>
  <si>
    <t>PU01016</t>
  </si>
  <si>
    <t>PU01017</t>
  </si>
  <si>
    <t>PU01018</t>
  </si>
  <si>
    <t>PU01019</t>
  </si>
  <si>
    <t>PU01020</t>
  </si>
  <si>
    <t>PU01021</t>
  </si>
  <si>
    <t>PU01022</t>
  </si>
  <si>
    <t>PU01023</t>
  </si>
  <si>
    <t>PU01024</t>
  </si>
  <si>
    <t>PU01025</t>
  </si>
  <si>
    <t>PU01026</t>
  </si>
  <si>
    <t>PU01027</t>
  </si>
  <si>
    <t>PU01028</t>
  </si>
  <si>
    <t>PU01029</t>
  </si>
  <si>
    <t>PU01030</t>
  </si>
  <si>
    <t>PU01031</t>
  </si>
  <si>
    <t>PU01032</t>
  </si>
  <si>
    <t>PU01033</t>
  </si>
  <si>
    <t>PU01034</t>
  </si>
  <si>
    <t>PU01035</t>
  </si>
  <si>
    <t>PU01036</t>
  </si>
  <si>
    <t>PU01037</t>
  </si>
  <si>
    <t>PU01038</t>
  </si>
  <si>
    <t>PU01039</t>
  </si>
  <si>
    <t>PU01040</t>
  </si>
  <si>
    <t>PU01041</t>
  </si>
  <si>
    <t>PU01042</t>
  </si>
  <si>
    <t>PU01043</t>
  </si>
  <si>
    <t>PU01044</t>
  </si>
  <si>
    <t>PU01045</t>
  </si>
  <si>
    <t>PU01046</t>
  </si>
  <si>
    <t>PU01047</t>
  </si>
  <si>
    <t>PU01048</t>
  </si>
  <si>
    <t>PU01049</t>
  </si>
  <si>
    <t>PU01050</t>
  </si>
  <si>
    <t>PU01051</t>
  </si>
  <si>
    <t>PU01052</t>
  </si>
  <si>
    <t>PU01053</t>
  </si>
  <si>
    <t>PU01054</t>
  </si>
  <si>
    <t>PU01055</t>
  </si>
  <si>
    <t>PU01056</t>
  </si>
  <si>
    <t>PU01057</t>
  </si>
  <si>
    <t>PU01058</t>
  </si>
  <si>
    <t>PU01059</t>
  </si>
  <si>
    <t>PU01060</t>
  </si>
  <si>
    <t>PU01061</t>
  </si>
  <si>
    <t>PU01062</t>
  </si>
  <si>
    <t>PU01063</t>
  </si>
  <si>
    <t>PU01064</t>
  </si>
  <si>
    <t>PU01065</t>
  </si>
  <si>
    <t>PU01066</t>
  </si>
  <si>
    <t>PU01067</t>
  </si>
  <si>
    <t>PU01068</t>
  </si>
  <si>
    <t>PU01069</t>
  </si>
  <si>
    <t>PU01070</t>
  </si>
  <si>
    <t>PU01071</t>
  </si>
  <si>
    <t>PU01072</t>
  </si>
  <si>
    <t>PU01073</t>
  </si>
  <si>
    <t>PU01074</t>
  </si>
  <si>
    <t>PU01075</t>
  </si>
  <si>
    <t>PU01076</t>
  </si>
  <si>
    <t>PU01077</t>
  </si>
  <si>
    <t>PU01078</t>
  </si>
  <si>
    <t>PU01079</t>
  </si>
  <si>
    <t>PU01080</t>
  </si>
  <si>
    <t>PU01081</t>
  </si>
  <si>
    <t>PU01082</t>
  </si>
  <si>
    <t>PU01083</t>
  </si>
  <si>
    <t>PU01084</t>
  </si>
  <si>
    <t>PU01085</t>
  </si>
  <si>
    <t>PU01086</t>
  </si>
  <si>
    <t>PU01087</t>
  </si>
  <si>
    <t>PU01088</t>
  </si>
  <si>
    <t>PU01089</t>
  </si>
  <si>
    <t>PU01090</t>
  </si>
  <si>
    <t>PU01091</t>
  </si>
  <si>
    <t>PU01092</t>
  </si>
  <si>
    <t>PU01093</t>
  </si>
  <si>
    <t>PU01094</t>
  </si>
  <si>
    <t>PU01095</t>
  </si>
  <si>
    <t>PU01096</t>
  </si>
  <si>
    <t>PU01097</t>
  </si>
  <si>
    <t>PU01098</t>
  </si>
  <si>
    <t>PU01099</t>
  </si>
  <si>
    <t>PU01100</t>
  </si>
  <si>
    <t>PU01101</t>
  </si>
  <si>
    <t>PU01102</t>
  </si>
  <si>
    <t>PU01103</t>
  </si>
  <si>
    <t>PU01104</t>
  </si>
  <si>
    <t>PU01105</t>
  </si>
  <si>
    <t>PU01106</t>
  </si>
  <si>
    <t>PU01107</t>
  </si>
  <si>
    <t>PU01108</t>
  </si>
  <si>
    <t>PU01109</t>
  </si>
  <si>
    <t>PU01110</t>
  </si>
  <si>
    <t>PU01111</t>
  </si>
  <si>
    <t>PU01112</t>
  </si>
  <si>
    <t>PU01113</t>
  </si>
  <si>
    <t>PU01114</t>
  </si>
  <si>
    <t>PU01115</t>
  </si>
  <si>
    <t>PU01116</t>
  </si>
  <si>
    <t>PU01117</t>
  </si>
  <si>
    <t>PU01118</t>
  </si>
  <si>
    <t>PU01119</t>
  </si>
  <si>
    <t>PU01120</t>
  </si>
  <si>
    <t>PU01121</t>
  </si>
  <si>
    <t>PU01122</t>
  </si>
  <si>
    <t>PU01123</t>
  </si>
  <si>
    <t>PU01124</t>
  </si>
  <si>
    <t>PU01125</t>
  </si>
  <si>
    <t>PU01126</t>
  </si>
  <si>
    <t>PU01127</t>
  </si>
  <si>
    <t>PU01128</t>
  </si>
  <si>
    <t>PU01129</t>
  </si>
  <si>
    <t>PU01130</t>
  </si>
  <si>
    <t>PU01131</t>
  </si>
  <si>
    <t>PU01132</t>
  </si>
  <si>
    <t>PU01133</t>
  </si>
  <si>
    <t>PU01134</t>
  </si>
  <si>
    <t>PU01135</t>
  </si>
  <si>
    <t>PU01136</t>
  </si>
  <si>
    <t>PU01137</t>
  </si>
  <si>
    <t>PU01138</t>
  </si>
  <si>
    <t>PU01139</t>
  </si>
  <si>
    <t>PU01140</t>
  </si>
  <si>
    <t>PU01141</t>
  </si>
  <si>
    <t>PU01142</t>
  </si>
  <si>
    <t>PU01143</t>
  </si>
  <si>
    <t>PU01144</t>
  </si>
  <si>
    <t>PU01145</t>
  </si>
  <si>
    <t>PU01146</t>
  </si>
  <si>
    <t>PU01147</t>
  </si>
  <si>
    <t>PU01148</t>
  </si>
  <si>
    <t>PU01149</t>
  </si>
  <si>
    <t>PU01150</t>
  </si>
  <si>
    <t>PU01151</t>
  </si>
  <si>
    <t>PU01152</t>
  </si>
  <si>
    <t>PU01153</t>
  </si>
  <si>
    <t>PU01154</t>
  </si>
  <si>
    <t>PU01155</t>
  </si>
  <si>
    <t>PU01156</t>
  </si>
  <si>
    <t>PU01157</t>
  </si>
  <si>
    <t>PU01158</t>
  </si>
  <si>
    <t>PU01159</t>
  </si>
  <si>
    <t>PU01160</t>
  </si>
  <si>
    <t>PU01161</t>
  </si>
  <si>
    <t>PU01162</t>
  </si>
  <si>
    <t>PU01163</t>
  </si>
  <si>
    <t>PU01164</t>
  </si>
  <si>
    <t>PU01165</t>
  </si>
  <si>
    <t>PU01166</t>
  </si>
  <si>
    <t>PU01167</t>
  </si>
  <si>
    <t>PU01168</t>
  </si>
  <si>
    <t>PU01169</t>
  </si>
  <si>
    <t>PU01170</t>
  </si>
  <si>
    <t>PU01171</t>
  </si>
  <si>
    <t>PU01172</t>
  </si>
  <si>
    <t>PU01173</t>
  </si>
  <si>
    <t>PU01174</t>
  </si>
  <si>
    <t>PU01175</t>
  </si>
  <si>
    <t>PU01176</t>
  </si>
  <si>
    <t>PU01177</t>
  </si>
  <si>
    <t>PU01178</t>
  </si>
  <si>
    <t>PU01179</t>
  </si>
  <si>
    <t>PU01180</t>
  </si>
  <si>
    <t>PU01181</t>
  </si>
  <si>
    <t>PU01182</t>
  </si>
  <si>
    <t>PU01183</t>
  </si>
  <si>
    <t>PU01184</t>
  </si>
  <si>
    <t>PU01185</t>
  </si>
  <si>
    <t>PU01186</t>
  </si>
  <si>
    <t>PU01187</t>
  </si>
  <si>
    <t>PU01188</t>
  </si>
  <si>
    <t>PU01189</t>
  </si>
  <si>
    <t>PU01190</t>
  </si>
  <si>
    <t>PU01191</t>
  </si>
  <si>
    <t>PU01192</t>
  </si>
  <si>
    <t>PU01193</t>
  </si>
  <si>
    <t>PU01194</t>
  </si>
  <si>
    <t>PU01195</t>
  </si>
  <si>
    <t>PU01196</t>
  </si>
  <si>
    <t>PU01197</t>
  </si>
  <si>
    <t>PU01198</t>
  </si>
  <si>
    <t>PU01199</t>
  </si>
  <si>
    <t>PU01200</t>
  </si>
  <si>
    <t>PU01201</t>
  </si>
  <si>
    <t>PU01202</t>
  </si>
  <si>
    <t>PU01203</t>
  </si>
  <si>
    <t>PU01204</t>
  </si>
  <si>
    <t>PU01205</t>
  </si>
  <si>
    <t>PU01206</t>
  </si>
  <si>
    <t>PU01207</t>
  </si>
  <si>
    <t>PU01208</t>
  </si>
  <si>
    <t>PU01209</t>
  </si>
  <si>
    <t>PU01210</t>
  </si>
  <si>
    <t>PU01211</t>
  </si>
  <si>
    <t>PU01212</t>
  </si>
  <si>
    <t>PU01213</t>
  </si>
  <si>
    <t>PU01214</t>
  </si>
  <si>
    <t>PU01215</t>
  </si>
  <si>
    <t>PU01216</t>
  </si>
  <si>
    <t>PU01217</t>
  </si>
  <si>
    <t>PU01218</t>
  </si>
  <si>
    <t>PU01219</t>
  </si>
  <si>
    <t>PU01220</t>
  </si>
  <si>
    <t>PU01221</t>
  </si>
  <si>
    <t>PU01222</t>
  </si>
  <si>
    <t>PU01223</t>
  </si>
  <si>
    <t>PU01224</t>
  </si>
  <si>
    <t>PU01225</t>
  </si>
  <si>
    <t>PU01226</t>
  </si>
  <si>
    <t>PU01227</t>
  </si>
  <si>
    <t>PU01228</t>
  </si>
  <si>
    <t>PU01229</t>
  </si>
  <si>
    <t>PU01230</t>
  </si>
  <si>
    <t>PU01231</t>
  </si>
  <si>
    <t>PU01232</t>
  </si>
  <si>
    <t>PU01233</t>
  </si>
  <si>
    <t>PU01234</t>
  </si>
  <si>
    <t>PU01235</t>
  </si>
  <si>
    <t>PU01236</t>
  </si>
  <si>
    <t>PU01237</t>
  </si>
  <si>
    <t>PU01238</t>
  </si>
  <si>
    <t>PU01239</t>
  </si>
  <si>
    <t>PU01240</t>
  </si>
  <si>
    <t>PU01241</t>
  </si>
  <si>
    <t>PU01242</t>
  </si>
  <si>
    <t>PU01243</t>
  </si>
  <si>
    <t>PU01244</t>
  </si>
  <si>
    <t>PU01245</t>
  </si>
  <si>
    <t>PU01246</t>
  </si>
  <si>
    <t>PU01247</t>
  </si>
  <si>
    <t>PU01248</t>
  </si>
  <si>
    <t>PU01249</t>
  </si>
  <si>
    <t>PU01250</t>
  </si>
  <si>
    <t>PU01251</t>
  </si>
  <si>
    <t>PU01252</t>
  </si>
  <si>
    <t>PU01253</t>
  </si>
  <si>
    <t>PU01254</t>
  </si>
  <si>
    <t>PU01255</t>
  </si>
  <si>
    <t>PU01256</t>
  </si>
  <si>
    <t>PU01257</t>
  </si>
  <si>
    <t>PU01258</t>
  </si>
  <si>
    <t>PU01259</t>
  </si>
  <si>
    <t>PU01260</t>
  </si>
  <si>
    <t>PU01261</t>
  </si>
  <si>
    <t>PU01262</t>
  </si>
  <si>
    <t>PU01263</t>
  </si>
  <si>
    <t>PU01264</t>
  </si>
  <si>
    <t>PU01265</t>
  </si>
  <si>
    <t>PU01266</t>
  </si>
  <si>
    <t>PU01267</t>
  </si>
  <si>
    <t>PU01268</t>
  </si>
  <si>
    <t>PU01269</t>
  </si>
  <si>
    <t>PU01270</t>
  </si>
  <si>
    <t>PU01271</t>
  </si>
  <si>
    <t>PU01272</t>
  </si>
  <si>
    <t>PU01273</t>
  </si>
  <si>
    <t>PU01274</t>
  </si>
  <si>
    <t>PU01275</t>
  </si>
  <si>
    <t>PU01276</t>
  </si>
  <si>
    <t>PU01277</t>
  </si>
  <si>
    <t>PU01278</t>
  </si>
  <si>
    <t>PU01279</t>
  </si>
  <si>
    <t>PU01280</t>
  </si>
  <si>
    <t>PU01281</t>
  </si>
  <si>
    <t>PU01282</t>
  </si>
  <si>
    <t>PU01283</t>
  </si>
  <si>
    <t>PU01284</t>
  </si>
  <si>
    <t>PU01285</t>
  </si>
  <si>
    <t>PU01286</t>
  </si>
  <si>
    <t>PU01287</t>
  </si>
  <si>
    <t>PU01288</t>
  </si>
  <si>
    <t>PU01289</t>
  </si>
  <si>
    <t>PU01290</t>
  </si>
  <si>
    <t>PU01291</t>
  </si>
  <si>
    <t>PU01292</t>
  </si>
  <si>
    <t>PU01293</t>
  </si>
  <si>
    <t>PU01294</t>
  </si>
  <si>
    <t>PU01295</t>
  </si>
  <si>
    <t>PU01296</t>
  </si>
  <si>
    <t>PU01297</t>
  </si>
  <si>
    <t>PU01298</t>
  </si>
  <si>
    <t>PU01299</t>
  </si>
  <si>
    <t>PU01300</t>
  </si>
  <si>
    <t>PU01301</t>
  </si>
  <si>
    <t>PU01302</t>
  </si>
  <si>
    <t>PU01303</t>
  </si>
  <si>
    <t>PU01304</t>
  </si>
  <si>
    <t>PU01305</t>
  </si>
  <si>
    <t>PU01306</t>
  </si>
  <si>
    <t>PU01307</t>
  </si>
  <si>
    <t>PU01308</t>
  </si>
  <si>
    <t>PU01309</t>
  </si>
  <si>
    <t>PU01310</t>
  </si>
  <si>
    <t>PU01311</t>
  </si>
  <si>
    <t>PU01312</t>
  </si>
  <si>
    <t>PU01313</t>
  </si>
  <si>
    <t>PU01314</t>
  </si>
  <si>
    <t>PU01315</t>
  </si>
  <si>
    <t>PU01316</t>
  </si>
  <si>
    <t>PU01317</t>
  </si>
  <si>
    <t>PU01318</t>
  </si>
  <si>
    <t>PU01319</t>
  </si>
  <si>
    <t>PU01320</t>
  </si>
  <si>
    <t>PU01321</t>
  </si>
  <si>
    <t>PU01322</t>
  </si>
  <si>
    <t>PU01323</t>
  </si>
  <si>
    <t>PU01324</t>
  </si>
  <si>
    <t>PU01325</t>
  </si>
  <si>
    <t>PU01326</t>
  </si>
  <si>
    <t>PU01327</t>
  </si>
  <si>
    <t>PU01328</t>
  </si>
  <si>
    <t>PU01329</t>
  </si>
  <si>
    <t>PU01330</t>
  </si>
  <si>
    <t>PU01331</t>
  </si>
  <si>
    <t>PU01332</t>
  </si>
  <si>
    <t>PU01333</t>
  </si>
  <si>
    <t>PU01334</t>
  </si>
  <si>
    <t>PU01335</t>
  </si>
  <si>
    <t>PU01336</t>
  </si>
  <si>
    <t>PU01337</t>
  </si>
  <si>
    <t>PU01338</t>
  </si>
  <si>
    <t>PU01339</t>
  </si>
  <si>
    <t>PU01340</t>
  </si>
  <si>
    <t>PU01341</t>
  </si>
  <si>
    <t>PU01342</t>
  </si>
  <si>
    <t>PU01343</t>
  </si>
  <si>
    <t>PU01344</t>
  </si>
  <si>
    <t>PU01345</t>
  </si>
  <si>
    <t>PU01346</t>
  </si>
  <si>
    <t>PU01347</t>
  </si>
  <si>
    <t>PU01348</t>
  </si>
  <si>
    <t>PU01349</t>
  </si>
  <si>
    <t>PU01350</t>
  </si>
  <si>
    <t>PU01351</t>
  </si>
  <si>
    <t>PU01352</t>
  </si>
  <si>
    <t>PU01353</t>
  </si>
  <si>
    <t>PU01354</t>
  </si>
  <si>
    <t>PU01355</t>
  </si>
  <si>
    <t>PU01356</t>
  </si>
  <si>
    <t>PU01357</t>
  </si>
  <si>
    <t>PU01358</t>
  </si>
  <si>
    <t>PU01359</t>
  </si>
  <si>
    <t>PU01360</t>
  </si>
  <si>
    <t>PU01361</t>
  </si>
  <si>
    <t>PU01362</t>
  </si>
  <si>
    <t>PU01363</t>
  </si>
  <si>
    <t>PU01364</t>
  </si>
  <si>
    <t>PU01365</t>
  </si>
  <si>
    <t>PU01366</t>
  </si>
  <si>
    <t>PU01367</t>
  </si>
  <si>
    <t>PU01368</t>
  </si>
  <si>
    <t>PU01369</t>
  </si>
  <si>
    <t>PU01370</t>
  </si>
  <si>
    <t>PU01371</t>
  </si>
  <si>
    <t>PU01372</t>
  </si>
  <si>
    <t>PU01373</t>
  </si>
  <si>
    <t>PU01374</t>
  </si>
  <si>
    <t>PU01375</t>
  </si>
  <si>
    <t>PU01376</t>
  </si>
  <si>
    <t>PU01377</t>
  </si>
  <si>
    <t>PU01378</t>
  </si>
  <si>
    <t>PU01379</t>
  </si>
  <si>
    <t>PU01380</t>
  </si>
  <si>
    <t>PU01381</t>
  </si>
  <si>
    <t>PU01382</t>
  </si>
  <si>
    <t>PU01383</t>
  </si>
  <si>
    <t>PU01384</t>
  </si>
  <si>
    <t>PU01385</t>
  </si>
  <si>
    <t>PU01386</t>
  </si>
  <si>
    <t>PU01387</t>
  </si>
  <si>
    <t>PU01388</t>
  </si>
  <si>
    <t>PU01389</t>
  </si>
  <si>
    <t>PU01390</t>
  </si>
  <si>
    <t>PU01391</t>
  </si>
  <si>
    <t>PU01392</t>
  </si>
  <si>
    <t>PU01393</t>
  </si>
  <si>
    <t>PU01394</t>
  </si>
  <si>
    <t>PU01395</t>
  </si>
  <si>
    <t>PU01396</t>
  </si>
  <si>
    <t>PU01397</t>
  </si>
  <si>
    <t>PU01398</t>
  </si>
  <si>
    <t>PU01399</t>
  </si>
  <si>
    <t>PU01400</t>
  </si>
  <si>
    <t>PU01401</t>
  </si>
  <si>
    <t>PU01402</t>
  </si>
  <si>
    <t>PU01403</t>
  </si>
  <si>
    <t>PU01404</t>
  </si>
  <si>
    <t>PU01405</t>
  </si>
  <si>
    <t>PU01406</t>
  </si>
  <si>
    <t>PU01407</t>
  </si>
  <si>
    <t>PU01408</t>
  </si>
  <si>
    <t>PU01409</t>
  </si>
  <si>
    <t>PU01410</t>
  </si>
  <si>
    <t>PU01411</t>
  </si>
  <si>
    <t>PU01412</t>
  </si>
  <si>
    <t>PU01413</t>
  </si>
  <si>
    <t>PU01414</t>
  </si>
  <si>
    <t>PU01415</t>
  </si>
  <si>
    <t>PU01416</t>
  </si>
  <si>
    <t>PU01417</t>
  </si>
  <si>
    <t>PU01418</t>
  </si>
  <si>
    <t>PU01419</t>
  </si>
  <si>
    <t>PU01420</t>
  </si>
  <si>
    <t>PU01421</t>
  </si>
  <si>
    <t>PU01422</t>
  </si>
  <si>
    <t>PU01423</t>
  </si>
  <si>
    <t>PU01424</t>
  </si>
  <si>
    <t>PU01425</t>
  </si>
  <si>
    <t>PU01426</t>
  </si>
  <si>
    <t>PU01427</t>
  </si>
  <si>
    <t>PU01428</t>
  </si>
  <si>
    <t>PU01429</t>
  </si>
  <si>
    <t>PU01430</t>
  </si>
  <si>
    <t>PU01431</t>
  </si>
  <si>
    <t>PU01432</t>
  </si>
  <si>
    <t>PU01433</t>
  </si>
  <si>
    <t>PU01434</t>
  </si>
  <si>
    <t>PU01435</t>
  </si>
  <si>
    <t>PU01436</t>
  </si>
  <si>
    <t>PU01437</t>
  </si>
  <si>
    <t>PU01438</t>
  </si>
  <si>
    <t>PU01439</t>
  </si>
  <si>
    <t>PU01440</t>
  </si>
  <si>
    <t>PU01441</t>
  </si>
  <si>
    <t>PU01442</t>
  </si>
  <si>
    <t>PU01443</t>
  </si>
  <si>
    <t>PU01444</t>
  </si>
  <si>
    <t>PU01445</t>
  </si>
  <si>
    <t>PU01446</t>
  </si>
  <si>
    <t>PU01447</t>
  </si>
  <si>
    <t>PU01448</t>
  </si>
  <si>
    <t>PU01449</t>
  </si>
  <si>
    <t>PU01450</t>
  </si>
  <si>
    <t>PU01451</t>
  </si>
  <si>
    <t>PU01452</t>
  </si>
  <si>
    <t>PU01453</t>
  </si>
  <si>
    <t>PU01454</t>
  </si>
  <si>
    <t>PU01455</t>
  </si>
  <si>
    <t>PU01456</t>
  </si>
  <si>
    <t>PU01457</t>
  </si>
  <si>
    <t>PU01458</t>
  </si>
  <si>
    <t>PU01459</t>
  </si>
  <si>
    <t>PU01460</t>
  </si>
  <si>
    <t>PU01461</t>
  </si>
  <si>
    <t>PU01462</t>
  </si>
  <si>
    <t>PU01463</t>
  </si>
  <si>
    <t>PU01464</t>
  </si>
  <si>
    <t>PU01465</t>
  </si>
  <si>
    <t>PU01466</t>
  </si>
  <si>
    <t>PU01467</t>
  </si>
  <si>
    <t>PU01468</t>
  </si>
  <si>
    <t>PU01469</t>
  </si>
  <si>
    <t>PU01470</t>
  </si>
  <si>
    <t>PU01471</t>
  </si>
  <si>
    <t>PU01472</t>
  </si>
  <si>
    <t>PU01473</t>
  </si>
  <si>
    <t>PU01474</t>
  </si>
  <si>
    <t>PU01475</t>
  </si>
  <si>
    <t>PU01476</t>
  </si>
  <si>
    <t>PU01477</t>
  </si>
  <si>
    <t>PU01478</t>
  </si>
  <si>
    <t>PU01479</t>
  </si>
  <si>
    <t>PU01480</t>
  </si>
  <si>
    <t>PU01481</t>
  </si>
  <si>
    <t>PU01482</t>
  </si>
  <si>
    <t>PU01483</t>
  </si>
  <si>
    <t>PU01484</t>
  </si>
  <si>
    <t>PU01485</t>
  </si>
  <si>
    <t>PU01486</t>
  </si>
  <si>
    <t>PU01487</t>
  </si>
  <si>
    <t>PU01488</t>
  </si>
  <si>
    <t>PU01489</t>
  </si>
  <si>
    <t>PU01490</t>
  </si>
  <si>
    <t>PU01491</t>
  </si>
  <si>
    <t>PU01492</t>
  </si>
  <si>
    <t>PU01493</t>
  </si>
  <si>
    <t>PU01494</t>
  </si>
  <si>
    <t>PU01495</t>
  </si>
  <si>
    <t>PU01496</t>
  </si>
  <si>
    <t>PU01497</t>
  </si>
  <si>
    <t>PU01498</t>
  </si>
  <si>
    <t>PU01499</t>
  </si>
  <si>
    <t>PU01500</t>
  </si>
  <si>
    <t>PU01501</t>
  </si>
  <si>
    <t>PU01502</t>
  </si>
  <si>
    <t>PU01503</t>
  </si>
  <si>
    <t>PU01504</t>
  </si>
  <si>
    <t>PU01505</t>
  </si>
  <si>
    <t>PU01506</t>
  </si>
  <si>
    <t>PU01507</t>
  </si>
  <si>
    <t>PU01508</t>
  </si>
  <si>
    <t>PU01509</t>
  </si>
  <si>
    <t>PU01510</t>
  </si>
  <si>
    <t>PU01511</t>
  </si>
  <si>
    <t>PU01512</t>
  </si>
  <si>
    <t>PU01513</t>
  </si>
  <si>
    <t>PU01514</t>
  </si>
  <si>
    <t>PU01515</t>
  </si>
  <si>
    <t>PU01516</t>
  </si>
  <si>
    <t>PU01517</t>
  </si>
  <si>
    <t>PU01518</t>
  </si>
  <si>
    <t>PU01519</t>
  </si>
  <si>
    <t>PU01520</t>
  </si>
  <si>
    <t>PU01521</t>
  </si>
  <si>
    <t>PU01522</t>
  </si>
  <si>
    <t>PU01523</t>
  </si>
  <si>
    <t>PU01524</t>
  </si>
  <si>
    <t>PU01525</t>
  </si>
  <si>
    <t>PU01526</t>
  </si>
  <si>
    <t>PU01527</t>
  </si>
  <si>
    <t>PU01528</t>
  </si>
  <si>
    <t>PU01529</t>
  </si>
  <si>
    <t>PU01530</t>
  </si>
  <si>
    <t>PU01531</t>
  </si>
  <si>
    <t>PU01532</t>
  </si>
  <si>
    <t>PU01533</t>
  </si>
  <si>
    <t>PU01534</t>
  </si>
  <si>
    <t>PU01535</t>
  </si>
  <si>
    <t>PU01536</t>
  </si>
  <si>
    <t>PU01537</t>
  </si>
  <si>
    <t>PU01538</t>
  </si>
  <si>
    <t>PU01539</t>
  </si>
  <si>
    <t>PU01540</t>
  </si>
  <si>
    <t>PU01541</t>
  </si>
  <si>
    <t>PU01542</t>
  </si>
  <si>
    <t>PU01543</t>
  </si>
  <si>
    <t>PU01544</t>
  </si>
  <si>
    <t>PU01545</t>
  </si>
  <si>
    <t>PU01546</t>
  </si>
  <si>
    <t>PU01547</t>
  </si>
  <si>
    <t>PU01548</t>
  </si>
  <si>
    <t>PU01549</t>
  </si>
  <si>
    <t>PU01550</t>
  </si>
  <si>
    <t>PU01551</t>
  </si>
  <si>
    <t>PU01552</t>
  </si>
  <si>
    <t>PU01553</t>
  </si>
  <si>
    <t>PU01554</t>
  </si>
  <si>
    <t>PU01555</t>
  </si>
  <si>
    <t>PU01556</t>
  </si>
  <si>
    <t>PU01557</t>
  </si>
  <si>
    <t>PU01558</t>
  </si>
  <si>
    <t>PU01559</t>
  </si>
  <si>
    <t>PU01560</t>
  </si>
  <si>
    <t>PU01561</t>
  </si>
  <si>
    <t>PU01562</t>
  </si>
  <si>
    <t>PU01563</t>
  </si>
  <si>
    <t>PU01564</t>
  </si>
  <si>
    <t>PU01565</t>
  </si>
  <si>
    <t>PU01566</t>
  </si>
  <si>
    <t>PU01567</t>
  </si>
  <si>
    <t>PU01568</t>
  </si>
  <si>
    <t>PU01569</t>
  </si>
  <si>
    <t>PU01570</t>
  </si>
  <si>
    <t>PU01571</t>
  </si>
  <si>
    <t>PU01572</t>
  </si>
  <si>
    <t>PU01573</t>
  </si>
  <si>
    <t>PU01574</t>
  </si>
  <si>
    <t>PU01575</t>
  </si>
  <si>
    <t>PU01576</t>
  </si>
  <si>
    <t>PU01577</t>
  </si>
  <si>
    <t>PU01578</t>
  </si>
  <si>
    <t>PU01579</t>
  </si>
  <si>
    <t>PU01580</t>
  </si>
  <si>
    <t>PU01581</t>
  </si>
  <si>
    <t>PU01582</t>
  </si>
  <si>
    <t>PU01583</t>
  </si>
  <si>
    <t>PU01584</t>
  </si>
  <si>
    <t>PU01585</t>
  </si>
  <si>
    <t>PU01586</t>
  </si>
  <si>
    <t>PU01587</t>
  </si>
  <si>
    <t>PU01588</t>
  </si>
  <si>
    <t>PU01589</t>
  </si>
  <si>
    <t>PU01590</t>
  </si>
  <si>
    <t>PU01591</t>
  </si>
  <si>
    <t>PU01592</t>
  </si>
  <si>
    <t>PU01593</t>
  </si>
  <si>
    <t>PU01594</t>
  </si>
  <si>
    <t>PU01595</t>
  </si>
  <si>
    <t>PU01596</t>
  </si>
  <si>
    <t>PU01597</t>
  </si>
  <si>
    <t>PU01598</t>
  </si>
  <si>
    <t>PU01599</t>
  </si>
  <si>
    <t>PU01600</t>
  </si>
  <si>
    <t>PU01601</t>
  </si>
  <si>
    <t>PU01602</t>
  </si>
  <si>
    <t>PU01603</t>
  </si>
  <si>
    <t>PU01604</t>
  </si>
  <si>
    <t>PU01605</t>
  </si>
  <si>
    <t>PU01606</t>
  </si>
  <si>
    <t>PU01607</t>
  </si>
  <si>
    <t>PU01608</t>
  </si>
  <si>
    <t>PU01609</t>
  </si>
  <si>
    <t>PU01610</t>
  </si>
  <si>
    <t>PU01611</t>
  </si>
  <si>
    <t>PU01612</t>
  </si>
  <si>
    <t>PU01613</t>
  </si>
  <si>
    <t>PU01614</t>
  </si>
  <si>
    <t>PU01615</t>
  </si>
  <si>
    <t>PU01616</t>
  </si>
  <si>
    <t>PU01617</t>
  </si>
  <si>
    <t>PU01618</t>
  </si>
  <si>
    <t>PU01619</t>
  </si>
  <si>
    <t>PU01620</t>
  </si>
  <si>
    <t>PU01621</t>
  </si>
  <si>
    <t>PU01622</t>
  </si>
  <si>
    <t>PU01623</t>
  </si>
  <si>
    <t>PU01624</t>
  </si>
  <si>
    <t>PU01625</t>
  </si>
  <si>
    <t>PU01626</t>
  </si>
  <si>
    <t>PU01627</t>
  </si>
  <si>
    <t>PU01628</t>
  </si>
  <si>
    <t>PU01629</t>
  </si>
  <si>
    <t>PU01630</t>
  </si>
  <si>
    <t>PU01631</t>
  </si>
  <si>
    <t>PU01632</t>
  </si>
  <si>
    <t>PU01633</t>
  </si>
  <si>
    <t>PU01634</t>
  </si>
  <si>
    <t>PU01635</t>
  </si>
  <si>
    <t>PU01636</t>
  </si>
  <si>
    <t>PU01637</t>
  </si>
  <si>
    <t>PU01638</t>
  </si>
  <si>
    <t>PU01639</t>
  </si>
  <si>
    <t>PU01640</t>
  </si>
  <si>
    <t>PU01641</t>
  </si>
  <si>
    <t>PU01642</t>
  </si>
  <si>
    <t>PU01643</t>
  </si>
  <si>
    <t>PU01644</t>
  </si>
  <si>
    <t>PU01645</t>
  </si>
  <si>
    <t>PU01646</t>
  </si>
  <si>
    <t>PU01647</t>
  </si>
  <si>
    <t>PU01648</t>
  </si>
  <si>
    <t>PU01649</t>
  </si>
  <si>
    <t>PU01650</t>
  </si>
  <si>
    <t>PU01651</t>
  </si>
  <si>
    <t>PU01652</t>
  </si>
  <si>
    <t>PU01653</t>
  </si>
  <si>
    <t>PU01654</t>
  </si>
  <si>
    <t>PU01655</t>
  </si>
  <si>
    <t>PU01656</t>
  </si>
  <si>
    <t>PU01657</t>
  </si>
  <si>
    <t>PU01658</t>
  </si>
  <si>
    <t>PU01659</t>
  </si>
  <si>
    <t>PU01660</t>
  </si>
  <si>
    <t>PU01661</t>
  </si>
  <si>
    <t>PU01662</t>
  </si>
  <si>
    <t>PU01663</t>
  </si>
  <si>
    <t>PU01664</t>
  </si>
  <si>
    <t>PU01665</t>
  </si>
  <si>
    <t>PU01666</t>
  </si>
  <si>
    <t>PU01667</t>
  </si>
  <si>
    <t>PU01668</t>
  </si>
  <si>
    <t>PU01669</t>
  </si>
  <si>
    <t>PU01670</t>
  </si>
  <si>
    <t>PU01671</t>
  </si>
  <si>
    <t>PU01672</t>
  </si>
  <si>
    <t>PU01673</t>
  </si>
  <si>
    <t>PU01674</t>
  </si>
  <si>
    <t>PU01675</t>
  </si>
  <si>
    <t>PU01676</t>
  </si>
  <si>
    <t>PU01677</t>
  </si>
  <si>
    <t>PU01678</t>
  </si>
  <si>
    <t>PU01679</t>
  </si>
  <si>
    <t>PU01680</t>
  </si>
  <si>
    <t>PU01681</t>
  </si>
  <si>
    <t>PU01682</t>
  </si>
  <si>
    <t>PU01683</t>
  </si>
  <si>
    <t>PU01684</t>
  </si>
  <si>
    <t>PU01685</t>
  </si>
  <si>
    <t>PU01686</t>
  </si>
  <si>
    <t>PU01687</t>
  </si>
  <si>
    <t>PU01688</t>
  </si>
  <si>
    <t>PU01689</t>
  </si>
  <si>
    <t>PU01690</t>
  </si>
  <si>
    <t>PU01691</t>
  </si>
  <si>
    <t>PU01692</t>
  </si>
  <si>
    <t>PU01693</t>
  </si>
  <si>
    <t>PU01694</t>
  </si>
  <si>
    <t>PU01695</t>
  </si>
  <si>
    <t>PU01696</t>
  </si>
  <si>
    <t>PU01697</t>
  </si>
  <si>
    <t>PU01698</t>
  </si>
  <si>
    <t>PU01699</t>
  </si>
  <si>
    <t>PU01700</t>
  </si>
  <si>
    <t>PU01701</t>
  </si>
  <si>
    <t>PU01702</t>
  </si>
  <si>
    <t>PU01703</t>
  </si>
  <si>
    <t>PU01704</t>
  </si>
  <si>
    <t>PU01705</t>
  </si>
  <si>
    <t>PU01706</t>
  </si>
  <si>
    <t>PU01707</t>
  </si>
  <si>
    <t>PU01708</t>
  </si>
  <si>
    <t>PU01709</t>
  </si>
  <si>
    <t>PU01710</t>
  </si>
  <si>
    <t>PU01711</t>
  </si>
  <si>
    <t>PU01712</t>
  </si>
  <si>
    <t>PU01713</t>
  </si>
  <si>
    <t>PU01714</t>
  </si>
  <si>
    <t>PU01715</t>
  </si>
  <si>
    <t>PU01716</t>
  </si>
  <si>
    <t>PU01717</t>
  </si>
  <si>
    <t>PU01718</t>
  </si>
  <si>
    <t>PU01719</t>
  </si>
  <si>
    <t>PU01720</t>
  </si>
  <si>
    <t>PU01721</t>
  </si>
  <si>
    <t>PU01722</t>
  </si>
  <si>
    <t>PU01723</t>
  </si>
  <si>
    <t>PU01724</t>
  </si>
  <si>
    <t>PU01725</t>
  </si>
  <si>
    <t>PU01726</t>
  </si>
  <si>
    <t>PU01727</t>
  </si>
  <si>
    <t>PU01728</t>
  </si>
  <si>
    <t>PU01729</t>
  </si>
  <si>
    <t>PU01730</t>
  </si>
  <si>
    <t>PU01731</t>
  </si>
  <si>
    <t>PU01732</t>
  </si>
  <si>
    <t>PU01733</t>
  </si>
  <si>
    <t>PU01734</t>
  </si>
  <si>
    <t>PU01735</t>
  </si>
  <si>
    <t>PU01736</t>
  </si>
  <si>
    <t>PU01737</t>
  </si>
  <si>
    <t>PU01738</t>
  </si>
  <si>
    <t>PU01739</t>
  </si>
  <si>
    <t>PU01740</t>
  </si>
  <si>
    <t>PU01741</t>
  </si>
  <si>
    <t>PU01742</t>
  </si>
  <si>
    <t>PU01743</t>
  </si>
  <si>
    <t>PU01744</t>
  </si>
  <si>
    <t>PU01745</t>
  </si>
  <si>
    <t>PU01746</t>
  </si>
  <si>
    <t>PU01747</t>
  </si>
  <si>
    <t>PU01748</t>
  </si>
  <si>
    <t>PU01749</t>
  </si>
  <si>
    <t>PU01750</t>
  </si>
  <si>
    <t>PU01751</t>
  </si>
  <si>
    <t>PU01752</t>
  </si>
  <si>
    <t>PU01753</t>
  </si>
  <si>
    <t>PU01754</t>
  </si>
  <si>
    <t>PU01755</t>
  </si>
  <si>
    <t>PU01756</t>
  </si>
  <si>
    <t>PU01757</t>
  </si>
  <si>
    <t>PU01758</t>
  </si>
  <si>
    <t>PU01759</t>
  </si>
  <si>
    <t>PU01760</t>
  </si>
  <si>
    <t>PU01761</t>
  </si>
  <si>
    <t>PU01762</t>
  </si>
  <si>
    <t>PU01763</t>
  </si>
  <si>
    <t>PU01764</t>
  </si>
  <si>
    <t>PU01765</t>
  </si>
  <si>
    <t>PU01766</t>
  </si>
  <si>
    <t>PU01767</t>
  </si>
  <si>
    <t>PU01768</t>
  </si>
  <si>
    <t>PU01769</t>
  </si>
  <si>
    <t>PU01770</t>
  </si>
  <si>
    <t>PU01771</t>
  </si>
  <si>
    <t>PU01772</t>
  </si>
  <si>
    <t>PU01773</t>
  </si>
  <si>
    <t>PU01774</t>
  </si>
  <si>
    <t>PU01775</t>
  </si>
  <si>
    <t>PU01776</t>
  </si>
  <si>
    <t>PU01777</t>
  </si>
  <si>
    <t>PU01778</t>
  </si>
  <si>
    <t>PU01779</t>
  </si>
  <si>
    <t>PU01780</t>
  </si>
  <si>
    <t>PU01781</t>
  </si>
  <si>
    <t>PU01782</t>
  </si>
  <si>
    <t>PU01783</t>
  </si>
  <si>
    <t>PU01784</t>
  </si>
  <si>
    <t>PU01785</t>
  </si>
  <si>
    <t>PU01786</t>
  </si>
  <si>
    <t>PU01787</t>
  </si>
  <si>
    <t>PU01788</t>
  </si>
  <si>
    <t>PU01789</t>
  </si>
  <si>
    <t>PU01790</t>
  </si>
  <si>
    <t>PU01791</t>
  </si>
  <si>
    <t>PU01792</t>
  </si>
  <si>
    <t>PU01793</t>
  </si>
  <si>
    <t>PU01794</t>
  </si>
  <si>
    <t>PU01795</t>
  </si>
  <si>
    <t>PU01796</t>
  </si>
  <si>
    <t>PU01797</t>
  </si>
  <si>
    <t>PU01798</t>
  </si>
  <si>
    <t>PU01799</t>
  </si>
  <si>
    <t>PU01800</t>
  </si>
  <si>
    <t>PU01801</t>
  </si>
  <si>
    <t>PU01802</t>
  </si>
  <si>
    <t>PU01803</t>
  </si>
  <si>
    <t>PU01804</t>
  </si>
  <si>
    <t>PU01805</t>
  </si>
  <si>
    <t>PU01806</t>
  </si>
  <si>
    <t>PU01807</t>
  </si>
  <si>
    <t>PU01808</t>
  </si>
  <si>
    <t>PU01809</t>
  </si>
  <si>
    <t>PU01810</t>
  </si>
  <si>
    <t>PU01811</t>
  </si>
  <si>
    <t>PU01812</t>
  </si>
  <si>
    <t>PU01813</t>
  </si>
  <si>
    <t>PU01814</t>
  </si>
  <si>
    <t>PU01815</t>
  </si>
  <si>
    <t>PU01816</t>
  </si>
  <si>
    <t>PU01817</t>
  </si>
  <si>
    <t>PU01818</t>
  </si>
  <si>
    <t>PU01819</t>
  </si>
  <si>
    <t>PU01820</t>
  </si>
  <si>
    <t>PU01821</t>
  </si>
  <si>
    <t>PU01822</t>
  </si>
  <si>
    <t>PU01823</t>
  </si>
  <si>
    <t>PU01824</t>
  </si>
  <si>
    <t>PU01825</t>
  </si>
  <si>
    <t>PU01826</t>
  </si>
  <si>
    <t>PU01827</t>
  </si>
  <si>
    <t>PU01828</t>
  </si>
  <si>
    <t>PU01829</t>
  </si>
  <si>
    <t>PU01830</t>
  </si>
  <si>
    <t>PU01831</t>
  </si>
  <si>
    <t>PU01832</t>
  </si>
  <si>
    <t>PU01833</t>
  </si>
  <si>
    <t>PU01834</t>
  </si>
  <si>
    <t>PU01835</t>
  </si>
  <si>
    <t>PU01836</t>
  </si>
  <si>
    <t>PU01837</t>
  </si>
  <si>
    <t>PU01838</t>
  </si>
  <si>
    <t>PU01839</t>
  </si>
  <si>
    <t>PU01840</t>
  </si>
  <si>
    <t>PU01841</t>
  </si>
  <si>
    <t>PU01842</t>
  </si>
  <si>
    <t>PU01843</t>
  </si>
  <si>
    <t>PU01844</t>
  </si>
  <si>
    <t>PU01845</t>
  </si>
  <si>
    <t>PU01846</t>
  </si>
  <si>
    <t>PU01847</t>
  </si>
  <si>
    <t>PU01848</t>
  </si>
  <si>
    <t>PU01849</t>
  </si>
  <si>
    <t>PU01850</t>
  </si>
  <si>
    <t>PU01851</t>
  </si>
  <si>
    <t>PU01852</t>
  </si>
  <si>
    <t>PU01853</t>
  </si>
  <si>
    <t>PU01854</t>
  </si>
  <si>
    <t>PU01855</t>
  </si>
  <si>
    <t>PU01856</t>
  </si>
  <si>
    <t>PU01857</t>
  </si>
  <si>
    <t>PU01858</t>
  </si>
  <si>
    <t>PU01859</t>
  </si>
  <si>
    <t>PU01860</t>
  </si>
  <si>
    <t>PU01861</t>
  </si>
  <si>
    <t>PU01862</t>
  </si>
  <si>
    <t>PU01863</t>
  </si>
  <si>
    <t>PU01864</t>
  </si>
  <si>
    <t>PU01865</t>
  </si>
  <si>
    <t>PU01866</t>
  </si>
  <si>
    <t>PU01867</t>
  </si>
  <si>
    <t>PU01868</t>
  </si>
  <si>
    <t>PU01869</t>
  </si>
  <si>
    <t>PU01870</t>
  </si>
  <si>
    <t>PU01871</t>
  </si>
  <si>
    <t>PU01872</t>
  </si>
  <si>
    <t>PU01873</t>
  </si>
  <si>
    <t>PU01874</t>
  </si>
  <si>
    <t>PU01875</t>
  </si>
  <si>
    <t>PU01876</t>
  </si>
  <si>
    <t>PU01877</t>
  </si>
  <si>
    <t>PU01878</t>
  </si>
  <si>
    <t>PU01879</t>
  </si>
  <si>
    <t>PU01880</t>
  </si>
  <si>
    <t>PU01881</t>
  </si>
  <si>
    <t>PU01882</t>
  </si>
  <si>
    <t>PU01883</t>
  </si>
  <si>
    <t>PU01884</t>
  </si>
  <si>
    <t>PU01885</t>
  </si>
  <si>
    <t>PU01886</t>
  </si>
  <si>
    <t>PU01887</t>
  </si>
  <si>
    <t>PU01888</t>
  </si>
  <si>
    <t>PU01889</t>
  </si>
  <si>
    <t>PU01890</t>
  </si>
  <si>
    <t>PU01891</t>
  </si>
  <si>
    <t>PU01892</t>
  </si>
  <si>
    <t>PU01893</t>
  </si>
  <si>
    <t>PU01894</t>
  </si>
  <si>
    <t>PU01895</t>
  </si>
  <si>
    <t>PU01896</t>
  </si>
  <si>
    <t>PU01897</t>
  </si>
  <si>
    <t>PU01898</t>
  </si>
  <si>
    <t>PU01899</t>
  </si>
  <si>
    <t>PU01900</t>
  </si>
  <si>
    <t>PU01901</t>
  </si>
  <si>
    <t>PU01902</t>
  </si>
  <si>
    <t>PU01903</t>
  </si>
  <si>
    <t>PU01904</t>
  </si>
  <si>
    <t>PU01905</t>
  </si>
  <si>
    <t>PU01906</t>
  </si>
  <si>
    <t>PU01907</t>
  </si>
  <si>
    <t>PU01908</t>
  </si>
  <si>
    <t>PU01909</t>
  </si>
  <si>
    <t>PU01910</t>
  </si>
  <si>
    <t>PU01911</t>
  </si>
  <si>
    <t>PU01912</t>
  </si>
  <si>
    <t>PU01913</t>
  </si>
  <si>
    <t>PU01914</t>
  </si>
  <si>
    <t>PU01915</t>
  </si>
  <si>
    <t>PU01916</t>
  </si>
  <si>
    <t>PU01917</t>
  </si>
  <si>
    <t>PU01918</t>
  </si>
  <si>
    <t>PU01919</t>
  </si>
  <si>
    <t>PU01920</t>
  </si>
  <si>
    <t>PU01921</t>
  </si>
  <si>
    <t>PU01922</t>
  </si>
  <si>
    <t>PU01923</t>
  </si>
  <si>
    <t>PU01924</t>
  </si>
  <si>
    <t>PU01925</t>
  </si>
  <si>
    <t>PU01926</t>
  </si>
  <si>
    <t>PU01927</t>
  </si>
  <si>
    <t>PU01928</t>
  </si>
  <si>
    <t>PU01929</t>
  </si>
  <si>
    <t>PU01930</t>
  </si>
  <si>
    <t>PU01931</t>
  </si>
  <si>
    <t>PU01932</t>
  </si>
  <si>
    <t>PU01933</t>
  </si>
  <si>
    <t>PU01934</t>
  </si>
  <si>
    <t>PU01935</t>
  </si>
  <si>
    <t>PU01936</t>
  </si>
  <si>
    <t>PU01937</t>
  </si>
  <si>
    <t>PU01938</t>
  </si>
  <si>
    <t>PU01939</t>
  </si>
  <si>
    <t>PU01940</t>
  </si>
  <si>
    <t>PU01941</t>
  </si>
  <si>
    <t>PU01942</t>
  </si>
  <si>
    <t>PU01943</t>
  </si>
  <si>
    <t>PU01944</t>
  </si>
  <si>
    <t>PU01945</t>
  </si>
  <si>
    <t>PU01946</t>
  </si>
  <si>
    <t>PU01947</t>
  </si>
  <si>
    <t>PU01948</t>
  </si>
  <si>
    <t>PU01949</t>
  </si>
  <si>
    <t>PU01950</t>
  </si>
  <si>
    <t>PU01951</t>
  </si>
  <si>
    <t>PU01952</t>
  </si>
  <si>
    <t>PU01953</t>
  </si>
  <si>
    <t>PU01954</t>
  </si>
  <si>
    <t>PU01955</t>
  </si>
  <si>
    <t>PU01956</t>
  </si>
  <si>
    <t>PU01957</t>
  </si>
  <si>
    <t>PU01958</t>
  </si>
  <si>
    <t>PU01959</t>
  </si>
  <si>
    <t>PU01960</t>
  </si>
  <si>
    <t>PU01961</t>
  </si>
  <si>
    <t>PU01962</t>
  </si>
  <si>
    <t>PU01963</t>
  </si>
  <si>
    <t>PU01964</t>
  </si>
  <si>
    <t>PU01965</t>
  </si>
  <si>
    <t>PU01966</t>
  </si>
  <si>
    <t>PU01967</t>
  </si>
  <si>
    <t>PU01968</t>
  </si>
  <si>
    <t>PU01969</t>
  </si>
  <si>
    <t>PU01970</t>
  </si>
  <si>
    <t>PU01971</t>
  </si>
  <si>
    <t>PU01972</t>
  </si>
  <si>
    <t>PU01973</t>
  </si>
  <si>
    <t>PU01974</t>
  </si>
  <si>
    <t>PU01975</t>
  </si>
  <si>
    <t>PU01976</t>
  </si>
  <si>
    <t>PU01977</t>
  </si>
  <si>
    <t>PU01978</t>
  </si>
  <si>
    <t>PU01979</t>
  </si>
  <si>
    <t>PU01980</t>
  </si>
  <si>
    <t>PU01981</t>
  </si>
  <si>
    <t>PU01982</t>
  </si>
  <si>
    <t>PU01983</t>
  </si>
  <si>
    <t>PU01984</t>
  </si>
  <si>
    <t>PU01985</t>
  </si>
  <si>
    <t>PU01986</t>
  </si>
  <si>
    <t>PU01987</t>
  </si>
  <si>
    <t>PU01988</t>
  </si>
  <si>
    <t>PU01989</t>
  </si>
  <si>
    <t>PU01990</t>
  </si>
  <si>
    <t>PU01991</t>
  </si>
  <si>
    <t>PU01992</t>
  </si>
  <si>
    <t>PU01993</t>
  </si>
  <si>
    <t>PU01994</t>
  </si>
  <si>
    <t>PU01995</t>
  </si>
  <si>
    <t>PU01996</t>
  </si>
  <si>
    <t>PU01997</t>
  </si>
  <si>
    <t>PU01998</t>
  </si>
  <si>
    <t>PU01999</t>
  </si>
  <si>
    <t>PU02000</t>
  </si>
  <si>
    <t>PU02001</t>
  </si>
  <si>
    <t>PU02002</t>
  </si>
  <si>
    <t>PU02003</t>
  </si>
  <si>
    <t>PU02004</t>
  </si>
  <si>
    <t>PU02005</t>
  </si>
  <si>
    <t>PU02006</t>
  </si>
  <si>
    <t>PU02007</t>
  </si>
  <si>
    <t>PU02008</t>
  </si>
  <si>
    <t>PU02009</t>
  </si>
  <si>
    <t>PU02010</t>
  </si>
  <si>
    <t>PU02011</t>
  </si>
  <si>
    <t>PU02012</t>
  </si>
  <si>
    <t>PU02013</t>
  </si>
  <si>
    <t>PU02014</t>
  </si>
  <si>
    <t>PU02015</t>
  </si>
  <si>
    <t>PU02016</t>
  </si>
  <si>
    <t>PU02017</t>
  </si>
  <si>
    <t>PU02018</t>
  </si>
  <si>
    <t>PU02019</t>
  </si>
  <si>
    <t>PU02020</t>
  </si>
  <si>
    <t>PU02021</t>
  </si>
  <si>
    <t>PU02022</t>
  </si>
  <si>
    <t>PU02023</t>
  </si>
  <si>
    <t>PU02024</t>
  </si>
  <si>
    <t>PU02025</t>
  </si>
  <si>
    <t>PU02026</t>
  </si>
  <si>
    <t>PU02027</t>
  </si>
  <si>
    <t>PU02028</t>
  </si>
  <si>
    <t>PU02029</t>
  </si>
  <si>
    <t>PU02030</t>
  </si>
  <si>
    <t>PU02031</t>
  </si>
  <si>
    <t>PU02032</t>
  </si>
  <si>
    <t>PU02033</t>
  </si>
  <si>
    <t>PU02034</t>
  </si>
  <si>
    <t>PU02035</t>
  </si>
  <si>
    <t>PU02036</t>
  </si>
  <si>
    <t>PU02037</t>
  </si>
  <si>
    <t>PU02038</t>
  </si>
  <si>
    <t>PU02039</t>
  </si>
  <si>
    <t>PU02040</t>
  </si>
  <si>
    <t>PU02041</t>
  </si>
  <si>
    <t>PU02042</t>
  </si>
  <si>
    <t>PU02043</t>
  </si>
  <si>
    <t>PU02044</t>
  </si>
  <si>
    <t>PU02045</t>
  </si>
  <si>
    <t>PU02046</t>
  </si>
  <si>
    <t>PU02047</t>
  </si>
  <si>
    <t>PU02048</t>
  </si>
  <si>
    <t>PU02049</t>
  </si>
  <si>
    <t>PU02050</t>
  </si>
  <si>
    <t>PU02051</t>
  </si>
  <si>
    <t>PU02052</t>
  </si>
  <si>
    <t>PU02053</t>
  </si>
  <si>
    <t>PU02054</t>
  </si>
  <si>
    <t>PU02055</t>
  </si>
  <si>
    <t>PU02056</t>
  </si>
  <si>
    <t>PU02057</t>
  </si>
  <si>
    <t>PU02058</t>
  </si>
  <si>
    <t>PU02059</t>
  </si>
  <si>
    <t>PU02060</t>
  </si>
  <si>
    <t>PU02061</t>
  </si>
  <si>
    <t>PU02062</t>
  </si>
  <si>
    <t>PU02063</t>
  </si>
  <si>
    <t>PU02064</t>
  </si>
  <si>
    <t>PU02065</t>
  </si>
  <si>
    <t>PU02066</t>
  </si>
  <si>
    <t>PU02067</t>
  </si>
  <si>
    <t>PU02068</t>
  </si>
  <si>
    <t>PU02069</t>
  </si>
  <si>
    <t>PU02070</t>
  </si>
  <si>
    <t>PU02071</t>
  </si>
  <si>
    <t>PU02072</t>
  </si>
  <si>
    <t>PU02073</t>
  </si>
  <si>
    <t>PU02074</t>
  </si>
  <si>
    <t>PU02075</t>
  </si>
  <si>
    <t>PU02076</t>
  </si>
  <si>
    <t>PU02077</t>
  </si>
  <si>
    <t>PU02078</t>
  </si>
  <si>
    <t>PU02079</t>
  </si>
  <si>
    <t>PU02080</t>
  </si>
  <si>
    <t>PU02081</t>
  </si>
  <si>
    <t>PU02082</t>
  </si>
  <si>
    <t>PU02083</t>
  </si>
  <si>
    <t>PU02084</t>
  </si>
  <si>
    <t>PU02085</t>
  </si>
  <si>
    <t>PU02086</t>
  </si>
  <si>
    <t>PU02087</t>
  </si>
  <si>
    <t>PU02088</t>
  </si>
  <si>
    <t>PU02089</t>
  </si>
  <si>
    <t>PU02090</t>
  </si>
  <si>
    <t>PU02091</t>
  </si>
  <si>
    <t>PU02092</t>
  </si>
  <si>
    <t>PU02093</t>
  </si>
  <si>
    <t>PU02094</t>
  </si>
  <si>
    <t>PU02095</t>
  </si>
  <si>
    <t>PU02096</t>
  </si>
  <si>
    <t>PU02097</t>
  </si>
  <si>
    <t>PU02098</t>
  </si>
  <si>
    <t>PU02099</t>
  </si>
  <si>
    <t>PU02100</t>
  </si>
  <si>
    <t>PU02101</t>
  </si>
  <si>
    <t>PU02102</t>
  </si>
  <si>
    <t>PU02103</t>
  </si>
  <si>
    <t>PU02104</t>
  </si>
  <si>
    <t>PU02105</t>
  </si>
  <si>
    <t>PU02106</t>
  </si>
  <si>
    <t>PU02107</t>
  </si>
  <si>
    <t>PU02108</t>
  </si>
  <si>
    <t>PU02109</t>
  </si>
  <si>
    <t>PU02110</t>
  </si>
  <si>
    <t>PU02111</t>
  </si>
  <si>
    <t>PU02112</t>
  </si>
  <si>
    <t>PU02113</t>
  </si>
  <si>
    <t>PU02114</t>
  </si>
  <si>
    <t>PU02115</t>
  </si>
  <si>
    <t>PU02116</t>
  </si>
  <si>
    <t>PU02117</t>
  </si>
  <si>
    <t>PU02118</t>
  </si>
  <si>
    <t>PU02119</t>
  </si>
  <si>
    <t>PU02120</t>
  </si>
  <si>
    <t>PU02121</t>
  </si>
  <si>
    <t>PU02122</t>
  </si>
  <si>
    <t>PU02123</t>
  </si>
  <si>
    <t>PU02124</t>
  </si>
  <si>
    <t>PU02125</t>
  </si>
  <si>
    <t>PU02126</t>
  </si>
  <si>
    <t>PU02127</t>
  </si>
  <si>
    <t>PU02128</t>
  </si>
  <si>
    <t>PU02129</t>
  </si>
  <si>
    <t>PU02130</t>
  </si>
  <si>
    <t>PU02131</t>
  </si>
  <si>
    <t>PU02132</t>
  </si>
  <si>
    <t>PU02133</t>
  </si>
  <si>
    <t>PU02134</t>
  </si>
  <si>
    <t>PU02135</t>
  </si>
  <si>
    <t>PU02136</t>
  </si>
  <si>
    <t>PU02137</t>
  </si>
  <si>
    <t>PU02138</t>
  </si>
  <si>
    <t>PU02139</t>
  </si>
  <si>
    <t>PU02140</t>
  </si>
  <si>
    <t>PU02141</t>
  </si>
  <si>
    <t>PU02142</t>
  </si>
  <si>
    <t>PU02143</t>
  </si>
  <si>
    <t>PU02144</t>
  </si>
  <si>
    <t>PU02145</t>
  </si>
  <si>
    <t>PU02146</t>
  </si>
  <si>
    <t>PU02147</t>
  </si>
  <si>
    <t>PU02148</t>
  </si>
  <si>
    <t>PU02149</t>
  </si>
  <si>
    <t>PU02150</t>
  </si>
  <si>
    <t>PU02151</t>
  </si>
  <si>
    <t>PU02152</t>
  </si>
  <si>
    <t>PU02153</t>
  </si>
  <si>
    <t>PU02154</t>
  </si>
  <si>
    <t>PU02155</t>
  </si>
  <si>
    <t>PU02156</t>
  </si>
  <si>
    <t>PU02157</t>
  </si>
  <si>
    <t>PU02158</t>
  </si>
  <si>
    <t>PU02159</t>
  </si>
  <si>
    <t>PU02160</t>
  </si>
  <si>
    <t>PU02161</t>
  </si>
  <si>
    <t>PU02162</t>
  </si>
  <si>
    <t>PU02163</t>
  </si>
  <si>
    <t>PU02164</t>
  </si>
  <si>
    <t>PU02165</t>
  </si>
  <si>
    <t>PU02166</t>
  </si>
  <si>
    <t>PU02167</t>
  </si>
  <si>
    <t>PU02168</t>
  </si>
  <si>
    <t>PU02169</t>
  </si>
  <si>
    <t>PU02170</t>
  </si>
  <si>
    <t>PU02171</t>
  </si>
  <si>
    <t>PU02172</t>
  </si>
  <si>
    <t>PU02173</t>
  </si>
  <si>
    <t>PU02174</t>
  </si>
  <si>
    <t>PU02175</t>
  </si>
  <si>
    <t>PU02176</t>
  </si>
  <si>
    <t>PU02177</t>
  </si>
  <si>
    <t>PU02178</t>
  </si>
  <si>
    <t>PU02179</t>
  </si>
  <si>
    <t>PU02180</t>
  </si>
  <si>
    <t>PU02181</t>
  </si>
  <si>
    <t>PU02182</t>
  </si>
  <si>
    <t>PU02183</t>
  </si>
  <si>
    <t>PU02184</t>
  </si>
  <si>
    <t>PU02185</t>
  </si>
  <si>
    <t>PU02186</t>
  </si>
  <si>
    <t>PU02187</t>
  </si>
  <si>
    <t>PU02188</t>
  </si>
  <si>
    <t>PU02189</t>
  </si>
  <si>
    <t>PU02190</t>
  </si>
  <si>
    <t>PU02191</t>
  </si>
  <si>
    <t>PU02192</t>
  </si>
  <si>
    <t>PU02193</t>
  </si>
  <si>
    <t>PU02194</t>
  </si>
  <si>
    <t>PU02195</t>
  </si>
  <si>
    <t>PU02196</t>
  </si>
  <si>
    <t>PU02197</t>
  </si>
  <si>
    <t>PU02198</t>
  </si>
  <si>
    <t>PU02199</t>
  </si>
  <si>
    <t>PU02200</t>
  </si>
  <si>
    <t>PU02201</t>
  </si>
  <si>
    <t>PU02202</t>
  </si>
  <si>
    <t>PU02203</t>
  </si>
  <si>
    <t>PU02204</t>
  </si>
  <si>
    <t>PU02205</t>
  </si>
  <si>
    <t>PU02206</t>
  </si>
  <si>
    <t>PU02207</t>
  </si>
  <si>
    <t>PU02208</t>
  </si>
  <si>
    <t>PU02209</t>
  </si>
  <si>
    <t>PU02210</t>
  </si>
  <si>
    <t>PU02211</t>
  </si>
  <si>
    <t>PU02212</t>
  </si>
  <si>
    <t>PU02213</t>
  </si>
  <si>
    <t>PU02214</t>
  </si>
  <si>
    <t>PU02215</t>
  </si>
  <si>
    <t>PU02216</t>
  </si>
  <si>
    <t>PU02217</t>
  </si>
  <si>
    <t>PU02218</t>
  </si>
  <si>
    <t>PU02219</t>
  </si>
  <si>
    <t>PU02220</t>
  </si>
  <si>
    <t>PU02221</t>
  </si>
  <si>
    <t>PU02222</t>
  </si>
  <si>
    <t>PU02223</t>
  </si>
  <si>
    <t>PU02224</t>
  </si>
  <si>
    <t>PU02225</t>
  </si>
  <si>
    <t>PU02226</t>
  </si>
  <si>
    <t>PU02227</t>
  </si>
  <si>
    <t>PU02228</t>
  </si>
  <si>
    <t>PU02229</t>
  </si>
  <si>
    <t>PU02230</t>
  </si>
  <si>
    <t>PU02231</t>
  </si>
  <si>
    <t>PU02232</t>
  </si>
  <si>
    <t>PU02233</t>
  </si>
  <si>
    <t>PU02234</t>
  </si>
  <si>
    <t>PU02235</t>
  </si>
  <si>
    <t>PU02236</t>
  </si>
  <si>
    <t>PU02237</t>
  </si>
  <si>
    <t>PU02238</t>
  </si>
  <si>
    <t>PU02239</t>
  </si>
  <si>
    <t>PU02240</t>
  </si>
  <si>
    <t>PU02241</t>
  </si>
  <si>
    <t>PU02242</t>
  </si>
  <si>
    <t>PU02243</t>
  </si>
  <si>
    <t>PU02244</t>
  </si>
  <si>
    <t>PU02245</t>
  </si>
  <si>
    <t>PU02246</t>
  </si>
  <si>
    <t>PU02247</t>
  </si>
  <si>
    <t>PU02248</t>
  </si>
  <si>
    <t>PU02249</t>
  </si>
  <si>
    <t>PU02250</t>
  </si>
  <si>
    <t>PU02251</t>
  </si>
  <si>
    <t>PU02252</t>
  </si>
  <si>
    <t>PU02253</t>
  </si>
  <si>
    <t>PU02254</t>
  </si>
  <si>
    <t>PU02255</t>
  </si>
  <si>
    <t>PU02256</t>
  </si>
  <si>
    <t>PU02257</t>
  </si>
  <si>
    <t>PU02258</t>
  </si>
  <si>
    <t>PU02259</t>
  </si>
  <si>
    <t>PU02260</t>
  </si>
  <si>
    <t>PU02261</t>
  </si>
  <si>
    <t>PU02262</t>
  </si>
  <si>
    <t>PU02263</t>
  </si>
  <si>
    <t>PU02264</t>
  </si>
  <si>
    <t>PU02265</t>
  </si>
  <si>
    <t>PU02266</t>
  </si>
  <si>
    <t>PU02267</t>
  </si>
  <si>
    <t>PU02268</t>
  </si>
  <si>
    <t>PU02269</t>
  </si>
  <si>
    <t>PU02270</t>
  </si>
  <si>
    <t>PU02271</t>
  </si>
  <si>
    <t>PU02272</t>
  </si>
  <si>
    <t>PU02273</t>
  </si>
  <si>
    <t>PU02274</t>
  </si>
  <si>
    <t>PU02275</t>
  </si>
  <si>
    <t>PU02276</t>
  </si>
  <si>
    <t>PU02277</t>
  </si>
  <si>
    <t>PU02278</t>
  </si>
  <si>
    <t>PU02279</t>
  </si>
  <si>
    <t>PU02280</t>
  </si>
  <si>
    <t>PU02281</t>
  </si>
  <si>
    <t>PU02282</t>
  </si>
  <si>
    <t>PU02283</t>
  </si>
  <si>
    <t>PU02284</t>
  </si>
  <si>
    <t>PU02285</t>
  </si>
  <si>
    <t>PU02286</t>
  </si>
  <si>
    <t>PU02287</t>
  </si>
  <si>
    <t>PU02288</t>
  </si>
  <si>
    <t>PU02289</t>
  </si>
  <si>
    <t>PU02290</t>
  </si>
  <si>
    <t>PU02291</t>
  </si>
  <si>
    <t>PU02292</t>
  </si>
  <si>
    <t>PU02293</t>
  </si>
  <si>
    <t>PU02294</t>
  </si>
  <si>
    <t>PU02295</t>
  </si>
  <si>
    <t>PU02296</t>
  </si>
  <si>
    <t>PU02297</t>
  </si>
  <si>
    <t>PU02298</t>
  </si>
  <si>
    <t>PU02299</t>
  </si>
  <si>
    <t>PU02300</t>
  </si>
  <si>
    <t>PU02301</t>
  </si>
  <si>
    <t>PU02302</t>
  </si>
  <si>
    <t>PU02303</t>
  </si>
  <si>
    <t>PU02304</t>
  </si>
  <si>
    <t>PU02305</t>
  </si>
  <si>
    <t>PU02306</t>
  </si>
  <si>
    <t>PU02307</t>
  </si>
  <si>
    <t>PU02308</t>
  </si>
  <si>
    <t>PU02309</t>
  </si>
  <si>
    <t>PU02310</t>
  </si>
  <si>
    <t>PU02311</t>
  </si>
  <si>
    <t>PU02312</t>
  </si>
  <si>
    <t>PU02313</t>
  </si>
  <si>
    <t>PU02314</t>
  </si>
  <si>
    <t>PU02315</t>
  </si>
  <si>
    <t>PU02316</t>
  </si>
  <si>
    <t>PU02317</t>
  </si>
  <si>
    <t>PU02318</t>
  </si>
  <si>
    <t>PU02319</t>
  </si>
  <si>
    <t>PU02320</t>
  </si>
  <si>
    <t>PU02321</t>
  </si>
  <si>
    <t>PU02322</t>
  </si>
  <si>
    <t>PU02323</t>
  </si>
  <si>
    <t>PU02324</t>
  </si>
  <si>
    <t>PU02325</t>
  </si>
  <si>
    <t>PU02326</t>
  </si>
  <si>
    <t>PU02327</t>
  </si>
  <si>
    <t>PU02328</t>
  </si>
  <si>
    <t>PU02329</t>
  </si>
  <si>
    <t>PU02330</t>
  </si>
  <si>
    <t>PU02331</t>
  </si>
  <si>
    <t>PU02332</t>
  </si>
  <si>
    <t>PU02333</t>
  </si>
  <si>
    <t>PU02334</t>
  </si>
  <si>
    <t>PU02335</t>
  </si>
  <si>
    <t>PU02336</t>
  </si>
  <si>
    <t>PU02337</t>
  </si>
  <si>
    <t>PU02338</t>
  </si>
  <si>
    <t>PU02339</t>
  </si>
  <si>
    <t>PU02340</t>
  </si>
  <si>
    <t>PU02341</t>
  </si>
  <si>
    <t>PU02342</t>
  </si>
  <si>
    <t>PU02343</t>
  </si>
  <si>
    <t>PU02344</t>
  </si>
  <si>
    <t>PU02345</t>
  </si>
  <si>
    <t>PU02346</t>
  </si>
  <si>
    <t>PU02347</t>
  </si>
  <si>
    <t>PU02348</t>
  </si>
  <si>
    <t>PU02349</t>
  </si>
  <si>
    <t>PU02350</t>
  </si>
  <si>
    <t>PU02351</t>
  </si>
  <si>
    <t>PU02352</t>
  </si>
  <si>
    <t>PU02353</t>
  </si>
  <si>
    <t>PU02354</t>
  </si>
  <si>
    <t>PU02355</t>
  </si>
  <si>
    <t>PU02356</t>
  </si>
  <si>
    <t>PU02357</t>
  </si>
  <si>
    <t>PU02358</t>
  </si>
  <si>
    <t>PU02359</t>
  </si>
  <si>
    <t>PU02360</t>
  </si>
  <si>
    <t>PU02361</t>
  </si>
  <si>
    <t>PU02362</t>
  </si>
  <si>
    <t>PU02363</t>
  </si>
  <si>
    <t>PU02364</t>
  </si>
  <si>
    <t>PU02365</t>
  </si>
  <si>
    <t>PU02366</t>
  </si>
  <si>
    <t>PU02367</t>
  </si>
  <si>
    <t>PU02368</t>
  </si>
  <si>
    <t>PU02369</t>
  </si>
  <si>
    <t>PU02370</t>
  </si>
  <si>
    <t>PU02371</t>
  </si>
  <si>
    <t>PU02372</t>
  </si>
  <si>
    <t>PU02373</t>
  </si>
  <si>
    <t>PU02374</t>
  </si>
  <si>
    <t>PU02375</t>
  </si>
  <si>
    <t>PU02376</t>
  </si>
  <si>
    <t>PU02377</t>
  </si>
  <si>
    <t>PU02378</t>
  </si>
  <si>
    <t>PU02379</t>
  </si>
  <si>
    <t>PU02380</t>
  </si>
  <si>
    <t>PU02381</t>
  </si>
  <si>
    <t>PU02382</t>
  </si>
  <si>
    <t>PU02383</t>
  </si>
  <si>
    <t>PU02384</t>
  </si>
  <si>
    <t>PU02385</t>
  </si>
  <si>
    <t>PU02386</t>
  </si>
  <si>
    <t>PU02387</t>
  </si>
  <si>
    <t>PU02388</t>
  </si>
  <si>
    <t>PU02389</t>
  </si>
  <si>
    <t>PU02390</t>
  </si>
  <si>
    <t>PU02391</t>
  </si>
  <si>
    <t>PU02392</t>
  </si>
  <si>
    <t>PU02393</t>
  </si>
  <si>
    <t>PU02394</t>
  </si>
  <si>
    <t>PU02395</t>
  </si>
  <si>
    <t>PU02396</t>
  </si>
  <si>
    <t>PU02397</t>
  </si>
  <si>
    <t>PU02398</t>
  </si>
  <si>
    <t>PU02399</t>
  </si>
  <si>
    <t>PU02400</t>
  </si>
  <si>
    <t>PU02401</t>
  </si>
  <si>
    <t>PU02402</t>
  </si>
  <si>
    <t>PU02403</t>
  </si>
  <si>
    <t>PU02404</t>
  </si>
  <si>
    <t>PU02405</t>
  </si>
  <si>
    <t>PU02406</t>
  </si>
  <si>
    <t>PU02407</t>
  </si>
  <si>
    <t>PU02408</t>
  </si>
  <si>
    <t>PU02409</t>
  </si>
  <si>
    <t>PU02410</t>
  </si>
  <si>
    <t>PU02411</t>
  </si>
  <si>
    <t>PU02412</t>
  </si>
  <si>
    <t>PU02413</t>
  </si>
  <si>
    <t>PU02414</t>
  </si>
  <si>
    <t>PU02415</t>
  </si>
  <si>
    <t>PU02416</t>
  </si>
  <si>
    <t>PU02417</t>
  </si>
  <si>
    <t>PU02418</t>
  </si>
  <si>
    <t>PU02419</t>
  </si>
  <si>
    <t>PU02420</t>
  </si>
  <si>
    <t>PU02421</t>
  </si>
  <si>
    <t>PU02422</t>
  </si>
  <si>
    <t>PU02423</t>
  </si>
  <si>
    <t>PU02424</t>
  </si>
  <si>
    <t>PU02425</t>
  </si>
  <si>
    <t>PU02426</t>
  </si>
  <si>
    <t>PU02427</t>
  </si>
  <si>
    <t>PU02428</t>
  </si>
  <si>
    <t>PU02429</t>
  </si>
  <si>
    <t>PU02430</t>
  </si>
  <si>
    <t>PU02431</t>
  </si>
  <si>
    <t>PU02432</t>
  </si>
  <si>
    <t>PU02433</t>
  </si>
  <si>
    <t>PU02434</t>
  </si>
  <si>
    <t>PU02435</t>
  </si>
  <si>
    <t>PU02436</t>
  </si>
  <si>
    <t>PU02437</t>
  </si>
  <si>
    <t>PU02438</t>
  </si>
  <si>
    <t>PU02439</t>
  </si>
  <si>
    <t>PU02440</t>
  </si>
  <si>
    <t>PU02441</t>
  </si>
  <si>
    <t>PU02442</t>
  </si>
  <si>
    <t>PU02443</t>
  </si>
  <si>
    <t>PU02444</t>
  </si>
  <si>
    <t>PU02445</t>
  </si>
  <si>
    <t>PU02446</t>
  </si>
  <si>
    <t>PU02447</t>
  </si>
  <si>
    <t>PU02448</t>
  </si>
  <si>
    <t>PU02449</t>
  </si>
  <si>
    <t>PU02450</t>
  </si>
  <si>
    <t>PU02451</t>
  </si>
  <si>
    <t>PU02452</t>
  </si>
  <si>
    <t>PU02453</t>
  </si>
  <si>
    <t>PU02454</t>
  </si>
  <si>
    <t>PU02455</t>
  </si>
  <si>
    <t>PU02456</t>
  </si>
  <si>
    <t>PU02457</t>
  </si>
  <si>
    <t>PU02458</t>
  </si>
  <si>
    <t>PU02459</t>
  </si>
  <si>
    <t>PU02460</t>
  </si>
  <si>
    <t>PU02461</t>
  </si>
  <si>
    <t>PU02462</t>
  </si>
  <si>
    <t>PU02463</t>
  </si>
  <si>
    <t>PU02464</t>
  </si>
  <si>
    <t>PU02465</t>
  </si>
  <si>
    <t>PU02466</t>
  </si>
  <si>
    <t>PU02467</t>
  </si>
  <si>
    <t>PU02468</t>
  </si>
  <si>
    <t>PU02469</t>
  </si>
  <si>
    <t>PU02470</t>
  </si>
  <si>
    <t>PU02471</t>
  </si>
  <si>
    <t>PU02472</t>
  </si>
  <si>
    <t>PU02473</t>
  </si>
  <si>
    <t>PU02474</t>
  </si>
  <si>
    <t>PU02475</t>
  </si>
  <si>
    <t>PU02476</t>
  </si>
  <si>
    <t>PU02477</t>
  </si>
  <si>
    <t>PU02478</t>
  </si>
  <si>
    <t>PU02479</t>
  </si>
  <si>
    <t>PU02480</t>
  </si>
  <si>
    <t>PU02481</t>
  </si>
  <si>
    <t>PU02482</t>
  </si>
  <si>
    <t>PU02483</t>
  </si>
  <si>
    <t>PU02484</t>
  </si>
  <si>
    <t>PU02485</t>
  </si>
  <si>
    <t>PU02486</t>
  </si>
  <si>
    <t>PU02487</t>
  </si>
  <si>
    <t>PU02488</t>
  </si>
  <si>
    <t>PU02489</t>
  </si>
  <si>
    <t>PU02490</t>
  </si>
  <si>
    <t>PU02491</t>
  </si>
  <si>
    <t>PU02492</t>
  </si>
  <si>
    <t>PU02493</t>
  </si>
  <si>
    <t>PU02494</t>
  </si>
  <si>
    <t>PU02495</t>
  </si>
  <si>
    <t>PU02496</t>
  </si>
  <si>
    <t>PU02497</t>
  </si>
  <si>
    <t>PU02498</t>
  </si>
  <si>
    <t>PU02499</t>
  </si>
  <si>
    <t>PU02500</t>
  </si>
  <si>
    <t>PU02501</t>
  </si>
  <si>
    <t>PU02502</t>
  </si>
  <si>
    <t>PU02503</t>
  </si>
  <si>
    <t>PU02504</t>
  </si>
  <si>
    <t>PU02505</t>
  </si>
  <si>
    <t>PU02506</t>
  </si>
  <si>
    <t>PU02507</t>
  </si>
  <si>
    <t>PU02508</t>
  </si>
  <si>
    <t>PU02509</t>
  </si>
  <si>
    <t>PU02510</t>
  </si>
  <si>
    <t>PU02511</t>
  </si>
  <si>
    <t>PU02512</t>
  </si>
  <si>
    <t>PU02513</t>
  </si>
  <si>
    <t>PU02514</t>
  </si>
  <si>
    <t>PU02515</t>
  </si>
  <si>
    <t>PU02516</t>
  </si>
  <si>
    <t>PU02517</t>
  </si>
  <si>
    <t>PU02518</t>
  </si>
  <si>
    <t>PU02519</t>
  </si>
  <si>
    <t>PU02520</t>
  </si>
  <si>
    <t>PU02521</t>
  </si>
  <si>
    <t>PU02522</t>
  </si>
  <si>
    <t>PU02523</t>
  </si>
  <si>
    <t>PU02524</t>
  </si>
  <si>
    <t>PU02525</t>
  </si>
  <si>
    <t>PU02526</t>
  </si>
  <si>
    <t>PU02527</t>
  </si>
  <si>
    <t>PU02528</t>
  </si>
  <si>
    <t>PU02529</t>
  </si>
  <si>
    <t>PU02530</t>
  </si>
  <si>
    <t>PU02531</t>
  </si>
  <si>
    <t>PU02532</t>
  </si>
  <si>
    <t>PU02533</t>
  </si>
  <si>
    <t>PU02534</t>
  </si>
  <si>
    <t>PU02535</t>
  </si>
  <si>
    <t>PU02536</t>
  </si>
  <si>
    <t>PU02537</t>
  </si>
  <si>
    <t>PU02538</t>
  </si>
  <si>
    <t>PU02539</t>
  </si>
  <si>
    <t>PU02540</t>
  </si>
  <si>
    <t>PU02541</t>
  </si>
  <si>
    <t>PU02542</t>
  </si>
  <si>
    <t>PU02543</t>
  </si>
  <si>
    <t>PU02544</t>
  </si>
  <si>
    <t>PU02545</t>
  </si>
  <si>
    <t>PU02546</t>
  </si>
  <si>
    <t>PU02547</t>
  </si>
  <si>
    <t>PU02548</t>
  </si>
  <si>
    <t>PU02549</t>
  </si>
  <si>
    <t>PU02550</t>
  </si>
  <si>
    <t>PU02551</t>
  </si>
  <si>
    <t>PU02552</t>
  </si>
  <si>
    <t>PU02553</t>
  </si>
  <si>
    <t>PU02554</t>
  </si>
  <si>
    <t>PU02555</t>
  </si>
  <si>
    <t>PU02556</t>
  </si>
  <si>
    <t>PU02557</t>
  </si>
  <si>
    <t>PU02558</t>
  </si>
  <si>
    <t>PU02559</t>
  </si>
  <si>
    <t>PU02560</t>
  </si>
  <si>
    <t>PU02561</t>
  </si>
  <si>
    <t>PU02562</t>
  </si>
  <si>
    <t>PU02563</t>
  </si>
  <si>
    <t>PU02564</t>
  </si>
  <si>
    <t>PU02565</t>
  </si>
  <si>
    <t>PU02566</t>
  </si>
  <si>
    <t>PU02567</t>
  </si>
  <si>
    <t>PU02568</t>
  </si>
  <si>
    <t>PU02569</t>
  </si>
  <si>
    <t>PU02570</t>
  </si>
  <si>
    <t>PU02571</t>
  </si>
  <si>
    <t>PU02572</t>
  </si>
  <si>
    <t>PU02573</t>
  </si>
  <si>
    <t>PU02574</t>
  </si>
  <si>
    <t>PU02575</t>
  </si>
  <si>
    <t>PU02576</t>
  </si>
  <si>
    <t>PU02577</t>
  </si>
  <si>
    <t>PU02578</t>
  </si>
  <si>
    <t>PU02579</t>
  </si>
  <si>
    <t>PU02580</t>
  </si>
  <si>
    <t>PU02581</t>
  </si>
  <si>
    <t>PU02582</t>
  </si>
  <si>
    <t>PU02583</t>
  </si>
  <si>
    <t>PU02584</t>
  </si>
  <si>
    <t>PU02585</t>
  </si>
  <si>
    <t>PU02586</t>
  </si>
  <si>
    <t>PU02587</t>
  </si>
  <si>
    <t>PU02588</t>
  </si>
  <si>
    <t>PU02589</t>
  </si>
  <si>
    <t>PU02590</t>
  </si>
  <si>
    <t>PU02591</t>
  </si>
  <si>
    <t>PU02592</t>
  </si>
  <si>
    <t>PU02593</t>
  </si>
  <si>
    <t>PU02594</t>
  </si>
  <si>
    <t>PU02595</t>
  </si>
  <si>
    <t>PU02596</t>
  </si>
  <si>
    <t>PU02597</t>
  </si>
  <si>
    <t>PU02598</t>
  </si>
  <si>
    <t>PU02599</t>
  </si>
  <si>
    <t>PU02600</t>
  </si>
  <si>
    <t>PU02601</t>
  </si>
  <si>
    <t>PU02602</t>
  </si>
  <si>
    <t>PU02603</t>
  </si>
  <si>
    <t>PU02604</t>
  </si>
  <si>
    <t>PU02605</t>
  </si>
  <si>
    <t>PU02606</t>
  </si>
  <si>
    <t>PU02607</t>
  </si>
  <si>
    <t>PU02608</t>
  </si>
  <si>
    <t>PU02609</t>
  </si>
  <si>
    <t>PU02610</t>
  </si>
  <si>
    <t>PU02611</t>
  </si>
  <si>
    <t>PU02612</t>
  </si>
  <si>
    <t>PU02613</t>
  </si>
  <si>
    <t>PU02614</t>
  </si>
  <si>
    <t>PU02615</t>
  </si>
  <si>
    <t>PU02616</t>
  </si>
  <si>
    <t>PU02617</t>
  </si>
  <si>
    <t>PU02618</t>
  </si>
  <si>
    <t>PU02619</t>
  </si>
  <si>
    <t>PU02620</t>
  </si>
  <si>
    <t>PU02621</t>
  </si>
  <si>
    <t>PU02622</t>
  </si>
  <si>
    <t>PU02623</t>
  </si>
  <si>
    <t>PU02624</t>
  </si>
  <si>
    <t>PU02625</t>
  </si>
  <si>
    <t>PU02626</t>
  </si>
  <si>
    <t>PU02627</t>
  </si>
  <si>
    <t>PU02628</t>
  </si>
  <si>
    <t>PU02629</t>
  </si>
  <si>
    <t>PU02630</t>
  </si>
  <si>
    <t>PU02631</t>
  </si>
  <si>
    <t>PU02632</t>
  </si>
  <si>
    <t>PU02633</t>
  </si>
  <si>
    <t>PU02634</t>
  </si>
  <si>
    <t>PU02635</t>
  </si>
  <si>
    <t>PU02636</t>
  </si>
  <si>
    <t>PU02637</t>
  </si>
  <si>
    <t>PU02638</t>
  </si>
  <si>
    <t>PU02639</t>
  </si>
  <si>
    <t>PU02640</t>
  </si>
  <si>
    <t>PU02641</t>
  </si>
  <si>
    <t>PU02642</t>
  </si>
  <si>
    <t>PU02643</t>
  </si>
  <si>
    <t>PU02644</t>
  </si>
  <si>
    <t>PU02645</t>
  </si>
  <si>
    <t>PU02646</t>
  </si>
  <si>
    <t>PU02647</t>
  </si>
  <si>
    <t>PU02648</t>
  </si>
  <si>
    <t>PU02649</t>
  </si>
  <si>
    <t>PU02650</t>
  </si>
  <si>
    <t>PU02651</t>
  </si>
  <si>
    <t>PU02652</t>
  </si>
  <si>
    <t>PU02653</t>
  </si>
  <si>
    <t>PU02654</t>
  </si>
  <si>
    <t>PU02655</t>
  </si>
  <si>
    <t>PU02656</t>
  </si>
  <si>
    <t>PU02657</t>
  </si>
  <si>
    <t>PU02658</t>
  </si>
  <si>
    <t>PU02659</t>
  </si>
  <si>
    <t>PU02660</t>
  </si>
  <si>
    <t>PU02661</t>
  </si>
  <si>
    <t>PU02662</t>
  </si>
  <si>
    <t>PU02663</t>
  </si>
  <si>
    <t>PU02664</t>
  </si>
  <si>
    <t>PU02665</t>
  </si>
  <si>
    <t>PU02666</t>
  </si>
  <si>
    <t>PU02667</t>
  </si>
  <si>
    <t>PU02668</t>
  </si>
  <si>
    <t>PU02669</t>
  </si>
  <si>
    <t>PU02670</t>
  </si>
  <si>
    <t>PU02671</t>
  </si>
  <si>
    <t>PU02672</t>
  </si>
  <si>
    <t>PU02673</t>
  </si>
  <si>
    <t>PU02674</t>
  </si>
  <si>
    <t>PU02675</t>
  </si>
  <si>
    <t>PU02676</t>
  </si>
  <si>
    <t>PU02677</t>
  </si>
  <si>
    <t>PU02678</t>
  </si>
  <si>
    <t>PU02679</t>
  </si>
  <si>
    <t>PU02680</t>
  </si>
  <si>
    <t>PU02681</t>
  </si>
  <si>
    <t>PU02682</t>
  </si>
  <si>
    <t>PU02683</t>
  </si>
  <si>
    <t>PU02684</t>
  </si>
  <si>
    <t>PU02685</t>
  </si>
  <si>
    <t>PU02686</t>
  </si>
  <si>
    <t>PU02687</t>
  </si>
  <si>
    <t>PU02688</t>
  </si>
  <si>
    <t>PU02689</t>
  </si>
  <si>
    <t>PU02690</t>
  </si>
  <si>
    <t>PU02691</t>
  </si>
  <si>
    <t>PU02692</t>
  </si>
  <si>
    <t>PU02693</t>
  </si>
  <si>
    <t>PU02694</t>
  </si>
  <si>
    <t>PU02695</t>
  </si>
  <si>
    <t>PU02696</t>
  </si>
  <si>
    <t>PU02697</t>
  </si>
  <si>
    <t>PU02698</t>
  </si>
  <si>
    <t>PU02699</t>
  </si>
  <si>
    <t>PU02700</t>
  </si>
  <si>
    <t>PU02701</t>
  </si>
  <si>
    <t>PU02702</t>
  </si>
  <si>
    <t>PU02703</t>
  </si>
  <si>
    <t>PU02704</t>
  </si>
  <si>
    <t>PU02705</t>
  </si>
  <si>
    <t>PU02706</t>
  </si>
  <si>
    <t>PU02707</t>
  </si>
  <si>
    <t>PU02708</t>
  </si>
  <si>
    <t>PU02709</t>
  </si>
  <si>
    <t>PU02710</t>
  </si>
  <si>
    <t>PU02711</t>
  </si>
  <si>
    <t>PU02712</t>
  </si>
  <si>
    <t>PU02713</t>
  </si>
  <si>
    <t>PU02714</t>
  </si>
  <si>
    <t>PU02715</t>
  </si>
  <si>
    <t>PU02716</t>
  </si>
  <si>
    <t>PU02717</t>
  </si>
  <si>
    <t>PU02718</t>
  </si>
  <si>
    <t>PU02719</t>
  </si>
  <si>
    <t>PU02720</t>
  </si>
  <si>
    <t>PU02721</t>
  </si>
  <si>
    <t>PU02722</t>
  </si>
  <si>
    <t>PU02723</t>
  </si>
  <si>
    <t>PU02724</t>
  </si>
  <si>
    <t>PU02725</t>
  </si>
  <si>
    <t>PU02726</t>
  </si>
  <si>
    <t>PU02727</t>
  </si>
  <si>
    <t>PU02728</t>
  </si>
  <si>
    <t>PU02729</t>
  </si>
  <si>
    <t>PU02730</t>
  </si>
  <si>
    <t>PU02731</t>
  </si>
  <si>
    <t>PU02732</t>
  </si>
  <si>
    <t>PU02733</t>
  </si>
  <si>
    <t>PU02734</t>
  </si>
  <si>
    <t>PU02735</t>
  </si>
  <si>
    <t>PU02736</t>
  </si>
  <si>
    <t>PU02737</t>
  </si>
  <si>
    <t>PU02738</t>
  </si>
  <si>
    <t>PU02739</t>
  </si>
  <si>
    <t>PU02740</t>
  </si>
  <si>
    <t>PU02741</t>
  </si>
  <si>
    <t>PU02742</t>
  </si>
  <si>
    <t>PU02743</t>
  </si>
  <si>
    <t>PU02744</t>
  </si>
  <si>
    <t>PU02745</t>
  </si>
  <si>
    <t>PU02746</t>
  </si>
  <si>
    <t>PU02747</t>
  </si>
  <si>
    <t>PU02748</t>
  </si>
  <si>
    <t>PU02749</t>
  </si>
  <si>
    <t>PU02750</t>
  </si>
  <si>
    <t>PU02751</t>
  </si>
  <si>
    <t>PU02752</t>
  </si>
  <si>
    <t>PU02753</t>
  </si>
  <si>
    <t>PU02754</t>
  </si>
  <si>
    <t>PU02755</t>
  </si>
  <si>
    <t>PU02756</t>
  </si>
  <si>
    <t>PU02757</t>
  </si>
  <si>
    <t>PU02758</t>
  </si>
  <si>
    <t>PU02759</t>
  </si>
  <si>
    <t>PU02760</t>
  </si>
  <si>
    <t>PU02761</t>
  </si>
  <si>
    <t>PU02762</t>
  </si>
  <si>
    <t>PU02763</t>
  </si>
  <si>
    <t>PU02764</t>
  </si>
  <si>
    <t>PU02765</t>
  </si>
  <si>
    <t>PU02766</t>
  </si>
  <si>
    <t>PU02767</t>
  </si>
  <si>
    <t>PU02768</t>
  </si>
  <si>
    <t>PU02769</t>
  </si>
  <si>
    <t>PU02770</t>
  </si>
  <si>
    <t>PU02771</t>
  </si>
  <si>
    <t>PU02772</t>
  </si>
  <si>
    <t>PU02773</t>
  </si>
  <si>
    <t>PU02774</t>
  </si>
  <si>
    <t>PU02775</t>
  </si>
  <si>
    <t>PU02776</t>
  </si>
  <si>
    <t>PU02777</t>
  </si>
  <si>
    <t>PU02778</t>
  </si>
  <si>
    <t>PU02779</t>
  </si>
  <si>
    <t>PU02780</t>
  </si>
  <si>
    <t>PU02781</t>
  </si>
  <si>
    <t>PU02782</t>
  </si>
  <si>
    <t>PU02783</t>
  </si>
  <si>
    <t>PU02784</t>
  </si>
  <si>
    <t>PU02785</t>
  </si>
  <si>
    <t>PU02786</t>
  </si>
  <si>
    <t>PU02787</t>
  </si>
  <si>
    <t>PU02788</t>
  </si>
  <si>
    <t>PU02789</t>
  </si>
  <si>
    <t>PU02790</t>
  </si>
  <si>
    <t>PU02791</t>
  </si>
  <si>
    <t>PU02792</t>
  </si>
  <si>
    <t>PU02793</t>
  </si>
  <si>
    <t>PU02794</t>
  </si>
  <si>
    <t>PU02795</t>
  </si>
  <si>
    <t>PU02796</t>
  </si>
  <si>
    <t>PU02797</t>
  </si>
  <si>
    <t>PU02798</t>
  </si>
  <si>
    <t>PU02799</t>
  </si>
  <si>
    <t>PU02800</t>
  </si>
  <si>
    <t>PU02801</t>
  </si>
  <si>
    <t>PU02802</t>
  </si>
  <si>
    <t>PU02803</t>
  </si>
  <si>
    <t>PU02804</t>
  </si>
  <si>
    <t>PU02805</t>
  </si>
  <si>
    <t>PU02806</t>
  </si>
  <si>
    <t>PU02807</t>
  </si>
  <si>
    <t>PU02808</t>
  </si>
  <si>
    <t>PU02809</t>
  </si>
  <si>
    <t>PU02810</t>
  </si>
  <si>
    <t>PU02811</t>
  </si>
  <si>
    <t>PU02812</t>
  </si>
  <si>
    <t>PU02813</t>
  </si>
  <si>
    <t>PU02814</t>
  </si>
  <si>
    <t>PU02815</t>
  </si>
  <si>
    <t>PU02816</t>
  </si>
  <si>
    <t>PU02817</t>
  </si>
  <si>
    <t>PU02818</t>
  </si>
  <si>
    <t>PU02819</t>
  </si>
  <si>
    <t>PU02820</t>
  </si>
  <si>
    <t>PU02821</t>
  </si>
  <si>
    <t>PU02822</t>
  </si>
  <si>
    <t>PU02823</t>
  </si>
  <si>
    <t>PU02824</t>
  </si>
  <si>
    <t>PU02825</t>
  </si>
  <si>
    <t>PU02826</t>
  </si>
  <si>
    <t>PU02827</t>
  </si>
  <si>
    <t>PU02828</t>
  </si>
  <si>
    <t>PU02829</t>
  </si>
  <si>
    <t>PU02830</t>
  </si>
  <si>
    <t>PU02831</t>
  </si>
  <si>
    <t>PU02832</t>
  </si>
  <si>
    <t>PU02833</t>
  </si>
  <si>
    <t>PU02834</t>
  </si>
  <si>
    <t>PU02835</t>
  </si>
  <si>
    <t>PU02836</t>
  </si>
  <si>
    <t>PU02837</t>
  </si>
  <si>
    <t>PU02838</t>
  </si>
  <si>
    <t>PU02839</t>
  </si>
  <si>
    <t>PU02840</t>
  </si>
  <si>
    <t>PU02841</t>
  </si>
  <si>
    <t>PU02842</t>
  </si>
  <si>
    <t>PU02843</t>
  </si>
  <si>
    <t>PU02844</t>
  </si>
  <si>
    <t>PU02845</t>
  </si>
  <si>
    <t>PU02846</t>
  </si>
  <si>
    <t>PU02847</t>
  </si>
  <si>
    <t>PU02848</t>
  </si>
  <si>
    <t>PU02849</t>
  </si>
  <si>
    <t>PU02850</t>
  </si>
  <si>
    <t>PU02851</t>
  </si>
  <si>
    <t>PU02852</t>
  </si>
  <si>
    <t>PU02853</t>
  </si>
  <si>
    <t>PU02854</t>
  </si>
  <si>
    <t>PU02855</t>
  </si>
  <si>
    <t>PU02856</t>
  </si>
  <si>
    <t>PU02857</t>
  </si>
  <si>
    <t>PU02858</t>
  </si>
  <si>
    <t>PU02859</t>
  </si>
  <si>
    <t>PU02860</t>
  </si>
  <si>
    <t>PU02861</t>
  </si>
  <si>
    <t>PU02862</t>
  </si>
  <si>
    <t>PU02863</t>
  </si>
  <si>
    <t>PU02864</t>
  </si>
  <si>
    <t>PU02865</t>
  </si>
  <si>
    <t>PU02866</t>
  </si>
  <si>
    <t>PU02867</t>
  </si>
  <si>
    <t>PU02868</t>
  </si>
  <si>
    <t>PU02869</t>
  </si>
  <si>
    <t>PU02870</t>
  </si>
  <si>
    <t>PU02871</t>
  </si>
  <si>
    <t>PU02872</t>
  </si>
  <si>
    <t>PU02873</t>
  </si>
  <si>
    <t>PU02874</t>
  </si>
  <si>
    <t>PU02875</t>
  </si>
  <si>
    <t>PU02876</t>
  </si>
  <si>
    <t>PU02877</t>
  </si>
  <si>
    <t>PU02878</t>
  </si>
  <si>
    <t>PU02879</t>
  </si>
  <si>
    <t>PU02880</t>
  </si>
  <si>
    <t>PU02881</t>
  </si>
  <si>
    <t>PU02882</t>
  </si>
  <si>
    <t>PU02883</t>
  </si>
  <si>
    <t>PU02884</t>
  </si>
  <si>
    <t>PU02885</t>
  </si>
  <si>
    <t>PU02886</t>
  </si>
  <si>
    <t>PU02887</t>
  </si>
  <si>
    <t>PU02888</t>
  </si>
  <si>
    <t>PU02889</t>
  </si>
  <si>
    <t>PU02890</t>
  </si>
  <si>
    <t>PU02891</t>
  </si>
  <si>
    <t>PU02892</t>
  </si>
  <si>
    <t>PU02893</t>
  </si>
  <si>
    <t>PU02894</t>
  </si>
  <si>
    <t>PU02895</t>
  </si>
  <si>
    <t>PU02896</t>
  </si>
  <si>
    <t>PU02897</t>
  </si>
  <si>
    <t>PU02898</t>
  </si>
  <si>
    <t>PU02899</t>
  </si>
  <si>
    <t>PU02900</t>
  </si>
  <si>
    <t>PU02901</t>
  </si>
  <si>
    <t>PU02902</t>
  </si>
  <si>
    <t>PU02903</t>
  </si>
  <si>
    <t>PU02904</t>
  </si>
  <si>
    <t>PU02905</t>
  </si>
  <si>
    <t>PU02906</t>
  </si>
  <si>
    <t>PU02907</t>
  </si>
  <si>
    <t>PU02908</t>
  </si>
  <si>
    <t>PU02909</t>
  </si>
  <si>
    <t>PU02910</t>
  </si>
  <si>
    <t>PU02911</t>
  </si>
  <si>
    <t>PU02912</t>
  </si>
  <si>
    <t>PU02913</t>
  </si>
  <si>
    <t>PU02914</t>
  </si>
  <si>
    <t>PU02915</t>
  </si>
  <si>
    <t>PU02916</t>
  </si>
  <si>
    <t>PU02917</t>
  </si>
  <si>
    <t>PU02918</t>
  </si>
  <si>
    <t>PU02919</t>
  </si>
  <si>
    <t>PU02920</t>
  </si>
  <si>
    <t>PU02921</t>
  </si>
  <si>
    <t>PU02922</t>
  </si>
  <si>
    <t>PU02923</t>
  </si>
  <si>
    <t>PU02924</t>
  </si>
  <si>
    <t>PU02925</t>
  </si>
  <si>
    <t>PU02926</t>
  </si>
  <si>
    <t>PU02927</t>
  </si>
  <si>
    <t>PU02928</t>
  </si>
  <si>
    <t>PU02929</t>
  </si>
  <si>
    <t>PU02930</t>
  </si>
  <si>
    <t>PU02931</t>
  </si>
  <si>
    <t>PU02932</t>
  </si>
  <si>
    <t>PU02933</t>
  </si>
  <si>
    <t>PU02934</t>
  </si>
  <si>
    <t>PU02935</t>
  </si>
  <si>
    <t>PU02936</t>
  </si>
  <si>
    <t>PU02937</t>
  </si>
  <si>
    <t>PU02938</t>
  </si>
  <si>
    <t>PU02939</t>
  </si>
  <si>
    <t>PU02940</t>
  </si>
  <si>
    <t>PU02941</t>
  </si>
  <si>
    <t>PU02942</t>
  </si>
  <si>
    <t>PU02943</t>
  </si>
  <si>
    <t>PU02944</t>
  </si>
  <si>
    <t>PU02945</t>
  </si>
  <si>
    <t>PU02946</t>
  </si>
  <si>
    <t>PU02947</t>
  </si>
  <si>
    <t>PU02948</t>
  </si>
  <si>
    <t>PU02949</t>
  </si>
  <si>
    <t>PU02950</t>
  </si>
  <si>
    <t>PU02951</t>
  </si>
  <si>
    <t>PU02952</t>
  </si>
  <si>
    <t>PU02953</t>
  </si>
  <si>
    <t>PU02954</t>
  </si>
  <si>
    <t>PU02955</t>
  </si>
  <si>
    <t>PU02956</t>
  </si>
  <si>
    <t>PU02957</t>
  </si>
  <si>
    <t>PU02958</t>
  </si>
  <si>
    <t>PU02959</t>
  </si>
  <si>
    <t>PU02960</t>
  </si>
  <si>
    <t>PU02961</t>
  </si>
  <si>
    <t>PU02962</t>
  </si>
  <si>
    <t>PU02963</t>
  </si>
  <si>
    <t>PU02964</t>
  </si>
  <si>
    <t>PU02965</t>
  </si>
  <si>
    <t>PU02966</t>
  </si>
  <si>
    <t>PU02967</t>
  </si>
  <si>
    <t>PU02968</t>
  </si>
  <si>
    <t>PU02969</t>
  </si>
  <si>
    <t>PU02970</t>
  </si>
  <si>
    <t>PU02971</t>
  </si>
  <si>
    <t>PU02972</t>
  </si>
  <si>
    <t>PU02973</t>
  </si>
  <si>
    <t>PU02974</t>
  </si>
  <si>
    <t>PU02975</t>
  </si>
  <si>
    <t>PU02976</t>
  </si>
  <si>
    <t>PU02977</t>
  </si>
  <si>
    <t>PU02978</t>
  </si>
  <si>
    <t>PU02979</t>
  </si>
  <si>
    <t>PU02980</t>
  </si>
  <si>
    <t>PU02981</t>
  </si>
  <si>
    <t>PU02982</t>
  </si>
  <si>
    <t>PU02983</t>
  </si>
  <si>
    <t>PU02984</t>
  </si>
  <si>
    <t>PU02985</t>
  </si>
  <si>
    <t>PU02986</t>
  </si>
  <si>
    <t>PU02987</t>
  </si>
  <si>
    <t>PU02988</t>
  </si>
  <si>
    <t>PU02989</t>
  </si>
  <si>
    <t>PU02990</t>
  </si>
  <si>
    <t>PU02991</t>
  </si>
  <si>
    <t>PU02992</t>
  </si>
  <si>
    <t>PU02993</t>
  </si>
  <si>
    <t>PU02994</t>
  </si>
  <si>
    <t>PU02995</t>
  </si>
  <si>
    <t>PU02996</t>
  </si>
  <si>
    <t>PU02997</t>
  </si>
  <si>
    <t>PU02998</t>
  </si>
  <si>
    <t>PU02999</t>
  </si>
  <si>
    <t>PU03000</t>
  </si>
  <si>
    <t>PU03001</t>
  </si>
  <si>
    <t>PU03002</t>
  </si>
  <si>
    <t>PU03003</t>
  </si>
  <si>
    <t>PU03004</t>
  </si>
  <si>
    <t>PU03005</t>
  </si>
  <si>
    <t>PU03006</t>
  </si>
  <si>
    <t>PU03007</t>
  </si>
  <si>
    <t>PU03008</t>
  </si>
  <si>
    <t>PU03009</t>
  </si>
  <si>
    <t>PU03010</t>
  </si>
  <si>
    <t>PU03011</t>
  </si>
  <si>
    <t>PU03012</t>
  </si>
  <si>
    <t>PU03013</t>
  </si>
  <si>
    <t>PU03014</t>
  </si>
  <si>
    <t>PU03015</t>
  </si>
  <si>
    <t>PU03016</t>
  </si>
  <si>
    <t>PU03017</t>
  </si>
  <si>
    <t>PU03018</t>
  </si>
  <si>
    <t>PU03019</t>
  </si>
  <si>
    <t>PU03020</t>
  </si>
  <si>
    <t>PU03021</t>
  </si>
  <si>
    <t>PU03022</t>
  </si>
  <si>
    <t>PU03023</t>
  </si>
  <si>
    <t>PU03024</t>
  </si>
  <si>
    <t>PU03025</t>
  </si>
  <si>
    <t>PU03026</t>
  </si>
  <si>
    <t>PU03027</t>
  </si>
  <si>
    <t>PU03028</t>
  </si>
  <si>
    <t>PU03029</t>
  </si>
  <si>
    <t>PU03030</t>
  </si>
  <si>
    <t>PU03031</t>
  </si>
  <si>
    <t>PU03032</t>
  </si>
  <si>
    <t>PU03033</t>
  </si>
  <si>
    <t>PU03034</t>
  </si>
  <si>
    <t>PU03035</t>
  </si>
  <si>
    <t>PU03036</t>
  </si>
  <si>
    <t>PU03037</t>
  </si>
  <si>
    <t>PU03038</t>
  </si>
  <si>
    <t>PU03039</t>
  </si>
  <si>
    <t>PU03040</t>
  </si>
  <si>
    <t>PU03041</t>
  </si>
  <si>
    <t>PU03042</t>
  </si>
  <si>
    <t>PU03043</t>
  </si>
  <si>
    <t>PU03044</t>
  </si>
  <si>
    <t>PU03045</t>
  </si>
  <si>
    <t>PU03046</t>
  </si>
  <si>
    <t>PU03047</t>
  </si>
  <si>
    <t>PU03048</t>
  </si>
  <si>
    <t>PU03049</t>
  </si>
  <si>
    <t>PU03050</t>
  </si>
  <si>
    <t>PU03051</t>
  </si>
  <si>
    <t>PU03052</t>
  </si>
  <si>
    <t>PU03053</t>
  </si>
  <si>
    <t>PU03054</t>
  </si>
  <si>
    <t>PU03055</t>
  </si>
  <si>
    <t>PU03056</t>
  </si>
  <si>
    <t>PU03057</t>
  </si>
  <si>
    <t>PU03058</t>
  </si>
  <si>
    <t>PU03059</t>
  </si>
  <si>
    <t>PU03060</t>
  </si>
  <si>
    <t>PU03061</t>
  </si>
  <si>
    <t>PU03062</t>
  </si>
  <si>
    <t>PU03063</t>
  </si>
  <si>
    <t>PU03064</t>
  </si>
  <si>
    <t>PU03065</t>
  </si>
  <si>
    <t>PU03066</t>
  </si>
  <si>
    <t>PU03067</t>
  </si>
  <si>
    <t>PU03068</t>
  </si>
  <si>
    <t>PU03069</t>
  </si>
  <si>
    <t>PU03070</t>
  </si>
  <si>
    <t>PU03071</t>
  </si>
  <si>
    <t>PU03072</t>
  </si>
  <si>
    <t>PU03073</t>
  </si>
  <si>
    <t>PU03074</t>
  </si>
  <si>
    <t>PU03075</t>
  </si>
  <si>
    <t>PU03076</t>
  </si>
  <si>
    <t>PU03077</t>
  </si>
  <si>
    <t>PU03078</t>
  </si>
  <si>
    <t>PU03079</t>
  </si>
  <si>
    <t>PU03080</t>
  </si>
  <si>
    <t>PU03081</t>
  </si>
  <si>
    <t>PU03082</t>
  </si>
  <si>
    <t>PU03083</t>
  </si>
  <si>
    <t>PU03084</t>
  </si>
  <si>
    <t>PU03085</t>
  </si>
  <si>
    <t>PU03086</t>
  </si>
  <si>
    <t>PU03087</t>
  </si>
  <si>
    <t>PU03088</t>
  </si>
  <si>
    <t>PU03089</t>
  </si>
  <si>
    <t>PU03090</t>
  </si>
  <si>
    <t>PU03091</t>
  </si>
  <si>
    <t>PU03092</t>
  </si>
  <si>
    <t>PU03093</t>
  </si>
  <si>
    <t>PU03094</t>
  </si>
  <si>
    <t>PU03095</t>
  </si>
  <si>
    <t>PU03096</t>
  </si>
  <si>
    <t>PU03097</t>
  </si>
  <si>
    <t>PU03098</t>
  </si>
  <si>
    <t>PU03099</t>
  </si>
  <si>
    <t>PU03100</t>
  </si>
  <si>
    <t>PU03101</t>
  </si>
  <si>
    <t>PU03102</t>
  </si>
  <si>
    <t>PU03103</t>
  </si>
  <si>
    <t>PU03104</t>
  </si>
  <si>
    <t>PU03105</t>
  </si>
  <si>
    <t>PU03106</t>
  </si>
  <si>
    <t>PU03107</t>
  </si>
  <si>
    <t>PU03108</t>
  </si>
  <si>
    <t>PU03109</t>
  </si>
  <si>
    <t>PU03110</t>
  </si>
  <si>
    <t>PU03111</t>
  </si>
  <si>
    <t>PU03112</t>
  </si>
  <si>
    <t>PU03113</t>
  </si>
  <si>
    <t>PU03114</t>
  </si>
  <si>
    <t>PU03115</t>
  </si>
  <si>
    <t>PU03116</t>
  </si>
  <si>
    <t>PU03117</t>
  </si>
  <si>
    <t>PU03118</t>
  </si>
  <si>
    <t>PU03119</t>
  </si>
  <si>
    <t>PU03120</t>
  </si>
  <si>
    <t>PU03121</t>
  </si>
  <si>
    <t>PU03122</t>
  </si>
  <si>
    <t>PU03123</t>
  </si>
  <si>
    <t>PU03124</t>
  </si>
  <si>
    <t>PU03125</t>
  </si>
  <si>
    <t>PU03126</t>
  </si>
  <si>
    <t>PU03127</t>
  </si>
  <si>
    <t>PU03128</t>
  </si>
  <si>
    <t>PU03129</t>
  </si>
  <si>
    <t>PU03130</t>
  </si>
  <si>
    <t>PU03131</t>
  </si>
  <si>
    <t>PU03132</t>
  </si>
  <si>
    <t>PU03133</t>
  </si>
  <si>
    <t>PU03134</t>
  </si>
  <si>
    <t>PU03135</t>
  </si>
  <si>
    <t>PU03136</t>
  </si>
  <si>
    <t>PU03137</t>
  </si>
  <si>
    <t>PU03138</t>
  </si>
  <si>
    <t>PU03139</t>
  </si>
  <si>
    <t>PU03140</t>
  </si>
  <si>
    <t>PU03141</t>
  </si>
  <si>
    <t>PU03142</t>
  </si>
  <si>
    <t>PU03143</t>
  </si>
  <si>
    <t>PU03144</t>
  </si>
  <si>
    <t>PU03145</t>
  </si>
  <si>
    <t>PU03146</t>
  </si>
  <si>
    <t>PU03147</t>
  </si>
  <si>
    <t>PU03148</t>
  </si>
  <si>
    <t>PU03149</t>
  </si>
  <si>
    <t>PU03150</t>
  </si>
  <si>
    <t>PU03151</t>
  </si>
  <si>
    <t>PU03152</t>
  </si>
  <si>
    <t>PU03153</t>
  </si>
  <si>
    <t>PU03154</t>
  </si>
  <si>
    <t>PU03155</t>
  </si>
  <si>
    <t>PU03156</t>
  </si>
  <si>
    <t>PU03157</t>
  </si>
  <si>
    <t>PU03158</t>
  </si>
  <si>
    <t>PU03159</t>
  </si>
  <si>
    <t>PU03160</t>
  </si>
  <si>
    <t>PU03161</t>
  </si>
  <si>
    <t>PU03162</t>
  </si>
  <si>
    <t>PU03163</t>
  </si>
  <si>
    <t>PU03164</t>
  </si>
  <si>
    <t>PU03165</t>
  </si>
  <si>
    <t>PU03166</t>
  </si>
  <si>
    <t>PU03167</t>
  </si>
  <si>
    <t>PU03168</t>
  </si>
  <si>
    <t>PU03169</t>
  </si>
  <si>
    <t>PU03170</t>
  </si>
  <si>
    <t>PU03171</t>
  </si>
  <si>
    <t>PU03172</t>
  </si>
  <si>
    <t>PU03173</t>
  </si>
  <si>
    <t>PU03174</t>
  </si>
  <si>
    <t>PU03175</t>
  </si>
  <si>
    <t>PU03176</t>
  </si>
  <si>
    <t>PU03177</t>
  </si>
  <si>
    <t>PU03178</t>
  </si>
  <si>
    <t>PU03179</t>
  </si>
  <si>
    <t>PU03180</t>
  </si>
  <si>
    <t>PU03181</t>
  </si>
  <si>
    <t>PU03182</t>
  </si>
  <si>
    <t>PU03183</t>
  </si>
  <si>
    <t>PU03184</t>
  </si>
  <si>
    <t>PU03185</t>
  </si>
  <si>
    <t>PU03186</t>
  </si>
  <si>
    <t>PU03187</t>
  </si>
  <si>
    <t>PU03188</t>
  </si>
  <si>
    <t>PU03189</t>
  </si>
  <si>
    <t>PU03190</t>
  </si>
  <si>
    <t>PU03191</t>
  </si>
  <si>
    <t>PU03192</t>
  </si>
  <si>
    <t>PU03193</t>
  </si>
  <si>
    <t>PU03194</t>
  </si>
  <si>
    <t>PU03195</t>
  </si>
  <si>
    <t>PU03196</t>
  </si>
  <si>
    <t>PU03197</t>
  </si>
  <si>
    <t>PU03198</t>
  </si>
  <si>
    <t>PU03199</t>
  </si>
  <si>
    <t>PU03200</t>
  </si>
  <si>
    <t>PU03201</t>
  </si>
  <si>
    <t>PU03202</t>
  </si>
  <si>
    <t>PU03203</t>
  </si>
  <si>
    <t>PU03204</t>
  </si>
  <si>
    <t>PU03205</t>
  </si>
  <si>
    <t>PU03206</t>
  </si>
  <si>
    <t>PU03207</t>
  </si>
  <si>
    <t>PU03208</t>
  </si>
  <si>
    <t>PU03209</t>
  </si>
  <si>
    <t>PU03210</t>
  </si>
  <si>
    <t>PU03211</t>
  </si>
  <si>
    <t>PU03212</t>
  </si>
  <si>
    <t>PU03213</t>
  </si>
  <si>
    <t>PU03214</t>
  </si>
  <si>
    <t>PU03215</t>
  </si>
  <si>
    <t>PU03216</t>
  </si>
  <si>
    <t>PU03217</t>
  </si>
  <si>
    <t>PU03218</t>
  </si>
  <si>
    <t>PU03219</t>
  </si>
  <si>
    <t>PU03220</t>
  </si>
  <si>
    <t>PU03221</t>
  </si>
  <si>
    <t>PU03222</t>
  </si>
  <si>
    <t>PU03223</t>
  </si>
  <si>
    <t>PU03224</t>
  </si>
  <si>
    <t>PU03225</t>
  </si>
  <si>
    <t>PU03226</t>
  </si>
  <si>
    <t>PU03227</t>
  </si>
  <si>
    <t>PU03228</t>
  </si>
  <si>
    <t>PU03229</t>
  </si>
  <si>
    <t>PU03230</t>
  </si>
  <si>
    <t>PU03231</t>
  </si>
  <si>
    <t>PU03232</t>
  </si>
  <si>
    <t>PU03233</t>
  </si>
  <si>
    <t>PU03234</t>
  </si>
  <si>
    <t>PU03235</t>
  </si>
  <si>
    <t>PU03236</t>
  </si>
  <si>
    <t>PU03237</t>
  </si>
  <si>
    <t>PU03238</t>
  </si>
  <si>
    <t>PU03239</t>
  </si>
  <si>
    <t>PU03240</t>
  </si>
  <si>
    <t>PU03241</t>
  </si>
  <si>
    <t>PU03242</t>
  </si>
  <si>
    <t>PU03243</t>
  </si>
  <si>
    <t>PU03244</t>
  </si>
  <si>
    <t>PU03245</t>
  </si>
  <si>
    <t>PU03246</t>
  </si>
  <si>
    <t>PU03247</t>
  </si>
  <si>
    <t>PU03248</t>
  </si>
  <si>
    <t>PU03249</t>
  </si>
  <si>
    <t>PU03250</t>
  </si>
  <si>
    <t>PU03251</t>
  </si>
  <si>
    <t>PU03252</t>
  </si>
  <si>
    <t>PU03253</t>
  </si>
  <si>
    <t>PU03254</t>
  </si>
  <si>
    <t>PU03255</t>
  </si>
  <si>
    <t>PU03256</t>
  </si>
  <si>
    <t>PU03257</t>
  </si>
  <si>
    <t>PU03258</t>
  </si>
  <si>
    <t>PU03259</t>
  </si>
  <si>
    <t>PU03260</t>
  </si>
  <si>
    <t>PU03261</t>
  </si>
  <si>
    <t>PU03262</t>
  </si>
  <si>
    <t>PU03263</t>
  </si>
  <si>
    <t>PU03264</t>
  </si>
  <si>
    <t>PU03265</t>
  </si>
  <si>
    <t>PU03266</t>
  </si>
  <si>
    <t>PU03267</t>
  </si>
  <si>
    <t>PU03268</t>
  </si>
  <si>
    <t>PU03269</t>
  </si>
  <si>
    <t>PU03270</t>
  </si>
  <si>
    <t>PU03271</t>
  </si>
  <si>
    <t>PU03272</t>
  </si>
  <si>
    <t>PU03273</t>
  </si>
  <si>
    <t>PU03274</t>
  </si>
  <si>
    <t>PU03275</t>
  </si>
  <si>
    <t>PU03276</t>
  </si>
  <si>
    <t>PU03277</t>
  </si>
  <si>
    <t>PU03278</t>
  </si>
  <si>
    <t>PU03279</t>
  </si>
  <si>
    <t>PU03280</t>
  </si>
  <si>
    <t>PU03281</t>
  </si>
  <si>
    <t>PU03282</t>
  </si>
  <si>
    <t>PU03283</t>
  </si>
  <si>
    <t>PU03284</t>
  </si>
  <si>
    <t>PU03285</t>
  </si>
  <si>
    <t>PU03286</t>
  </si>
  <si>
    <t>PU03287</t>
  </si>
  <si>
    <t>PU03288</t>
  </si>
  <si>
    <t>PU03289</t>
  </si>
  <si>
    <t>PU03290</t>
  </si>
  <si>
    <t>PU03291</t>
  </si>
  <si>
    <t>PU03292</t>
  </si>
  <si>
    <t>PU03293</t>
  </si>
  <si>
    <t>PU03294</t>
  </si>
  <si>
    <t>PU03295</t>
  </si>
  <si>
    <t>PU03296</t>
  </si>
  <si>
    <t>PU03297</t>
  </si>
  <si>
    <t>PU03298</t>
  </si>
  <si>
    <t>PU03299</t>
  </si>
  <si>
    <t>PU03300</t>
  </si>
  <si>
    <t>PU03301</t>
  </si>
  <si>
    <t>PU03302</t>
  </si>
  <si>
    <t>PU03303</t>
  </si>
  <si>
    <t>PU03304</t>
  </si>
  <si>
    <t>PU03305</t>
  </si>
  <si>
    <t>PU03306</t>
  </si>
  <si>
    <t>PU03307</t>
  </si>
  <si>
    <t>PU03308</t>
  </si>
  <si>
    <t>PU03309</t>
  </si>
  <si>
    <t>PU03310</t>
  </si>
  <si>
    <t>PU03311</t>
  </si>
  <si>
    <t>PU03312</t>
  </si>
  <si>
    <t>PU03313</t>
  </si>
  <si>
    <t>PU03314</t>
  </si>
  <si>
    <t>PU03315</t>
  </si>
  <si>
    <t>PU03316</t>
  </si>
  <si>
    <t>PU03317</t>
  </si>
  <si>
    <t>PU03318</t>
  </si>
  <si>
    <t>PU03319</t>
  </si>
  <si>
    <t>PU03320</t>
  </si>
  <si>
    <t>PU03321</t>
  </si>
  <si>
    <t>PU03322</t>
  </si>
  <si>
    <t>PU03323</t>
  </si>
  <si>
    <t>PU03324</t>
  </si>
  <si>
    <t>PU03325</t>
  </si>
  <si>
    <t>PU03326</t>
  </si>
  <si>
    <t>PU03327</t>
  </si>
  <si>
    <t>PU03328</t>
  </si>
  <si>
    <t>PU03329</t>
  </si>
  <si>
    <t>PU03330</t>
  </si>
  <si>
    <t>PU03331</t>
  </si>
  <si>
    <t>PU03332</t>
  </si>
  <si>
    <t>PU03333</t>
  </si>
  <si>
    <t>PU03334</t>
  </si>
  <si>
    <t>PU03335</t>
  </si>
  <si>
    <t>PU03336</t>
  </si>
  <si>
    <t>PU03337</t>
  </si>
  <si>
    <t>PU03338</t>
  </si>
  <si>
    <t>PU03339</t>
  </si>
  <si>
    <t>PU03340</t>
  </si>
  <si>
    <t>PU03341</t>
  </si>
  <si>
    <t>PU03342</t>
  </si>
  <si>
    <t>PU03343</t>
  </si>
  <si>
    <t>PU03344</t>
  </si>
  <si>
    <t>PU03345</t>
  </si>
  <si>
    <t>PU03346</t>
  </si>
  <si>
    <t>PU03347</t>
  </si>
  <si>
    <t>PU03348</t>
  </si>
  <si>
    <t>PU03349</t>
  </si>
  <si>
    <t>PU03350</t>
  </si>
  <si>
    <t>PU03351</t>
  </si>
  <si>
    <t>PU03352</t>
  </si>
  <si>
    <t>PU03353</t>
  </si>
  <si>
    <t>PU03354</t>
  </si>
  <si>
    <t>PU03355</t>
  </si>
  <si>
    <t>PU03356</t>
  </si>
  <si>
    <t>PU03357</t>
  </si>
  <si>
    <t>PU03358</t>
  </si>
  <si>
    <t>PU03359</t>
  </si>
  <si>
    <t>PU03360</t>
  </si>
  <si>
    <t>PU03361</t>
  </si>
  <si>
    <t>PU03362</t>
  </si>
  <si>
    <t>PU03363</t>
  </si>
  <si>
    <t>PU03364</t>
  </si>
  <si>
    <t>PU03365</t>
  </si>
  <si>
    <t>PU03366</t>
  </si>
  <si>
    <t>PU03367</t>
  </si>
  <si>
    <t>PU03368</t>
  </si>
  <si>
    <t>PU03369</t>
  </si>
  <si>
    <t>PU03370</t>
  </si>
  <si>
    <t>PU03371</t>
  </si>
  <si>
    <t>PU03372</t>
  </si>
  <si>
    <t>PU03373</t>
  </si>
  <si>
    <t>PU03374</t>
  </si>
  <si>
    <t>PU03375</t>
  </si>
  <si>
    <t>PU03376</t>
  </si>
  <si>
    <t>PU03377</t>
  </si>
  <si>
    <t>PU03378</t>
  </si>
  <si>
    <t>PU03379</t>
  </si>
  <si>
    <t>PU03380</t>
  </si>
  <si>
    <t>PU03381</t>
  </si>
  <si>
    <t>PU03382</t>
  </si>
  <si>
    <t>PU03383</t>
  </si>
  <si>
    <t>PU03384</t>
  </si>
  <si>
    <t>PU03385</t>
  </si>
  <si>
    <t>PU03386</t>
  </si>
  <si>
    <t>PU03387</t>
  </si>
  <si>
    <t>PU03388</t>
  </si>
  <si>
    <t>PU03389</t>
  </si>
  <si>
    <t>PU03390</t>
  </si>
  <si>
    <t>PU03391</t>
  </si>
  <si>
    <t>PU03392</t>
  </si>
  <si>
    <t>PU03393</t>
  </si>
  <si>
    <t>PU03394</t>
  </si>
  <si>
    <t>PU03395</t>
  </si>
  <si>
    <t>PU03396</t>
  </si>
  <si>
    <t>PU03397</t>
  </si>
  <si>
    <t>PU03398</t>
  </si>
  <si>
    <t>PU03399</t>
  </si>
  <si>
    <t>PU03400</t>
  </si>
  <si>
    <t>PU03401</t>
  </si>
  <si>
    <t>PU03402</t>
  </si>
  <si>
    <t>PU03403</t>
  </si>
  <si>
    <t>PU03404</t>
  </si>
  <si>
    <t>PU03405</t>
  </si>
  <si>
    <t>PU03406</t>
  </si>
  <si>
    <t>PU03407</t>
  </si>
  <si>
    <t>PU03408</t>
  </si>
  <si>
    <t>PU03409</t>
  </si>
  <si>
    <t>PU03410</t>
  </si>
  <si>
    <t>PU03411</t>
  </si>
  <si>
    <t>PU03412</t>
  </si>
  <si>
    <t>PU03413</t>
  </si>
  <si>
    <t>PU03414</t>
  </si>
  <si>
    <t>PU03415</t>
  </si>
  <si>
    <t>PU03416</t>
  </si>
  <si>
    <t>PU03417</t>
  </si>
  <si>
    <t>PU03418</t>
  </si>
  <si>
    <t>PU03419</t>
  </si>
  <si>
    <t>PU03420</t>
  </si>
  <si>
    <t>PU03421</t>
  </si>
  <si>
    <t>PU03422</t>
  </si>
  <si>
    <t>PU03423</t>
  </si>
  <si>
    <t>PU03424</t>
  </si>
  <si>
    <t>PU03425</t>
  </si>
  <si>
    <t>PU03426</t>
  </si>
  <si>
    <t>PU03427</t>
  </si>
  <si>
    <t>PU03428</t>
  </si>
  <si>
    <t>PU03429</t>
  </si>
  <si>
    <t>PU03430</t>
  </si>
  <si>
    <t>PU03431</t>
  </si>
  <si>
    <t>PU03432</t>
  </si>
  <si>
    <t>PU03433</t>
  </si>
  <si>
    <t>PU03434</t>
  </si>
  <si>
    <t>PU03435</t>
  </si>
  <si>
    <t>PU03436</t>
  </si>
  <si>
    <t>PU03437</t>
  </si>
  <si>
    <t>PU03438</t>
  </si>
  <si>
    <t>PU03439</t>
  </si>
  <si>
    <t>PU03440</t>
  </si>
  <si>
    <t>PU03441</t>
  </si>
  <si>
    <t>PU03442</t>
  </si>
  <si>
    <t>PU03443</t>
  </si>
  <si>
    <t>PU03444</t>
  </si>
  <si>
    <t>PU03445</t>
  </si>
  <si>
    <t>PU03446</t>
  </si>
  <si>
    <t>PU03447</t>
  </si>
  <si>
    <t>PU03448</t>
  </si>
  <si>
    <t>PU03449</t>
  </si>
  <si>
    <t>PU03450</t>
  </si>
  <si>
    <t>PU03451</t>
  </si>
  <si>
    <t>PU03452</t>
  </si>
  <si>
    <t>PU03453</t>
  </si>
  <si>
    <t>PU03454</t>
  </si>
  <si>
    <t>PU03455</t>
  </si>
  <si>
    <t>PU03456</t>
  </si>
  <si>
    <t>PU03457</t>
  </si>
  <si>
    <t>PU03458</t>
  </si>
  <si>
    <t>PU03459</t>
  </si>
  <si>
    <t>PU03460</t>
  </si>
  <si>
    <t>PU03461</t>
  </si>
  <si>
    <t>PU03462</t>
  </si>
  <si>
    <t>PU03463</t>
  </si>
  <si>
    <t>PU03464</t>
  </si>
  <si>
    <t>PU03465</t>
  </si>
  <si>
    <t>PU03466</t>
  </si>
  <si>
    <t>PU03467</t>
  </si>
  <si>
    <t>PU03468</t>
  </si>
  <si>
    <t>PU03469</t>
  </si>
  <si>
    <t>PU03470</t>
  </si>
  <si>
    <t>PU03471</t>
  </si>
  <si>
    <t>PU03472</t>
  </si>
  <si>
    <t>PU03473</t>
  </si>
  <si>
    <t>PU03474</t>
  </si>
  <si>
    <t>PU03475</t>
  </si>
  <si>
    <t>PU03476</t>
  </si>
  <si>
    <t>PU03477</t>
  </si>
  <si>
    <t>PU03478</t>
  </si>
  <si>
    <t>PU03479</t>
  </si>
  <si>
    <t>PU03480</t>
  </si>
  <si>
    <t>PU03481</t>
  </si>
  <si>
    <t>PU03482</t>
  </si>
  <si>
    <t>PU03483</t>
  </si>
  <si>
    <t>PU03484</t>
  </si>
  <si>
    <t>PU03485</t>
  </si>
  <si>
    <t>PU03486</t>
  </si>
  <si>
    <t>PU03487</t>
  </si>
  <si>
    <t>PU03488</t>
  </si>
  <si>
    <t>PU03489</t>
  </si>
  <si>
    <t>PU03490</t>
  </si>
  <si>
    <t>PU03491</t>
  </si>
  <si>
    <t>PU03492</t>
  </si>
  <si>
    <t>PU03493</t>
  </si>
  <si>
    <t>PU03494</t>
  </si>
  <si>
    <t>PU03495</t>
  </si>
  <si>
    <t>PU03496</t>
  </si>
  <si>
    <t>PU03497</t>
  </si>
  <si>
    <t>PU03498</t>
  </si>
  <si>
    <t>PU03499</t>
  </si>
  <si>
    <t>PU03500</t>
  </si>
  <si>
    <t>PU03501</t>
  </si>
  <si>
    <t>PU03502</t>
  </si>
  <si>
    <t>PU03503</t>
  </si>
  <si>
    <t>PU03504</t>
  </si>
  <si>
    <t>PU03505</t>
  </si>
  <si>
    <t>PU03506</t>
  </si>
  <si>
    <t>PU03507</t>
  </si>
  <si>
    <t>PU03508</t>
  </si>
  <si>
    <t>PU03509</t>
  </si>
  <si>
    <t>PU03510</t>
  </si>
  <si>
    <t>PU03511</t>
  </si>
  <si>
    <t>PU03512</t>
  </si>
  <si>
    <t>PU03513</t>
  </si>
  <si>
    <t>PU03514</t>
  </si>
  <si>
    <t>PU03515</t>
  </si>
  <si>
    <t>PU03516</t>
  </si>
  <si>
    <t>PU03517</t>
  </si>
  <si>
    <t>PU03518</t>
  </si>
  <si>
    <t>PU03519</t>
  </si>
  <si>
    <t>PU03520</t>
  </si>
  <si>
    <t>PU03521</t>
  </si>
  <si>
    <t>PU03522</t>
  </si>
  <si>
    <t>PU03523</t>
  </si>
  <si>
    <t>PU03524</t>
  </si>
  <si>
    <t>PU03525</t>
  </si>
  <si>
    <t>PU03526</t>
  </si>
  <si>
    <t>PU03527</t>
  </si>
  <si>
    <t>PU03528</t>
  </si>
  <si>
    <t>PU03529</t>
  </si>
  <si>
    <t>PU03530</t>
  </si>
  <si>
    <t>PU03531</t>
  </si>
  <si>
    <t>PU03532</t>
  </si>
  <si>
    <t>PU03533</t>
  </si>
  <si>
    <t>PU03534</t>
  </si>
  <si>
    <t>PU03535</t>
  </si>
  <si>
    <t>PU03536</t>
  </si>
  <si>
    <t>PU03537</t>
  </si>
  <si>
    <t>PU03538</t>
  </si>
  <si>
    <t>PU03539</t>
  </si>
  <si>
    <t>PU03540</t>
  </si>
  <si>
    <t>PU03541</t>
  </si>
  <si>
    <t>PU03542</t>
  </si>
  <si>
    <t>PU03543</t>
  </si>
  <si>
    <t>PU03544</t>
  </si>
  <si>
    <t>PU03545</t>
  </si>
  <si>
    <t>PU03546</t>
  </si>
  <si>
    <t>PU03547</t>
  </si>
  <si>
    <t>PU03548</t>
  </si>
  <si>
    <t>PU03549</t>
  </si>
  <si>
    <t>PU03550</t>
  </si>
  <si>
    <t>PU03551</t>
  </si>
  <si>
    <t>PU03552</t>
  </si>
  <si>
    <t>PU03553</t>
  </si>
  <si>
    <t>PU03554</t>
  </si>
  <si>
    <t>PU03555</t>
  </si>
  <si>
    <t>PU03556</t>
  </si>
  <si>
    <t>PU03557</t>
  </si>
  <si>
    <t>PU03558</t>
  </si>
  <si>
    <t>PU03559</t>
  </si>
  <si>
    <t>PU03560</t>
  </si>
  <si>
    <t>PU03561</t>
  </si>
  <si>
    <t>PU03562</t>
  </si>
  <si>
    <t>PU03563</t>
  </si>
  <si>
    <t>PU03564</t>
  </si>
  <si>
    <t>PU03565</t>
  </si>
  <si>
    <t>PU03566</t>
  </si>
  <si>
    <t>PU03567</t>
  </si>
  <si>
    <t>PU03568</t>
  </si>
  <si>
    <t>PU03569</t>
  </si>
  <si>
    <t>PU03570</t>
  </si>
  <si>
    <t>PU03571</t>
  </si>
  <si>
    <t>PU03572</t>
  </si>
  <si>
    <t>PU03573</t>
  </si>
  <si>
    <t>PU03574</t>
  </si>
  <si>
    <t>PU03575</t>
  </si>
  <si>
    <t>PU03576</t>
  </si>
  <si>
    <t>PU03577</t>
  </si>
  <si>
    <t>PU03578</t>
  </si>
  <si>
    <t>PU03579</t>
  </si>
  <si>
    <t>PU03580</t>
  </si>
  <si>
    <t>PU03581</t>
  </si>
  <si>
    <t>PU03582</t>
  </si>
  <si>
    <t>PU03583</t>
  </si>
  <si>
    <t>PU03584</t>
  </si>
  <si>
    <t>PU03585</t>
  </si>
  <si>
    <t>PU03586</t>
  </si>
  <si>
    <t>PU03587</t>
  </si>
  <si>
    <t>PU03588</t>
  </si>
  <si>
    <t>PU03589</t>
  </si>
  <si>
    <t>PU03590</t>
  </si>
  <si>
    <t>PU03591</t>
  </si>
  <si>
    <t>PU03592</t>
  </si>
  <si>
    <t>PU03593</t>
  </si>
  <si>
    <t>PU03594</t>
  </si>
  <si>
    <t>PU03595</t>
  </si>
  <si>
    <t>PU03596</t>
  </si>
  <si>
    <t>PU03597</t>
  </si>
  <si>
    <t>PU03598</t>
  </si>
  <si>
    <t>PU03599</t>
  </si>
  <si>
    <t>PU03600</t>
  </si>
  <si>
    <t>PU03601</t>
  </si>
  <si>
    <t>PU03602</t>
  </si>
  <si>
    <t>PU03603</t>
  </si>
  <si>
    <t>PU03604</t>
  </si>
  <si>
    <t>PU03605</t>
  </si>
  <si>
    <t>PU03606</t>
  </si>
  <si>
    <t>PU03607</t>
  </si>
  <si>
    <t>PU03608</t>
  </si>
  <si>
    <t>PU03609</t>
  </si>
  <si>
    <t>PU03610</t>
  </si>
  <si>
    <t>PU03611</t>
  </si>
  <si>
    <t>PU03612</t>
  </si>
  <si>
    <t>PU03613</t>
  </si>
  <si>
    <t>PU03614</t>
  </si>
  <si>
    <t>PU03615</t>
  </si>
  <si>
    <t>PU03616</t>
  </si>
  <si>
    <t>PU03617</t>
  </si>
  <si>
    <t>PU03618</t>
  </si>
  <si>
    <t>PU03619</t>
  </si>
  <si>
    <t>PU03620</t>
  </si>
  <si>
    <t>PU03621</t>
  </si>
  <si>
    <t>PU03622</t>
  </si>
  <si>
    <t>PU03623</t>
  </si>
  <si>
    <t>PU03624</t>
  </si>
  <si>
    <t>PU03625</t>
  </si>
  <si>
    <t>PU03626</t>
  </si>
  <si>
    <t>PU03627</t>
  </si>
  <si>
    <t>PU03628</t>
  </si>
  <si>
    <t>PU03629</t>
  </si>
  <si>
    <t>PU03630</t>
  </si>
  <si>
    <t>PU03631</t>
  </si>
  <si>
    <t>PU03632</t>
  </si>
  <si>
    <t>PU03633</t>
  </si>
  <si>
    <t>PU03634</t>
  </si>
  <si>
    <t>PU03635</t>
  </si>
  <si>
    <t>PU03636</t>
  </si>
  <si>
    <t>PU03637</t>
  </si>
  <si>
    <t>PU03638</t>
  </si>
  <si>
    <t>PU03639</t>
  </si>
  <si>
    <t>PU03640</t>
  </si>
  <si>
    <t>PU03641</t>
  </si>
  <si>
    <t>PU03642</t>
  </si>
  <si>
    <t>PU03643</t>
  </si>
  <si>
    <t>PU03644</t>
  </si>
  <si>
    <t>PU03645</t>
  </si>
  <si>
    <t>PU03646</t>
  </si>
  <si>
    <t>PU03647</t>
  </si>
  <si>
    <t>PU03648</t>
  </si>
  <si>
    <t>PU03649</t>
  </si>
  <si>
    <t>PU03650</t>
  </si>
  <si>
    <t>PU03651</t>
  </si>
  <si>
    <t>PU03652</t>
  </si>
  <si>
    <t>PU03653</t>
  </si>
  <si>
    <t>PU03654</t>
  </si>
  <si>
    <t>PU03655</t>
  </si>
  <si>
    <t>PU03656</t>
  </si>
  <si>
    <t>PU03657</t>
  </si>
  <si>
    <t>PU03658</t>
  </si>
  <si>
    <t>PU03659</t>
  </si>
  <si>
    <t>PU03660</t>
  </si>
  <si>
    <t>PU03661</t>
  </si>
  <si>
    <t>PU03662</t>
  </si>
  <si>
    <t>PU03663</t>
  </si>
  <si>
    <t>PU03664</t>
  </si>
  <si>
    <t>PU03665</t>
  </si>
  <si>
    <t>PU03666</t>
  </si>
  <si>
    <t>PU03667</t>
  </si>
  <si>
    <t>PU03668</t>
  </si>
  <si>
    <t>PU03669</t>
  </si>
  <si>
    <t>PU03670</t>
  </si>
  <si>
    <t>PU03671</t>
  </si>
  <si>
    <t>PU03672</t>
  </si>
  <si>
    <t>PU03673</t>
  </si>
  <si>
    <t>PU03674</t>
  </si>
  <si>
    <t>PU03675</t>
  </si>
  <si>
    <t>PU03676</t>
  </si>
  <si>
    <t>PU03677</t>
  </si>
  <si>
    <t>PU03678</t>
  </si>
  <si>
    <t>PU03679</t>
  </si>
  <si>
    <t>PU03680</t>
  </si>
  <si>
    <t>PU03681</t>
  </si>
  <si>
    <t>PU03682</t>
  </si>
  <si>
    <t>PU03683</t>
  </si>
  <si>
    <t>PU03684</t>
  </si>
  <si>
    <t>PU03685</t>
  </si>
  <si>
    <t>PU03686</t>
  </si>
  <si>
    <t>PU03687</t>
  </si>
  <si>
    <t>PU03688</t>
  </si>
  <si>
    <t>PU03689</t>
  </si>
  <si>
    <t>PU03690</t>
  </si>
  <si>
    <t>PU03691</t>
  </si>
  <si>
    <t>PU03692</t>
  </si>
  <si>
    <t>PU03693</t>
  </si>
  <si>
    <t>PU03694</t>
  </si>
  <si>
    <t>PU03695</t>
  </si>
  <si>
    <t>PU03696</t>
  </si>
  <si>
    <t>PU03697</t>
  </si>
  <si>
    <t>PU03698</t>
  </si>
  <si>
    <t>PU03699</t>
  </si>
  <si>
    <t>PU03700</t>
  </si>
  <si>
    <t>PU03701</t>
  </si>
  <si>
    <t>PU03702</t>
  </si>
  <si>
    <t>PU03703</t>
  </si>
  <si>
    <t>PU03704</t>
  </si>
  <si>
    <t>PU03705</t>
  </si>
  <si>
    <t>PU03706</t>
  </si>
  <si>
    <t>PU03707</t>
  </si>
  <si>
    <t>PU03708</t>
  </si>
  <si>
    <t>PU03709</t>
  </si>
  <si>
    <t>PU03710</t>
  </si>
  <si>
    <t>PU03711</t>
  </si>
  <si>
    <t>PU03712</t>
  </si>
  <si>
    <t>PU03713</t>
  </si>
  <si>
    <t>PU03714</t>
  </si>
  <si>
    <t>PU03715</t>
  </si>
  <si>
    <t>PU03716</t>
  </si>
  <si>
    <t>PU03717</t>
  </si>
  <si>
    <t>PU03718</t>
  </si>
  <si>
    <t>PU03719</t>
  </si>
  <si>
    <t>PU03720</t>
  </si>
  <si>
    <t>PU03721</t>
  </si>
  <si>
    <t>PU03722</t>
  </si>
  <si>
    <t>PU03723</t>
  </si>
  <si>
    <t>PU03724</t>
  </si>
  <si>
    <t>PU03725</t>
  </si>
  <si>
    <t>PU03726</t>
  </si>
  <si>
    <t>PU03727</t>
  </si>
  <si>
    <t>PU03728</t>
  </si>
  <si>
    <t>PU03729</t>
  </si>
  <si>
    <t>PU03730</t>
  </si>
  <si>
    <t>PU03731</t>
  </si>
  <si>
    <t>PU03732</t>
  </si>
  <si>
    <t>PU03733</t>
  </si>
  <si>
    <t>PU03734</t>
  </si>
  <si>
    <t>PU03735</t>
  </si>
  <si>
    <t>PU03736</t>
  </si>
  <si>
    <t>PU03737</t>
  </si>
  <si>
    <t>PU03738</t>
  </si>
  <si>
    <t>PU03739</t>
  </si>
  <si>
    <t>PU03740</t>
  </si>
  <si>
    <t>PU03741</t>
  </si>
  <si>
    <t>PU03742</t>
  </si>
  <si>
    <t>PU03743</t>
  </si>
  <si>
    <t>PU03744</t>
  </si>
  <si>
    <t>PU03745</t>
  </si>
  <si>
    <t>PU03746</t>
  </si>
  <si>
    <t>PU03747</t>
  </si>
  <si>
    <t>PU03748</t>
  </si>
  <si>
    <t>PU03749</t>
  </si>
  <si>
    <t>PU03750</t>
  </si>
  <si>
    <t>PU03751</t>
  </si>
  <si>
    <t>PU03752</t>
  </si>
  <si>
    <t>PU03753</t>
  </si>
  <si>
    <t>PU03754</t>
  </si>
  <si>
    <t>PU03755</t>
  </si>
  <si>
    <t>PU03756</t>
  </si>
  <si>
    <t>PU03757</t>
  </si>
  <si>
    <t>PU03758</t>
  </si>
  <si>
    <t>PU03759</t>
  </si>
  <si>
    <t>PU03760</t>
  </si>
  <si>
    <t>PU03761</t>
  </si>
  <si>
    <t>PU03762</t>
  </si>
  <si>
    <t>PU03763</t>
  </si>
  <si>
    <t>PU03764</t>
  </si>
  <si>
    <t>PU03765</t>
  </si>
  <si>
    <t>PU03766</t>
  </si>
  <si>
    <t>PU03767</t>
  </si>
  <si>
    <t>PU03768</t>
  </si>
  <si>
    <t>PU03769</t>
  </si>
  <si>
    <t>PU03770</t>
  </si>
  <si>
    <t>PU03771</t>
  </si>
  <si>
    <t>PU03772</t>
  </si>
  <si>
    <t>PU03773</t>
  </si>
  <si>
    <t>PU03774</t>
  </si>
  <si>
    <t>PU03775</t>
  </si>
  <si>
    <t>PU03776</t>
  </si>
  <si>
    <t>PU03777</t>
  </si>
  <si>
    <t>PU03778</t>
  </si>
  <si>
    <t>PU03779</t>
  </si>
  <si>
    <t>PU03780</t>
  </si>
  <si>
    <t>PU03781</t>
  </si>
  <si>
    <t>PU03782</t>
  </si>
  <si>
    <t>PU03783</t>
  </si>
  <si>
    <t>PU03784</t>
  </si>
  <si>
    <t>PU03785</t>
  </si>
  <si>
    <t>PU03786</t>
  </si>
  <si>
    <t>PU03787</t>
  </si>
  <si>
    <t>PU03788</t>
  </si>
  <si>
    <t>PU03789</t>
  </si>
  <si>
    <t>PU03790</t>
  </si>
  <si>
    <t>PU03791</t>
  </si>
  <si>
    <t>PU03792</t>
  </si>
  <si>
    <t>PU03793</t>
  </si>
  <si>
    <t>PU03794</t>
  </si>
  <si>
    <t>PU03795</t>
  </si>
  <si>
    <t>PU03796</t>
  </si>
  <si>
    <t>PU03797</t>
  </si>
  <si>
    <t>PU03798</t>
  </si>
  <si>
    <t>PU03799</t>
  </si>
  <si>
    <t>PU03800</t>
  </si>
  <si>
    <t>PU03801</t>
  </si>
  <si>
    <t>PU03802</t>
  </si>
  <si>
    <t>PU03803</t>
  </si>
  <si>
    <t>PU03804</t>
  </si>
  <si>
    <t>PU03805</t>
  </si>
  <si>
    <t>PU03806</t>
  </si>
  <si>
    <t>PU03807</t>
  </si>
  <si>
    <t>PU03808</t>
  </si>
  <si>
    <t>PU03809</t>
  </si>
  <si>
    <t>PU03810</t>
  </si>
  <si>
    <t>PU03811</t>
  </si>
  <si>
    <t>PU03812</t>
  </si>
  <si>
    <t>PU03813</t>
  </si>
  <si>
    <t>PU03814</t>
  </si>
  <si>
    <t>PU03815</t>
  </si>
  <si>
    <t>PU03816</t>
  </si>
  <si>
    <t>PU03817</t>
  </si>
  <si>
    <t>PU03818</t>
  </si>
  <si>
    <t>PU03819</t>
  </si>
  <si>
    <t>PU03820</t>
  </si>
  <si>
    <t>PU03821</t>
  </si>
  <si>
    <t>PU03822</t>
  </si>
  <si>
    <t>PU03823</t>
  </si>
  <si>
    <t>PU03824</t>
  </si>
  <si>
    <t>PU03825</t>
  </si>
  <si>
    <t>PU03826</t>
  </si>
  <si>
    <t>PU03827</t>
  </si>
  <si>
    <t>PU03828</t>
  </si>
  <si>
    <t>PU03829</t>
  </si>
  <si>
    <t>PU03830</t>
  </si>
  <si>
    <t>PU03831</t>
  </si>
  <si>
    <t>PU03832</t>
  </si>
  <si>
    <t>PU03833</t>
  </si>
  <si>
    <t>PU03834</t>
  </si>
  <si>
    <t>PU03835</t>
  </si>
  <si>
    <t>PU03836</t>
  </si>
  <si>
    <t>PU03837</t>
  </si>
  <si>
    <t>PU03838</t>
  </si>
  <si>
    <t>PU03839</t>
  </si>
  <si>
    <t>PU03840</t>
  </si>
  <si>
    <t>PU03841</t>
  </si>
  <si>
    <t>PU03842</t>
  </si>
  <si>
    <t>PU03843</t>
  </si>
  <si>
    <t>PU03844</t>
  </si>
  <si>
    <t>PU03845</t>
  </si>
  <si>
    <t>PU03846</t>
  </si>
  <si>
    <t>PU03847</t>
  </si>
  <si>
    <t>PU03848</t>
  </si>
  <si>
    <t>PU03849</t>
  </si>
  <si>
    <t>PU03850</t>
  </si>
  <si>
    <t>PU03851</t>
  </si>
  <si>
    <t>PU03852</t>
  </si>
  <si>
    <t>PU03853</t>
  </si>
  <si>
    <t>PU03854</t>
  </si>
  <si>
    <t>PU03855</t>
  </si>
  <si>
    <t>PU03856</t>
  </si>
  <si>
    <t>PU03857</t>
  </si>
  <si>
    <t>PU03858</t>
  </si>
  <si>
    <t>PU03859</t>
  </si>
  <si>
    <t>PU03860</t>
  </si>
  <si>
    <t>PU03861</t>
  </si>
  <si>
    <t>PU03862</t>
  </si>
  <si>
    <t>PU03863</t>
  </si>
  <si>
    <t>PU03864</t>
  </si>
  <si>
    <t>PU03865</t>
  </si>
  <si>
    <t>PU03866</t>
  </si>
  <si>
    <t>PU03867</t>
  </si>
  <si>
    <t>PU03868</t>
  </si>
  <si>
    <t>PU03869</t>
  </si>
  <si>
    <t>PU03870</t>
  </si>
  <si>
    <t>PU03871</t>
  </si>
  <si>
    <t>PU03872</t>
  </si>
  <si>
    <t>PU03873</t>
  </si>
  <si>
    <t>PU03874</t>
  </si>
  <si>
    <t>PU03875</t>
  </si>
  <si>
    <t>PU03876</t>
  </si>
  <si>
    <t>PU03877</t>
  </si>
  <si>
    <t>PU03878</t>
  </si>
  <si>
    <t>PU03879</t>
  </si>
  <si>
    <t>PU03880</t>
  </si>
  <si>
    <t>PU03881</t>
  </si>
  <si>
    <t>PU03882</t>
  </si>
  <si>
    <t>PU03883</t>
  </si>
  <si>
    <t>PU03884</t>
  </si>
  <si>
    <t>PU03885</t>
  </si>
  <si>
    <t>PU03886</t>
  </si>
  <si>
    <t>PU03887</t>
  </si>
  <si>
    <t>PU03888</t>
  </si>
  <si>
    <t>PU03889</t>
  </si>
  <si>
    <t>PU03890</t>
  </si>
  <si>
    <t>PU03891</t>
  </si>
  <si>
    <t>PU03892</t>
  </si>
  <si>
    <t>PU03893</t>
  </si>
  <si>
    <t>PU03894</t>
  </si>
  <si>
    <t>PU03895</t>
  </si>
  <si>
    <t>PU03896</t>
  </si>
  <si>
    <t>PU03897</t>
  </si>
  <si>
    <t>PU03898</t>
  </si>
  <si>
    <t>PU03899</t>
  </si>
  <si>
    <t>PU03900</t>
  </si>
  <si>
    <t>PU03901</t>
  </si>
  <si>
    <t>PU03902</t>
  </si>
  <si>
    <t>PU03903</t>
  </si>
  <si>
    <t>PU03904</t>
  </si>
  <si>
    <t>PU03905</t>
  </si>
  <si>
    <t>PU03906</t>
  </si>
  <si>
    <t>PU03907</t>
  </si>
  <si>
    <t>PU03908</t>
  </si>
  <si>
    <t>PU03909</t>
  </si>
  <si>
    <t>PU03910</t>
  </si>
  <si>
    <t>PU03911</t>
  </si>
  <si>
    <t>PU03912</t>
  </si>
  <si>
    <t>PU03913</t>
  </si>
  <si>
    <t>PU03914</t>
  </si>
  <si>
    <t>PU03915</t>
  </si>
  <si>
    <t>PU03916</t>
  </si>
  <si>
    <t>PU03917</t>
  </si>
  <si>
    <t>PU03918</t>
  </si>
  <si>
    <t>PU03919</t>
  </si>
  <si>
    <t>PU03920</t>
  </si>
  <si>
    <t>PU03921</t>
  </si>
  <si>
    <t>PU03922</t>
  </si>
  <si>
    <t>PU03923</t>
  </si>
  <si>
    <t>PU03924</t>
  </si>
  <si>
    <t>PU03925</t>
  </si>
  <si>
    <t>PU03926</t>
  </si>
  <si>
    <t>PU03927</t>
  </si>
  <si>
    <t>PU03928</t>
  </si>
  <si>
    <t>PU03929</t>
  </si>
  <si>
    <t>PU03930</t>
  </si>
  <si>
    <t>PU03931</t>
  </si>
  <si>
    <t>PU03932</t>
  </si>
  <si>
    <t>PU03933</t>
  </si>
  <si>
    <t>PU03934</t>
  </si>
  <si>
    <t>PU03935</t>
  </si>
  <si>
    <t>PU03936</t>
  </si>
  <si>
    <t>PU03937</t>
  </si>
  <si>
    <t>PU03938</t>
  </si>
  <si>
    <t>PU03939</t>
  </si>
  <si>
    <t>PU03940</t>
  </si>
  <si>
    <t>PU03941</t>
  </si>
  <si>
    <t>PU03942</t>
  </si>
  <si>
    <t>PU03943</t>
  </si>
  <si>
    <t>PU03944</t>
  </si>
  <si>
    <t>PU03945</t>
  </si>
  <si>
    <t>PU03946</t>
  </si>
  <si>
    <t>PU03947</t>
  </si>
  <si>
    <t>PU03948</t>
  </si>
  <si>
    <t>PU03949</t>
  </si>
  <si>
    <t>PU03950</t>
  </si>
  <si>
    <t>PU03951</t>
  </si>
  <si>
    <t>PU03952</t>
  </si>
  <si>
    <t>PU03953</t>
  </si>
  <si>
    <t>PU03954</t>
  </si>
  <si>
    <t>PU03955</t>
  </si>
  <si>
    <t>PU03956</t>
  </si>
  <si>
    <t>PU03957</t>
  </si>
  <si>
    <t>PU03958</t>
  </si>
  <si>
    <t>PU03959</t>
  </si>
  <si>
    <t>PU03960</t>
  </si>
  <si>
    <t>PU03961</t>
  </si>
  <si>
    <t>PU03962</t>
  </si>
  <si>
    <t>PU03963</t>
  </si>
  <si>
    <t>PU03964</t>
  </si>
  <si>
    <t>PU03965</t>
  </si>
  <si>
    <t>PU03966</t>
  </si>
  <si>
    <t>PU03967</t>
  </si>
  <si>
    <t>PU03968</t>
  </si>
  <si>
    <t>PU03969</t>
  </si>
  <si>
    <t>PU03970</t>
  </si>
  <si>
    <t>PU03971</t>
  </si>
  <si>
    <t>PU03972</t>
  </si>
  <si>
    <t>PU03973</t>
  </si>
  <si>
    <t>PU03974</t>
  </si>
  <si>
    <t>PU03975</t>
  </si>
  <si>
    <t>PU03976</t>
  </si>
  <si>
    <t>PU03977</t>
  </si>
  <si>
    <t>PU03978</t>
  </si>
  <si>
    <t>PU03979</t>
  </si>
  <si>
    <t>PU03980</t>
  </si>
  <si>
    <t>PU03981</t>
  </si>
  <si>
    <t>PU03982</t>
  </si>
  <si>
    <t>PU03983</t>
  </si>
  <si>
    <t>PU03984</t>
  </si>
  <si>
    <t>PU03985</t>
  </si>
  <si>
    <t>PU03986</t>
  </si>
  <si>
    <t>PU03987</t>
  </si>
  <si>
    <t>PU03988</t>
  </si>
  <si>
    <t>PU03989</t>
  </si>
  <si>
    <t>PU03990</t>
  </si>
  <si>
    <t>PU03991</t>
  </si>
  <si>
    <t>PU03992</t>
  </si>
  <si>
    <t>PU03993</t>
  </si>
  <si>
    <t>PU03994</t>
  </si>
  <si>
    <t>PU03995</t>
  </si>
  <si>
    <t>PU03996</t>
  </si>
  <si>
    <t>PU03997</t>
  </si>
  <si>
    <t>PU03998</t>
  </si>
  <si>
    <t>PU03999</t>
  </si>
  <si>
    <t>PU04000</t>
  </si>
  <si>
    <t>PU04001</t>
  </si>
  <si>
    <t>PU04002</t>
  </si>
  <si>
    <t>PU04003</t>
  </si>
  <si>
    <t>PU04004</t>
  </si>
  <si>
    <t>PU04005</t>
  </si>
  <si>
    <t>PU04006</t>
  </si>
  <si>
    <t>PU04007</t>
  </si>
  <si>
    <t>PU04008</t>
  </si>
  <si>
    <t>PU04009</t>
  </si>
  <si>
    <t>PU04010</t>
  </si>
  <si>
    <t>PU04011</t>
  </si>
  <si>
    <t>PU04012</t>
  </si>
  <si>
    <t>PU04013</t>
  </si>
  <si>
    <t>PU04014</t>
  </si>
  <si>
    <t>PU04015</t>
  </si>
  <si>
    <t>PU04016</t>
  </si>
  <si>
    <t>PU04017</t>
  </si>
  <si>
    <t>PU04018</t>
  </si>
  <si>
    <t>PU04019</t>
  </si>
  <si>
    <t>PU04020</t>
  </si>
  <si>
    <t>PU04021</t>
  </si>
  <si>
    <t>PU04022</t>
  </si>
  <si>
    <t>PU04023</t>
  </si>
  <si>
    <t>PU04024</t>
  </si>
  <si>
    <t>PU04025</t>
  </si>
  <si>
    <t>PU04026</t>
  </si>
  <si>
    <t>PU04027</t>
  </si>
  <si>
    <t>PU04028</t>
  </si>
  <si>
    <t>PU04029</t>
  </si>
  <si>
    <t>PU04030</t>
  </si>
  <si>
    <t>PU04031</t>
  </si>
  <si>
    <t>PU04032</t>
  </si>
  <si>
    <t>PU04033</t>
  </si>
  <si>
    <t>PU04034</t>
  </si>
  <si>
    <t>PU04035</t>
  </si>
  <si>
    <t>PU04036</t>
  </si>
  <si>
    <t>PU04037</t>
  </si>
  <si>
    <t>PU04038</t>
  </si>
  <si>
    <t>PU04039</t>
  </si>
  <si>
    <t>PU04040</t>
  </si>
  <si>
    <t>PU04041</t>
  </si>
  <si>
    <t>PU04042</t>
  </si>
  <si>
    <t>PU04043</t>
  </si>
  <si>
    <t>PU04044</t>
  </si>
  <si>
    <t>PU04045</t>
  </si>
  <si>
    <t>PU04046</t>
  </si>
  <si>
    <t>PU04047</t>
  </si>
  <si>
    <t>PU04048</t>
  </si>
  <si>
    <t>PU04049</t>
  </si>
  <si>
    <t>PU04050</t>
  </si>
  <si>
    <t>PU04051</t>
  </si>
  <si>
    <t>PU04052</t>
  </si>
  <si>
    <t>PU04053</t>
  </si>
  <si>
    <t>PU04054</t>
  </si>
  <si>
    <t>PU04055</t>
  </si>
  <si>
    <t>PU04056</t>
  </si>
  <si>
    <t>PU04057</t>
  </si>
  <si>
    <t>PU04058</t>
  </si>
  <si>
    <t>PU04059</t>
  </si>
  <si>
    <t>PU04060</t>
  </si>
  <si>
    <t>PU04061</t>
  </si>
  <si>
    <t>PU04062</t>
  </si>
  <si>
    <t>PU04063</t>
  </si>
  <si>
    <t>PU04064</t>
  </si>
  <si>
    <t>PU04065</t>
  </si>
  <si>
    <t>PU04066</t>
  </si>
  <si>
    <t>PU04067</t>
  </si>
  <si>
    <t>PU04068</t>
  </si>
  <si>
    <t>PU04069</t>
  </si>
  <si>
    <t>PU04070</t>
  </si>
  <si>
    <t>PU04071</t>
  </si>
  <si>
    <t>PU04072</t>
  </si>
  <si>
    <t>PU04073</t>
  </si>
  <si>
    <t>PU04074</t>
  </si>
  <si>
    <t>PU04075</t>
  </si>
  <si>
    <t>PU04076</t>
  </si>
  <si>
    <t>PU04077</t>
  </si>
  <si>
    <t>PU04078</t>
  </si>
  <si>
    <t>PU04079</t>
  </si>
  <si>
    <t>PU04080</t>
  </si>
  <si>
    <t>PU04081</t>
  </si>
  <si>
    <t>PU04082</t>
  </si>
  <si>
    <t>PU04083</t>
  </si>
  <si>
    <t>PU04084</t>
  </si>
  <si>
    <t>PU04085</t>
  </si>
  <si>
    <t>PU04086</t>
  </si>
  <si>
    <t>PU04087</t>
  </si>
  <si>
    <t>PU04088</t>
  </si>
  <si>
    <t>PU04089</t>
  </si>
  <si>
    <t>PU04090</t>
  </si>
  <si>
    <t>PU04091</t>
  </si>
  <si>
    <t>PU04092</t>
  </si>
  <si>
    <t>PU04093</t>
  </si>
  <si>
    <t>PU04094</t>
  </si>
  <si>
    <t>PU04095</t>
  </si>
  <si>
    <t>PU04096</t>
  </si>
  <si>
    <t>PU04097</t>
  </si>
  <si>
    <t>PU04098</t>
  </si>
  <si>
    <t>PU04099</t>
  </si>
  <si>
    <t>PU04100</t>
  </si>
  <si>
    <t>PU04101</t>
  </si>
  <si>
    <t>PU04102</t>
  </si>
  <si>
    <t>PU04103</t>
  </si>
  <si>
    <t>PU04104</t>
  </si>
  <si>
    <t>PU04105</t>
  </si>
  <si>
    <t>PU04106</t>
  </si>
  <si>
    <t>PU04107</t>
  </si>
  <si>
    <t>PU04108</t>
  </si>
  <si>
    <t>PU04109</t>
  </si>
  <si>
    <t>PU04110</t>
  </si>
  <si>
    <t>PU04111</t>
  </si>
  <si>
    <t>PU04112</t>
  </si>
  <si>
    <t>PU04113</t>
  </si>
  <si>
    <t>PU04114</t>
  </si>
  <si>
    <t>PU04115</t>
  </si>
  <si>
    <t>PU04116</t>
  </si>
  <si>
    <t>PU04117</t>
  </si>
  <si>
    <t>PU04118</t>
  </si>
  <si>
    <t>PU04119</t>
  </si>
  <si>
    <t>PU04120</t>
  </si>
  <si>
    <t>PU04121</t>
  </si>
  <si>
    <t>PU04122</t>
  </si>
  <si>
    <t>PU04123</t>
  </si>
  <si>
    <t>PU04124</t>
  </si>
  <si>
    <t>PU04125</t>
  </si>
  <si>
    <t>PU04126</t>
  </si>
  <si>
    <t>PU04127</t>
  </si>
  <si>
    <t>PU04128</t>
  </si>
  <si>
    <t>PU04129</t>
  </si>
  <si>
    <t>PU04130</t>
  </si>
  <si>
    <t>PU04131</t>
  </si>
  <si>
    <t>PU04132</t>
  </si>
  <si>
    <t>PU04133</t>
  </si>
  <si>
    <t>PU04134</t>
  </si>
  <si>
    <t>PU04135</t>
  </si>
  <si>
    <t>PU04136</t>
  </si>
  <si>
    <t>PU04137</t>
  </si>
  <si>
    <t>PU04138</t>
  </si>
  <si>
    <t>PU04139</t>
  </si>
  <si>
    <t>PU04140</t>
  </si>
  <si>
    <t>PU04141</t>
  </si>
  <si>
    <t>PU04142</t>
  </si>
  <si>
    <t>PU04143</t>
  </si>
  <si>
    <t>PU04144</t>
  </si>
  <si>
    <t>PU04145</t>
  </si>
  <si>
    <t>PU04146</t>
  </si>
  <si>
    <t>PU04147</t>
  </si>
  <si>
    <t>PU04148</t>
  </si>
  <si>
    <t>PU04149</t>
  </si>
  <si>
    <t>PU04150</t>
  </si>
  <si>
    <t>PU04151</t>
  </si>
  <si>
    <t>PU04152</t>
  </si>
  <si>
    <t>PU04153</t>
  </si>
  <si>
    <t>PU04154</t>
  </si>
  <si>
    <t>PU04155</t>
  </si>
  <si>
    <t>PU04156</t>
  </si>
  <si>
    <t>PU04157</t>
  </si>
  <si>
    <t>PU04158</t>
  </si>
  <si>
    <t>PU04159</t>
  </si>
  <si>
    <t>PU04160</t>
  </si>
  <si>
    <t>PU04161</t>
  </si>
  <si>
    <t>PU04162</t>
  </si>
  <si>
    <t>PU04163</t>
  </si>
  <si>
    <t>PU04164</t>
  </si>
  <si>
    <t>PU04165</t>
  </si>
  <si>
    <t>PU04166</t>
  </si>
  <si>
    <t>PU04167</t>
  </si>
  <si>
    <t>PU04168</t>
  </si>
  <si>
    <t>PU04169</t>
  </si>
  <si>
    <t>PU04170</t>
  </si>
  <si>
    <t>PU04171</t>
  </si>
  <si>
    <t>PU04172</t>
  </si>
  <si>
    <t>PU04173</t>
  </si>
  <si>
    <t>PU04174</t>
  </si>
  <si>
    <t>PU04175</t>
  </si>
  <si>
    <t>PU04176</t>
  </si>
  <si>
    <t>PU04177</t>
  </si>
  <si>
    <t>PU04178</t>
  </si>
  <si>
    <t>PU04179</t>
  </si>
  <si>
    <t>PU04180</t>
  </si>
  <si>
    <t>PU04181</t>
  </si>
  <si>
    <t>PU04182</t>
  </si>
  <si>
    <t>PU04183</t>
  </si>
  <si>
    <t>PU04184</t>
  </si>
  <si>
    <t>PU04185</t>
  </si>
  <si>
    <t>PU04186</t>
  </si>
  <si>
    <t>PU04187</t>
  </si>
  <si>
    <t>PU04188</t>
  </si>
  <si>
    <t>PU04189</t>
  </si>
  <si>
    <t>PU04190</t>
  </si>
  <si>
    <t>PU04191</t>
  </si>
  <si>
    <t>PU04192</t>
  </si>
  <si>
    <t>PU04193</t>
  </si>
  <si>
    <t>PU04194</t>
  </si>
  <si>
    <t>PU04195</t>
  </si>
  <si>
    <t>PU04196</t>
  </si>
  <si>
    <t>PU04197</t>
  </si>
  <si>
    <t>PU04198</t>
  </si>
  <si>
    <t>PU04199</t>
  </si>
  <si>
    <t>PU04200</t>
  </si>
  <si>
    <t>PU04201</t>
  </si>
  <si>
    <t>PU04202</t>
  </si>
  <si>
    <t>PU04203</t>
  </si>
  <si>
    <t>PU04204</t>
  </si>
  <si>
    <t>PU04205</t>
  </si>
  <si>
    <t>PU04206</t>
  </si>
  <si>
    <t>PU04207</t>
  </si>
  <si>
    <t>PU04208</t>
  </si>
  <si>
    <t>PU04209</t>
  </si>
  <si>
    <t>PU04210</t>
  </si>
  <si>
    <t>PU04211</t>
  </si>
  <si>
    <t>PU04212</t>
  </si>
  <si>
    <t>PU04213</t>
  </si>
  <si>
    <t>PU04214</t>
  </si>
  <si>
    <t>PU04215</t>
  </si>
  <si>
    <t>PU04216</t>
  </si>
  <si>
    <t>PU04217</t>
  </si>
  <si>
    <t>PU04218</t>
  </si>
  <si>
    <t>PU04219</t>
  </si>
  <si>
    <t>PU04220</t>
  </si>
  <si>
    <t>PU04221</t>
  </si>
  <si>
    <t>PU04222</t>
  </si>
  <si>
    <t>PU04223</t>
  </si>
  <si>
    <t>PU04224</t>
  </si>
  <si>
    <t>PU04225</t>
  </si>
  <si>
    <t>PU04226</t>
  </si>
  <si>
    <t>PU04227</t>
  </si>
  <si>
    <t>PU04228</t>
  </si>
  <si>
    <t>PU04229</t>
  </si>
  <si>
    <t>PU04230</t>
  </si>
  <si>
    <t>PU04231</t>
  </si>
  <si>
    <t>PU04232</t>
  </si>
  <si>
    <t>PU04233</t>
  </si>
  <si>
    <t>PU04234</t>
  </si>
  <si>
    <t>PU04235</t>
  </si>
  <si>
    <t>PU04236</t>
  </si>
  <si>
    <t>PU04237</t>
  </si>
  <si>
    <t>PU04238</t>
  </si>
  <si>
    <t>PU04239</t>
  </si>
  <si>
    <t>PU04240</t>
  </si>
  <si>
    <t>PU04241</t>
  </si>
  <si>
    <t>PU04242</t>
  </si>
  <si>
    <t>PU04243</t>
  </si>
  <si>
    <t>PU04244</t>
  </si>
  <si>
    <t>PU04245</t>
  </si>
  <si>
    <t>PU04246</t>
  </si>
  <si>
    <t>PU04247</t>
  </si>
  <si>
    <t>PU04248</t>
  </si>
  <si>
    <t>PU04249</t>
  </si>
  <si>
    <t>PU04250</t>
  </si>
  <si>
    <t>PU04251</t>
  </si>
  <si>
    <t>PU04252</t>
  </si>
  <si>
    <t>PU04253</t>
  </si>
  <si>
    <t>PU04254</t>
  </si>
  <si>
    <t>PU04255</t>
  </si>
  <si>
    <t>PU04256</t>
  </si>
  <si>
    <t>PU04257</t>
  </si>
  <si>
    <t>PU04258</t>
  </si>
  <si>
    <t>PU04259</t>
  </si>
  <si>
    <t>PU04260</t>
  </si>
  <si>
    <t>PU04261</t>
  </si>
  <si>
    <t>PU04262</t>
  </si>
  <si>
    <t>PU04263</t>
  </si>
  <si>
    <t>PU04264</t>
  </si>
  <si>
    <t>PU04265</t>
  </si>
  <si>
    <t>PU04266</t>
  </si>
  <si>
    <t>PU04267</t>
  </si>
  <si>
    <t>PU04268</t>
  </si>
  <si>
    <t>PU04269</t>
  </si>
  <si>
    <t>PU04270</t>
  </si>
  <si>
    <t>PU04271</t>
  </si>
  <si>
    <t>PU04272</t>
  </si>
  <si>
    <t>PU04273</t>
  </si>
  <si>
    <t>PU04274</t>
  </si>
  <si>
    <t>PU04275</t>
  </si>
  <si>
    <t>PU04276</t>
  </si>
  <si>
    <t>PU04277</t>
  </si>
  <si>
    <t>PU04278</t>
  </si>
  <si>
    <t>PU04279</t>
  </si>
  <si>
    <t>PU04280</t>
  </si>
  <si>
    <t>PU04281</t>
  </si>
  <si>
    <t>PU04282</t>
  </si>
  <si>
    <t>PU04283</t>
  </si>
  <si>
    <t>PU04284</t>
  </si>
  <si>
    <t>PU04285</t>
  </si>
  <si>
    <t>PU04286</t>
  </si>
  <si>
    <t>PU04287</t>
  </si>
  <si>
    <t>PU04288</t>
  </si>
  <si>
    <t>PU04289</t>
  </si>
  <si>
    <t>PU04290</t>
  </si>
  <si>
    <t>PU04291</t>
  </si>
  <si>
    <t>PU04292</t>
  </si>
  <si>
    <t>PU04293</t>
  </si>
  <si>
    <t>PU04294</t>
  </si>
  <si>
    <t>PU04295</t>
  </si>
  <si>
    <t>PU04296</t>
  </si>
  <si>
    <t>PU04297</t>
  </si>
  <si>
    <t>PU04298</t>
  </si>
  <si>
    <t>PU04299</t>
  </si>
  <si>
    <t>PU04300</t>
  </si>
  <si>
    <t>PU04301</t>
  </si>
  <si>
    <t>PU04302</t>
  </si>
  <si>
    <t>PU04303</t>
  </si>
  <si>
    <t>PU04304</t>
  </si>
  <si>
    <t>PU04305</t>
  </si>
  <si>
    <t>PU04306</t>
  </si>
  <si>
    <t>PU04307</t>
  </si>
  <si>
    <t>PU04308</t>
  </si>
  <si>
    <t>PU04309</t>
  </si>
  <si>
    <t>PU04310</t>
  </si>
  <si>
    <t>PU04311</t>
  </si>
  <si>
    <t>PU04312</t>
  </si>
  <si>
    <t>PU04313</t>
  </si>
  <si>
    <t>PU04314</t>
  </si>
  <si>
    <t>PU04315</t>
  </si>
  <si>
    <t>PU04316</t>
  </si>
  <si>
    <t>PU04317</t>
  </si>
  <si>
    <t>PU04318</t>
  </si>
  <si>
    <t>PU04319</t>
  </si>
  <si>
    <t>PU04320</t>
  </si>
  <si>
    <t>PU04321</t>
  </si>
  <si>
    <t>PU04322</t>
  </si>
  <si>
    <t>PU04323</t>
  </si>
  <si>
    <t>PU04324</t>
  </si>
  <si>
    <t>PU04325</t>
  </si>
  <si>
    <t>PU04326</t>
  </si>
  <si>
    <t>PU04327</t>
  </si>
  <si>
    <t>PU04328</t>
  </si>
  <si>
    <t>PU04329</t>
  </si>
  <si>
    <t>PU04330</t>
  </si>
  <si>
    <t>PU04331</t>
  </si>
  <si>
    <t>PU04332</t>
  </si>
  <si>
    <t>PU04333</t>
  </si>
  <si>
    <t>PU04334</t>
  </si>
  <si>
    <t>PU04335</t>
  </si>
  <si>
    <t>PU04336</t>
  </si>
  <si>
    <t>PU04337</t>
  </si>
  <si>
    <t>PU04338</t>
  </si>
  <si>
    <t>PU04339</t>
  </si>
  <si>
    <t>PU04340</t>
  </si>
  <si>
    <t>PU04341</t>
  </si>
  <si>
    <t>PU04342</t>
  </si>
  <si>
    <t>PU04343</t>
  </si>
  <si>
    <t>PU04344</t>
  </si>
  <si>
    <t>PU04345</t>
  </si>
  <si>
    <t>PU04346</t>
  </si>
  <si>
    <t>PU04347</t>
  </si>
  <si>
    <t>PU04348</t>
  </si>
  <si>
    <t>PU04349</t>
  </si>
  <si>
    <t>PU04350</t>
  </si>
  <si>
    <t>PU04351</t>
  </si>
  <si>
    <t>PU04352</t>
  </si>
  <si>
    <t>PU04353</t>
  </si>
  <si>
    <t>PU04354</t>
  </si>
  <si>
    <t>PU04355</t>
  </si>
  <si>
    <t>PU04356</t>
  </si>
  <si>
    <t>PU04357</t>
  </si>
  <si>
    <t>PU04358</t>
  </si>
  <si>
    <t>PU04359</t>
  </si>
  <si>
    <t>PU04360</t>
  </si>
  <si>
    <t>PU04361</t>
  </si>
  <si>
    <t>PU04362</t>
  </si>
  <si>
    <t>PU04363</t>
  </si>
  <si>
    <t>PU04364</t>
  </si>
  <si>
    <t>PU04365</t>
  </si>
  <si>
    <t>PU04366</t>
  </si>
  <si>
    <t>PU04367</t>
  </si>
  <si>
    <t>PU04368</t>
  </si>
  <si>
    <t>PU04369</t>
  </si>
  <si>
    <t>PU04370</t>
  </si>
  <si>
    <t>PU04371</t>
  </si>
  <si>
    <t>PU04372</t>
  </si>
  <si>
    <t>PU04373</t>
  </si>
  <si>
    <t>PU04374</t>
  </si>
  <si>
    <t>PU04375</t>
  </si>
  <si>
    <t>PU04376</t>
  </si>
  <si>
    <t>PU04377</t>
  </si>
  <si>
    <t>PU04378</t>
  </si>
  <si>
    <t>PU04379</t>
  </si>
  <si>
    <t>PU04380</t>
  </si>
  <si>
    <t>PU04381</t>
  </si>
  <si>
    <t>PU04382</t>
  </si>
  <si>
    <t>PU04383</t>
  </si>
  <si>
    <t>PU04384</t>
  </si>
  <si>
    <t>PU04385</t>
  </si>
  <si>
    <t>PU04386</t>
  </si>
  <si>
    <t>PU04387</t>
  </si>
  <si>
    <t>PU04388</t>
  </si>
  <si>
    <t>PU04389</t>
  </si>
  <si>
    <t>PU04390</t>
  </si>
  <si>
    <t>PU04391</t>
  </si>
  <si>
    <t>PU04392</t>
  </si>
  <si>
    <t>PU04393</t>
  </si>
  <si>
    <t>PU04394</t>
  </si>
  <si>
    <t>PU04395</t>
  </si>
  <si>
    <t>PU04396</t>
  </si>
  <si>
    <t>PU04397</t>
  </si>
  <si>
    <t>PU04398</t>
  </si>
  <si>
    <t>PU04399</t>
  </si>
  <si>
    <t>PU04400</t>
  </si>
  <si>
    <t>PU04401</t>
  </si>
  <si>
    <t>PU04402</t>
  </si>
  <si>
    <t>PU04403</t>
  </si>
  <si>
    <t>PU04404</t>
  </si>
  <si>
    <t>PU04405</t>
  </si>
  <si>
    <t>PU04406</t>
  </si>
  <si>
    <t>PU04407</t>
  </si>
  <si>
    <t>PU04408</t>
  </si>
  <si>
    <t>PU04409</t>
  </si>
  <si>
    <t>PU04410</t>
  </si>
  <si>
    <t>PU04411</t>
  </si>
  <si>
    <t>PU04412</t>
  </si>
  <si>
    <t>PU04413</t>
  </si>
  <si>
    <t>PU04414</t>
  </si>
  <si>
    <t>PU04415</t>
  </si>
  <si>
    <t>PU04416</t>
  </si>
  <si>
    <t>PU04417</t>
  </si>
  <si>
    <t>PU04418</t>
  </si>
  <si>
    <t>PU04419</t>
  </si>
  <si>
    <t>PU04420</t>
  </si>
  <si>
    <t>PU04421</t>
  </si>
  <si>
    <t>PU04422</t>
  </si>
  <si>
    <t>PU04423</t>
  </si>
  <si>
    <t>PU04424</t>
  </si>
  <si>
    <t>PU04425</t>
  </si>
  <si>
    <t>PU04426</t>
  </si>
  <si>
    <t>PU04427</t>
  </si>
  <si>
    <t>PU04428</t>
  </si>
  <si>
    <t>PU04429</t>
  </si>
  <si>
    <t>PU04430</t>
  </si>
  <si>
    <t>PU04431</t>
  </si>
  <si>
    <t>PU04432</t>
  </si>
  <si>
    <t>PU04433</t>
  </si>
  <si>
    <t>PU04434</t>
  </si>
  <si>
    <t>PU04435</t>
  </si>
  <si>
    <t>PU04436</t>
  </si>
  <si>
    <t>PU04437</t>
  </si>
  <si>
    <t>PU04438</t>
  </si>
  <si>
    <t>PU04439</t>
  </si>
  <si>
    <t>PU04440</t>
  </si>
  <si>
    <t>PU04441</t>
  </si>
  <si>
    <t>PU04442</t>
  </si>
  <si>
    <t>PU04443</t>
  </si>
  <si>
    <t>PU04444</t>
  </si>
  <si>
    <t>PU04445</t>
  </si>
  <si>
    <t>PU04446</t>
  </si>
  <si>
    <t>PU04447</t>
  </si>
  <si>
    <t>PU04448</t>
  </si>
  <si>
    <t>PU04449</t>
  </si>
  <si>
    <t>PU04450</t>
  </si>
  <si>
    <t>PU04451</t>
  </si>
  <si>
    <t>PU04452</t>
  </si>
  <si>
    <t>PU04453</t>
  </si>
  <si>
    <t>PU04454</t>
  </si>
  <si>
    <t>PU04455</t>
  </si>
  <si>
    <t>PU04456</t>
  </si>
  <si>
    <t>PU04457</t>
  </si>
  <si>
    <t>PU04458</t>
  </si>
  <si>
    <t>PU04459</t>
  </si>
  <si>
    <t>PU04460</t>
  </si>
  <si>
    <t>PU04461</t>
  </si>
  <si>
    <t>PU04462</t>
  </si>
  <si>
    <t>PU04463</t>
  </si>
  <si>
    <t>PU04464</t>
  </si>
  <si>
    <t>PU04465</t>
  </si>
  <si>
    <t>PU04466</t>
  </si>
  <si>
    <t>PU04467</t>
  </si>
  <si>
    <t>PU04468</t>
  </si>
  <si>
    <t>PU04469</t>
  </si>
  <si>
    <t>PU04470</t>
  </si>
  <si>
    <t>PU04471</t>
  </si>
  <si>
    <t>PU04472</t>
  </si>
  <si>
    <t>PU04473</t>
  </si>
  <si>
    <t>PU04474</t>
  </si>
  <si>
    <t>PU04475</t>
  </si>
  <si>
    <t>PU04476</t>
  </si>
  <si>
    <t>PU04477</t>
  </si>
  <si>
    <t>PU04478</t>
  </si>
  <si>
    <t>PU04479</t>
  </si>
  <si>
    <t>PU04480</t>
  </si>
  <si>
    <t>PU04481</t>
  </si>
  <si>
    <t>PU04482</t>
  </si>
  <si>
    <t>PU04483</t>
  </si>
  <si>
    <t>PU04484</t>
  </si>
  <si>
    <t>PU04485</t>
  </si>
  <si>
    <t>PU04486</t>
  </si>
  <si>
    <t>PU04487</t>
  </si>
  <si>
    <t>PU04488</t>
  </si>
  <si>
    <t>PU04489</t>
  </si>
  <si>
    <t>PU04490</t>
  </si>
  <si>
    <t>PU04491</t>
  </si>
  <si>
    <t>PU04492</t>
  </si>
  <si>
    <t>PU04493</t>
  </si>
  <si>
    <t>PU04494</t>
  </si>
  <si>
    <t>PU04495</t>
  </si>
  <si>
    <t>PU04496</t>
  </si>
  <si>
    <t>PU04497</t>
  </si>
  <si>
    <t>PU04498</t>
  </si>
  <si>
    <t>PU04499</t>
  </si>
  <si>
    <t>PU04500</t>
  </si>
  <si>
    <t>PU04501</t>
  </si>
  <si>
    <t>PU04502</t>
  </si>
  <si>
    <t>PU04503</t>
  </si>
  <si>
    <t>PU04504</t>
  </si>
  <si>
    <t>PU04505</t>
  </si>
  <si>
    <t>PU04506</t>
  </si>
  <si>
    <t>PU04507</t>
  </si>
  <si>
    <t>PU04508</t>
  </si>
  <si>
    <t>PU04509</t>
  </si>
  <si>
    <t>PU04510</t>
  </si>
  <si>
    <t>PU04511</t>
  </si>
  <si>
    <t>PU04512</t>
  </si>
  <si>
    <t>PU04513</t>
  </si>
  <si>
    <t>PU04514</t>
  </si>
  <si>
    <t>PU04515</t>
  </si>
  <si>
    <t>PU04516</t>
  </si>
  <si>
    <t>PU04517</t>
  </si>
  <si>
    <t>PU04518</t>
  </si>
  <si>
    <t>PU04519</t>
  </si>
  <si>
    <t>PU04520</t>
  </si>
  <si>
    <t>PU04521</t>
  </si>
  <si>
    <t>PU04522</t>
  </si>
  <si>
    <t>PU04523</t>
  </si>
  <si>
    <t>PU04524</t>
  </si>
  <si>
    <t>PU04525</t>
  </si>
  <si>
    <t>PU04526</t>
  </si>
  <si>
    <t>PU04527</t>
  </si>
  <si>
    <t>PU04528</t>
  </si>
  <si>
    <t>PU04529</t>
  </si>
  <si>
    <t>PU04530</t>
  </si>
  <si>
    <t>PU04531</t>
  </si>
  <si>
    <t>PU04532</t>
  </si>
  <si>
    <t>PU04533</t>
  </si>
  <si>
    <t>PU04534</t>
  </si>
  <si>
    <t>PU04535</t>
  </si>
  <si>
    <t>PU04536</t>
  </si>
  <si>
    <t>PU04537</t>
  </si>
  <si>
    <t>PU04538</t>
  </si>
  <si>
    <t>PU04539</t>
  </si>
  <si>
    <t>PU04540</t>
  </si>
  <si>
    <t>PU04541</t>
  </si>
  <si>
    <t>PU04542</t>
  </si>
  <si>
    <t>PU04543</t>
  </si>
  <si>
    <t>PU04544</t>
  </si>
  <si>
    <t>PU04545</t>
  </si>
  <si>
    <t>PU04546</t>
  </si>
  <si>
    <t>PU04547</t>
  </si>
  <si>
    <t>PU04548</t>
  </si>
  <si>
    <t>PU04549</t>
  </si>
  <si>
    <t>PU04550</t>
  </si>
  <si>
    <t>PU04551</t>
  </si>
  <si>
    <t>PU04552</t>
  </si>
  <si>
    <t>PU04553</t>
  </si>
  <si>
    <t>PU04554</t>
  </si>
  <si>
    <t>PU04555</t>
  </si>
  <si>
    <t>PU04556</t>
  </si>
  <si>
    <t>PU04557</t>
  </si>
  <si>
    <t>PU04558</t>
  </si>
  <si>
    <t>PU04559</t>
  </si>
  <si>
    <t>PU04560</t>
  </si>
  <si>
    <t>PU04561</t>
  </si>
  <si>
    <t>PU04562</t>
  </si>
  <si>
    <t>PU04563</t>
  </si>
  <si>
    <t>PU04564</t>
  </si>
  <si>
    <t>PU04565</t>
  </si>
  <si>
    <t>PU04566</t>
  </si>
  <si>
    <t>PU04567</t>
  </si>
  <si>
    <t>PU04568</t>
  </si>
  <si>
    <t>PU04569</t>
  </si>
  <si>
    <t>PU04570</t>
  </si>
  <si>
    <t>PU04571</t>
  </si>
  <si>
    <t>PU04572</t>
  </si>
  <si>
    <t>PU04573</t>
  </si>
  <si>
    <t>PU04574</t>
  </si>
  <si>
    <t>PU04575</t>
  </si>
  <si>
    <t>PU04576</t>
  </si>
  <si>
    <t>PU04577</t>
  </si>
  <si>
    <t>PU04578</t>
  </si>
  <si>
    <t>PU04579</t>
  </si>
  <si>
    <t>PU04580</t>
  </si>
  <si>
    <t>PU04581</t>
  </si>
  <si>
    <t>PU04582</t>
  </si>
  <si>
    <t>PU04583</t>
  </si>
  <si>
    <t>PU04584</t>
  </si>
  <si>
    <t>PU04585</t>
  </si>
  <si>
    <t>PU04586</t>
  </si>
  <si>
    <t>PU04587</t>
  </si>
  <si>
    <t>PU04588</t>
  </si>
  <si>
    <t>PU04589</t>
  </si>
  <si>
    <t>PU04590</t>
  </si>
  <si>
    <t>PU04591</t>
  </si>
  <si>
    <t>PU04592</t>
  </si>
  <si>
    <t>PU04593</t>
  </si>
  <si>
    <t>PU04594</t>
  </si>
  <si>
    <t>PU04595</t>
  </si>
  <si>
    <t>PU04596</t>
  </si>
  <si>
    <t>PU04597</t>
  </si>
  <si>
    <t>PU04598</t>
  </si>
  <si>
    <t>PU04599</t>
  </si>
  <si>
    <t>PU04600</t>
  </si>
  <si>
    <t>PU04601</t>
  </si>
  <si>
    <t>PU04602</t>
  </si>
  <si>
    <t>PU04603</t>
  </si>
  <si>
    <t>PU04604</t>
  </si>
  <si>
    <t>PU04605</t>
  </si>
  <si>
    <t>PU04606</t>
  </si>
  <si>
    <t>PU04607</t>
  </si>
  <si>
    <t>PU04608</t>
  </si>
  <si>
    <t>PU04609</t>
  </si>
  <si>
    <t>PU04610</t>
  </si>
  <si>
    <t>PU04611</t>
  </si>
  <si>
    <t>PU04612</t>
  </si>
  <si>
    <t>PU04613</t>
  </si>
  <si>
    <t>PU04614</t>
  </si>
  <si>
    <t>PU04615</t>
  </si>
  <si>
    <t>PU04616</t>
  </si>
  <si>
    <t>PU04617</t>
  </si>
  <si>
    <t>PU04618</t>
  </si>
  <si>
    <t>PU04619</t>
  </si>
  <si>
    <t>PU04620</t>
  </si>
  <si>
    <t>PU04621</t>
  </si>
  <si>
    <t>PU04622</t>
  </si>
  <si>
    <t>PU04623</t>
  </si>
  <si>
    <t>PU04624</t>
  </si>
  <si>
    <t>PU04625</t>
  </si>
  <si>
    <t>PU04626</t>
  </si>
  <si>
    <t>PU04627</t>
  </si>
  <si>
    <t>PU04628</t>
  </si>
  <si>
    <t>PU04629</t>
  </si>
  <si>
    <t>PU04630</t>
  </si>
  <si>
    <t>PU04631</t>
  </si>
  <si>
    <t>PU04632</t>
  </si>
  <si>
    <t>PU04633</t>
  </si>
  <si>
    <t>PU04634</t>
  </si>
  <si>
    <t>PU04635</t>
  </si>
  <si>
    <t>PU04636</t>
  </si>
  <si>
    <t>PU04637</t>
  </si>
  <si>
    <t>PU04638</t>
  </si>
  <si>
    <t>PU04639</t>
  </si>
  <si>
    <t>PU04640</t>
  </si>
  <si>
    <t>PU04641</t>
  </si>
  <si>
    <t>PU04642</t>
  </si>
  <si>
    <t>PU04643</t>
  </si>
  <si>
    <t>PU04644</t>
  </si>
  <si>
    <t>PU04645</t>
  </si>
  <si>
    <t>PU04646</t>
  </si>
  <si>
    <t>PU04647</t>
  </si>
  <si>
    <t>PU04648</t>
  </si>
  <si>
    <t>PU04649</t>
  </si>
  <si>
    <t>PU04650</t>
  </si>
  <si>
    <t>PU04651</t>
  </si>
  <si>
    <t>PU04652</t>
  </si>
  <si>
    <t>PU04653</t>
  </si>
  <si>
    <t>PU04654</t>
  </si>
  <si>
    <t>PU04655</t>
  </si>
  <si>
    <t>PU04656</t>
  </si>
  <si>
    <t>PU04657</t>
  </si>
  <si>
    <t>PU04658</t>
  </si>
  <si>
    <t>PU04659</t>
  </si>
  <si>
    <t>PU04660</t>
  </si>
  <si>
    <t>PU04661</t>
  </si>
  <si>
    <t>PU04662</t>
  </si>
  <si>
    <t>PU04663</t>
  </si>
  <si>
    <t>PU04664</t>
  </si>
  <si>
    <t>PU04665</t>
  </si>
  <si>
    <t>PU04666</t>
  </si>
  <si>
    <t>PU04667</t>
  </si>
  <si>
    <t>PU04668</t>
  </si>
  <si>
    <t>PU04669</t>
  </si>
  <si>
    <t>PU04670</t>
  </si>
  <si>
    <t>PU04671</t>
  </si>
  <si>
    <t>PU04672</t>
  </si>
  <si>
    <t>PU04673</t>
  </si>
  <si>
    <t>PU04674</t>
  </si>
  <si>
    <t>PU04675</t>
  </si>
  <si>
    <t>PU04676</t>
  </si>
  <si>
    <t>PU04677</t>
  </si>
  <si>
    <t>PU04678</t>
  </si>
  <si>
    <t>PU04679</t>
  </si>
  <si>
    <t>PU04680</t>
  </si>
  <si>
    <t>PU04681</t>
  </si>
  <si>
    <t>PU04682</t>
  </si>
  <si>
    <t>PU04683</t>
  </si>
  <si>
    <t>PU04684</t>
  </si>
  <si>
    <t>PU04685</t>
  </si>
  <si>
    <t>PU04686</t>
  </si>
  <si>
    <t>PU04687</t>
  </si>
  <si>
    <t>PU04688</t>
  </si>
  <si>
    <t>PU04689</t>
  </si>
  <si>
    <t>PU04690</t>
  </si>
  <si>
    <t>PU04691</t>
  </si>
  <si>
    <t>PU04692</t>
  </si>
  <si>
    <t>PU04693</t>
  </si>
  <si>
    <t>PU04694</t>
  </si>
  <si>
    <t>PU04695</t>
  </si>
  <si>
    <t>PU04696</t>
  </si>
  <si>
    <t>PU04697</t>
  </si>
  <si>
    <t>PU04698</t>
  </si>
  <si>
    <t>PU04699</t>
  </si>
  <si>
    <t>PU04700</t>
  </si>
  <si>
    <t>PU04701</t>
  </si>
  <si>
    <t>PU04702</t>
  </si>
  <si>
    <t>PU04703</t>
  </si>
  <si>
    <t>PU04704</t>
  </si>
  <si>
    <t>PU04705</t>
  </si>
  <si>
    <t>PU04706</t>
  </si>
  <si>
    <t>PU04707</t>
  </si>
  <si>
    <t>PU04708</t>
  </si>
  <si>
    <t>PU04709</t>
  </si>
  <si>
    <t>PU04710</t>
  </si>
  <si>
    <t>PU04711</t>
  </si>
  <si>
    <t>PU04712</t>
  </si>
  <si>
    <t>PU04713</t>
  </si>
  <si>
    <t>PU04714</t>
  </si>
  <si>
    <t>PU04715</t>
  </si>
  <si>
    <t>PU04716</t>
  </si>
  <si>
    <t>PU04717</t>
  </si>
  <si>
    <t>PU04718</t>
  </si>
  <si>
    <t>PU04719</t>
  </si>
  <si>
    <t>PU04720</t>
  </si>
  <si>
    <t>PU04721</t>
  </si>
  <si>
    <t>PU04722</t>
  </si>
  <si>
    <t>PU04723</t>
  </si>
  <si>
    <t>PU04724</t>
  </si>
  <si>
    <t>PU04725</t>
  </si>
  <si>
    <t>PU04726</t>
  </si>
  <si>
    <t>PU04727</t>
  </si>
  <si>
    <t>PU04728</t>
  </si>
  <si>
    <t>PU04729</t>
  </si>
  <si>
    <t>PU04730</t>
  </si>
  <si>
    <t>PU04731</t>
  </si>
  <si>
    <t>PU04732</t>
  </si>
  <si>
    <t>PU04733</t>
  </si>
  <si>
    <t>PU04734</t>
  </si>
  <si>
    <t>PU04735</t>
  </si>
  <si>
    <t>PU04736</t>
  </si>
  <si>
    <t>PU04737</t>
  </si>
  <si>
    <t>PU04738</t>
  </si>
  <si>
    <t>PU04739</t>
  </si>
  <si>
    <t>PU04740</t>
  </si>
  <si>
    <t>PU04741</t>
  </si>
  <si>
    <t>PU04742</t>
  </si>
  <si>
    <t>PU04743</t>
  </si>
  <si>
    <t>PU04744</t>
  </si>
  <si>
    <t>PU04745</t>
  </si>
  <si>
    <t>PU04746</t>
  </si>
  <si>
    <t>PU04747</t>
  </si>
  <si>
    <t>PU04748</t>
  </si>
  <si>
    <t>PU04749</t>
  </si>
  <si>
    <t>PU04750</t>
  </si>
  <si>
    <t>PU04751</t>
  </si>
  <si>
    <t>PU04752</t>
  </si>
  <si>
    <t>PU04753</t>
  </si>
  <si>
    <t>PU04754</t>
  </si>
  <si>
    <t>PU04755</t>
  </si>
  <si>
    <t>PU04756</t>
  </si>
  <si>
    <t>PU04757</t>
  </si>
  <si>
    <t>PU04758</t>
  </si>
  <si>
    <t>PU04759</t>
  </si>
  <si>
    <t>PU04760</t>
  </si>
  <si>
    <t>PU04761</t>
  </si>
  <si>
    <t>PU04762</t>
  </si>
  <si>
    <t>PU04763</t>
  </si>
  <si>
    <t>PU04764</t>
  </si>
  <si>
    <t>PU04765</t>
  </si>
  <si>
    <t>PU04766</t>
  </si>
  <si>
    <t>PU04767</t>
  </si>
  <si>
    <t>PU04768</t>
  </si>
  <si>
    <t>PU04769</t>
  </si>
  <si>
    <t>PU04770</t>
  </si>
  <si>
    <t>PU04771</t>
  </si>
  <si>
    <t>PU04772</t>
  </si>
  <si>
    <t>PU04773</t>
  </si>
  <si>
    <t>PU04774</t>
  </si>
  <si>
    <t>PU04775</t>
  </si>
  <si>
    <t>PU04776</t>
  </si>
  <si>
    <t>PU04777</t>
  </si>
  <si>
    <t>PU04778</t>
  </si>
  <si>
    <t>PU04779</t>
  </si>
  <si>
    <t>PU04780</t>
  </si>
  <si>
    <t>PU04781</t>
  </si>
  <si>
    <t>PU04782</t>
  </si>
  <si>
    <t>PU04783</t>
  </si>
  <si>
    <t>PU04784</t>
  </si>
  <si>
    <t>PU04785</t>
  </si>
  <si>
    <t>PU04786</t>
  </si>
  <si>
    <t>PU04787</t>
  </si>
  <si>
    <t>PU04788</t>
  </si>
  <si>
    <t>PU04789</t>
  </si>
  <si>
    <t>PU04790</t>
  </si>
  <si>
    <t>PU04791</t>
  </si>
  <si>
    <t>PU04792</t>
  </si>
  <si>
    <t>PU04793</t>
  </si>
  <si>
    <t>PU04794</t>
  </si>
  <si>
    <t>PU04795</t>
  </si>
  <si>
    <t>PU04796</t>
  </si>
  <si>
    <t>PU04797</t>
  </si>
  <si>
    <t>PU04798</t>
  </si>
  <si>
    <t>PU04799</t>
  </si>
  <si>
    <t>PU04800</t>
  </si>
  <si>
    <t>PU04801</t>
  </si>
  <si>
    <t>PU04802</t>
  </si>
  <si>
    <t>PU04803</t>
  </si>
  <si>
    <t>PU04804</t>
  </si>
  <si>
    <t>PU04805</t>
  </si>
  <si>
    <t>PU04806</t>
  </si>
  <si>
    <t>PU04807</t>
  </si>
  <si>
    <t>PU04808</t>
  </si>
  <si>
    <t>PU04809</t>
  </si>
  <si>
    <t>PU04810</t>
  </si>
  <si>
    <t>PU04811</t>
  </si>
  <si>
    <t>PU04812</t>
  </si>
  <si>
    <t>PU04813</t>
  </si>
  <si>
    <t>PU04814</t>
  </si>
  <si>
    <t>PU04815</t>
  </si>
  <si>
    <t>PU04816</t>
  </si>
  <si>
    <t>PU04817</t>
  </si>
  <si>
    <t>PU04818</t>
  </si>
  <si>
    <t>PU04819</t>
  </si>
  <si>
    <t>PU04820</t>
  </si>
  <si>
    <t>PU04821</t>
  </si>
  <si>
    <t>PU04822</t>
  </si>
  <si>
    <t>PU04823</t>
  </si>
  <si>
    <t>PU04824</t>
  </si>
  <si>
    <t>PU04825</t>
  </si>
  <si>
    <t>PU04826</t>
  </si>
  <si>
    <t>PU04827</t>
  </si>
  <si>
    <t>PU04828</t>
  </si>
  <si>
    <t>PU04829</t>
  </si>
  <si>
    <t>PU04830</t>
  </si>
  <si>
    <t>PU04831</t>
  </si>
  <si>
    <t>PU04832</t>
  </si>
  <si>
    <t>PU04833</t>
  </si>
  <si>
    <t>PU04834</t>
  </si>
  <si>
    <t>PU04835</t>
  </si>
  <si>
    <t>PU04836</t>
  </si>
  <si>
    <t>PU04837</t>
  </si>
  <si>
    <t>PU04838</t>
  </si>
  <si>
    <t>PU04839</t>
  </si>
  <si>
    <t>PU04840</t>
  </si>
  <si>
    <t>PU04841</t>
  </si>
  <si>
    <t>PU04842</t>
  </si>
  <si>
    <t>PU04843</t>
  </si>
  <si>
    <t>PU04844</t>
  </si>
  <si>
    <t>PU04845</t>
  </si>
  <si>
    <t>PU04846</t>
  </si>
  <si>
    <t>PU04847</t>
  </si>
  <si>
    <t>PU04848</t>
  </si>
  <si>
    <t>PU04849</t>
  </si>
  <si>
    <t>PU04850</t>
  </si>
  <si>
    <t>PU04851</t>
  </si>
  <si>
    <t>PU04852</t>
  </si>
  <si>
    <t>PU04853</t>
  </si>
  <si>
    <t>PU04854</t>
  </si>
  <si>
    <t>PU04855</t>
  </si>
  <si>
    <t>PU04856</t>
  </si>
  <si>
    <t>PU04857</t>
  </si>
  <si>
    <t>PU04858</t>
  </si>
  <si>
    <t>PU04859</t>
  </si>
  <si>
    <t>PU04860</t>
  </si>
  <si>
    <t>PU04861</t>
  </si>
  <si>
    <t>PU04862</t>
  </si>
  <si>
    <t>PU04863</t>
  </si>
  <si>
    <t>PU04864</t>
  </si>
  <si>
    <t>PU04865</t>
  </si>
  <si>
    <t>PU04866</t>
  </si>
  <si>
    <t>PU04867</t>
  </si>
  <si>
    <t>PU04868</t>
  </si>
  <si>
    <t>PU04869</t>
  </si>
  <si>
    <t>PU04870</t>
  </si>
  <si>
    <t>PU04871</t>
  </si>
  <si>
    <t>PU04872</t>
  </si>
  <si>
    <t>PU04873</t>
  </si>
  <si>
    <t>PU04874</t>
  </si>
  <si>
    <t>PU04875</t>
  </si>
  <si>
    <t>PU04876</t>
  </si>
  <si>
    <t>PU04877</t>
  </si>
  <si>
    <t>PU04878</t>
  </si>
  <si>
    <t>PU04879</t>
  </si>
  <si>
    <t>PU04880</t>
  </si>
  <si>
    <t>PU04881</t>
  </si>
  <si>
    <t>PU04882</t>
  </si>
  <si>
    <t>PU04883</t>
  </si>
  <si>
    <t>PU04884</t>
  </si>
  <si>
    <t>PU04885</t>
  </si>
  <si>
    <t>PU04886</t>
  </si>
  <si>
    <t>PU04887</t>
  </si>
  <si>
    <t>PU04888</t>
  </si>
  <si>
    <t>PU04889</t>
  </si>
  <si>
    <t>PU04890</t>
  </si>
  <si>
    <t>PU04891</t>
  </si>
  <si>
    <t>PU04892</t>
  </si>
  <si>
    <t>PU04893</t>
  </si>
  <si>
    <t>PU04894</t>
  </si>
  <si>
    <t>PU04895</t>
  </si>
  <si>
    <t>PU04896</t>
  </si>
  <si>
    <t>PU04897</t>
  </si>
  <si>
    <t>PU04898</t>
  </si>
  <si>
    <t>PU04899</t>
  </si>
  <si>
    <t>PU04900</t>
  </si>
  <si>
    <t>PU04901</t>
  </si>
  <si>
    <t>PU04902</t>
  </si>
  <si>
    <t>PU04903</t>
  </si>
  <si>
    <t>PU04904</t>
  </si>
  <si>
    <t>PU04905</t>
  </si>
  <si>
    <t>PU04906</t>
  </si>
  <si>
    <t>PU04907</t>
  </si>
  <si>
    <t>PU04908</t>
  </si>
  <si>
    <t>PU04909</t>
  </si>
  <si>
    <t>PU04910</t>
  </si>
  <si>
    <t>PU04911</t>
  </si>
  <si>
    <t>PU04912</t>
  </si>
  <si>
    <t>PU04913</t>
  </si>
  <si>
    <t>PU04914</t>
  </si>
  <si>
    <t>PU04915</t>
  </si>
  <si>
    <t>PU04916</t>
  </si>
  <si>
    <t>PU04917</t>
  </si>
  <si>
    <t>PU04918</t>
  </si>
  <si>
    <t>PU04919</t>
  </si>
  <si>
    <t>PU04920</t>
  </si>
  <si>
    <t>PU04921</t>
  </si>
  <si>
    <t>PU04922</t>
  </si>
  <si>
    <t>PU04923</t>
  </si>
  <si>
    <t>PU04924</t>
  </si>
  <si>
    <t>PU04925</t>
  </si>
  <si>
    <t>PU04926</t>
  </si>
  <si>
    <t>PU04927</t>
  </si>
  <si>
    <t>PU04928</t>
  </si>
  <si>
    <t>PU04929</t>
  </si>
  <si>
    <t>PU04930</t>
  </si>
  <si>
    <t>PU04931</t>
  </si>
  <si>
    <t>PU04932</t>
  </si>
  <si>
    <t>PU04933</t>
  </si>
  <si>
    <t>PU04934</t>
  </si>
  <si>
    <t>PU04935</t>
  </si>
  <si>
    <t>PU04936</t>
  </si>
  <si>
    <t>PU04937</t>
  </si>
  <si>
    <t>PU04938</t>
  </si>
  <si>
    <t>PU04939</t>
  </si>
  <si>
    <t>PU04940</t>
  </si>
  <si>
    <t>PU04941</t>
  </si>
  <si>
    <t>PU04942</t>
  </si>
  <si>
    <t>PU04943</t>
  </si>
  <si>
    <t>PU04944</t>
  </si>
  <si>
    <t>PU04945</t>
  </si>
  <si>
    <t>PU04946</t>
  </si>
  <si>
    <t>PU04947</t>
  </si>
  <si>
    <t>PU04948</t>
  </si>
  <si>
    <t>PU04949</t>
  </si>
  <si>
    <t>PU04950</t>
  </si>
  <si>
    <t>PU04951</t>
  </si>
  <si>
    <t>PU04952</t>
  </si>
  <si>
    <t>PU04953</t>
  </si>
  <si>
    <t>PU04954</t>
  </si>
  <si>
    <t>PU04955</t>
  </si>
  <si>
    <t>PU04956</t>
  </si>
  <si>
    <t>PU04957</t>
  </si>
  <si>
    <t>PU04958</t>
  </si>
  <si>
    <t>PU04959</t>
  </si>
  <si>
    <t>PU04960</t>
  </si>
  <si>
    <t>PU04961</t>
  </si>
  <si>
    <t>PU04962</t>
  </si>
  <si>
    <t>PU04963</t>
  </si>
  <si>
    <t>PU04964</t>
  </si>
  <si>
    <t>PU04965</t>
  </si>
  <si>
    <t>PU04966</t>
  </si>
  <si>
    <t>PU04967</t>
  </si>
  <si>
    <t>PU04968</t>
  </si>
  <si>
    <t>PU04969</t>
  </si>
  <si>
    <t>PU04970</t>
  </si>
  <si>
    <t>PU04971</t>
  </si>
  <si>
    <t>PU04972</t>
  </si>
  <si>
    <t>PU04973</t>
  </si>
  <si>
    <t>PU04974</t>
  </si>
  <si>
    <t>PU04975</t>
  </si>
  <si>
    <t>PU04976</t>
  </si>
  <si>
    <t>PU04977</t>
  </si>
  <si>
    <t>PU04978</t>
  </si>
  <si>
    <t>PU04979</t>
  </si>
  <si>
    <t>PU04980</t>
  </si>
  <si>
    <t>PU04981</t>
  </si>
  <si>
    <t>PU04982</t>
  </si>
  <si>
    <t>PU04983</t>
  </si>
  <si>
    <t>PU04984</t>
  </si>
  <si>
    <t>PU04985</t>
  </si>
  <si>
    <t>PU04986</t>
  </si>
  <si>
    <t>PU04987</t>
  </si>
  <si>
    <t>PU04988</t>
  </si>
  <si>
    <t>PU04989</t>
  </si>
  <si>
    <t>PU04990</t>
  </si>
  <si>
    <t>PU04991</t>
  </si>
  <si>
    <t>PU04992</t>
  </si>
  <si>
    <t>PU04993</t>
  </si>
  <si>
    <t>PU04994</t>
  </si>
  <si>
    <t>PU04995</t>
  </si>
  <si>
    <t>PU04996</t>
  </si>
  <si>
    <t>PU04997</t>
  </si>
  <si>
    <t>PU04998</t>
  </si>
  <si>
    <t>PU04999</t>
  </si>
  <si>
    <t>PU05000</t>
  </si>
  <si>
    <t>Sale ID</t>
  </si>
  <si>
    <t>Quantity Sold</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</si>
  <si>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</si>
  <si>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</si>
  <si>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</si>
  <si>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</si>
  <si>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</si>
  <si>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</si>
  <si>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</si>
  <si>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</si>
  <si>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</si>
  <si>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</si>
  <si>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</si>
  <si>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</si>
  <si>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</si>
  <si>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</si>
  <si>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</si>
  <si>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</si>
  <si>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</si>
  <si>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</si>
  <si>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</si>
  <si>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</si>
  <si>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</si>
  <si>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</si>
  <si>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</si>
  <si>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</si>
  <si>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</si>
  <si>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</si>
  <si>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</si>
  <si>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</si>
  <si>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</si>
  <si>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</si>
  <si>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</si>
  <si>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</si>
  <si>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</si>
  <si>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</si>
  <si>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</si>
  <si>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</si>
  <si>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</si>
  <si>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</si>
  <si>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</si>
  <si>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</si>
  <si>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</si>
  <si>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</si>
  <si>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</si>
  <si>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</si>
  <si>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</si>
  <si>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</si>
  <si>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</si>
  <si>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</si>
  <si>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</si>
  <si>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</si>
  <si>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</si>
  <si>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</si>
  <si>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</si>
  <si>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</si>
  <si>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</si>
  <si>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</si>
  <si>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</si>
  <si>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</si>
  <si>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</si>
  <si>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</si>
  <si>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</si>
  <si>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</si>
  <si>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</si>
  <si>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</si>
  <si>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</si>
  <si>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</si>
  <si>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</si>
  <si>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</si>
  <si>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</si>
  <si>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</si>
  <si>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</si>
  <si>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</si>
  <si>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</si>
  <si>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</si>
  <si>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</si>
  <si>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</si>
  <si>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</si>
  <si>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</si>
  <si>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</si>
  <si>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</si>
  <si>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</si>
  <si>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</si>
  <si>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</si>
  <si>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</si>
  <si>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</si>
  <si>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</si>
  <si>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</si>
  <si>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</si>
  <si>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</si>
  <si>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</si>
  <si>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</si>
  <si>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</si>
  <si>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</si>
  <si>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</si>
  <si>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</si>
  <si>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</si>
  <si>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</si>
  <si>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</si>
  <si>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</si>
  <si>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</si>
  <si>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</si>
  <si>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</si>
  <si>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</si>
  <si>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</si>
  <si>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</si>
  <si>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</si>
  <si>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</si>
  <si>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</si>
  <si>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</si>
  <si>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</si>
  <si>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</si>
  <si>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</si>
  <si>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</si>
  <si>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</si>
  <si>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</si>
  <si>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</si>
  <si>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</si>
  <si>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</si>
  <si>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</si>
  <si>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</si>
  <si>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</si>
  <si>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</si>
  <si>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</si>
  <si>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</si>
  <si>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</si>
  <si>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</si>
  <si>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</si>
  <si>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</si>
  <si>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</si>
  <si>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</si>
  <si>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</si>
  <si>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</si>
  <si>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</si>
  <si>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</si>
  <si>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</si>
  <si>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</si>
  <si>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</si>
  <si>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</si>
  <si>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</si>
  <si>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</si>
  <si>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</si>
  <si>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</si>
  <si>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</si>
  <si>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</si>
  <si>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</si>
  <si>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</si>
  <si>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</si>
  <si>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</si>
  <si>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</si>
  <si>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</si>
  <si>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</si>
  <si>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</si>
  <si>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</si>
  <si>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</si>
  <si>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</si>
  <si>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</si>
  <si>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</si>
  <si>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</si>
  <si>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</si>
  <si>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</si>
  <si>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</si>
  <si>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</si>
  <si>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</si>
  <si>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</si>
  <si>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</si>
  <si>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</si>
  <si>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</si>
  <si>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</si>
  <si>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</si>
  <si>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</si>
  <si>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</si>
  <si>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</si>
  <si>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</si>
  <si>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</si>
  <si>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</si>
  <si>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</si>
  <si>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</si>
  <si>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</si>
  <si>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</si>
  <si>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</si>
  <si>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</si>
  <si>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</si>
  <si>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</si>
  <si>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</si>
  <si>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</si>
  <si>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</si>
  <si>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</si>
  <si>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</si>
  <si>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</si>
  <si>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</si>
  <si>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</si>
  <si>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</si>
  <si>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</si>
  <si>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</si>
  <si>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</si>
  <si>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</si>
  <si>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</si>
  <si>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</si>
  <si>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</si>
  <si>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</si>
  <si>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</si>
  <si>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</si>
  <si>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</si>
  <si>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</si>
  <si>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</si>
  <si>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</si>
  <si>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</si>
  <si>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</si>
  <si>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</si>
  <si>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</si>
  <si>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</si>
  <si>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</si>
  <si>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</si>
  <si>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</si>
  <si>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</si>
  <si>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</si>
  <si>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</si>
  <si>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</si>
  <si>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</si>
  <si>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</si>
  <si>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</si>
  <si>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</si>
  <si>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</si>
  <si>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</si>
  <si>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</si>
  <si>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</si>
  <si>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</si>
  <si>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</si>
  <si>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</si>
  <si>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</si>
  <si>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</si>
  <si>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</si>
  <si>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</si>
  <si>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</si>
  <si>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</si>
  <si>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</si>
  <si>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</si>
  <si>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</si>
  <si>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</si>
  <si>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</si>
  <si>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</si>
  <si>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</si>
  <si>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</si>
  <si>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</si>
  <si>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</si>
  <si>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</si>
  <si>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</si>
  <si>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</si>
  <si>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</si>
  <si>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</si>
  <si>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</si>
  <si>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</si>
  <si>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</si>
  <si>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</si>
  <si>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</si>
  <si>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</si>
  <si>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</si>
  <si>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</si>
  <si>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</si>
  <si>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</si>
  <si>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</si>
  <si>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</si>
  <si>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</si>
  <si>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</si>
  <si>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</si>
  <si>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</si>
  <si>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</si>
  <si>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</si>
  <si>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</si>
  <si>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</si>
  <si>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</si>
  <si>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</si>
  <si>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</si>
  <si>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</si>
  <si>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</si>
  <si>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</si>
  <si>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</si>
  <si>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</si>
  <si>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</si>
  <si>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</si>
  <si>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</si>
  <si>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</si>
  <si>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</si>
  <si>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</si>
  <si>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</si>
  <si>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</si>
  <si>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</si>
  <si>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</si>
  <si>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</si>
  <si>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</si>
  <si>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</si>
  <si>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</si>
  <si>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</si>
  <si>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</si>
  <si>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</si>
  <si>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</si>
  <si>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</si>
  <si>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</si>
  <si>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</si>
  <si>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</si>
  <si>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</si>
  <si>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</si>
  <si>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</si>
  <si>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</si>
  <si>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</si>
  <si>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</si>
  <si>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</si>
  <si>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</si>
  <si>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</si>
  <si>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</si>
  <si>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</si>
  <si>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</si>
  <si>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</si>
  <si>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</si>
  <si>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</si>
  <si>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</si>
  <si>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</si>
  <si>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</si>
  <si>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</si>
  <si>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</si>
  <si>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</si>
  <si>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</si>
  <si>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</si>
  <si>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</si>
  <si>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</si>
  <si>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</si>
  <si>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</si>
  <si>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</si>
  <si>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</si>
  <si>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</si>
  <si>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</si>
  <si>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</si>
  <si>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</si>
  <si>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</si>
  <si>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</si>
  <si>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</si>
  <si>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</si>
  <si>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</si>
  <si>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</si>
  <si>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</si>
  <si>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</si>
  <si>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</si>
  <si>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</si>
  <si>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</si>
  <si>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</si>
  <si>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</si>
  <si>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</si>
  <si>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</si>
  <si>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</si>
  <si>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</si>
  <si>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</si>
  <si>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</si>
  <si>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</si>
  <si>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</si>
  <si>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</si>
  <si>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</si>
  <si>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</si>
  <si>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</si>
  <si>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</si>
  <si>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</si>
  <si>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</si>
  <si>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</si>
  <si>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</si>
  <si>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</si>
  <si>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</si>
  <si>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</si>
  <si>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</si>
  <si>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</si>
  <si>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</si>
  <si>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</si>
  <si>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</si>
  <si>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</si>
  <si>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</si>
  <si>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</si>
  <si>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</si>
  <si>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</si>
  <si>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</si>
  <si>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</si>
  <si>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</si>
  <si>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</si>
  <si>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</si>
  <si>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</si>
  <si>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</si>
  <si>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</si>
  <si>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</si>
  <si>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</si>
  <si>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</si>
  <si>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</si>
  <si>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</si>
  <si>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</si>
  <si>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</si>
  <si>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</si>
  <si>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</si>
  <si>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</si>
  <si>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</si>
  <si>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</si>
  <si>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</si>
  <si>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</si>
  <si>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</si>
  <si>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</si>
  <si>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</si>
  <si>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</si>
  <si>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</si>
  <si>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</si>
  <si>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</si>
  <si>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</si>
  <si>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</si>
  <si>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</si>
  <si>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</si>
  <si>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</si>
  <si>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</si>
  <si>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</si>
  <si>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</si>
  <si>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</si>
  <si>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</si>
  <si>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</si>
  <si>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</si>
  <si>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</si>
  <si>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</si>
  <si>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</si>
  <si>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</si>
  <si>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</si>
  <si>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</si>
  <si>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</si>
  <si>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</si>
  <si>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</si>
  <si>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</si>
  <si>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</si>
  <si>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</si>
  <si>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</si>
  <si>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</si>
  <si>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</si>
  <si>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</si>
  <si>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</si>
  <si>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</si>
  <si>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</si>
  <si>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</si>
  <si>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</si>
  <si>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</si>
  <si>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</si>
  <si>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</si>
  <si>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</si>
  <si>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</si>
  <si>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</si>
  <si>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</si>
  <si>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</si>
  <si>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</si>
  <si>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</si>
  <si>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</si>
  <si>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</si>
  <si>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</si>
  <si>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</si>
  <si>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</si>
  <si>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</si>
  <si>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</si>
  <si>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</si>
  <si>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</si>
  <si>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</si>
  <si>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</si>
  <si>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</si>
  <si>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</si>
  <si>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</si>
  <si>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</si>
  <si>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</si>
  <si>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</si>
  <si>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</si>
  <si>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</si>
  <si>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</si>
  <si>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</si>
  <si>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</si>
  <si>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</si>
  <si>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</si>
  <si>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</si>
  <si>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</si>
  <si>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</si>
  <si>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</si>
  <si>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</si>
  <si>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</si>
  <si>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</si>
  <si>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</si>
  <si>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</si>
  <si>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</si>
  <si>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</si>
  <si>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</si>
  <si>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</si>
  <si>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</si>
  <si>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</si>
  <si>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</si>
  <si>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</si>
  <si>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</si>
  <si>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</si>
  <si>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</si>
  <si>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</si>
  <si>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</si>
  <si>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</si>
  <si>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</si>
  <si>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</si>
  <si>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</si>
  <si>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</si>
  <si>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</si>
  <si>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</si>
  <si>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</si>
  <si>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</si>
  <si>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</si>
  <si>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</si>
  <si>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</si>
  <si>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</si>
  <si>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</si>
  <si>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</si>
  <si>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</si>
  <si>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</si>
  <si>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</si>
  <si>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</si>
  <si>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</si>
  <si>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</si>
  <si>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</si>
  <si>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</si>
  <si>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</si>
  <si>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</si>
  <si>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</si>
  <si>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</si>
  <si>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</si>
  <si>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</si>
  <si>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</si>
  <si>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</si>
  <si>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</si>
  <si>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</si>
  <si>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</si>
  <si>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</si>
  <si>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</si>
  <si>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</si>
  <si>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</si>
  <si>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</si>
  <si>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</si>
  <si>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</si>
  <si>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</si>
  <si>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</si>
  <si>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</si>
  <si>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</si>
  <si>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</si>
  <si>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</si>
  <si>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</si>
  <si>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</si>
  <si>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</si>
  <si>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</si>
  <si>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</si>
  <si>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</si>
  <si>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</si>
  <si>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</si>
  <si>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</si>
  <si>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</si>
  <si>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</si>
  <si>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</si>
  <si>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</si>
  <si>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</si>
  <si>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</si>
  <si>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</si>
  <si>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</si>
  <si>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</si>
  <si>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</si>
  <si>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</si>
  <si>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</si>
  <si>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</si>
  <si>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</si>
  <si>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</si>
  <si>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</si>
  <si>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</si>
  <si>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</si>
  <si>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</si>
  <si>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</si>
  <si>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</si>
  <si>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</si>
  <si>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</si>
  <si>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</si>
  <si>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</si>
  <si>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</si>
  <si>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</si>
  <si>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</si>
  <si>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</si>
  <si>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</si>
  <si>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</si>
  <si>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</si>
  <si>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</si>
  <si>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</si>
  <si>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</si>
  <si>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</si>
  <si>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</si>
  <si>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</si>
  <si>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</si>
  <si>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</si>
  <si>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</si>
  <si>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</si>
  <si>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</si>
  <si>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</si>
  <si>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</si>
  <si>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</si>
  <si>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</si>
  <si>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</si>
  <si>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</si>
  <si>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</si>
  <si>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</si>
  <si>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</si>
  <si>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</si>
  <si>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</si>
  <si>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</si>
  <si>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</si>
  <si>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</si>
  <si>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</si>
  <si>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</si>
  <si>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</si>
  <si>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</si>
  <si>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</si>
  <si>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</si>
  <si>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</si>
  <si>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</si>
  <si>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</si>
  <si>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</si>
  <si>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</si>
  <si>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</si>
  <si>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</si>
  <si>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</si>
  <si>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</si>
  <si>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</si>
  <si>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</si>
  <si>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</si>
  <si>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</si>
  <si>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</si>
  <si>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</si>
  <si>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</si>
  <si>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</si>
  <si>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</si>
  <si>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</si>
  <si>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</si>
  <si>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</si>
  <si>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</si>
  <si>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</si>
  <si>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</si>
  <si>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</si>
  <si>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</si>
  <si>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</si>
  <si>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</si>
  <si>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</si>
  <si>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</si>
  <si>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</si>
  <si>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</si>
  <si>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</si>
  <si>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</si>
  <si>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</si>
  <si>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</si>
  <si>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</si>
  <si>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</si>
  <si>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</si>
  <si>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</si>
  <si>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</si>
  <si>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</si>
  <si>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</si>
  <si>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</si>
  <si>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</si>
  <si>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</si>
  <si>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</si>
  <si>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</si>
  <si>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</si>
  <si>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</si>
  <si>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</si>
  <si>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</si>
  <si>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</si>
  <si>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</si>
  <si>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</si>
  <si>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</si>
  <si>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</si>
  <si>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</si>
  <si>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</si>
  <si>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</si>
  <si>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</si>
  <si>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</si>
  <si>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</si>
  <si>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</si>
  <si>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</si>
  <si>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</si>
  <si>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</si>
  <si>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</si>
  <si>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</si>
  <si>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</si>
  <si>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</si>
  <si>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</si>
  <si>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</si>
  <si>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</si>
  <si>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</si>
  <si>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</si>
  <si>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</si>
  <si>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</si>
  <si>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</si>
  <si>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</si>
  <si>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</si>
  <si>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</si>
  <si>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</si>
  <si>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</si>
  <si>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</si>
  <si>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</si>
  <si>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</si>
  <si>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</si>
  <si>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</si>
  <si>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</si>
  <si>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</si>
  <si>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</si>
  <si>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</si>
  <si>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</si>
  <si>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</si>
  <si>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</si>
  <si>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</si>
  <si>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</si>
  <si>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</si>
  <si>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</si>
  <si>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</si>
  <si>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</si>
  <si>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</si>
  <si>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</si>
  <si>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</si>
  <si>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</si>
  <si>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</si>
  <si>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</si>
  <si>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</si>
  <si>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</si>
  <si>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</si>
  <si>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</si>
  <si>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</si>
  <si>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</si>
  <si>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</si>
  <si>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</si>
  <si>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</si>
  <si>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</si>
  <si>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</si>
  <si>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</si>
  <si>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</si>
  <si>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</si>
  <si>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</si>
  <si>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</si>
  <si>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</si>
  <si>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</si>
  <si>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</si>
  <si>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</si>
  <si>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</si>
  <si>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</si>
  <si>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</si>
  <si>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</si>
  <si>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</si>
  <si>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</si>
  <si>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</si>
  <si>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</si>
  <si>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</si>
  <si>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</si>
  <si>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</si>
  <si>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</si>
  <si>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</si>
  <si>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</si>
  <si>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</si>
  <si>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</si>
  <si>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</si>
  <si>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</si>
  <si>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</si>
  <si>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</si>
  <si>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</si>
  <si>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</si>
  <si>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</si>
  <si>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</si>
  <si>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</si>
  <si>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</si>
  <si>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</si>
  <si>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</si>
  <si>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</si>
  <si>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</si>
  <si>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</si>
  <si>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</si>
  <si>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</si>
  <si>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</si>
  <si>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</si>
  <si>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</si>
  <si>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</si>
  <si>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</si>
  <si>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</si>
  <si>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</si>
  <si>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</si>
  <si>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</si>
  <si>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</si>
  <si>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</si>
  <si>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</si>
  <si>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</si>
  <si>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</si>
  <si>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</si>
  <si>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</si>
  <si>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</si>
  <si>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</si>
  <si>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</si>
  <si>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</si>
  <si>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</si>
  <si>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</si>
  <si>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</si>
  <si>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</si>
  <si>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</si>
  <si>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</si>
  <si>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</si>
  <si>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</si>
  <si>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</si>
  <si>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</si>
  <si>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</si>
  <si>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</si>
  <si>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</si>
  <si>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</si>
  <si>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</si>
  <si>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</si>
  <si>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</si>
  <si>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</si>
  <si>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</si>
  <si>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</si>
  <si>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</si>
  <si>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</si>
  <si>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</si>
  <si>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</si>
  <si>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</si>
  <si>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</si>
  <si>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</si>
  <si>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</si>
  <si>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</si>
  <si>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</si>
  <si>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</si>
  <si>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</si>
  <si>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</si>
  <si>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</si>
  <si>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</si>
  <si>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</si>
  <si>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</si>
  <si>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</si>
  <si>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</si>
  <si>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</si>
  <si>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</si>
  <si>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</si>
  <si>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</si>
  <si>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</si>
  <si>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</si>
  <si>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</si>
  <si>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</si>
  <si>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</si>
  <si>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</si>
  <si>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</si>
  <si>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</si>
  <si>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</si>
  <si>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</si>
  <si>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</si>
  <si>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</si>
  <si>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</si>
  <si>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</si>
  <si>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</si>
  <si>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</si>
  <si>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</si>
  <si>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</si>
  <si>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</si>
  <si>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</si>
  <si>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</si>
  <si>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</si>
  <si>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</si>
  <si>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</si>
  <si>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</si>
  <si>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</si>
  <si>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</si>
  <si>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</si>
  <si>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</si>
  <si>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</si>
  <si>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</si>
  <si>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</si>
  <si>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</si>
  <si>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</si>
  <si>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</si>
  <si>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</si>
  <si>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</si>
  <si>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</si>
  <si>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</si>
  <si>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</si>
  <si>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</si>
  <si>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</si>
  <si>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</si>
  <si>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</si>
  <si>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</si>
  <si>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</si>
  <si>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</si>
  <si>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</si>
  <si>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</si>
  <si>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</si>
  <si>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</si>
  <si>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</si>
  <si>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</si>
  <si>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</si>
  <si>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</si>
  <si>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</si>
  <si>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</si>
  <si>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</si>
  <si>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</si>
  <si>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</si>
  <si>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</si>
  <si>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</si>
  <si>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</si>
  <si>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</si>
  <si>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</si>
  <si>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</si>
  <si>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</si>
  <si>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</si>
  <si>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</si>
  <si>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</si>
  <si>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</si>
  <si>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</si>
  <si>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</si>
  <si>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</si>
  <si>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</si>
  <si>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</si>
  <si>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</si>
  <si>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</si>
  <si>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</si>
  <si>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</si>
  <si>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</si>
  <si>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</si>
  <si>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</si>
  <si>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</si>
  <si>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</si>
  <si>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</si>
  <si>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</si>
  <si>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</si>
  <si>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</si>
  <si>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</si>
  <si>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</si>
  <si>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</si>
  <si>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</si>
  <si>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</si>
  <si>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</si>
  <si>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</si>
  <si>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</si>
  <si>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</si>
  <si>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</si>
  <si>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</si>
  <si>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</si>
  <si>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</si>
  <si>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</si>
  <si>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</si>
  <si>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</si>
  <si>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</si>
  <si>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</si>
  <si>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</si>
  <si>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</si>
  <si>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</si>
  <si>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</si>
  <si>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</si>
  <si>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</si>
  <si>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</si>
  <si>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</si>
  <si>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</si>
  <si>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</si>
  <si>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</si>
  <si>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</si>
  <si>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</si>
  <si>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</si>
  <si>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</si>
  <si>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</si>
  <si>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</si>
  <si>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</si>
  <si>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</si>
  <si>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</si>
  <si>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</si>
  <si>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</si>
  <si>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</si>
  <si>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</si>
  <si>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</si>
  <si>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</si>
  <si>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</si>
  <si>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</si>
  <si>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</si>
  <si>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</si>
  <si>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</si>
  <si>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</si>
  <si>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</si>
  <si>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</si>
  <si>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</si>
  <si>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</si>
  <si>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</si>
  <si>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</si>
  <si>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</si>
  <si>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</si>
  <si>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</si>
  <si>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</si>
  <si>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</si>
  <si>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</si>
  <si>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</si>
  <si>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</si>
  <si>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</si>
  <si>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</si>
  <si>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</si>
  <si>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</si>
  <si>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</si>
  <si>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</si>
  <si>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</si>
  <si>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</si>
  <si>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</si>
  <si>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</si>
  <si>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</si>
  <si>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</si>
  <si>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</si>
  <si>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</si>
  <si>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</si>
  <si>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</si>
  <si>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</si>
  <si>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</si>
  <si>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</si>
  <si>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</si>
  <si>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</si>
  <si>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</si>
  <si>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</si>
  <si>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</si>
  <si>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</si>
  <si>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</si>
  <si>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</si>
  <si>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</si>
  <si>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</si>
  <si>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</si>
  <si>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</si>
  <si>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</si>
  <si>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</si>
  <si>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</si>
  <si>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</si>
  <si>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</si>
  <si>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</si>
  <si>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</si>
  <si>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</si>
  <si>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</si>
  <si>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</si>
  <si>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</si>
  <si>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</si>
  <si>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</si>
  <si>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</si>
  <si>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</si>
  <si>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</si>
  <si>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</si>
  <si>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</si>
  <si>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</si>
  <si>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</si>
  <si>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</si>
  <si>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</si>
  <si>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</si>
  <si>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</si>
  <si>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</si>
  <si>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</si>
  <si>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</si>
  <si>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</si>
  <si>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</si>
  <si>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</si>
  <si>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</si>
  <si>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</si>
  <si>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</si>
  <si>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</si>
  <si>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</si>
  <si>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</si>
  <si>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</si>
  <si>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</si>
  <si>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</si>
  <si>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</si>
  <si>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</si>
  <si>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</si>
  <si>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</si>
  <si>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</si>
  <si>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</si>
  <si>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</si>
  <si>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</si>
  <si>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</si>
  <si>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</si>
  <si>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</si>
  <si>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</si>
  <si>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</si>
  <si>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</si>
  <si>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</si>
  <si>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</si>
  <si>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</si>
  <si>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</si>
  <si>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</si>
  <si>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</si>
  <si>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</si>
  <si>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</si>
  <si>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</si>
  <si>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</si>
  <si>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</si>
  <si>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</si>
  <si>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</si>
  <si>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</si>
  <si>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</si>
  <si>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</si>
  <si>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</si>
  <si>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</si>
  <si>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</si>
  <si>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</si>
  <si>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</si>
  <si>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</si>
  <si>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</si>
  <si>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</si>
  <si>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</si>
  <si>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</si>
  <si>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</si>
  <si>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</si>
  <si>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</si>
  <si>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</si>
  <si>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</si>
  <si>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</si>
  <si>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</si>
  <si>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</si>
  <si>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</si>
  <si>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</si>
  <si>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</si>
  <si>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</si>
  <si>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</si>
  <si>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</si>
  <si>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</si>
  <si>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</si>
  <si>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</si>
  <si>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</si>
  <si>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</si>
  <si>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</si>
  <si>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</si>
  <si>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</si>
  <si>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</si>
  <si>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</si>
  <si>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</si>
  <si>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</si>
  <si>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</si>
  <si>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</si>
  <si>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</si>
  <si>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</si>
  <si>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</si>
  <si>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</si>
  <si>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</si>
  <si>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</si>
  <si>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</si>
  <si>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</si>
  <si>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</si>
  <si>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</si>
  <si>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</si>
  <si>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</si>
  <si>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</si>
  <si>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</si>
  <si>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</si>
  <si>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</si>
  <si>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</si>
  <si>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</si>
  <si>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</si>
  <si>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</si>
  <si>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</si>
  <si>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</si>
  <si>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</si>
  <si>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</si>
  <si>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</si>
  <si>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</si>
  <si>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</si>
  <si>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</si>
  <si>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</si>
  <si>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</si>
  <si>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</si>
  <si>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</si>
  <si>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</si>
  <si>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</si>
  <si>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</si>
  <si>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</si>
  <si>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</si>
  <si>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</si>
  <si>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</si>
  <si>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</si>
  <si>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</si>
  <si>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</si>
  <si>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</si>
  <si>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</si>
  <si>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</si>
  <si>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</si>
  <si>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</si>
  <si>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</si>
  <si>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</si>
  <si>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</si>
  <si>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</si>
  <si>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</si>
  <si>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</si>
  <si>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</si>
  <si>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</si>
  <si>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</si>
  <si>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</si>
  <si>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</si>
  <si>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</si>
  <si>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</si>
  <si>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</si>
  <si>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</si>
  <si>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</si>
  <si>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</si>
  <si>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</si>
  <si>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</si>
  <si>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</si>
  <si>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</si>
  <si>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</si>
  <si>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</si>
  <si>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</si>
  <si>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</si>
  <si>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</si>
  <si>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</si>
  <si>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</si>
  <si>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</si>
  <si>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</si>
  <si>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</si>
  <si>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</si>
  <si>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</si>
  <si>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</si>
  <si>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</si>
  <si>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</si>
  <si>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</si>
  <si>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</si>
  <si>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</si>
  <si>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</si>
  <si>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</si>
  <si>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</si>
  <si>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</si>
  <si>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</si>
  <si>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</si>
  <si>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</si>
  <si>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</si>
  <si>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</si>
  <si>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</si>
  <si>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</si>
  <si>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</si>
  <si>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</si>
  <si>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</si>
  <si>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</si>
  <si>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</si>
  <si>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</si>
  <si>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</si>
  <si>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</si>
  <si>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</si>
  <si>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</si>
  <si>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</si>
  <si>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</si>
  <si>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</si>
  <si>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</si>
  <si>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</si>
  <si>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</si>
  <si>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</si>
  <si>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</si>
  <si>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</si>
  <si>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</si>
  <si>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</si>
  <si>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</si>
  <si>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</si>
  <si>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</si>
  <si>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</si>
  <si>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</si>
  <si>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</si>
  <si>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</si>
  <si>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</si>
  <si>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</si>
  <si>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</si>
  <si>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</si>
  <si>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</si>
  <si>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</si>
  <si>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</si>
  <si>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</si>
  <si>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</si>
  <si>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</si>
  <si>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</si>
  <si>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</si>
  <si>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</si>
  <si>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</si>
  <si>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</si>
  <si>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</si>
  <si>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</si>
  <si>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</si>
  <si>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</si>
  <si>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</si>
  <si>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</si>
  <si>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</si>
  <si>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</si>
  <si>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</si>
  <si>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</si>
  <si>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</si>
  <si>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</si>
  <si>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</si>
  <si>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</si>
  <si>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</si>
  <si>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</si>
  <si>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</si>
  <si>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</si>
  <si>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</si>
  <si>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</si>
  <si>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</si>
  <si>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</si>
  <si>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</si>
  <si>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</si>
  <si>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</si>
  <si>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</si>
  <si>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</si>
  <si>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</si>
  <si>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</si>
  <si>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</si>
  <si>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</si>
  <si>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</si>
  <si>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</si>
  <si>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</si>
  <si>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</si>
  <si>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</si>
  <si>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</si>
  <si>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</si>
  <si>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</si>
  <si>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</si>
  <si>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</si>
  <si>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</si>
  <si>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</si>
  <si>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</si>
  <si>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</si>
  <si>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</si>
  <si>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</si>
  <si>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</si>
  <si>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</si>
  <si>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</si>
  <si>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</si>
  <si>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</si>
  <si>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</si>
  <si>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</si>
  <si>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</si>
  <si>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</si>
  <si>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</si>
  <si>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</si>
  <si>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</si>
  <si>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</si>
  <si>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</si>
  <si>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</si>
  <si>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</si>
  <si>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</si>
  <si>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</si>
  <si>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</si>
  <si>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</si>
  <si>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</si>
  <si>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</si>
  <si>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</si>
  <si>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</si>
  <si>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</si>
  <si>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</si>
  <si>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</si>
  <si>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</si>
  <si>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</si>
  <si>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</si>
  <si>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</si>
  <si>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</si>
  <si>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</si>
  <si>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</si>
  <si>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</si>
  <si>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</si>
  <si>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</si>
  <si>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</si>
  <si>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</si>
  <si>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</si>
  <si>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</si>
  <si>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</si>
  <si>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</si>
  <si>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</si>
  <si>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</si>
  <si>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</si>
  <si>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</si>
  <si>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</si>
  <si>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</si>
  <si>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</si>
  <si>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</si>
  <si>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</si>
  <si>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</si>
  <si>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</si>
  <si>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</si>
  <si>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</si>
  <si>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</si>
  <si>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</si>
  <si>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</si>
  <si>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</si>
  <si>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</si>
  <si>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</si>
  <si>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</si>
  <si>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</si>
  <si>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</si>
  <si>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</si>
  <si>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</si>
  <si>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</si>
  <si>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</si>
  <si>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</si>
  <si>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</si>
  <si>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</si>
  <si>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</si>
  <si>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</si>
  <si>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</si>
  <si>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</si>
  <si>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</si>
  <si>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</si>
  <si>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</si>
  <si>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</si>
  <si>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</si>
  <si>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</si>
  <si>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</si>
  <si>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</si>
  <si>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</si>
  <si>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</si>
  <si>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</si>
  <si>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</si>
  <si>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</si>
  <si>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</si>
  <si>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</si>
  <si>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</si>
  <si>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</si>
  <si>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</si>
  <si>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</si>
  <si>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</si>
  <si>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</si>
  <si>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</si>
  <si>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</si>
  <si>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</si>
  <si>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</si>
  <si>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</si>
  <si>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</si>
  <si>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</si>
  <si>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</si>
  <si>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</si>
  <si>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</si>
  <si>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</si>
  <si>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</si>
  <si>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</si>
  <si>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</si>
  <si>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</si>
  <si>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</si>
  <si>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</si>
  <si>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</si>
  <si>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</si>
  <si>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</si>
  <si>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</si>
  <si>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</si>
  <si>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</si>
  <si>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</si>
  <si>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</si>
  <si>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</si>
  <si>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</si>
  <si>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</si>
  <si>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</si>
  <si>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</si>
  <si>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</si>
  <si>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</si>
  <si>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</si>
  <si>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</si>
  <si>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</si>
  <si>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</si>
  <si>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</si>
  <si>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</si>
  <si>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</si>
  <si>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</si>
  <si>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</si>
  <si>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</si>
  <si>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</si>
  <si>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</si>
  <si>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</si>
  <si>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</si>
  <si>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</si>
  <si>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</si>
  <si>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</si>
  <si>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</si>
  <si>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</si>
  <si>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</si>
  <si>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</si>
  <si>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</si>
  <si>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</si>
  <si>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</si>
  <si>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</si>
  <si>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</si>
  <si>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</si>
  <si>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</si>
  <si>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</si>
  <si>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</si>
  <si>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</si>
  <si>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</si>
  <si>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</si>
  <si>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</si>
  <si>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</si>
  <si>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</si>
  <si>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</si>
  <si>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</si>
  <si>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</si>
  <si>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</si>
  <si>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</si>
  <si>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</si>
  <si>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</si>
  <si>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</si>
  <si>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</si>
  <si>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</si>
  <si>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</si>
  <si>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</si>
  <si>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</si>
  <si>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</si>
  <si>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</si>
  <si>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</si>
  <si>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</si>
  <si>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</si>
  <si>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</si>
  <si>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</si>
  <si>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</si>
  <si>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</si>
  <si>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</si>
  <si>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</si>
  <si>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</si>
  <si>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</si>
  <si>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</si>
  <si>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</si>
  <si>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</si>
  <si>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</si>
  <si>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</si>
  <si>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</si>
  <si>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</si>
  <si>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</si>
  <si>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</si>
  <si>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</si>
  <si>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</si>
  <si>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</si>
  <si>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</si>
  <si>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</si>
  <si>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</si>
  <si>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</si>
  <si>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</si>
  <si>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</si>
  <si>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</si>
  <si>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</si>
  <si>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</si>
  <si>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</si>
  <si>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</si>
  <si>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</si>
  <si>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</si>
  <si>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</si>
  <si>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</si>
  <si>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</si>
  <si>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</si>
  <si>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</si>
  <si>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</si>
  <si>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</si>
  <si>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</si>
  <si>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</si>
  <si>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</si>
  <si>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</si>
  <si>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</si>
  <si>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</si>
  <si>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</si>
  <si>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</si>
  <si>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</si>
  <si>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</si>
  <si>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</si>
  <si>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</si>
  <si>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</si>
  <si>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</si>
  <si>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</si>
  <si>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</si>
  <si>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</si>
  <si>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</si>
  <si>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</si>
  <si>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</si>
  <si>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</si>
  <si>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</si>
  <si>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</si>
  <si>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</si>
  <si>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</si>
  <si>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</si>
  <si>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</si>
  <si>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</si>
  <si>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</si>
  <si>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</si>
  <si>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</si>
  <si>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</si>
  <si>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</si>
  <si>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</si>
  <si>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</si>
  <si>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</si>
  <si>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</si>
  <si>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</si>
  <si>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</si>
  <si>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</si>
  <si>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</si>
  <si>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</si>
  <si>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</si>
  <si>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</si>
  <si>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</si>
  <si>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</si>
  <si>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</si>
  <si>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</si>
  <si>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</si>
  <si>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</si>
  <si>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</si>
  <si>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</si>
  <si>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</si>
  <si>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</si>
  <si>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</si>
  <si>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</si>
  <si>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</si>
  <si>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</si>
  <si>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</si>
  <si>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</si>
  <si>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</si>
  <si>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</si>
  <si>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</si>
  <si>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</si>
  <si>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</si>
  <si>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</si>
  <si>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</si>
  <si>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</si>
  <si>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</si>
  <si>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</si>
  <si>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</si>
  <si>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</si>
  <si>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</si>
  <si>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</si>
  <si>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</si>
  <si>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</si>
  <si>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</si>
  <si>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</si>
  <si>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</si>
  <si>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</si>
  <si>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</si>
  <si>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</si>
  <si>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</si>
  <si>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</si>
  <si>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</si>
  <si>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</si>
  <si>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</si>
  <si>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</si>
  <si>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</si>
  <si>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</si>
  <si>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</si>
  <si>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</si>
  <si>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</si>
  <si>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</si>
  <si>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</si>
  <si>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</si>
  <si>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</si>
  <si>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</si>
  <si>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</si>
  <si>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</si>
  <si>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</si>
  <si>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</si>
  <si>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</si>
  <si>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</si>
  <si>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</si>
  <si>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</si>
  <si>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</si>
  <si>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</si>
  <si>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</si>
  <si>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</si>
  <si>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</si>
  <si>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</si>
  <si>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</si>
  <si>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</si>
  <si>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</si>
  <si>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</si>
  <si>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</si>
  <si>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</si>
  <si>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</si>
  <si>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</si>
  <si>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</si>
  <si>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</si>
  <si>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</si>
  <si>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</si>
  <si>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</si>
  <si>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</si>
  <si>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</si>
  <si>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</si>
  <si>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</si>
  <si>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</si>
  <si>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</si>
  <si>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</si>
  <si>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</si>
  <si>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</si>
  <si>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</si>
  <si>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</si>
  <si>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</si>
  <si>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</si>
  <si>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</si>
  <si>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</si>
  <si>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</si>
  <si>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</si>
  <si>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</si>
  <si>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</si>
  <si>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</si>
  <si>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</si>
  <si>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</si>
  <si>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</si>
  <si>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</si>
  <si>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</si>
  <si>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</si>
  <si>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</si>
  <si>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</si>
  <si>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</si>
  <si>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</si>
  <si>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</si>
  <si>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</si>
  <si>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</si>
  <si>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</si>
  <si>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</si>
  <si>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</si>
  <si>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</si>
  <si>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</si>
  <si>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</si>
  <si>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</si>
  <si>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</si>
  <si>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</si>
  <si>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</si>
  <si>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</si>
  <si>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</si>
  <si>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</si>
  <si>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</si>
  <si>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</si>
  <si>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</si>
  <si>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</si>
  <si>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</si>
  <si>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</si>
  <si>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</si>
  <si>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</si>
  <si>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</si>
  <si>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</si>
  <si>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</si>
  <si>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</si>
  <si>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</si>
  <si>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</si>
  <si>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</si>
  <si>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</si>
  <si>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</si>
  <si>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</si>
  <si>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</si>
  <si>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</si>
  <si>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</si>
  <si>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</si>
  <si>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</si>
  <si>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</si>
  <si>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</si>
  <si>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</si>
  <si>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</si>
  <si>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</si>
  <si>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</si>
  <si>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</si>
  <si>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</si>
  <si>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</si>
  <si>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</si>
  <si>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</si>
  <si>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</si>
  <si>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</si>
  <si>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</si>
  <si>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</si>
  <si>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</si>
  <si>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</si>
  <si>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</si>
  <si>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</si>
  <si>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</si>
  <si>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</si>
  <si>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</si>
  <si>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</si>
  <si>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</si>
  <si>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</si>
  <si>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</si>
  <si>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</si>
  <si>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</si>
  <si>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</si>
  <si>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</si>
  <si>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</si>
  <si>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</si>
  <si>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</si>
  <si>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</si>
  <si>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</si>
  <si>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</si>
  <si>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</si>
  <si>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</si>
  <si>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</si>
  <si>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</si>
  <si>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</si>
  <si>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</si>
  <si>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</si>
  <si>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</si>
  <si>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</si>
  <si>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</si>
  <si>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</si>
  <si>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</si>
  <si>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</si>
  <si>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</si>
  <si>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</si>
  <si>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</si>
  <si>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</si>
  <si>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</si>
  <si>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</si>
  <si>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</si>
  <si>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</si>
  <si>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</si>
  <si>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</si>
  <si>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</si>
  <si>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</si>
  <si>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</si>
  <si>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</si>
  <si>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</si>
  <si>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</si>
  <si>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</si>
  <si>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</si>
  <si>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</si>
  <si>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</si>
  <si>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</si>
  <si>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</si>
  <si>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</si>
  <si>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</si>
  <si>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</si>
  <si>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</si>
  <si>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</si>
  <si>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</si>
  <si>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</si>
  <si>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</si>
  <si>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</si>
  <si>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</si>
  <si>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</si>
  <si>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</si>
  <si>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</si>
  <si>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</si>
  <si>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</si>
  <si>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</si>
  <si>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</si>
  <si>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</si>
  <si>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</si>
  <si>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</si>
  <si>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</si>
  <si>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</si>
  <si>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</si>
  <si>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</si>
  <si>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</si>
  <si>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</si>
  <si>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</si>
  <si>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</si>
  <si>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</si>
  <si>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</si>
  <si>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</si>
  <si>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</si>
  <si>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</si>
  <si>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</si>
  <si>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</si>
  <si>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</si>
  <si>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</si>
  <si>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</si>
  <si>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</si>
  <si>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</si>
  <si>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</si>
  <si>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</si>
  <si>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</si>
  <si>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</si>
  <si>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</si>
  <si>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</si>
  <si>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</si>
  <si>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</si>
  <si>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</si>
  <si>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</si>
  <si>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</si>
  <si>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</si>
  <si>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</si>
  <si>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</si>
  <si>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</si>
  <si>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</si>
  <si>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</si>
  <si>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</si>
  <si>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</si>
  <si>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</si>
  <si>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</si>
  <si>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</si>
  <si>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</si>
  <si>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</si>
  <si>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</si>
  <si>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</si>
  <si>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</si>
  <si>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</si>
  <si>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</si>
  <si>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</si>
  <si>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</si>
  <si>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</si>
  <si>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</si>
  <si>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</si>
  <si>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</si>
  <si>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</si>
  <si>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</si>
  <si>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</si>
  <si>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</si>
  <si>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</si>
  <si>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</si>
  <si>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</si>
  <si>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</si>
  <si>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</si>
  <si>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</si>
  <si>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</si>
  <si>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</si>
  <si>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</si>
  <si>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</si>
  <si>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</si>
  <si>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</si>
  <si>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</si>
  <si>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</si>
  <si>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</si>
  <si>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</si>
  <si>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</si>
  <si>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</si>
  <si>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</si>
  <si>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</si>
  <si>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</si>
  <si>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</si>
  <si>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</si>
  <si>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</si>
  <si>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</si>
  <si>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</si>
  <si>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</si>
  <si>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</si>
  <si>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</si>
  <si>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</si>
  <si>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</si>
  <si>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</si>
  <si>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</si>
  <si>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</si>
  <si>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</si>
  <si>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</si>
  <si>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</si>
  <si>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</si>
  <si>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</si>
  <si>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</si>
  <si>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</si>
  <si>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</si>
  <si>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</si>
  <si>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</si>
  <si>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</si>
  <si>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</si>
  <si>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</si>
  <si>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</si>
  <si>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</si>
  <si>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</si>
  <si>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</si>
  <si>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</si>
  <si>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</si>
  <si>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</si>
  <si>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</si>
  <si>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</si>
  <si>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</si>
  <si>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</si>
  <si>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</si>
  <si>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</si>
  <si>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</si>
  <si>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</si>
  <si>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</si>
  <si>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</si>
  <si>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</si>
  <si>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</si>
  <si>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</si>
  <si>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</si>
  <si>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</si>
  <si>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</si>
  <si>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</si>
  <si>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</si>
  <si>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</si>
  <si>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</si>
  <si>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</si>
  <si>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</si>
  <si>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</si>
  <si>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</si>
  <si>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</si>
  <si>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</si>
  <si>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</si>
  <si>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</si>
  <si>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</si>
  <si>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</si>
  <si>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</si>
  <si>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</si>
  <si>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</si>
  <si>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</si>
  <si>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</si>
  <si>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</si>
  <si>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</si>
  <si>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</si>
  <si>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</si>
  <si>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</si>
  <si>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</si>
  <si>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</si>
  <si>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</si>
  <si>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</si>
  <si>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</si>
  <si>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</si>
  <si>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</si>
  <si>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</si>
  <si>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</si>
  <si>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</si>
  <si>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</si>
  <si>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</si>
  <si>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</si>
  <si>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</si>
  <si>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</si>
  <si>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</si>
  <si>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</si>
  <si>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</si>
  <si>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</si>
  <si>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</si>
  <si>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</si>
  <si>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</si>
  <si>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</si>
  <si>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</si>
  <si>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</si>
  <si>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</si>
  <si>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</si>
  <si>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</si>
  <si>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</si>
  <si>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</si>
  <si>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</si>
  <si>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</si>
  <si>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</si>
  <si>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</si>
  <si>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</si>
  <si>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</si>
  <si>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</si>
  <si>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</si>
  <si>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</si>
  <si>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</si>
  <si>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</si>
  <si>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</si>
  <si>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</si>
  <si>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</si>
  <si>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</si>
  <si>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</si>
  <si>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</si>
  <si>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</si>
  <si>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</si>
  <si>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</si>
  <si>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</si>
  <si>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</si>
  <si>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</si>
  <si>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</si>
  <si>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</si>
  <si>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</si>
  <si>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</si>
  <si>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</si>
  <si>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</si>
  <si>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</si>
  <si>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</si>
  <si>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</si>
  <si>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</si>
  <si>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</si>
  <si>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</si>
  <si>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</si>
  <si>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</si>
  <si>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</si>
  <si>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</si>
  <si>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</si>
  <si>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</si>
  <si>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</si>
  <si>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</si>
  <si>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</si>
  <si>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</si>
  <si>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</si>
  <si>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</si>
  <si>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</si>
  <si>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</si>
  <si>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</si>
  <si>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</si>
  <si>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</si>
  <si>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</si>
  <si>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</si>
  <si>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</si>
  <si>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</si>
  <si>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</si>
  <si>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</si>
  <si>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</si>
  <si>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</si>
  <si>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</si>
  <si>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</si>
  <si>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</si>
  <si>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</si>
  <si>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</si>
  <si>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</si>
  <si>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</si>
  <si>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</si>
  <si>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</si>
  <si>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</si>
  <si>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</si>
  <si>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</si>
  <si>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</si>
  <si>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</si>
  <si>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</si>
  <si>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</si>
  <si>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</si>
  <si>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</si>
  <si>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</si>
  <si>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</si>
  <si>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</si>
  <si>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</si>
  <si>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</si>
  <si>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</si>
  <si>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</si>
  <si>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</si>
  <si>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</si>
  <si>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</si>
  <si>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</si>
  <si>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</si>
  <si>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</si>
  <si>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</si>
  <si>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</si>
  <si>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</si>
  <si>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</si>
  <si>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</si>
  <si>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</si>
  <si>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</si>
  <si>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</si>
  <si>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</si>
  <si>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</si>
  <si>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</si>
  <si>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</si>
  <si>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</si>
  <si>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</si>
  <si>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</si>
  <si>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</si>
  <si>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</si>
  <si>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</si>
  <si>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</si>
  <si>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</si>
  <si>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</si>
  <si>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</si>
  <si>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</si>
  <si>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</si>
  <si>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</si>
  <si>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</si>
  <si>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</si>
  <si>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</si>
  <si>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</si>
  <si>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</si>
  <si>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</si>
  <si>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</si>
  <si>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</si>
  <si>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</si>
  <si>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</si>
  <si>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</si>
  <si>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</si>
  <si>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</si>
  <si>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</si>
  <si>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</si>
  <si>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</si>
  <si>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</si>
  <si>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</si>
  <si>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</si>
  <si>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</si>
  <si>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</si>
  <si>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</si>
  <si>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</si>
  <si>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</si>
  <si>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</si>
  <si>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</si>
  <si>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</si>
  <si>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</si>
  <si>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</si>
  <si>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</si>
  <si>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</si>
  <si>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</si>
  <si>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</si>
  <si>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</si>
  <si>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</si>
  <si>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</si>
  <si>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</si>
  <si>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</si>
  <si>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</si>
  <si>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</si>
  <si>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</si>
  <si>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</si>
  <si>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</si>
  <si>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</si>
  <si>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</si>
  <si>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</si>
  <si>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</si>
  <si>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</si>
  <si>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</si>
  <si>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</si>
  <si>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</si>
  <si>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</si>
  <si>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</si>
  <si>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</si>
  <si>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</si>
  <si>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</si>
  <si>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</si>
  <si>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</si>
  <si>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</si>
  <si>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</si>
  <si>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</si>
  <si>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</si>
  <si>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</si>
  <si>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</si>
  <si>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</si>
  <si>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</si>
  <si>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</si>
  <si>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</si>
  <si>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</si>
  <si>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</si>
  <si>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</si>
  <si>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</si>
  <si>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</si>
  <si>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</si>
  <si>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</si>
  <si>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</si>
  <si>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</si>
  <si>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</si>
  <si>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</si>
  <si>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</si>
  <si>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</si>
  <si>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</si>
  <si>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</si>
  <si>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</si>
  <si>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</si>
  <si>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</si>
  <si>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</si>
  <si>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</si>
  <si>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</si>
  <si>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</si>
  <si>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</si>
  <si>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</si>
  <si>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</si>
  <si>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</si>
  <si>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</si>
  <si>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</si>
  <si>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</si>
  <si>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</si>
  <si>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</si>
  <si>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</si>
  <si>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</si>
  <si>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</si>
  <si>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</si>
  <si>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</si>
  <si>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</si>
  <si>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</si>
  <si>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</si>
  <si>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</si>
  <si>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</si>
  <si>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</si>
  <si>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</si>
  <si>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</si>
  <si>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</si>
  <si>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</si>
  <si>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</si>
  <si>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</si>
  <si>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</si>
  <si>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</si>
  <si>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</si>
  <si>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</si>
  <si>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</si>
  <si>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</si>
  <si>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</si>
  <si>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</si>
  <si>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</si>
  <si>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</si>
  <si>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</si>
  <si>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</si>
  <si>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</si>
  <si>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</si>
  <si>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</si>
  <si>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</si>
  <si>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</si>
  <si>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</si>
  <si>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</si>
  <si>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</si>
  <si>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</si>
  <si>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</si>
  <si>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</si>
  <si>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</si>
  <si>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</si>
  <si>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</si>
  <si>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</si>
  <si>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</si>
  <si>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</si>
  <si>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</si>
  <si>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</si>
  <si>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</si>
  <si>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</si>
  <si>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</si>
  <si>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</si>
  <si>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</si>
  <si>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</si>
  <si>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</si>
  <si>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</si>
  <si>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</si>
  <si>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</si>
  <si>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</si>
  <si>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</si>
  <si>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</si>
  <si>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</si>
  <si>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</si>
  <si>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</si>
  <si>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</si>
  <si>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</si>
  <si>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</si>
  <si>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</si>
  <si>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</si>
  <si>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</si>
  <si>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</si>
  <si>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</si>
  <si>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</si>
  <si>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</si>
  <si>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</si>
  <si>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</si>
  <si>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</si>
  <si>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</si>
  <si>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</si>
  <si>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</si>
  <si>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</si>
  <si>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</si>
  <si>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</si>
  <si>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</si>
  <si>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</si>
  <si>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</si>
  <si>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</si>
  <si>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</si>
  <si>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</si>
  <si>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</si>
  <si>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</si>
  <si>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</si>
  <si>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</si>
  <si>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</si>
  <si>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</si>
  <si>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</si>
  <si>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</si>
  <si>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</si>
  <si>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</si>
  <si>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</si>
  <si>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</si>
  <si>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</si>
  <si>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</si>
  <si>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</si>
  <si>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</si>
  <si>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</si>
  <si>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</si>
  <si>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</si>
  <si>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</si>
  <si>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</si>
  <si>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</si>
  <si>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</si>
  <si>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</si>
  <si>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</si>
  <si>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</si>
  <si>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</si>
  <si>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</si>
  <si>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</si>
  <si>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</si>
  <si>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</si>
  <si>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</si>
  <si>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</si>
  <si>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</si>
  <si>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</si>
  <si>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</si>
  <si>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</si>
  <si>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</si>
  <si>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</si>
  <si>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</si>
  <si>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</si>
  <si>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</si>
  <si>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</si>
  <si>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</si>
  <si>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</si>
  <si>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</si>
  <si>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</si>
  <si>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</si>
  <si>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</si>
  <si>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</si>
  <si>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</si>
  <si>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</si>
  <si>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</si>
  <si>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</si>
  <si>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</si>
  <si>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</si>
  <si>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</si>
  <si>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</si>
  <si>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</si>
  <si>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</si>
  <si>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</si>
  <si>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</si>
  <si>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</si>
  <si>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</si>
  <si>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</si>
  <si>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</si>
  <si>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</si>
  <si>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</si>
  <si>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</si>
  <si>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</si>
  <si>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</si>
  <si>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</si>
  <si>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</si>
  <si>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</si>
  <si>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</si>
  <si>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</si>
  <si>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</si>
  <si>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</si>
  <si>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</si>
  <si>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</si>
  <si>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</si>
  <si>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</si>
  <si>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</si>
  <si>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</si>
  <si>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</si>
  <si>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</si>
  <si>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</si>
  <si>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</si>
  <si>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</si>
  <si>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</si>
  <si>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</si>
  <si>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</si>
  <si>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</si>
  <si>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</si>
  <si>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</si>
  <si>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</si>
  <si>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</si>
  <si>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</si>
  <si>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</si>
  <si>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</si>
  <si>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</si>
  <si>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</si>
  <si>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</si>
  <si>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</si>
  <si>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</si>
  <si>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</si>
  <si>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</si>
  <si>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</si>
  <si>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</si>
  <si>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</si>
  <si>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</si>
  <si>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</si>
  <si>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</si>
  <si>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</si>
  <si>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</si>
  <si>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</si>
  <si>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</si>
  <si>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</si>
  <si>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</si>
  <si>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</si>
  <si>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</si>
  <si>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</si>
  <si>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</si>
  <si>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</si>
  <si>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</si>
  <si>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</si>
  <si>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</si>
  <si>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</si>
  <si>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</si>
  <si>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</si>
  <si>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</si>
  <si>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</si>
  <si>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</si>
  <si>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</si>
  <si>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</si>
  <si>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</si>
  <si>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</si>
  <si>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</si>
  <si>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</si>
  <si>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</si>
  <si>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</si>
  <si>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</si>
  <si>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</si>
  <si>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</si>
  <si>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</si>
  <si>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</si>
  <si>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</si>
  <si>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</si>
  <si>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</si>
  <si>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</si>
  <si>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</si>
  <si>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</si>
  <si>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</si>
  <si>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</si>
  <si>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</si>
  <si>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</si>
  <si>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</si>
  <si>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</si>
  <si>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</si>
  <si>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</si>
  <si>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</si>
  <si>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</si>
  <si>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</si>
  <si>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</si>
  <si>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</si>
  <si>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</si>
  <si>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</si>
  <si>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</si>
  <si>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</si>
  <si>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</si>
  <si>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</si>
  <si>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</si>
  <si>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</si>
  <si>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</si>
  <si>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</si>
  <si>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</si>
  <si>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</si>
  <si>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</si>
  <si>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</si>
  <si>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</si>
  <si>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</si>
  <si>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</si>
  <si>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</si>
  <si>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</si>
  <si>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</si>
  <si>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</si>
  <si>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</si>
  <si>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</si>
  <si>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</si>
  <si>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</si>
  <si>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</si>
  <si>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</si>
  <si>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</si>
  <si>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</si>
  <si>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</si>
  <si>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</si>
  <si>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</si>
  <si>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</si>
  <si>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</si>
  <si>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</si>
  <si>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</si>
  <si>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</si>
  <si>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</si>
  <si>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</si>
  <si>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</si>
  <si>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</si>
  <si>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</si>
  <si>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</si>
  <si>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</si>
  <si>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</si>
  <si>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</si>
  <si>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</si>
  <si>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</si>
  <si>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</si>
  <si>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</si>
  <si>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</si>
  <si>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</si>
  <si>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</si>
  <si>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</si>
  <si>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</si>
  <si>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</si>
  <si>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</si>
  <si>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</si>
  <si>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</si>
  <si>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</si>
  <si>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</si>
  <si>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</si>
  <si>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</si>
  <si>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</si>
  <si>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</si>
  <si>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</si>
  <si>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</si>
  <si>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</si>
  <si>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</si>
  <si>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</si>
  <si>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</si>
  <si>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</si>
  <si>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</si>
  <si>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</si>
  <si>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</si>
  <si>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</si>
  <si>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</si>
  <si>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</si>
  <si>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</si>
  <si>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</si>
  <si>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</si>
  <si>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</si>
  <si>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</si>
  <si>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</si>
  <si>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</si>
  <si>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</si>
  <si>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</si>
  <si>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</si>
  <si>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</si>
  <si>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</si>
  <si>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</si>
  <si>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</si>
  <si>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</si>
  <si>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</si>
  <si>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</si>
  <si>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</si>
  <si>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</si>
  <si>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</si>
  <si>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</si>
  <si>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</si>
  <si>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</si>
  <si>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</si>
  <si>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</si>
  <si>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</si>
  <si>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</si>
  <si>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</si>
  <si>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</si>
  <si>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</si>
  <si>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</si>
  <si>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</si>
  <si>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</si>
  <si>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</si>
  <si>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</si>
  <si>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</si>
  <si>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</si>
  <si>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</si>
  <si>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</si>
  <si>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</si>
  <si>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</si>
  <si>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</si>
  <si>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</si>
  <si>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</si>
  <si>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</si>
  <si>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</si>
  <si>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</si>
  <si>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</si>
  <si>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</si>
  <si>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</si>
  <si>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</si>
  <si>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</si>
  <si>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</si>
  <si>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</si>
  <si>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</si>
  <si>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</si>
  <si>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</si>
  <si>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</si>
  <si>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</si>
  <si>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</si>
  <si>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</si>
  <si>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</si>
  <si>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</si>
  <si>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</si>
  <si>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</si>
  <si>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</si>
  <si>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</si>
  <si>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</si>
  <si>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</si>
  <si>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</si>
  <si>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</si>
  <si>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</si>
  <si>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</si>
  <si>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</si>
  <si>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</si>
  <si>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</si>
  <si>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</si>
  <si>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</si>
  <si>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</si>
  <si>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</si>
  <si>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</si>
  <si>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</si>
  <si>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</si>
  <si>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</si>
  <si>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</si>
  <si>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</si>
  <si>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</si>
  <si>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</si>
  <si>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</si>
  <si>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</si>
  <si>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</si>
  <si>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</si>
  <si>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</si>
  <si>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</si>
  <si>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</si>
  <si>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</si>
  <si>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</si>
  <si>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</si>
  <si>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</si>
  <si>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</si>
  <si>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</si>
  <si>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</si>
  <si>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</si>
  <si>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</si>
  <si>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</si>
  <si>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</si>
  <si>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</si>
  <si>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</si>
  <si>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</si>
  <si>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</si>
  <si>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</si>
  <si>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</si>
  <si>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</si>
  <si>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</si>
  <si>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</si>
  <si>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</si>
  <si>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</si>
  <si>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</si>
  <si>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</si>
  <si>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</si>
  <si>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</si>
  <si>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</si>
  <si>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</si>
  <si>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</si>
  <si>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</si>
  <si>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</si>
  <si>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</si>
  <si>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</si>
  <si>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</si>
  <si>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</si>
  <si>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</si>
  <si>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</si>
  <si>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</si>
  <si>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</si>
  <si>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</si>
  <si>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</si>
  <si>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</si>
  <si>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</si>
  <si>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</si>
  <si>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</si>
  <si>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</si>
  <si>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</si>
  <si>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</si>
  <si>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</si>
  <si>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</si>
  <si>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</si>
  <si>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</si>
  <si>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</si>
  <si>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</si>
  <si>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</si>
  <si>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</si>
  <si>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</si>
  <si>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</si>
  <si>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</si>
  <si>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</si>
  <si>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</si>
  <si>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</si>
  <si>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</si>
  <si>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</si>
  <si>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</si>
  <si>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</si>
  <si>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</si>
  <si>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</si>
  <si>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</si>
  <si>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</si>
  <si>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</si>
  <si>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</si>
  <si>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</si>
  <si>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</si>
  <si>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</si>
  <si>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</si>
  <si>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</si>
  <si>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</si>
  <si>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</si>
  <si>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</si>
  <si>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</si>
  <si>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</si>
  <si>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</si>
  <si>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</si>
  <si>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</si>
  <si>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</si>
  <si>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</si>
  <si>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</si>
  <si>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</si>
  <si>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</si>
  <si>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</si>
  <si>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</si>
  <si>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</si>
  <si>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</si>
  <si>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</si>
  <si>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</si>
  <si>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</si>
  <si>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</si>
  <si>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</si>
  <si>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</si>
  <si>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</si>
  <si>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</si>
  <si>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</si>
  <si>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</si>
  <si>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</si>
  <si>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</si>
  <si>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</si>
  <si>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</si>
  <si>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</si>
  <si>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</si>
  <si>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</si>
  <si>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</si>
  <si>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</si>
  <si>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</si>
  <si>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</si>
  <si>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</si>
  <si>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</si>
  <si>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</si>
  <si>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</si>
  <si>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</si>
  <si>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</si>
  <si>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</si>
  <si>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</si>
  <si>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</si>
  <si>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</si>
  <si>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</si>
  <si>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</si>
  <si>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</si>
  <si>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</si>
  <si>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</si>
  <si>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</si>
  <si>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</si>
  <si>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</si>
  <si>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</si>
  <si>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</si>
  <si>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</si>
  <si>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</si>
  <si>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</si>
  <si>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</si>
  <si>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</si>
  <si>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</si>
  <si>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</si>
  <si>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</si>
  <si>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</si>
  <si>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</si>
  <si>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</si>
  <si>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</si>
  <si>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</si>
  <si>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</si>
  <si>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</si>
  <si>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</si>
  <si>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</si>
  <si>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</si>
  <si>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</si>
  <si>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</si>
  <si>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</si>
  <si>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</si>
  <si>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</si>
  <si>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</si>
  <si>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</si>
  <si>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</si>
  <si>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</si>
  <si>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</si>
  <si>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</si>
  <si>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</si>
  <si>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</si>
  <si>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</si>
  <si>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</si>
  <si>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</si>
  <si>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</si>
  <si>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</si>
  <si>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</si>
  <si>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</si>
  <si>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</si>
  <si>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</si>
  <si>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</si>
  <si>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</si>
  <si>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</si>
  <si>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</si>
  <si>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</si>
  <si>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</si>
  <si>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</si>
  <si>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</si>
  <si>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</si>
  <si>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</si>
  <si>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</si>
  <si>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</si>
  <si>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</si>
  <si>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</si>
  <si>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</si>
  <si>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</si>
  <si>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</si>
  <si>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</si>
  <si>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</si>
  <si>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</si>
  <si>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</si>
  <si>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</si>
  <si>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</si>
  <si>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</si>
  <si>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</si>
  <si>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</si>
  <si>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</si>
  <si>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</si>
  <si>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</si>
  <si>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</si>
  <si>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</si>
  <si>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</si>
  <si>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</si>
  <si>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</si>
  <si>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</si>
  <si>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</si>
  <si>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</si>
  <si>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</si>
  <si>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</si>
  <si>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</si>
  <si>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</si>
  <si>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</si>
  <si>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</si>
  <si>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</si>
  <si>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</si>
  <si>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</si>
  <si>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</si>
  <si>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</si>
  <si>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</si>
  <si>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</si>
  <si>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</si>
  <si>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</si>
  <si>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</si>
  <si>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</si>
  <si>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</si>
  <si>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</si>
  <si>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</si>
  <si>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</si>
  <si>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</si>
  <si>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</si>
  <si>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</si>
  <si>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</si>
  <si>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</si>
  <si>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</si>
  <si>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</si>
  <si>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</si>
  <si>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</si>
  <si>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</si>
  <si>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</si>
  <si>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</si>
  <si>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</si>
  <si>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</si>
  <si>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</si>
  <si>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</si>
  <si>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</si>
  <si>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</si>
  <si>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</si>
  <si>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</si>
  <si>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</si>
  <si>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</si>
  <si>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</si>
  <si>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</si>
  <si>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</si>
  <si>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</si>
  <si>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</si>
  <si>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</si>
  <si>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</si>
  <si>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</si>
  <si>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</si>
  <si>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</si>
  <si>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</si>
  <si>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</si>
  <si>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</si>
  <si>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</si>
  <si>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</si>
  <si>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</si>
  <si>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</si>
  <si>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</si>
  <si>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</si>
  <si>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</si>
  <si>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</si>
  <si>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</si>
  <si>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</si>
  <si>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</si>
  <si>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</si>
  <si>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</si>
  <si>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</si>
  <si>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</si>
  <si>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</si>
  <si>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</si>
  <si>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</si>
  <si>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</si>
  <si>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</si>
  <si>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</si>
  <si>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</si>
  <si>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</si>
  <si>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</si>
  <si>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</si>
  <si>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</si>
  <si>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</si>
  <si>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</si>
  <si>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</si>
  <si>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</si>
  <si>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</si>
  <si>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</si>
  <si>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</si>
  <si>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</si>
  <si>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</si>
  <si>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</si>
  <si>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</si>
  <si>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</si>
  <si>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</si>
  <si>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</si>
  <si>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</si>
  <si>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</si>
  <si>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</si>
  <si>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</si>
  <si>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</si>
  <si>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</si>
  <si>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</si>
  <si>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</si>
  <si>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</si>
  <si>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</si>
  <si>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</si>
  <si>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</si>
  <si>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</si>
  <si>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</si>
  <si>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</si>
  <si>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</si>
  <si>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</si>
  <si>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</si>
  <si>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</si>
  <si>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</si>
  <si>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</si>
  <si>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</si>
  <si>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</si>
  <si>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</si>
  <si>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</si>
  <si>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</si>
  <si>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</si>
  <si>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</si>
  <si>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</si>
  <si>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</si>
  <si>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</si>
  <si>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</si>
  <si>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</si>
  <si>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</si>
  <si>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</si>
  <si>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</si>
  <si>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</si>
  <si>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</si>
  <si>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</si>
  <si>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</si>
  <si>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</si>
  <si>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</si>
  <si>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</si>
  <si>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</si>
  <si>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</si>
  <si>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</si>
  <si>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</si>
  <si>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</si>
  <si>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</si>
  <si>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</si>
  <si>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</si>
  <si>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</si>
  <si>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</si>
  <si>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</si>
  <si>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</si>
  <si>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</si>
  <si>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</si>
  <si>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</si>
  <si>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</si>
  <si>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</si>
  <si>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</si>
  <si>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</si>
  <si>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</si>
  <si>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</si>
  <si>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</si>
  <si>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</si>
  <si>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</si>
  <si>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</si>
  <si>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</si>
  <si>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</si>
  <si>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</si>
  <si>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</si>
  <si>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</si>
  <si>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</si>
  <si>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</si>
  <si>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</si>
  <si>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</si>
  <si>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</si>
  <si>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</si>
  <si>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</si>
  <si>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</si>
  <si>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</si>
  <si>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</si>
  <si>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</si>
  <si>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</si>
  <si>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</si>
  <si>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</si>
  <si>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</si>
  <si>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</si>
  <si>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</si>
  <si>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</si>
  <si>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</si>
  <si>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</si>
  <si>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</si>
  <si>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</si>
  <si>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</si>
  <si>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</si>
  <si>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</si>
  <si>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</si>
  <si>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</si>
  <si>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</si>
  <si>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</si>
  <si>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</si>
  <si>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</si>
  <si>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</si>
  <si>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</si>
  <si>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</si>
  <si>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</si>
  <si>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</si>
  <si>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</si>
  <si>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</si>
  <si>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</si>
  <si>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</si>
  <si>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</si>
  <si>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</si>
  <si>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</si>
  <si>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</si>
  <si>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</si>
  <si>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</si>
  <si>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</si>
  <si>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</si>
  <si>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</si>
  <si>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</si>
  <si>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</si>
  <si>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</si>
  <si>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</si>
  <si>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</si>
  <si>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</si>
  <si>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</si>
  <si>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</si>
  <si>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</si>
  <si>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</si>
  <si>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</si>
  <si>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</si>
  <si>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</si>
  <si>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</si>
  <si>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</si>
  <si>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</si>
  <si>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</si>
  <si>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</si>
  <si>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</si>
  <si>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</si>
  <si>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</si>
  <si>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</si>
  <si>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</si>
  <si>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</si>
  <si>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</si>
  <si>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</si>
  <si>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</si>
  <si>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</si>
  <si>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</si>
  <si>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</si>
  <si>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</si>
  <si>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</si>
  <si>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</si>
  <si>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</si>
  <si>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</si>
  <si>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</si>
  <si>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</si>
  <si>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</si>
  <si>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</si>
  <si>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</si>
  <si>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</si>
  <si>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</si>
  <si>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</si>
  <si>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</si>
  <si>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</si>
  <si>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</si>
  <si>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</si>
  <si>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</si>
  <si>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</si>
  <si>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</si>
  <si>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</si>
  <si>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</si>
  <si>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</si>
  <si>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</si>
  <si>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</si>
  <si>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</si>
  <si>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</si>
  <si>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</si>
  <si>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</si>
  <si>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</si>
  <si>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</si>
  <si>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</si>
  <si>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</si>
  <si>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</si>
  <si>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</si>
  <si>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</si>
  <si>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</si>
  <si>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</si>
  <si>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</si>
  <si>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</si>
  <si>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</si>
  <si>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</si>
  <si>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</si>
  <si>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</si>
  <si>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</si>
  <si>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</si>
  <si>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</si>
  <si>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</si>
  <si>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</si>
  <si>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</si>
  <si>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</si>
  <si>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</si>
  <si>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</si>
  <si>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</si>
  <si>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</si>
  <si>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</si>
  <si>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</si>
  <si>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</si>
  <si>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</si>
  <si>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</si>
  <si>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</si>
  <si>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</si>
  <si>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</si>
  <si>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</si>
  <si>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</si>
  <si>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</si>
  <si>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</si>
  <si>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</si>
  <si>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</si>
  <si>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</si>
  <si>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</si>
  <si>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</si>
  <si>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</si>
  <si>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</si>
  <si>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</si>
  <si>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</si>
  <si>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</si>
  <si>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</si>
  <si>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</si>
  <si>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</si>
  <si>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</si>
  <si>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</si>
  <si>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</si>
  <si>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</si>
  <si>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</si>
  <si>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</si>
  <si>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</si>
  <si>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</si>
  <si>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</si>
  <si>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</si>
  <si>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</si>
  <si>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</si>
  <si>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</si>
  <si>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</si>
  <si>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</si>
  <si>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</si>
  <si>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</si>
  <si>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</si>
  <si>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</si>
  <si>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</si>
  <si>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</si>
  <si>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</si>
  <si>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</si>
  <si>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</si>
  <si>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</si>
  <si>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</si>
  <si>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</si>
  <si>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</si>
  <si>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</si>
  <si>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</si>
  <si>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</si>
  <si>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</si>
  <si>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</si>
  <si>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</si>
  <si>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</si>
  <si>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</si>
  <si>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</si>
  <si>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</si>
  <si>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</si>
  <si>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</si>
  <si>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</si>
  <si>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</si>
  <si>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</si>
  <si>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</si>
  <si>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</si>
  <si>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</si>
  <si>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</si>
  <si>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</si>
  <si>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</si>
  <si>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</si>
  <si>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</si>
  <si>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</si>
  <si>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</si>
  <si>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</si>
  <si>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</si>
  <si>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</si>
  <si>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</si>
  <si>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</si>
  <si>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</si>
  <si>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</si>
  <si>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</si>
  <si>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</si>
  <si>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</si>
  <si>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</si>
  <si>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</si>
  <si>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</si>
  <si>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</si>
  <si>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</si>
  <si>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</si>
  <si>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</si>
  <si>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</si>
  <si>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</si>
  <si>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</si>
  <si>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</si>
  <si>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</si>
  <si>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</si>
  <si>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</si>
  <si>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</si>
  <si>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</si>
  <si>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</si>
  <si>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</si>
  <si>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</si>
  <si>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</si>
  <si>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</si>
  <si>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</si>
  <si>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</si>
  <si>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</si>
  <si>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</si>
  <si>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</si>
  <si>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</si>
  <si>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</si>
  <si>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</si>
  <si>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</si>
  <si>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</si>
  <si>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</si>
  <si>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</si>
  <si>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</si>
  <si>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</si>
  <si>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</si>
  <si>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</si>
  <si>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</si>
  <si>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</si>
  <si>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</si>
  <si>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</si>
  <si>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</si>
  <si>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</si>
  <si>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</si>
  <si>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</si>
  <si>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</si>
  <si>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</si>
  <si>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</si>
  <si>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</si>
  <si>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</si>
  <si>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</si>
  <si>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</si>
  <si>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</si>
  <si>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</si>
  <si>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</si>
  <si>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</si>
  <si>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</si>
  <si>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</si>
  <si>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</si>
  <si>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</si>
  <si>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</si>
  <si>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</si>
  <si>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</si>
  <si>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</si>
  <si>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</si>
  <si>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</si>
  <si>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</si>
  <si>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</si>
  <si>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</si>
  <si>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</si>
  <si>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</si>
  <si>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</si>
  <si>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</si>
  <si>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</si>
  <si>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</si>
  <si>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</si>
  <si>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</si>
  <si>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</si>
  <si>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</si>
  <si>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</si>
  <si>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</si>
  <si>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</si>
  <si>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</si>
  <si>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</si>
  <si>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</si>
  <si>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</si>
  <si>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</si>
  <si>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</si>
  <si>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</si>
  <si>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</si>
  <si>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</si>
  <si>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</si>
  <si>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</si>
  <si>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</si>
  <si>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</si>
  <si>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</si>
  <si>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</si>
  <si>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</si>
  <si>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</si>
  <si>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</si>
  <si>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</si>
  <si>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</si>
  <si>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</si>
  <si>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</si>
  <si>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</si>
  <si>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</si>
  <si>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</si>
  <si>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</si>
  <si>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</si>
  <si>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</si>
  <si>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</si>
  <si>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</si>
  <si>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</si>
  <si>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</si>
  <si>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</si>
  <si>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</si>
  <si>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</si>
  <si>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</si>
  <si>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</si>
  <si>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</si>
  <si>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</si>
  <si>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</si>
  <si>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</si>
  <si>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</si>
  <si>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</si>
  <si>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</si>
  <si>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</si>
  <si>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</si>
  <si>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</si>
  <si>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</si>
  <si>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</si>
  <si>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</si>
  <si>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</si>
  <si>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</si>
  <si>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</si>
  <si>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</si>
  <si>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</si>
  <si>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</si>
  <si>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</si>
  <si>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</si>
  <si>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</si>
  <si>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</si>
  <si>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</si>
  <si>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</si>
  <si>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</si>
  <si>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</si>
  <si>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</si>
  <si>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</si>
  <si>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</si>
  <si>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</si>
  <si>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</si>
  <si>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</si>
  <si>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</si>
  <si>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</si>
  <si>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</si>
  <si>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</si>
  <si>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</si>
  <si>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</si>
  <si>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</si>
  <si>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</si>
  <si>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</si>
  <si>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</si>
  <si>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</si>
  <si>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</si>
  <si>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</si>
  <si>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</si>
  <si>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</si>
  <si>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</si>
  <si>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</si>
  <si>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</si>
  <si>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</si>
  <si>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</si>
  <si>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</si>
  <si>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</si>
  <si>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</si>
  <si>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</si>
  <si>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</si>
  <si>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</si>
  <si>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</si>
  <si>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</si>
  <si>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</si>
  <si>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</si>
  <si>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</si>
  <si>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</si>
  <si>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</si>
  <si>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</si>
  <si>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</si>
  <si>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</si>
  <si>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</si>
  <si>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</si>
  <si>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</si>
  <si>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</si>
  <si>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</si>
  <si>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</si>
  <si>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</si>
  <si>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</si>
  <si>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</si>
  <si>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</si>
  <si>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</si>
  <si>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</si>
  <si>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</si>
  <si>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</si>
  <si>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</si>
  <si>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</si>
  <si>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</si>
  <si>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</si>
  <si>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</si>
  <si>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</si>
  <si>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</si>
  <si>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</si>
  <si>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</si>
  <si>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</si>
  <si>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</si>
  <si>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</si>
  <si>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</si>
  <si>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</si>
  <si>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</si>
  <si>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</si>
  <si>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</si>
  <si>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</si>
  <si>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</si>
  <si>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</si>
  <si>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</si>
  <si>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</si>
  <si>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</si>
  <si>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</si>
  <si>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</si>
  <si>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</si>
  <si>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</si>
  <si>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</si>
  <si>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</si>
  <si>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</si>
  <si>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</si>
  <si>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</si>
  <si>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</si>
  <si>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</si>
  <si>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</si>
  <si>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</si>
  <si>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</si>
  <si>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</si>
  <si>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</si>
  <si>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</si>
  <si>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</si>
  <si>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</si>
  <si>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</si>
  <si>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</si>
  <si>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</si>
  <si>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</si>
  <si>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</si>
  <si>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</si>
  <si>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</si>
  <si>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</si>
  <si>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</si>
  <si>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</si>
  <si>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</si>
  <si>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</si>
  <si>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</si>
  <si>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</si>
  <si>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</si>
  <si>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</si>
  <si>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</si>
  <si>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</si>
  <si>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</si>
  <si>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</si>
  <si>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</si>
  <si>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</si>
  <si>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</si>
  <si>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</si>
  <si>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</si>
  <si>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</si>
  <si>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</si>
  <si>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</si>
  <si>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</si>
  <si>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</si>
  <si>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</si>
  <si>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</si>
  <si>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</si>
  <si>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</si>
  <si>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</si>
  <si>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</si>
  <si>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</si>
  <si>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</si>
  <si>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</si>
  <si>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</si>
  <si>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</si>
  <si>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</si>
  <si>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</si>
  <si>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</si>
  <si>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</si>
  <si>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</si>
  <si>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</si>
  <si>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</si>
  <si>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</si>
  <si>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</si>
  <si>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</si>
  <si>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</si>
  <si>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</si>
  <si>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</si>
  <si>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</si>
  <si>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</si>
  <si>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</si>
  <si>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</si>
  <si>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</si>
  <si>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</si>
  <si>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</si>
  <si>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</si>
  <si>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</si>
  <si>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</si>
  <si>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</si>
  <si>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</si>
  <si>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</si>
  <si>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</si>
  <si>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</si>
  <si>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</si>
  <si>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</si>
  <si>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</si>
  <si>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</si>
  <si>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</si>
  <si>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</si>
  <si>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</si>
  <si>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</si>
  <si>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</si>
  <si>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</si>
  <si>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</si>
  <si>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</si>
  <si>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</si>
  <si>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</si>
  <si>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</si>
  <si>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</si>
  <si>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</si>
  <si>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</si>
  <si>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</si>
  <si>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</si>
  <si>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</si>
  <si>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</si>
  <si>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</si>
  <si>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</si>
  <si>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</si>
  <si>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</si>
  <si>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</si>
  <si>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</si>
  <si>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</si>
  <si>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</si>
  <si>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</si>
  <si>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</si>
  <si>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</si>
  <si>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</si>
  <si>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</si>
  <si>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</si>
  <si>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</si>
  <si>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</si>
  <si>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</si>
  <si>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</si>
  <si>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</si>
  <si>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</si>
  <si>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</si>
  <si>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</si>
  <si>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</si>
  <si>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</si>
  <si>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</si>
  <si>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</si>
  <si>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</si>
  <si>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</si>
  <si>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</si>
  <si>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</si>
  <si>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</si>
  <si>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</si>
  <si>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</si>
  <si>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</si>
  <si>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</si>
  <si>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</si>
  <si>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</si>
  <si>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</si>
  <si>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</si>
  <si>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</si>
  <si>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</si>
  <si>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</si>
  <si>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</si>
  <si>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</si>
  <si>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</si>
  <si>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</si>
  <si>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</si>
  <si>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</si>
  <si>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</si>
  <si>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</si>
  <si>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</si>
  <si>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</si>
  <si>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</si>
  <si>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</si>
  <si>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</si>
  <si>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</si>
  <si>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</si>
  <si>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</si>
  <si>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</si>
  <si>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</si>
  <si>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</si>
  <si>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</si>
  <si>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</si>
  <si>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</si>
  <si>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</si>
  <si>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</si>
  <si>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</si>
  <si>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</si>
  <si>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</si>
  <si>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</si>
  <si>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</si>
  <si>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</si>
  <si>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</si>
  <si>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</si>
  <si>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</si>
  <si>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</si>
  <si>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</si>
  <si>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</si>
  <si>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</si>
  <si>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</si>
  <si>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</si>
  <si>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</si>
  <si>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</si>
  <si>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</si>
  <si>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</si>
  <si>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</si>
  <si>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</si>
  <si>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</si>
  <si>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</si>
  <si>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</si>
  <si>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</si>
  <si>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</si>
  <si>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</si>
  <si>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</si>
  <si>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</si>
  <si>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</si>
  <si>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</si>
  <si>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</si>
  <si>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</si>
  <si>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</si>
  <si>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</si>
  <si>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</si>
  <si>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</si>
  <si>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</si>
  <si>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</si>
  <si>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</si>
  <si>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</si>
  <si>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</si>
  <si>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</si>
  <si>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</si>
  <si>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</si>
  <si>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</si>
  <si>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</si>
  <si>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</si>
  <si>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</si>
  <si>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</si>
  <si>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</si>
  <si>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</si>
  <si>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</si>
  <si>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</si>
  <si>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</si>
  <si>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</si>
  <si>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</si>
  <si>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</si>
  <si>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</si>
  <si>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</si>
  <si>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</si>
  <si>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</si>
  <si>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</si>
  <si>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</si>
  <si>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</si>
  <si>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</si>
  <si>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</si>
  <si>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</si>
  <si>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</si>
  <si>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</si>
  <si>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</si>
  <si>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</si>
  <si>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</si>
  <si>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</si>
  <si>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</si>
  <si>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</si>
  <si>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</si>
  <si>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</si>
  <si>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</si>
  <si>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</si>
  <si>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</si>
  <si>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</si>
  <si>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</si>
  <si>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</si>
  <si>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</si>
  <si>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</si>
  <si>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</si>
  <si>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</si>
  <si>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</si>
  <si>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</si>
  <si>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</si>
  <si>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</si>
  <si>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</si>
  <si>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</si>
  <si>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</si>
  <si>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</si>
  <si>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</si>
  <si>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</si>
  <si>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</si>
  <si>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</si>
  <si>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</si>
  <si>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</si>
  <si>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</si>
  <si>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</si>
  <si>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</si>
  <si>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</si>
  <si>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</si>
  <si>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</si>
  <si>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</si>
  <si>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</si>
  <si>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</si>
  <si>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</si>
  <si>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</si>
  <si>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</si>
  <si>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</si>
  <si>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</si>
  <si>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</si>
  <si>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</si>
  <si>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</si>
  <si>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</si>
  <si>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</si>
  <si>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</si>
  <si>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</si>
  <si>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</si>
  <si>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</si>
  <si>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</si>
  <si>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</si>
  <si>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</si>
  <si>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</si>
  <si>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</si>
  <si>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</si>
  <si>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</si>
  <si>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</si>
  <si>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</si>
  <si>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</si>
  <si>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</si>
  <si>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</si>
  <si>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</si>
  <si>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</si>
  <si>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</si>
  <si>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</si>
  <si>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</si>
  <si>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</si>
  <si>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</si>
  <si>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</si>
  <si>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</si>
  <si>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</si>
  <si>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</si>
  <si>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</si>
  <si>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</si>
  <si>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</si>
  <si>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</si>
  <si>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</si>
  <si>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</si>
  <si>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</si>
  <si>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</si>
  <si>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</si>
  <si>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</si>
  <si>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</si>
  <si>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</si>
  <si>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</si>
  <si>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</si>
  <si>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</si>
  <si>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</si>
  <si>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</si>
  <si>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</si>
  <si>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</si>
  <si>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</si>
  <si>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</si>
  <si>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</si>
  <si>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</si>
  <si>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</si>
  <si>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</si>
  <si>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</si>
  <si>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</si>
  <si>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</si>
  <si>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</si>
  <si>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</si>
  <si>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</si>
  <si>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</si>
  <si>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</si>
  <si>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</si>
  <si>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</si>
  <si>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</si>
  <si>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</si>
  <si>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</si>
  <si>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</si>
  <si>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</si>
  <si>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</si>
  <si>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</si>
  <si>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</si>
  <si>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</si>
  <si>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</si>
  <si>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</si>
  <si>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</si>
  <si>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</si>
  <si>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</si>
  <si>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</si>
  <si>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</si>
  <si>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</si>
  <si>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</si>
  <si>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</si>
  <si>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</si>
  <si>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</si>
  <si>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</si>
  <si>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</si>
  <si>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</si>
  <si>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</si>
  <si>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</si>
  <si>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</si>
  <si>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</si>
  <si>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</si>
  <si>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</si>
  <si>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</si>
  <si>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</si>
  <si>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</si>
  <si>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</si>
  <si>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</si>
  <si>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</si>
  <si>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</si>
  <si>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</si>
  <si>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</si>
  <si>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</si>
  <si>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</si>
  <si>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</si>
  <si>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</si>
  <si>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</si>
  <si>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</si>
  <si>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</si>
  <si>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</si>
  <si>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</si>
  <si>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</si>
  <si>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</si>
  <si>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</si>
  <si>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</si>
  <si>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</si>
  <si>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</si>
  <si>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</si>
  <si>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</si>
  <si>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</si>
  <si>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</si>
  <si>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</si>
  <si>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</si>
  <si>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</si>
  <si>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</si>
  <si>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</si>
  <si>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</si>
  <si>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</si>
  <si>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</si>
  <si>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</si>
  <si>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</si>
  <si>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</si>
  <si>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</si>
  <si>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</si>
  <si>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</si>
  <si>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</si>
  <si>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</si>
  <si>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</si>
  <si>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</si>
  <si>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</si>
  <si>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</si>
  <si>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</si>
  <si>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</si>
  <si>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</si>
  <si>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</si>
  <si>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</si>
  <si>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</si>
  <si>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</si>
  <si>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</si>
  <si>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</si>
  <si>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</si>
  <si>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</si>
  <si>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</si>
  <si>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</si>
  <si>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</si>
  <si>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</si>
  <si>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</si>
  <si>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</si>
  <si>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</si>
  <si>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</si>
  <si>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</si>
  <si>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</si>
  <si>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</si>
  <si>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</si>
  <si>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</si>
  <si>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</si>
  <si>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</si>
  <si>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</si>
  <si>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</si>
  <si>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</si>
  <si>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</si>
  <si>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</si>
  <si>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</si>
  <si>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</si>
  <si>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</si>
  <si>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</si>
  <si>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</si>
  <si>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</si>
  <si>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</si>
  <si>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</si>
  <si>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</si>
  <si>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</si>
  <si>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</si>
  <si>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</si>
  <si>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</si>
  <si>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</si>
  <si>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</si>
  <si>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</si>
  <si>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</si>
  <si>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</si>
  <si>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</si>
  <si>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</si>
  <si>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</si>
  <si>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</si>
  <si>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</si>
  <si>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</si>
  <si>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</si>
  <si>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</si>
  <si>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</si>
  <si>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</si>
  <si>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</si>
  <si>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</si>
  <si>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</si>
  <si>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</si>
  <si>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</si>
  <si>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</si>
  <si>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</si>
  <si>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</si>
  <si>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</si>
  <si>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</si>
  <si>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</si>
  <si>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</si>
  <si>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</si>
  <si>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</si>
  <si>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</si>
  <si>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</si>
  <si>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</si>
  <si>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</si>
  <si>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</si>
  <si>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</si>
  <si>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</si>
  <si>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</si>
  <si>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</si>
  <si>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</si>
  <si>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</si>
  <si>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</si>
  <si>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</si>
  <si>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</si>
  <si>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</si>
  <si>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</si>
  <si>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</si>
  <si>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</si>
  <si>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</si>
  <si>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</si>
  <si>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</si>
  <si>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</si>
  <si>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</si>
  <si>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</si>
  <si>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</si>
  <si>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</si>
  <si>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</si>
  <si>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</si>
  <si>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</si>
  <si>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</si>
  <si>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</si>
  <si>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</si>
  <si>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</si>
  <si>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</si>
  <si>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</si>
  <si>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</si>
  <si>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</si>
  <si>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</si>
  <si>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</si>
  <si>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</si>
  <si>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</si>
  <si>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</si>
  <si>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</si>
  <si>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</si>
  <si>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</si>
  <si>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</si>
  <si>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</si>
  <si>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</si>
  <si>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</si>
  <si>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</si>
  <si>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</si>
  <si>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</si>
  <si>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</si>
  <si>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</si>
  <si>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</si>
  <si>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</si>
  <si>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</si>
  <si>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</si>
  <si>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</si>
  <si>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</si>
  <si>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</si>
  <si>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</si>
  <si>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</si>
  <si>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</si>
  <si>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</si>
  <si>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</si>
  <si>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</si>
  <si>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</si>
  <si>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</si>
  <si>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</si>
  <si>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</si>
  <si>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</si>
  <si>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</si>
  <si>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</si>
  <si>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</si>
  <si>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</si>
  <si>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</si>
  <si>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</si>
  <si>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</si>
  <si>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</si>
  <si>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</si>
  <si>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</si>
  <si>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</si>
  <si>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</si>
  <si>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</si>
  <si>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</si>
  <si>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</si>
  <si>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</si>
  <si>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</si>
  <si>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</si>
  <si>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</si>
  <si>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</si>
  <si>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</si>
  <si>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</si>
  <si>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</si>
  <si>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</si>
  <si>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</si>
  <si>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</si>
  <si>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</si>
  <si>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</si>
  <si>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</si>
  <si>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</si>
  <si>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</si>
  <si>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</si>
  <si>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</si>
  <si>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</si>
  <si>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</si>
  <si>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</si>
  <si>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</si>
  <si>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</si>
  <si>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</si>
  <si>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</si>
  <si>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</si>
  <si>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</si>
  <si>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</si>
  <si>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</si>
  <si>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</si>
  <si>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</si>
  <si>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</si>
  <si>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</si>
  <si>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</si>
  <si>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</si>
  <si>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</si>
  <si>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</si>
  <si>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</si>
  <si>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</si>
  <si>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</si>
  <si>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</si>
  <si>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</si>
  <si>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</si>
  <si>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</si>
  <si>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</si>
  <si>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</si>
  <si>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</si>
  <si>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</si>
  <si>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</si>
  <si>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</si>
  <si>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</si>
  <si>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</si>
  <si>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</si>
  <si>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</si>
  <si>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</si>
  <si>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</si>
  <si>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</si>
  <si>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</si>
  <si>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</si>
  <si>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</si>
  <si>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</si>
  <si>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</si>
  <si>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</si>
  <si>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</si>
  <si>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</si>
  <si>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</si>
  <si>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</si>
  <si>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</si>
  <si>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</si>
  <si>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</si>
  <si>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</si>
  <si>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</si>
  <si>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</si>
  <si>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</si>
  <si>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</si>
  <si>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</si>
  <si>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</si>
  <si>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</si>
  <si>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</si>
  <si>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</si>
  <si>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</si>
  <si>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</si>
  <si>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</si>
  <si>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</si>
  <si>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</si>
  <si>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</si>
  <si>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</si>
  <si>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</si>
  <si>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</si>
  <si>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</si>
  <si>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</si>
  <si>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</si>
  <si>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</si>
  <si>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</si>
  <si>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</si>
  <si>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</si>
  <si>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</si>
  <si>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</si>
  <si>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</si>
  <si>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</si>
  <si>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</si>
  <si>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</si>
  <si>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</si>
  <si>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</si>
  <si>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</si>
  <si>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</si>
  <si>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</si>
  <si>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</si>
  <si>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</si>
  <si>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</si>
  <si>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</si>
  <si>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</si>
  <si>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</si>
  <si>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</si>
  <si>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</si>
  <si>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</si>
  <si>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</si>
  <si>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</si>
  <si>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</si>
  <si>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</si>
  <si>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</si>
  <si>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</si>
  <si>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</si>
  <si>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</si>
  <si>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</si>
  <si>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</si>
  <si>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</si>
  <si>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</si>
  <si>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</si>
  <si>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</si>
  <si>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</si>
  <si>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</si>
  <si>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</si>
  <si>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</si>
  <si>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</si>
  <si>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</si>
  <si>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</si>
  <si>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</si>
  <si>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</si>
  <si>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</si>
  <si>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</si>
  <si>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</si>
  <si>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</si>
  <si>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</si>
  <si>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</si>
  <si>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</si>
  <si>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</si>
  <si>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</si>
  <si>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</si>
  <si>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</si>
  <si>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</si>
  <si>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</si>
  <si>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</si>
  <si>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</si>
  <si>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</si>
  <si>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</si>
  <si>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</si>
  <si>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</si>
  <si>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</si>
  <si>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</si>
  <si>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</si>
  <si>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</si>
  <si>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</si>
  <si>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</si>
  <si>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</si>
  <si>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</si>
  <si>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</si>
  <si>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</si>
  <si>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</si>
  <si>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</si>
  <si>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</si>
  <si>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</si>
  <si>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</si>
  <si>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</si>
  <si>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</si>
  <si>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</si>
  <si>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</si>
  <si>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</si>
  <si>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</si>
  <si>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</si>
  <si>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</si>
  <si>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</si>
  <si>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</si>
  <si>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</si>
  <si>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</si>
  <si>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</si>
  <si>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</si>
  <si>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</si>
  <si>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</si>
  <si>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</si>
  <si>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</si>
  <si>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</si>
  <si>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</si>
  <si>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</si>
  <si>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</si>
  <si>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</si>
  <si>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</si>
  <si>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</si>
  <si>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</si>
  <si>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</si>
  <si>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</si>
  <si>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</si>
  <si>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</si>
  <si>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</si>
  <si>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</si>
  <si>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</si>
  <si>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</si>
  <si>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</si>
  <si>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</si>
  <si>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</si>
  <si>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</si>
  <si>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</si>
  <si>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</si>
  <si>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</si>
  <si>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</si>
  <si>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</si>
  <si>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</si>
  <si>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</si>
  <si>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</si>
  <si>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</si>
  <si>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</si>
  <si>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</si>
  <si>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</si>
  <si>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</si>
  <si>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</si>
  <si>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</si>
  <si>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</si>
  <si>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</si>
  <si>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</si>
  <si>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</si>
  <si>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</si>
  <si>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</si>
  <si>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</si>
  <si>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</si>
  <si>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</si>
  <si>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</si>
  <si>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</si>
  <si>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</si>
  <si>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</si>
  <si>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</si>
  <si>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</si>
  <si>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</si>
  <si>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</si>
  <si>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</si>
  <si>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</si>
  <si>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</si>
  <si>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</si>
  <si>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</si>
  <si>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</si>
  <si>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</si>
  <si>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</si>
  <si>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</si>
  <si>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</si>
  <si>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</si>
  <si>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</si>
  <si>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</si>
  <si>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</si>
  <si>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</si>
  <si>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</si>
  <si>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</si>
  <si>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</si>
  <si>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</si>
  <si>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</si>
  <si>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</si>
  <si>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</si>
  <si>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</si>
  <si>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</si>
  <si>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</si>
  <si>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</si>
  <si>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</si>
  <si>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</si>
  <si>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</si>
  <si>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</si>
  <si>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</si>
  <si>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</si>
  <si>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</si>
  <si>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</si>
  <si>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</si>
  <si>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</si>
  <si>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</si>
  <si>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</si>
  <si>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</si>
  <si>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</si>
  <si>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</si>
  <si>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</si>
  <si>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</si>
  <si>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</si>
  <si>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</si>
  <si>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</si>
  <si>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</si>
  <si>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</si>
  <si>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</si>
  <si>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</si>
  <si>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</si>
  <si>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</si>
  <si>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</si>
  <si>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</si>
  <si>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</si>
  <si>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</si>
  <si>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</si>
  <si>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</si>
  <si>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</si>
  <si>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</si>
  <si>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</si>
  <si>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</si>
  <si>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</si>
  <si>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</si>
  <si>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</si>
  <si>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</si>
  <si>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</si>
  <si>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</si>
  <si>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</si>
  <si>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</si>
  <si>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</si>
  <si>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</si>
  <si>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</si>
  <si>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</si>
  <si>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</si>
  <si>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</si>
  <si>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</si>
  <si>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</si>
  <si>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</si>
  <si>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</si>
  <si>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</si>
  <si>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</si>
  <si>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</si>
  <si>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</si>
  <si>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</si>
  <si>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</si>
  <si>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</si>
  <si>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</si>
  <si>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</si>
  <si>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</si>
  <si>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</si>
  <si>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</si>
  <si>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</si>
  <si>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</si>
  <si>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</si>
  <si>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</si>
  <si>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</si>
  <si>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</si>
  <si>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</si>
  <si>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</si>
  <si>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</si>
  <si>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</si>
  <si>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</si>
  <si>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</si>
  <si>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</si>
  <si>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</si>
  <si>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</si>
  <si>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</si>
  <si>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</si>
  <si>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</si>
  <si>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</si>
  <si>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</si>
  <si>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</si>
  <si>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</si>
  <si>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</si>
  <si>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</si>
  <si>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</si>
  <si>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</si>
  <si>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</si>
  <si>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</si>
  <si>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</si>
  <si>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</si>
  <si>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</si>
  <si>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</si>
  <si>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</si>
  <si>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</si>
  <si>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</si>
  <si>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</si>
  <si>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</si>
  <si>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</si>
  <si>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</si>
  <si>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</si>
  <si>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</si>
  <si>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</si>
  <si>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</si>
  <si>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</si>
  <si>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</si>
  <si>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</si>
  <si>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</si>
  <si>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</si>
  <si>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</si>
  <si>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</si>
  <si>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</si>
  <si>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</si>
  <si>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</si>
  <si>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</si>
  <si>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</si>
  <si>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</si>
  <si>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</si>
  <si>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</si>
  <si>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</si>
  <si>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</si>
  <si>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</si>
  <si>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</si>
  <si>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</si>
  <si>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</si>
  <si>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</si>
  <si>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</si>
  <si>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</si>
  <si>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</si>
  <si>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</si>
  <si>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</si>
  <si>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</si>
  <si>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</si>
  <si>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</si>
  <si>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</si>
  <si>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</si>
  <si>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</si>
  <si>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</si>
  <si>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</si>
  <si>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</si>
  <si>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</si>
  <si>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</si>
  <si>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</si>
  <si>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</si>
  <si>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</si>
  <si>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</si>
  <si>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</si>
  <si>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</si>
  <si>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</si>
  <si>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</si>
  <si>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</si>
  <si>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</si>
  <si>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</si>
  <si>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</si>
  <si>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</si>
  <si>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</si>
  <si>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</si>
  <si>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</si>
  <si>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</si>
  <si>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</si>
  <si>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</si>
  <si>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</si>
  <si>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</si>
  <si>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</si>
  <si>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</si>
  <si>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</si>
  <si>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</si>
  <si>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</si>
  <si>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</si>
  <si>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</si>
  <si>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</si>
  <si>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</si>
  <si>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</si>
  <si>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</si>
  <si>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</si>
  <si>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</si>
  <si>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</si>
  <si>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</si>
  <si>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</si>
  <si>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</si>
  <si>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</si>
  <si>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</si>
  <si>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</si>
  <si>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</si>
  <si>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</si>
  <si>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</si>
  <si>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</si>
  <si>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</si>
  <si>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</si>
  <si>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</si>
  <si>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</si>
  <si>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</si>
  <si>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</si>
  <si>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</si>
  <si>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</si>
  <si>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</si>
  <si>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</si>
  <si>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</si>
  <si>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</si>
  <si>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</si>
  <si>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</si>
  <si>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</si>
  <si>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</si>
  <si>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</si>
  <si>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</si>
  <si>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</si>
  <si>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</si>
  <si>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</si>
  <si>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</si>
  <si>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</si>
  <si>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</si>
  <si>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</si>
  <si>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</si>
  <si>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</si>
  <si>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</si>
  <si>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</si>
  <si>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</si>
  <si>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</si>
  <si>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</si>
  <si>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</si>
  <si>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</si>
  <si>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</si>
  <si>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</si>
  <si>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</si>
  <si>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</si>
  <si>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</si>
  <si>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</si>
  <si>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</si>
  <si>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</si>
  <si>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</si>
  <si>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</si>
  <si>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</si>
  <si>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</si>
  <si>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</si>
  <si>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</si>
  <si>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</si>
  <si>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</si>
  <si>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</si>
  <si>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</si>
  <si>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</si>
  <si>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</si>
  <si>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</si>
  <si>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</si>
  <si>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</si>
  <si>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</si>
  <si>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</si>
  <si>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</si>
  <si>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</si>
  <si>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</si>
  <si>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</si>
  <si>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</si>
  <si>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</si>
  <si>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</si>
  <si>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</si>
  <si>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</si>
  <si>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</si>
  <si>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</si>
  <si>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</si>
  <si>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</si>
  <si>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</si>
  <si>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</si>
  <si>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</si>
  <si>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</si>
  <si>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</si>
  <si>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</si>
  <si>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</si>
  <si>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</si>
  <si>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</si>
  <si>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</si>
  <si>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</si>
  <si>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</si>
  <si>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</si>
  <si>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</si>
  <si>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</si>
  <si>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</si>
  <si>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</si>
  <si>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</si>
  <si>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</si>
  <si>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</si>
  <si>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</si>
  <si>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</si>
  <si>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</si>
  <si>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</si>
  <si>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</si>
  <si>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</si>
  <si>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</si>
  <si>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</si>
  <si>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</si>
  <si>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</si>
  <si>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</si>
  <si>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</si>
  <si>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</si>
  <si>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</si>
  <si>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</si>
  <si>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</si>
  <si>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</si>
  <si>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</si>
  <si>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</si>
  <si>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</si>
  <si>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</si>
  <si>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</si>
  <si>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</si>
  <si>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</si>
  <si>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</si>
  <si>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</si>
  <si>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</si>
  <si>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</si>
  <si>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</si>
  <si>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</si>
  <si>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</si>
  <si>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</si>
  <si>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</si>
  <si>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</si>
  <si>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</si>
  <si>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</si>
  <si>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</si>
  <si>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</si>
  <si>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</si>
  <si>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</si>
  <si>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</si>
  <si>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</si>
  <si>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</si>
  <si>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</si>
  <si>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</si>
  <si>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</si>
  <si>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</si>
  <si>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</si>
  <si>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</si>
  <si>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</si>
  <si>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</si>
  <si>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</si>
  <si>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</si>
  <si>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</si>
  <si>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</si>
  <si>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</si>
  <si>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</si>
  <si>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</si>
  <si>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</si>
  <si>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</si>
  <si>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</si>
  <si>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</si>
  <si>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</si>
  <si>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</si>
  <si>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</si>
  <si>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</si>
  <si>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</si>
  <si>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</si>
  <si>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</si>
  <si>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</si>
  <si>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</si>
  <si>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</si>
  <si>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</si>
  <si>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</si>
  <si>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</si>
  <si>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</si>
  <si>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</si>
  <si>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</si>
  <si>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</si>
  <si>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</si>
  <si>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</si>
  <si>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</si>
  <si>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</si>
  <si>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</si>
  <si>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</si>
  <si>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</si>
  <si>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</si>
  <si>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</si>
  <si>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</si>
  <si>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</si>
  <si>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</si>
  <si>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</si>
  <si>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</si>
  <si>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</si>
  <si>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</si>
  <si>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</si>
  <si>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</si>
  <si>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</si>
  <si>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</si>
  <si>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</si>
  <si>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</si>
  <si>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</si>
  <si>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</si>
  <si>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</si>
  <si>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</si>
  <si>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</si>
  <si>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</si>
  <si>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</si>
  <si>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</si>
  <si>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</si>
  <si>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</si>
  <si>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</si>
  <si>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</si>
  <si>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</si>
  <si>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</si>
  <si>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</si>
  <si>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</si>
  <si>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</si>
  <si>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</si>
  <si>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</si>
  <si>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</si>
  <si>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</si>
  <si>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</si>
  <si>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</si>
  <si>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</si>
  <si>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</si>
  <si>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</si>
  <si>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</si>
  <si>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</si>
  <si>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</si>
  <si>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</si>
  <si>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</si>
  <si>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</si>
  <si>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</si>
  <si>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</si>
  <si>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</si>
  <si>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</si>
  <si>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</si>
  <si>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</si>
  <si>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</si>
  <si>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</si>
  <si>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</si>
  <si>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</si>
  <si>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</si>
  <si>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</si>
  <si>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</si>
  <si>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</si>
  <si>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</si>
  <si>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</si>
  <si>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</si>
  <si>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</si>
  <si>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</si>
  <si>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</si>
  <si>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</si>
  <si>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</si>
  <si>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</si>
  <si>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</si>
  <si>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</si>
  <si>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</si>
  <si>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</si>
  <si>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</si>
  <si>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</si>
  <si>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</si>
  <si>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</si>
  <si>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</si>
  <si>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</si>
  <si>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</si>
  <si>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</si>
  <si>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</si>
  <si>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</si>
  <si>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</si>
  <si>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</si>
  <si>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</si>
  <si>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</si>
  <si>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</si>
  <si>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</si>
  <si>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</si>
  <si>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</si>
  <si>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</si>
  <si>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</si>
  <si>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</si>
  <si>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</si>
  <si>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</si>
  <si>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</si>
  <si>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</si>
  <si>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</si>
  <si>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</si>
  <si>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</si>
  <si>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</si>
  <si>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</si>
  <si>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</si>
  <si>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</si>
  <si>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</si>
  <si>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</si>
  <si>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</si>
  <si>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</si>
  <si>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</si>
  <si>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</si>
  <si>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</si>
  <si>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</si>
  <si>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</si>
  <si>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</si>
  <si>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</si>
  <si>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</si>
  <si>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</si>
  <si>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</si>
  <si>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</si>
  <si>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</si>
  <si>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</si>
  <si>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</si>
  <si>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</si>
  <si>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</si>
  <si>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</si>
  <si>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</si>
  <si>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</si>
  <si>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</si>
  <si>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</si>
  <si>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</si>
  <si>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</si>
  <si>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</si>
  <si>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</si>
  <si>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</si>
  <si>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</si>
  <si>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</si>
  <si>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</si>
  <si>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</si>
  <si>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</si>
  <si>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</si>
  <si>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</si>
  <si>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</si>
  <si>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</si>
  <si>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</si>
  <si>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</si>
  <si>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</si>
  <si>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</si>
  <si>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</si>
  <si>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</si>
  <si>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</si>
  <si>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</si>
  <si>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</si>
  <si>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</si>
  <si>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</si>
  <si>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</si>
  <si>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</si>
  <si>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</si>
  <si>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</si>
  <si>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</si>
  <si>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</si>
  <si>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</si>
  <si>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</si>
  <si>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</si>
  <si>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</si>
  <si>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</si>
  <si>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</si>
  <si>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</si>
  <si>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</si>
  <si>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</si>
  <si>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</si>
  <si>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</si>
  <si>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</si>
  <si>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</si>
  <si>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</si>
  <si>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</si>
  <si>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</si>
  <si>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</si>
  <si>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</si>
  <si>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</si>
  <si>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</si>
  <si>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</si>
  <si>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</si>
  <si>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</si>
  <si>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</si>
  <si>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</si>
  <si>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</si>
  <si>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</si>
  <si>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</si>
  <si>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</si>
  <si>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</si>
  <si>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</si>
  <si>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</si>
  <si>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</si>
  <si>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</si>
  <si>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</si>
  <si>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</si>
  <si>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</si>
  <si>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</si>
  <si>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</si>
  <si>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</si>
  <si>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</si>
  <si>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</si>
  <si>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</si>
  <si>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</si>
  <si>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</si>
  <si>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</si>
  <si>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</si>
  <si>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</si>
  <si>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</si>
  <si>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</si>
  <si>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</si>
  <si>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</si>
  <si>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</si>
  <si>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</si>
  <si>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</si>
  <si>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</si>
  <si>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</si>
  <si>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</si>
  <si>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</si>
  <si>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</si>
  <si>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</si>
  <si>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</si>
  <si>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</si>
  <si>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</si>
  <si>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</si>
  <si>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</si>
  <si>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</si>
  <si>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</si>
  <si>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</si>
  <si>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</si>
  <si>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</si>
  <si>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</si>
  <si>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</si>
  <si>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</si>
  <si>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</si>
  <si>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</si>
  <si>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</si>
  <si>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</si>
  <si>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</si>
  <si>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</si>
  <si>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</si>
  <si>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</si>
  <si>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</si>
  <si>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</si>
  <si>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</si>
  <si>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</si>
  <si>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</si>
  <si>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</si>
  <si>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</si>
  <si>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</si>
  <si>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</si>
  <si>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</si>
  <si>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</si>
  <si>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</si>
  <si>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</si>
  <si>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</si>
  <si>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</si>
  <si>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</si>
  <si>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</si>
  <si>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</si>
  <si>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</si>
  <si>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</si>
  <si>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</si>
  <si>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</si>
  <si>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</si>
  <si>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</si>
  <si>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</si>
  <si>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</si>
  <si>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</si>
  <si>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</si>
  <si>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</si>
  <si>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</si>
  <si>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</si>
  <si>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</si>
  <si>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</si>
  <si>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</si>
  <si>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</si>
  <si>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</si>
  <si>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</si>
  <si>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</si>
  <si>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</si>
  <si>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</si>
  <si>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</si>
  <si>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</si>
  <si>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</si>
  <si>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</si>
  <si>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</si>
  <si>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</si>
  <si>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</si>
  <si>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</si>
  <si>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</si>
  <si>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</si>
  <si>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</si>
  <si>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</si>
  <si>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</si>
  <si>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</si>
  <si>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</si>
  <si>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</si>
  <si>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</si>
  <si>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</si>
  <si>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</si>
  <si>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</si>
  <si>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</si>
  <si>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</si>
  <si>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</si>
  <si>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</si>
  <si>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</si>
  <si>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</si>
  <si>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</si>
  <si>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</si>
  <si>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</si>
  <si>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</si>
  <si>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</si>
  <si>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</si>
  <si>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</si>
  <si>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</si>
  <si>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</si>
  <si>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</si>
  <si>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</si>
  <si>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</si>
  <si>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</si>
  <si>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</si>
  <si>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</si>
  <si>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</si>
  <si>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</si>
  <si>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</si>
  <si>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</si>
  <si>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</si>
  <si>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</si>
  <si>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</si>
  <si>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</si>
  <si>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</si>
  <si>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</si>
  <si>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</si>
  <si>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</si>
  <si>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</si>
  <si>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</si>
  <si>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</si>
  <si>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</si>
  <si>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</si>
  <si>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</si>
  <si>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</si>
  <si>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</si>
  <si>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</si>
  <si>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</si>
  <si>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</si>
  <si>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</si>
  <si>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</si>
  <si>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</si>
  <si>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</si>
  <si>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</si>
  <si>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</si>
  <si>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</si>
  <si>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</si>
  <si>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</si>
  <si>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</si>
  <si>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</si>
  <si>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</si>
  <si>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</si>
  <si>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</si>
  <si>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</si>
  <si>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</si>
  <si>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</si>
  <si>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</si>
  <si>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</si>
  <si>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</si>
  <si>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</si>
  <si>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</si>
  <si>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</si>
  <si>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</si>
  <si>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</si>
  <si>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</si>
  <si>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</si>
  <si>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</si>
  <si>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</si>
  <si>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</si>
  <si>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</si>
  <si>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</si>
  <si>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</si>
  <si>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</si>
  <si>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</si>
  <si>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</si>
  <si>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</si>
  <si>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</si>
  <si>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</si>
  <si>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</si>
  <si>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</si>
  <si>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</si>
  <si>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</si>
  <si>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</si>
  <si>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</si>
  <si>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</si>
  <si>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</si>
  <si>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</si>
  <si>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</si>
  <si>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</si>
  <si>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</si>
  <si>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</si>
  <si>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</si>
  <si>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</si>
  <si>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</si>
  <si>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</si>
  <si>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</si>
  <si>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</si>
  <si>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</si>
  <si>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</si>
  <si>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</si>
  <si>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</si>
  <si>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</si>
  <si>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</si>
  <si>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</si>
  <si>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</si>
  <si>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</si>
  <si>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</si>
  <si>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</si>
  <si>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</si>
  <si>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</si>
  <si>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</si>
  <si>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</si>
  <si>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</si>
  <si>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</si>
  <si>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</si>
  <si>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</si>
  <si>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</si>
  <si>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</si>
  <si>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</si>
  <si>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</si>
  <si>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</si>
  <si>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</si>
  <si>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</si>
  <si>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</si>
  <si>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</si>
  <si>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</si>
  <si>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</si>
  <si>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</si>
  <si>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</si>
  <si>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</si>
  <si>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</si>
  <si>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</si>
  <si>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</si>
  <si>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</si>
  <si>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</si>
  <si>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</si>
  <si>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</si>
  <si>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</si>
  <si>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</si>
  <si>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</si>
  <si>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</si>
  <si>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</si>
  <si>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</si>
  <si>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</si>
  <si>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</si>
  <si>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</si>
  <si>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</si>
  <si>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</si>
  <si>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</si>
  <si>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</si>
  <si>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</si>
  <si>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</si>
  <si>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</si>
  <si>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</si>
  <si>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</si>
  <si>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</si>
  <si>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</si>
  <si>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</si>
  <si>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</si>
  <si>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</si>
  <si>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</si>
  <si>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</si>
  <si>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</si>
  <si>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</si>
  <si>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</si>
  <si>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</si>
  <si>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</si>
  <si>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</si>
  <si>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</si>
  <si>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</si>
  <si>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</si>
  <si>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</si>
  <si>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</si>
  <si>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</si>
  <si>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</si>
  <si>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</si>
  <si>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</si>
  <si>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</si>
  <si>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</si>
  <si>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</si>
  <si>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</si>
  <si>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</si>
  <si>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</si>
  <si>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</si>
  <si>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</si>
  <si>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</si>
  <si>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</si>
  <si>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</si>
  <si>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</si>
  <si>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</si>
  <si>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</si>
  <si>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</si>
  <si>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</si>
  <si>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</si>
  <si>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</si>
  <si>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</si>
  <si>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</si>
  <si>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</si>
  <si>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</si>
  <si>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</si>
  <si>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</si>
  <si>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</si>
  <si>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</si>
  <si>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</si>
  <si>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</si>
  <si>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</si>
  <si>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</si>
  <si>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</si>
  <si>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</si>
  <si>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</si>
  <si>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</si>
  <si>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</si>
  <si>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</si>
  <si>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</si>
  <si>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</si>
  <si>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</si>
  <si>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</si>
  <si>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</si>
  <si>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</si>
  <si>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</si>
  <si>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</si>
  <si>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</si>
  <si>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</si>
  <si>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</si>
  <si>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</si>
  <si>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</si>
  <si>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</si>
  <si>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</si>
  <si>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</si>
  <si>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</si>
  <si>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</si>
  <si>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</si>
  <si>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</si>
  <si>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</si>
  <si>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</si>
  <si>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</si>
  <si>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</si>
  <si>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</si>
  <si>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</si>
  <si>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</si>
  <si>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</si>
  <si>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</si>
  <si>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</si>
  <si>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</si>
  <si>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</si>
  <si>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</si>
  <si>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</si>
  <si>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</si>
  <si>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</si>
  <si>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</si>
  <si>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</si>
  <si>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</si>
  <si>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</si>
  <si>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</si>
  <si>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</si>
  <si>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</si>
  <si>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</si>
  <si>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</si>
  <si>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</si>
  <si>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</si>
  <si>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</si>
  <si>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</si>
  <si>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</si>
  <si>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</si>
  <si>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</si>
  <si>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</si>
  <si>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</si>
  <si>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</si>
  <si>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</si>
  <si>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</si>
  <si>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</si>
  <si>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</si>
  <si>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</si>
  <si>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</si>
  <si>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</si>
  <si>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</si>
  <si>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</si>
  <si>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</si>
  <si>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</si>
  <si>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</si>
  <si>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</si>
  <si>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</si>
  <si>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</si>
  <si>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</si>
  <si>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</si>
  <si>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</si>
  <si>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</si>
  <si>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</si>
  <si>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</si>
  <si>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</si>
  <si>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</si>
  <si>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</si>
  <si>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</si>
  <si>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</si>
  <si>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</si>
  <si>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</si>
  <si>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</si>
  <si>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</si>
  <si>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</si>
  <si>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</si>
  <si>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</si>
  <si>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</si>
  <si>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</si>
  <si>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</si>
  <si>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</si>
  <si>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</si>
  <si>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</si>
  <si>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</si>
  <si>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</si>
  <si>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</si>
  <si>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</si>
  <si>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</si>
  <si>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</si>
  <si>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</si>
  <si>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</si>
  <si>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</si>
  <si>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</si>
  <si>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</si>
  <si>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</si>
  <si>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</si>
  <si>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</si>
  <si>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</si>
  <si>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</si>
  <si>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</si>
  <si>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</si>
  <si>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</si>
  <si>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</si>
  <si>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</si>
  <si>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</si>
  <si>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</si>
  <si>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</si>
  <si>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</si>
  <si>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</si>
  <si>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</si>
  <si>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</si>
  <si>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</si>
  <si>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</si>
  <si>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</si>
  <si>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</si>
  <si>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</si>
  <si>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</si>
  <si>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</si>
  <si>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</si>
  <si>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</si>
  <si>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</si>
  <si>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</si>
  <si>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</si>
  <si>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</si>
  <si>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</si>
  <si>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</si>
  <si>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</si>
  <si>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</si>
  <si>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</si>
  <si>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</si>
  <si>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</si>
  <si>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</si>
  <si>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</si>
  <si>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</si>
  <si>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</si>
  <si>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</si>
  <si>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</si>
  <si>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</si>
  <si>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</si>
  <si>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</si>
  <si>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</si>
  <si>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</si>
  <si>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</si>
  <si>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</si>
  <si>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</si>
  <si>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</si>
  <si>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</si>
  <si>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</si>
  <si>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</si>
  <si>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</si>
  <si>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</si>
  <si>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</si>
  <si>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</si>
  <si>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</si>
  <si>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</si>
  <si>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</si>
  <si>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</si>
  <si>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</si>
  <si>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</si>
  <si>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</si>
  <si>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</si>
  <si>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</si>
  <si>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</si>
  <si>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</si>
  <si>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</si>
  <si>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</si>
  <si>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</si>
  <si>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</si>
  <si>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</si>
  <si>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</si>
  <si>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</si>
  <si>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</si>
  <si>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</si>
  <si>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</si>
  <si>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</si>
  <si>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</si>
  <si>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</si>
  <si>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</si>
  <si>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</si>
  <si>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</si>
  <si>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</si>
  <si>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</si>
  <si>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</si>
  <si>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</si>
  <si>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</si>
  <si>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</si>
  <si>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</si>
  <si>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</si>
  <si>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</si>
  <si>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</si>
  <si>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</si>
  <si>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</si>
  <si>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</si>
  <si>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</si>
  <si>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</si>
  <si>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</si>
  <si>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</si>
  <si>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</si>
  <si>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</si>
  <si>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</si>
  <si>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</si>
  <si>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</si>
  <si>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</si>
  <si>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</si>
  <si>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</si>
  <si>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</si>
  <si>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</si>
  <si>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</si>
  <si>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</si>
  <si>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</si>
  <si>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</si>
  <si>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</si>
  <si>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</si>
  <si>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</si>
  <si>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</si>
  <si>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</si>
  <si>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</si>
  <si>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</si>
  <si>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</si>
  <si>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</si>
  <si>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</si>
  <si>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</si>
  <si>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</si>
  <si>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</si>
  <si>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</si>
  <si>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</si>
  <si>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</si>
  <si>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</si>
  <si>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</si>
  <si>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</si>
  <si>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</si>
  <si>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</si>
  <si>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</si>
  <si>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</si>
  <si>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</si>
  <si>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</si>
  <si>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</si>
  <si>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</si>
  <si>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</si>
  <si>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</si>
  <si>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</si>
  <si>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</si>
  <si>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</si>
  <si>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</si>
  <si>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</si>
  <si>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</si>
  <si>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</si>
  <si>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</si>
  <si>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</si>
  <si>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</si>
  <si>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</si>
  <si>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</si>
  <si>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</si>
  <si>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</si>
  <si>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</si>
  <si>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</si>
  <si>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</si>
  <si>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</si>
  <si>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</si>
  <si>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</si>
  <si>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</si>
  <si>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</si>
  <si>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</si>
  <si>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</si>
  <si>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</si>
  <si>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</si>
  <si>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</si>
  <si>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</si>
  <si>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</si>
  <si>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</si>
  <si>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</si>
  <si>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</si>
  <si>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</si>
  <si>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</si>
  <si>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</si>
  <si>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</si>
  <si>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</si>
  <si>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</si>
  <si>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</si>
  <si>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</si>
  <si>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</si>
  <si>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</si>
  <si>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</si>
  <si>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</si>
  <si>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</si>
  <si>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</si>
  <si>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</si>
  <si>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</si>
  <si>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</si>
  <si>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</si>
  <si>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</si>
  <si>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</si>
  <si>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</si>
  <si>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</si>
  <si>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</si>
  <si>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</si>
  <si>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</si>
  <si>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</si>
  <si>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</si>
  <si>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</si>
  <si>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</si>
  <si>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</si>
  <si>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</si>
  <si>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</si>
  <si>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</si>
  <si>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</si>
  <si>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</si>
  <si>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</si>
  <si>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</si>
  <si>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</si>
  <si>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</si>
  <si>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</si>
  <si>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</si>
  <si>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</si>
  <si>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</si>
  <si>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</si>
  <si>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</si>
  <si>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</si>
  <si>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</si>
  <si>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</si>
  <si>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</si>
  <si>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</si>
  <si>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</si>
  <si>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</si>
  <si>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</si>
  <si>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</si>
  <si>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</si>
  <si>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</si>
  <si>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</si>
  <si>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</si>
  <si>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</si>
  <si>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</si>
  <si>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</si>
  <si>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</si>
  <si>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</si>
  <si>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</si>
  <si>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</si>
  <si>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</si>
  <si>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</si>
  <si>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</si>
  <si>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</si>
  <si>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</si>
  <si>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</si>
  <si>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</si>
  <si>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</si>
  <si>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</si>
  <si>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</si>
  <si>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</si>
  <si>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</si>
  <si>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</si>
  <si>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</si>
  <si>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</si>
  <si>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</si>
  <si>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</si>
  <si>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</si>
  <si>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</si>
  <si>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</si>
  <si>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</si>
  <si>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</si>
  <si>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</si>
  <si>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</si>
  <si>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</si>
  <si>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</si>
  <si>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</si>
  <si>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</si>
  <si>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</si>
  <si>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</si>
  <si>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</si>
  <si>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</si>
  <si>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</si>
  <si>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</si>
  <si>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</si>
  <si>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</si>
  <si>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</si>
  <si>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</si>
  <si>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</si>
  <si>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</si>
  <si>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</si>
  <si>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</si>
  <si>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</si>
  <si>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</si>
  <si>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</si>
  <si>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</si>
  <si>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</si>
  <si>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</si>
  <si>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</si>
  <si>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</si>
  <si>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</si>
  <si>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</si>
  <si>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</si>
  <si>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</si>
  <si>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</si>
  <si>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</si>
  <si>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</si>
  <si>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</si>
  <si>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</si>
  <si>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</si>
  <si>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</si>
  <si>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</si>
  <si>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</si>
  <si>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</si>
  <si>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</si>
  <si>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</si>
  <si>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</si>
  <si>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</si>
  <si>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</si>
  <si>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</si>
  <si>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</si>
  <si>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</si>
  <si>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</si>
  <si>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</si>
  <si>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</si>
  <si>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</si>
  <si>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</si>
  <si>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</si>
  <si>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</si>
  <si>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</si>
  <si>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</si>
  <si>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</si>
  <si>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</si>
  <si>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</si>
  <si>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</si>
  <si>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</si>
  <si>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</si>
  <si>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</si>
  <si>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</si>
  <si>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</si>
  <si>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</si>
  <si>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</si>
  <si>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</si>
  <si>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</si>
  <si>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</si>
  <si>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</si>
  <si>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</si>
  <si>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</si>
  <si>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</si>
  <si>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</si>
  <si>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</si>
  <si>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</si>
  <si>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</si>
  <si>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</si>
  <si>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</si>
  <si>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</si>
  <si>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</si>
  <si>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</si>
  <si>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</si>
  <si>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</si>
  <si>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</si>
  <si>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</si>
  <si>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</si>
  <si>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</si>
  <si>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</si>
  <si>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</si>
  <si>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</si>
  <si>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</si>
  <si>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</si>
  <si>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</si>
  <si>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</si>
  <si>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</si>
  <si>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</si>
  <si>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</si>
  <si>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</si>
  <si>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</si>
  <si>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</si>
  <si>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</si>
  <si>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</si>
  <si>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</si>
  <si>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</si>
  <si>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</si>
  <si>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</si>
  <si>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</si>
  <si>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</si>
  <si>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</si>
  <si>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</si>
  <si>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</si>
  <si>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</si>
  <si>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</si>
  <si>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</si>
  <si>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</si>
  <si>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</si>
  <si>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</si>
  <si>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</si>
  <si>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</si>
  <si>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</si>
  <si>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</si>
  <si>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</si>
  <si>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</si>
  <si>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</si>
  <si>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</si>
  <si>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</si>
  <si>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</si>
  <si>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</si>
  <si>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</si>
  <si>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</si>
  <si>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</si>
  <si>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</si>
  <si>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</si>
  <si>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</si>
  <si>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</si>
  <si>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</si>
  <si>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</si>
  <si>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</si>
  <si>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</si>
  <si>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</si>
  <si>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</si>
  <si>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</si>
  <si>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</si>
  <si>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</si>
  <si>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</si>
  <si>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</si>
  <si>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</si>
  <si>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</si>
  <si>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</si>
  <si>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</si>
  <si>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</si>
  <si>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</si>
  <si>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</si>
  <si>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</si>
  <si>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</si>
  <si>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</si>
  <si>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</si>
  <si>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</si>
  <si>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</si>
  <si>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</si>
  <si>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</si>
  <si>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</si>
  <si>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</si>
  <si>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</si>
  <si>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</si>
  <si>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</si>
  <si>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</si>
  <si>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</si>
  <si>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</si>
  <si>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</si>
  <si>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</si>
  <si>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</si>
  <si>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</si>
  <si>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</si>
  <si>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</si>
  <si>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</si>
  <si>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</si>
  <si>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</si>
  <si>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</si>
  <si>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</si>
  <si>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</si>
  <si>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</si>
  <si>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</si>
  <si>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</si>
  <si>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</si>
  <si>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</si>
  <si>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</si>
  <si>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</si>
  <si>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</si>
  <si>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</si>
  <si>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</si>
  <si>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</si>
  <si>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</si>
  <si>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</si>
  <si>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</si>
  <si>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</si>
  <si>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</si>
  <si>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</si>
  <si>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</si>
  <si>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</si>
  <si>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</si>
  <si>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</si>
  <si>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</si>
  <si>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</si>
  <si>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</si>
  <si>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</si>
  <si>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</si>
  <si>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</si>
  <si>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</si>
  <si>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</si>
  <si>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</si>
  <si>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</si>
  <si>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</si>
  <si>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</si>
  <si>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</si>
  <si>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</si>
  <si>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</si>
  <si>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</si>
  <si>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</si>
  <si>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</si>
  <si>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</si>
  <si>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</si>
  <si>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</si>
  <si>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</si>
  <si>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</si>
  <si>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</si>
  <si>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</si>
  <si>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</si>
  <si>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</si>
  <si>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</si>
  <si>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</si>
  <si>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</si>
  <si>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</si>
  <si>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</si>
  <si>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</si>
  <si>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</si>
  <si>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</si>
  <si>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</si>
  <si>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</si>
  <si>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</si>
  <si>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</si>
  <si>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</si>
  <si>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</si>
  <si>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</si>
  <si>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</si>
  <si>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</si>
  <si>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</si>
  <si>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</si>
  <si>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</si>
  <si>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</si>
  <si>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</si>
  <si>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</si>
  <si>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</si>
  <si>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</si>
  <si>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</si>
  <si>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</si>
  <si>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</si>
  <si>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</si>
  <si>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</si>
  <si>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</si>
  <si>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</si>
  <si>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</si>
  <si>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</si>
  <si>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</si>
  <si>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</si>
  <si>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</si>
  <si>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</si>
  <si>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</si>
  <si>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</si>
  <si>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</si>
  <si>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</si>
  <si>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</si>
  <si>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</si>
  <si>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</si>
  <si>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</si>
  <si>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</si>
  <si>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</si>
  <si>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</si>
  <si>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</si>
  <si>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</si>
  <si>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</si>
  <si>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</si>
  <si>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</si>
  <si>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</si>
  <si>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</si>
  <si>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</si>
  <si>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</si>
  <si>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</si>
  <si>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</si>
  <si>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</si>
  <si>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</si>
  <si>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</si>
  <si>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</si>
  <si>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</si>
  <si>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</si>
  <si>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</si>
  <si>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</si>
  <si>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</si>
  <si>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</si>
  <si>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</si>
  <si>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</si>
  <si>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</si>
  <si>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</si>
  <si>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</si>
  <si>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</si>
  <si>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</si>
  <si>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</si>
  <si>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</si>
  <si>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</si>
  <si>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</si>
  <si>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</si>
  <si>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</si>
  <si>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</si>
  <si>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</si>
  <si>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</si>
  <si>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</si>
  <si>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</si>
  <si>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</si>
  <si>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</si>
  <si>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</si>
  <si>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</si>
  <si>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</si>
  <si>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</si>
  <si>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</si>
  <si>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</si>
  <si>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</si>
  <si>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</si>
  <si>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</si>
  <si>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</si>
  <si>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</si>
  <si>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</si>
  <si>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</si>
  <si>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</si>
  <si>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</si>
  <si>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</si>
  <si>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</si>
  <si>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</si>
  <si>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</si>
  <si>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</si>
  <si>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</si>
  <si>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</si>
  <si>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</si>
  <si>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</si>
  <si>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</si>
  <si>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</si>
  <si>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</si>
  <si>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</si>
  <si>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</si>
  <si>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</si>
  <si>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</si>
  <si>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</si>
  <si>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</si>
  <si>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</si>
  <si>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</si>
  <si>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</si>
  <si>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</si>
  <si>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</si>
  <si>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</si>
  <si>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</si>
  <si>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</si>
  <si>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</si>
  <si>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</si>
  <si>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</si>
  <si>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</si>
  <si>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</si>
  <si>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</si>
  <si>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</si>
  <si>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</si>
  <si>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</si>
  <si>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</si>
  <si>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</si>
  <si>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</si>
  <si>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</si>
  <si>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</si>
  <si>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</si>
  <si>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</si>
  <si>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</si>
  <si>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</si>
  <si>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</si>
  <si>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</si>
  <si>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</si>
  <si>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</si>
  <si>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</si>
  <si>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</si>
  <si>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</si>
  <si>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</si>
  <si>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</si>
  <si>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</si>
  <si>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</si>
  <si>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</si>
  <si>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</si>
  <si>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</si>
  <si>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</si>
  <si>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</si>
  <si>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</si>
  <si>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</si>
  <si>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</si>
  <si>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</si>
  <si>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</si>
  <si>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</si>
  <si>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</si>
  <si>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</si>
  <si>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</si>
  <si>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</si>
  <si>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</si>
  <si>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</si>
  <si>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</si>
  <si>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</si>
  <si>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</si>
  <si>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</si>
  <si>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</si>
  <si>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</si>
  <si>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</si>
  <si>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</si>
  <si>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</si>
  <si>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</si>
  <si>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</si>
  <si>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</si>
  <si>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</si>
  <si>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</si>
  <si>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</si>
  <si>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</si>
  <si>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</si>
  <si>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</si>
  <si>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</si>
  <si>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</si>
  <si>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</si>
  <si>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</si>
  <si>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</si>
  <si>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</si>
  <si>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</si>
  <si>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</si>
  <si>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</si>
  <si>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</si>
  <si>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</si>
  <si>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</si>
  <si>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</si>
  <si>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</si>
  <si>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</si>
  <si>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</si>
  <si>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</si>
  <si>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</si>
  <si>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</si>
  <si>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</si>
  <si>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</si>
  <si>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</si>
  <si>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</si>
  <si>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</si>
  <si>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</si>
  <si>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</si>
  <si>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</si>
  <si>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</si>
  <si>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</si>
  <si>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</si>
  <si>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</si>
  <si>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</si>
  <si>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</si>
  <si>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</si>
  <si>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</si>
  <si>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</si>
  <si>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</si>
  <si>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</si>
  <si>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</si>
  <si>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</si>
  <si>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</si>
  <si>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</si>
  <si>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</si>
  <si>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</si>
  <si>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</si>
  <si>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</si>
  <si>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</si>
  <si>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</si>
  <si>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</si>
  <si>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</si>
  <si>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</si>
  <si>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</si>
  <si>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</si>
  <si>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</si>
  <si>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</si>
  <si>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</si>
  <si>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</si>
  <si>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</si>
  <si>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</si>
  <si>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</si>
  <si>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</si>
  <si>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</si>
  <si>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</si>
  <si>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</si>
  <si>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</si>
  <si>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</si>
  <si>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</si>
  <si>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</si>
  <si>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</si>
  <si>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</si>
  <si>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</si>
  <si>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</si>
  <si>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</si>
  <si>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</si>
  <si>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</si>
  <si>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</si>
  <si>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</si>
  <si>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</si>
  <si>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</si>
  <si>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</si>
  <si>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</si>
  <si>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</si>
  <si>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</si>
  <si>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</si>
  <si>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</si>
  <si>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</si>
  <si>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</si>
  <si>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</si>
  <si>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</si>
  <si>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</si>
  <si>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</si>
  <si>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</si>
  <si>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</si>
  <si>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</si>
  <si>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</si>
  <si>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</si>
  <si>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</si>
  <si>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</si>
  <si>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</si>
  <si>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</si>
  <si>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</si>
  <si>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</si>
  <si>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</si>
  <si>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</si>
  <si>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</si>
  <si>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</si>
  <si>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</si>
  <si>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</si>
  <si>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</si>
  <si>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</si>
  <si>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</si>
  <si>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</si>
  <si>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</si>
  <si>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</si>
  <si>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</si>
  <si>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</si>
  <si>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</si>
  <si>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</si>
  <si>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</si>
  <si>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</si>
  <si>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</si>
  <si>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</si>
  <si>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</si>
  <si>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</si>
  <si>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</si>
  <si>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</si>
  <si>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</si>
  <si>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</si>
  <si>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</si>
  <si>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</si>
  <si>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</si>
  <si>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</si>
  <si>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</si>
  <si>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</si>
  <si>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</si>
  <si>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</si>
  <si>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</si>
  <si>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</si>
  <si>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</si>
  <si>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</si>
  <si>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</si>
  <si>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</si>
  <si>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</si>
  <si>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</si>
  <si>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</si>
  <si>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</si>
  <si>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</si>
  <si>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</si>
  <si>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</si>
  <si>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</si>
  <si>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</si>
  <si>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</si>
  <si>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</si>
  <si>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</si>
  <si>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</si>
  <si>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</si>
  <si>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</si>
  <si>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</si>
  <si>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</si>
  <si>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</si>
  <si>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</si>
  <si>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</si>
  <si>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</si>
  <si>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</si>
  <si>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</si>
  <si>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</si>
  <si>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</si>
  <si>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</si>
  <si>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</si>
  <si>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</si>
  <si>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</si>
  <si>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</si>
  <si>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</si>
  <si>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</si>
  <si>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</si>
  <si>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</si>
  <si>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</si>
  <si>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</si>
  <si>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</si>
  <si>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</si>
  <si>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</si>
  <si>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</si>
  <si>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</si>
  <si>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</si>
  <si>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</si>
  <si>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</si>
  <si>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</si>
  <si>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</si>
  <si>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</si>
  <si>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</si>
  <si>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</si>
  <si>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</si>
  <si>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</si>
  <si>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</si>
  <si>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</si>
  <si>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</si>
  <si>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</si>
  <si>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</si>
  <si>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</si>
  <si>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</si>
  <si>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</si>
  <si>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</si>
  <si>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</si>
  <si>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</si>
  <si>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</si>
  <si>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</si>
  <si>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</si>
  <si>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</si>
  <si>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</si>
  <si>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</si>
  <si>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</si>
  <si>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</si>
  <si>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</si>
  <si>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</si>
  <si>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</si>
  <si>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</si>
  <si>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</si>
  <si>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</si>
  <si>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</si>
  <si>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</si>
  <si>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</si>
  <si>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</si>
  <si>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</si>
  <si>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</si>
  <si>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</si>
  <si>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</si>
  <si>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</si>
  <si>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</si>
  <si>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</si>
  <si>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</si>
  <si>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</si>
  <si>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</si>
  <si>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</si>
  <si>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</si>
  <si>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</si>
  <si>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</si>
  <si>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</si>
  <si>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</si>
  <si>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</si>
  <si>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</si>
  <si>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</si>
  <si>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</si>
  <si>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</si>
  <si>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</si>
  <si>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</si>
  <si>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</si>
  <si>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</si>
  <si>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</si>
  <si>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</si>
  <si>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</si>
  <si>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</si>
  <si>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</si>
  <si>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</si>
  <si>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</si>
  <si>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</si>
  <si>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</si>
  <si>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</si>
  <si>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</si>
  <si>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</si>
  <si>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</si>
  <si>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</si>
  <si>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</si>
  <si>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</si>
  <si>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</si>
  <si>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</si>
  <si>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</si>
  <si>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</si>
  <si>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</si>
  <si>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</si>
  <si>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</si>
  <si>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</si>
  <si>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</si>
  <si>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</si>
  <si>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</si>
  <si>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</si>
  <si>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</si>
  <si>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</si>
  <si>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</si>
  <si>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</si>
  <si>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</si>
  <si>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</si>
  <si>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</si>
  <si>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</si>
  <si>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</si>
  <si>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</si>
  <si>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</si>
  <si>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</si>
  <si>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</si>
  <si>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</si>
  <si>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</si>
  <si>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</si>
  <si>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</si>
  <si>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</si>
  <si>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</si>
  <si>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</si>
  <si>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</si>
  <si>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</si>
  <si>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</si>
  <si>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</si>
  <si>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</si>
  <si>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</si>
  <si>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</si>
  <si>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</si>
  <si>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</si>
  <si>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</si>
  <si>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</si>
  <si>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</si>
  <si>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</si>
  <si>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</si>
  <si>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</si>
  <si>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</si>
  <si>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</si>
  <si>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</si>
  <si>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</si>
  <si>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</si>
  <si>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</si>
  <si>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</si>
  <si>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</si>
  <si>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</si>
  <si>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</si>
  <si>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</si>
  <si>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</si>
  <si>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</si>
  <si>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</si>
  <si>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</si>
  <si>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</si>
  <si>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</si>
  <si>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</si>
  <si>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</si>
  <si>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</si>
  <si>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</si>
  <si>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</si>
  <si>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</si>
  <si>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</si>
  <si>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</si>
  <si>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</si>
  <si>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</si>
  <si>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</si>
  <si>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</si>
  <si>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</si>
  <si>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</si>
  <si>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</si>
  <si>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</si>
  <si>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</si>
  <si>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</si>
  <si>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</si>
  <si>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</si>
  <si>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</si>
  <si>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</si>
  <si>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</si>
  <si>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</si>
  <si>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</si>
  <si>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</si>
  <si>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</si>
  <si>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</si>
  <si>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</si>
  <si>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</si>
  <si>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</si>
  <si>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</si>
  <si>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</si>
  <si>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</si>
  <si>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</si>
  <si>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</si>
  <si>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</si>
  <si>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</si>
  <si>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</si>
  <si>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</si>
  <si>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</si>
  <si>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</si>
  <si>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</si>
  <si>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</si>
  <si>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</si>
  <si>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</si>
  <si>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</si>
  <si>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</si>
  <si>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</si>
  <si>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</si>
  <si>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</si>
  <si>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</si>
  <si>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</si>
  <si>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</si>
  <si>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</si>
  <si>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</si>
  <si>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</si>
  <si>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</si>
  <si>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</si>
  <si>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</si>
  <si>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</si>
  <si>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</si>
  <si>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</si>
  <si>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</si>
  <si>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</si>
  <si>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</si>
  <si>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</si>
  <si>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</si>
  <si>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</si>
  <si>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</si>
  <si>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</si>
  <si>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</si>
  <si>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</si>
  <si>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</si>
  <si>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</si>
  <si>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</si>
  <si>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</si>
  <si>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</si>
  <si>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</si>
  <si>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</si>
  <si>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</si>
  <si>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</si>
  <si>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</si>
  <si>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</si>
  <si>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</si>
  <si>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</si>
  <si>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</si>
  <si>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</si>
  <si>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</si>
  <si>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</si>
  <si>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</si>
  <si>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</si>
  <si>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</si>
  <si>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</si>
  <si>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</si>
  <si>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</si>
  <si>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</si>
  <si>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</si>
  <si>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</si>
  <si>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</si>
  <si>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</si>
  <si>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</si>
  <si>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</si>
  <si>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</si>
  <si>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</si>
  <si>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</si>
  <si>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</si>
  <si>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</si>
  <si>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</si>
  <si>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</si>
  <si>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</si>
  <si>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</si>
  <si>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</si>
  <si>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</si>
  <si>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</si>
  <si>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</si>
  <si>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</si>
  <si>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</si>
  <si>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</si>
  <si>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</si>
  <si>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</si>
  <si>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</si>
  <si>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</si>
  <si>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</si>
  <si>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</si>
  <si>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</si>
  <si>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</si>
  <si>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</si>
  <si>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</si>
  <si>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</si>
  <si>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</si>
  <si>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</si>
  <si>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</si>
  <si>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</si>
  <si>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</si>
  <si>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</si>
  <si>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</si>
  <si>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</si>
  <si>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</si>
  <si>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</si>
  <si>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</si>
  <si>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</si>
  <si>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</si>
  <si>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</si>
  <si>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</si>
  <si>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</si>
  <si>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</si>
  <si>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</si>
  <si>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</si>
  <si>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</si>
  <si>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</si>
  <si>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</si>
  <si>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</si>
  <si>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</si>
  <si>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</si>
  <si>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</si>
  <si>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</si>
  <si>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</si>
  <si>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</si>
  <si>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</si>
  <si>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</si>
  <si>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</si>
  <si>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</si>
  <si>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</si>
  <si>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</si>
  <si>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</si>
  <si>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</si>
  <si>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</si>
  <si>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</si>
  <si>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</si>
  <si>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</si>
  <si>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</si>
  <si>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</si>
  <si>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</si>
  <si>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</si>
  <si>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</si>
  <si>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</si>
  <si>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</si>
  <si>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</si>
  <si>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</si>
  <si>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</si>
  <si>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</si>
  <si>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</si>
  <si>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</si>
  <si>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</si>
  <si>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</si>
  <si>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</si>
  <si>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</si>
  <si>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</si>
  <si>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</si>
  <si>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</si>
  <si>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</si>
  <si>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</si>
  <si>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</si>
  <si>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</si>
  <si>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</si>
  <si>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</si>
  <si>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</si>
  <si>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</si>
  <si>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</si>
  <si>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</si>
  <si>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</si>
  <si>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</si>
  <si>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</si>
  <si>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</si>
  <si>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</si>
  <si>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</si>
  <si>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</si>
  <si>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</si>
  <si>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</si>
  <si>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</si>
  <si>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</si>
  <si>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</si>
  <si>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</si>
  <si>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</si>
  <si>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</si>
  <si>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</si>
  <si>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</si>
  <si>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</si>
  <si>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</si>
  <si>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</si>
  <si>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</si>
  <si>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</si>
  <si>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</si>
  <si>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</si>
  <si>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</si>
  <si>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</si>
  <si>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</si>
  <si>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</si>
  <si>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</si>
  <si>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</si>
  <si>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</si>
  <si>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</si>
  <si>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</si>
  <si>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</si>
  <si>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</si>
  <si>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</si>
  <si>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</si>
  <si>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</si>
  <si>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</si>
  <si>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</si>
  <si>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</si>
  <si>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</si>
  <si>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</si>
  <si>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</si>
  <si>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</si>
  <si>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</si>
  <si>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</si>
  <si>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</si>
  <si>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</si>
  <si>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</si>
  <si>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</si>
  <si>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</si>
  <si>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</si>
  <si>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</si>
  <si>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</si>
  <si>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</si>
  <si>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</si>
  <si>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</si>
  <si>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</si>
  <si>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</si>
  <si>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</si>
  <si>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</si>
  <si>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</si>
  <si>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</si>
  <si>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</si>
  <si>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</si>
  <si>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</si>
  <si>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</si>
  <si>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</si>
  <si>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</si>
  <si>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</si>
  <si>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</si>
  <si>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</si>
  <si>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</si>
  <si>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</si>
  <si>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</si>
  <si>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</si>
  <si>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</si>
  <si>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</si>
  <si>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</si>
  <si>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</si>
  <si>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</si>
  <si>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</si>
  <si>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</si>
  <si>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</si>
  <si>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</si>
  <si>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</si>
  <si>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</si>
  <si>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</si>
  <si>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</si>
  <si>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</si>
  <si>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</si>
  <si>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</si>
  <si>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</si>
  <si>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</si>
  <si>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</si>
  <si>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</si>
  <si>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</si>
  <si>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</si>
  <si>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</si>
  <si>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</si>
  <si>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</si>
  <si>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</si>
  <si>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</si>
  <si>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</si>
  <si>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</si>
  <si>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</si>
  <si>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</si>
  <si>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</si>
  <si>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</si>
  <si>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</si>
  <si>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</si>
  <si>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</si>
  <si>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</si>
  <si>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</si>
  <si>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</si>
  <si>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</si>
  <si>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</si>
  <si>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</si>
  <si>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</si>
  <si>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</si>
  <si>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</si>
  <si>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</si>
  <si>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</si>
  <si>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</si>
  <si>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</si>
  <si>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</si>
  <si>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</si>
  <si>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</si>
  <si>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</si>
  <si>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</si>
  <si>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</si>
  <si>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</si>
  <si>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</si>
  <si>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</si>
  <si>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</si>
  <si>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</si>
  <si>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</si>
  <si>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</si>
  <si>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</si>
  <si>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</si>
  <si>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</si>
  <si>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</si>
  <si>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</si>
  <si>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</si>
  <si>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</si>
  <si>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</si>
  <si>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</si>
  <si>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</si>
  <si>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</si>
  <si>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</si>
  <si>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</si>
  <si>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</si>
  <si>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</si>
  <si>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</si>
  <si>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</si>
  <si>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</si>
  <si>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</si>
  <si>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</si>
  <si>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</si>
  <si>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</si>
  <si>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</si>
  <si>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</si>
  <si>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</si>
  <si>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</si>
  <si>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</si>
  <si>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</si>
  <si>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</si>
  <si>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</si>
  <si>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</si>
  <si>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</si>
  <si>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</si>
  <si>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</si>
  <si>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</si>
  <si>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</si>
  <si>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</si>
  <si>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</si>
  <si>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</si>
  <si>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</si>
  <si>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</si>
  <si>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</si>
  <si>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</si>
  <si>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</si>
  <si>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</si>
  <si>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</si>
  <si>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</si>
  <si>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</si>
  <si>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</si>
  <si>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</si>
  <si>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</si>
  <si>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</si>
  <si>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</si>
  <si>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</si>
  <si>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</si>
  <si>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</si>
  <si>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</si>
  <si>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</si>
  <si>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</si>
  <si>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</si>
  <si>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</si>
  <si>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</si>
  <si>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</si>
  <si>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</si>
  <si>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</si>
  <si>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</si>
  <si>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</si>
  <si>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</si>
  <si>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</si>
  <si>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</si>
  <si>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</si>
  <si>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</si>
  <si>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</si>
  <si>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</si>
  <si>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</si>
  <si>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</si>
  <si>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</si>
  <si>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</si>
  <si>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</si>
  <si>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</si>
  <si>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</si>
  <si>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</si>
  <si>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</si>
  <si>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</si>
  <si>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</si>
  <si>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</si>
  <si>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</si>
  <si>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</si>
  <si>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</si>
  <si>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</si>
  <si>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</si>
  <si>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</si>
  <si>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</si>
  <si>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</si>
  <si>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</si>
  <si>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</si>
  <si>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</si>
  <si>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</si>
  <si>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</si>
  <si>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</si>
  <si>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</si>
  <si>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</si>
  <si>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</si>
  <si>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</si>
  <si>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</si>
  <si>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</si>
  <si>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</si>
  <si>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</si>
  <si>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</si>
  <si>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</si>
  <si>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</si>
  <si>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</si>
  <si>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</si>
  <si>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</si>
  <si>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</si>
  <si>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</si>
  <si>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</si>
  <si>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</si>
  <si>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</si>
  <si>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</si>
  <si>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</si>
  <si>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</si>
  <si>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</si>
  <si>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</si>
  <si>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</si>
  <si>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</si>
  <si>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</si>
  <si>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</si>
  <si>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</si>
  <si>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</si>
  <si>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</si>
  <si>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</si>
  <si>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</si>
  <si>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</si>
  <si>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</si>
  <si>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</si>
  <si>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</si>
  <si>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</si>
  <si>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</si>
  <si>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</si>
  <si>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</si>
  <si>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</si>
  <si>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</si>
  <si>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</si>
  <si>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</si>
  <si>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</si>
  <si>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</si>
  <si>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</si>
  <si>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</si>
  <si>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</si>
  <si>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</si>
  <si>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</si>
  <si>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</si>
  <si>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</si>
  <si>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</si>
  <si>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</si>
  <si>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</si>
  <si>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</si>
  <si>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</si>
  <si>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</si>
  <si>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</si>
  <si>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</si>
  <si>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</si>
  <si>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</si>
  <si>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</si>
  <si>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</si>
  <si>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</si>
  <si>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</si>
  <si>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</si>
  <si>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</si>
  <si>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</si>
  <si>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</si>
  <si>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</si>
  <si>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</si>
  <si>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</si>
  <si>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</si>
  <si>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</si>
  <si>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</si>
  <si>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</si>
  <si>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</si>
  <si>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</si>
  <si>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</si>
  <si>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</si>
  <si>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</si>
  <si>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</si>
  <si>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</si>
  <si>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</si>
  <si>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</si>
  <si>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</si>
  <si>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</si>
  <si>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</si>
  <si>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</si>
  <si>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</si>
  <si>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</si>
  <si>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</si>
  <si>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</si>
  <si>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</si>
  <si>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</si>
  <si>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</si>
  <si>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</si>
  <si>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</si>
  <si>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</si>
  <si>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</si>
  <si>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</si>
  <si>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</si>
  <si>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</si>
  <si>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</si>
  <si>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</si>
  <si>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</si>
  <si>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</si>
  <si>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</si>
  <si>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</si>
  <si>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</si>
  <si>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</si>
  <si>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</si>
  <si>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</si>
  <si>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</si>
  <si>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</si>
  <si>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</si>
  <si>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</si>
  <si>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</si>
  <si>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</si>
  <si>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</si>
  <si>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</si>
  <si>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</si>
  <si>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</si>
  <si>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</si>
  <si>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</si>
  <si>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</si>
  <si>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</si>
  <si>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</si>
  <si>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</si>
  <si>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</si>
  <si>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</si>
  <si>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</si>
  <si>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</si>
  <si>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</si>
  <si>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</si>
  <si>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</si>
  <si>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</si>
  <si>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</si>
  <si>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</si>
  <si>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</si>
  <si>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</si>
  <si>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</si>
  <si>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</si>
  <si>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</si>
  <si>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</si>
  <si>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</si>
  <si>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</si>
  <si>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</si>
  <si>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</si>
  <si>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</si>
  <si>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</si>
  <si>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</si>
  <si>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</si>
  <si>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</si>
  <si>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</si>
  <si>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</si>
  <si>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</si>
  <si>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</si>
  <si>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</si>
  <si>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</si>
  <si>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</si>
  <si>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</si>
  <si>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</si>
  <si>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</si>
  <si>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</si>
  <si>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</si>
  <si>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</si>
  <si>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</si>
  <si>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</si>
  <si>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</si>
  <si>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</si>
  <si>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</si>
  <si>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</si>
  <si>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</si>
  <si>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</si>
  <si>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</si>
  <si>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</si>
  <si>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</si>
  <si>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</si>
  <si>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</si>
  <si>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</si>
  <si>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</si>
  <si>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</si>
  <si>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</si>
  <si>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</si>
  <si>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</si>
  <si>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</si>
  <si>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</si>
  <si>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</si>
  <si>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</si>
  <si>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</si>
  <si>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</si>
  <si>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</si>
  <si>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</si>
  <si>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</si>
  <si>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</si>
  <si>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</si>
  <si>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 xml:space="preserve">Product Name </t>
  </si>
  <si>
    <t>Product Category</t>
  </si>
  <si>
    <t>Product id</t>
  </si>
  <si>
    <t>Total Purchased</t>
  </si>
  <si>
    <t>Current Stock</t>
  </si>
  <si>
    <t>Total Sold</t>
  </si>
  <si>
    <t>Inventory Value</t>
  </si>
  <si>
    <t>Total Products</t>
  </si>
  <si>
    <t>Total Inventory Value</t>
  </si>
  <si>
    <t>Low Stock Items</t>
  </si>
  <si>
    <t>Total Units Sold</t>
  </si>
  <si>
    <t>Row Labels</t>
  </si>
  <si>
    <t>Grand Total</t>
  </si>
  <si>
    <t>Sum of Current Stock</t>
  </si>
  <si>
    <t>Sum of Inventory Value</t>
  </si>
  <si>
    <t>Sum of Total Sold</t>
  </si>
  <si>
    <t>Count of Product id</t>
  </si>
  <si>
    <t>Stock Status</t>
  </si>
  <si>
    <t>Ok</t>
  </si>
  <si>
    <t>Recorder</t>
  </si>
  <si>
    <t>Inventory Managemenet Dashboard</t>
  </si>
  <si>
    <t>Low Stock Items(Need To Be Reorder)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</si>
</sst>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ont>
    <font>
      <b/>
      <sz val="11"/>
      <color theme="1"/>
      <name val="Calibri"/>
      <family val="2"/>
      <scheme val="minor"/>
    </font>
    <font>
      <sz val="12"/>
      <color theme="1"/>
      <name val="Calibri"/>
      <family val="2"/>
      <scheme val="minor"/>
    </font>
    <font>
      <b/>
      <sz val="18"/>
      <color theme="0"/>
      <name val="Bahnschrift SemiLight"/>
      <family val="2"/>
    </font>
    <font>
      <sz val="12"/>
      <color theme="1"/>
      <name val="Arial Black"/>
      <family val="2"/>
    </font>
    <font>
      <sz val="16"/>
      <color theme="1"/>
      <name val="Arial Black"/>
      <family val="2"/>
    </font>
    <font>
      <sz val="14"/>
      <color theme="3" tint="-0.249977111117893"/>
      <name val="Arial Black"/>
      <family val="2"/>
    </font>
    <font>
      <sz val="14"/>
      <color theme="3" tint="-0.249977111117893"/>
      <name val="Calibri"/>
      <family val="2"/>
      <scheme val="minor"/>
    </font>
    <font>
      <sz val="14"/>
      <color theme="6" tint="-0.499984740745262"/>
      <name val="Arial Black"/>
      <family val="2"/>
    </font>
    <font>
      <sz val="16"/>
      <color theme="9" tint="-0.249977111117893"/>
      <name val="Arial Black"/>
      <family val="2"/>
    </font>
    <font>
      <sz val="16"/>
      <color theme="7" tint="-0.249977111117893"/>
      <name val="Arial Black"/>
      <family val="2"/>
    </font>
    <font>
      <sz val="11"/>
      <color theme="0"/>
      <name val="Bahnschrift SemiBold"/>
      <family val="2"/>
    </font>
  </fonts>
  <fills count="11">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0"/>
        <bgColor theme="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0" fillId="2" borderId="4" xfId="0" applyFill="1" applyBorder="1"/>
    <xf numFmtId="0" fontId="0" fillId="2" borderId="5" xfId="0" applyFill="1" applyBorder="1"/>
    <xf numFmtId="0" fontId="0" fillId="3" borderId="4" xfId="0" applyFill="1" applyBorder="1"/>
    <xf numFmtId="0" fontId="0" fillId="3" borderId="5" xfId="0" applyFill="1" applyBorder="1"/>
    <xf numFmtId="0" fontId="0" fillId="0" borderId="0" xfId="0" pivotButton="1"/>
    <xf numFmtId="0" fontId="0" fillId="0" borderId="0" xfId="0" applyAlignment="1">
      <alignment horizontal="left"/>
    </xf>
    <xf numFmtId="0" fontId="6" fillId="0" borderId="0" xfId="0" applyFont="1"/>
    <xf numFmtId="0" fontId="0" fillId="2" borderId="6" xfId="0" applyFill="1" applyBorder="1"/>
    <xf numFmtId="0" fontId="0" fillId="2" borderId="7" xfId="0" applyFill="1" applyBorder="1"/>
    <xf numFmtId="0" fontId="0" fillId="4" borderId="0" xfId="0" applyFill="1"/>
    <xf numFmtId="0" fontId="2" fillId="10" borderId="3" xfId="0" applyFont="1" applyFill="1" applyBorder="1"/>
    <xf numFmtId="0" fontId="12" fillId="9" borderId="0" xfId="0" applyFont="1" applyFill="1" applyAlignment="1">
      <alignment horizontal="center"/>
    </xf>
    <xf numFmtId="0" fontId="0" fillId="9" borderId="0" xfId="0" applyFill="1" applyAlignment="1">
      <alignment horizontal="center"/>
    </xf>
    <xf numFmtId="0" fontId="5" fillId="6" borderId="0" xfId="0" applyFont="1" applyFill="1" applyAlignment="1">
      <alignment horizontal="center"/>
    </xf>
    <xf numFmtId="0" fontId="3" fillId="6" borderId="0" xfId="0" applyFont="1" applyFill="1" applyAlignment="1">
      <alignment horizontal="center"/>
    </xf>
    <xf numFmtId="0" fontId="5" fillId="7" borderId="0" xfId="0" applyFont="1" applyFill="1" applyAlignment="1">
      <alignment horizontal="center"/>
    </xf>
    <xf numFmtId="0" fontId="0" fillId="7" borderId="0" xfId="0" applyFill="1" applyAlignment="1">
      <alignment horizontal="center"/>
    </xf>
    <xf numFmtId="0" fontId="4" fillId="4" borderId="0" xfId="0" applyFont="1" applyFill="1" applyAlignment="1">
      <alignment horizontal="center" vertical="center"/>
    </xf>
    <xf numFmtId="0" fontId="0" fillId="4" borderId="0" xfId="0" applyFill="1" applyAlignment="1">
      <alignment horizontal="center" vertical="center"/>
    </xf>
    <xf numFmtId="0" fontId="5" fillId="5" borderId="0" xfId="0" applyFont="1" applyFill="1" applyAlignment="1">
      <alignment horizontal="center"/>
    </xf>
    <xf numFmtId="0" fontId="3" fillId="5" borderId="0" xfId="0" applyFont="1" applyFill="1" applyAlignment="1">
      <alignment horizontal="center"/>
    </xf>
    <xf numFmtId="0" fontId="5" fillId="8" borderId="0" xfId="0" applyFont="1" applyFill="1" applyAlignment="1">
      <alignment horizontal="center"/>
    </xf>
    <xf numFmtId="0" fontId="0" fillId="8" borderId="0" xfId="0" applyFill="1" applyAlignment="1">
      <alignment horizontal="center"/>
    </xf>
    <xf numFmtId="0" fontId="10" fillId="7" borderId="0" xfId="0" applyFont="1" applyFill="1" applyAlignment="1">
      <alignment horizontal="center" vertical="center"/>
    </xf>
    <xf numFmtId="0" fontId="11" fillId="8" borderId="0" xfId="0" applyFont="1" applyFill="1" applyAlignment="1">
      <alignment horizontal="center" vertical="center"/>
    </xf>
    <xf numFmtId="0" fontId="7" fillId="5" borderId="0" xfId="0" applyFont="1" applyFill="1" applyAlignment="1">
      <alignment horizontal="center" vertical="center" wrapText="1"/>
    </xf>
    <xf numFmtId="0" fontId="8" fillId="5" borderId="0" xfId="0" applyFont="1" applyFill="1" applyAlignment="1">
      <alignment horizontal="center" vertical="center"/>
    </xf>
    <xf numFmtId="0" fontId="9" fillId="6" borderId="0" xfId="0" applyFont="1" applyFill="1" applyAlignment="1">
      <alignment horizontal="center" vertic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[Inventory_Management_Project.xlsx]Pivot Report!PivotTable2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ahnschrift Light" panose="020B0502040204020203" pitchFamily="34" charset="0"/>
              </a:rPr>
              <a:t>Inventory</a:t>
            </a:r>
            <a:r>
              <a:rPr lang="en-US" b="1" baseline="0">
                <a:latin typeface="Bahnschrift Light" panose="020B0502040204020203" pitchFamily="34" charset="0"/>
              </a:rPr>
              <a:t> Value By Category</a:t>
            </a:r>
            <a:endParaRPr lang="en-US" b="1">
              <a:latin typeface="Bahnschrift Light" panose="020B0502040204020203" pitchFamily="34" charset="0"/>
            </a:endParaRPr>
          </a:p>
        </c:rich>
      </c:tx>
      <c:layout>
        <c:manualLayout>
          <c:xMode val="edge"/>
          <c:yMode val="edge"/>
          <c:x val="0.27169611651272735"/>
          <c:y val="0.110090551181102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layout>
            <c:manualLayout>
              <c:x val="0"/>
              <c:y val="-0.30000000000000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2.5746652935118436E-3"/>
              <c:y val="-0.290909090909090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0"/>
              <c:y val="-0.28181818181818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solidFill>
              <a:schemeClr val="tx2">
                <a:lumMod val="75000"/>
              </a:schemeClr>
            </a:solidFill>
          </a:ln>
          <a:effectLst/>
        </c:spPr>
        <c:dLbl>
          <c:idx val="0"/>
          <c:layout>
            <c:manualLayout>
              <c:x val="0"/>
              <c:y val="-0.31363636363636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dLbl>
          <c:idx val="0"/>
          <c:layout>
            <c:manualLayout>
              <c:x val="-9.4403303540416014E-17"/>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Report'!$G$4</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1-DE98-46AF-B5EA-BBC8EA6D5694}"/>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2-DE98-46AF-B5EA-BBC8EA6D5694}"/>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3-DE98-46AF-B5EA-BBC8EA6D5694}"/>
              </c:ext>
            </c:extLst>
          </c:dPt>
          <c:dPt>
            <c:idx val="3"/>
            <c:invertIfNegative val="0"/>
            <c:bubble3D val="0"/>
            <c:spPr>
              <a:solidFill>
                <a:schemeClr val="tx2">
                  <a:lumMod val="75000"/>
                </a:schemeClr>
              </a:solidFill>
              <a:ln>
                <a:solidFill>
                  <a:schemeClr val="tx2">
                    <a:lumMod val="75000"/>
                  </a:schemeClr>
                </a:solidFill>
              </a:ln>
              <a:effectLst/>
            </c:spPr>
            <c:extLst>
              <c:ext xmlns:c16="http://schemas.microsoft.com/office/drawing/2014/chart" uri="{C3380CC4-5D6E-409C-BE32-E72D297353CC}">
                <c16:uniqueId val="{00000004-DE98-46AF-B5EA-BBC8EA6D5694}"/>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5-DE98-46AF-B5EA-BBC8EA6D5694}"/>
              </c:ext>
            </c:extLst>
          </c:dPt>
          <c:dLbls>
            <c:dLbl>
              <c:idx val="0"/>
              <c:layout>
                <c:manualLayout>
                  <c:x val="0"/>
                  <c:y val="-0.300000000000000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98-46AF-B5EA-BBC8EA6D5694}"/>
                </c:ext>
              </c:extLst>
            </c:dLbl>
            <c:dLbl>
              <c:idx val="1"/>
              <c:layout>
                <c:manualLayout>
                  <c:x val="2.5746652935118436E-3"/>
                  <c:y val="-0.290909090909090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98-46AF-B5EA-BBC8EA6D5694}"/>
                </c:ext>
              </c:extLst>
            </c:dLbl>
            <c:dLbl>
              <c:idx val="2"/>
              <c:layout>
                <c:manualLayout>
                  <c:x val="0"/>
                  <c:y val="-0.281818181818181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98-46AF-B5EA-BBC8EA6D5694}"/>
                </c:ext>
              </c:extLst>
            </c:dLbl>
            <c:dLbl>
              <c:idx val="3"/>
              <c:layout>
                <c:manualLayout>
                  <c:x val="0"/>
                  <c:y val="-0.313636363636363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98-46AF-B5EA-BBC8EA6D5694}"/>
                </c:ext>
              </c:extLst>
            </c:dLbl>
            <c:dLbl>
              <c:idx val="4"/>
              <c:layout>
                <c:manualLayout>
                  <c:x val="-9.4403303540416014E-17"/>
                  <c:y val="-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98-46AF-B5EA-BBC8EA6D56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Report'!$F$5:$F$10</c:f>
              <c:strCache>
                <c:ptCount val="5"/>
                <c:pt idx="0">
                  <c:v>Accessories</c:v>
                </c:pt>
                <c:pt idx="1">
                  <c:v>Electronics</c:v>
                </c:pt>
                <c:pt idx="2">
                  <c:v>Networking</c:v>
                </c:pt>
                <c:pt idx="3">
                  <c:v>Office Supplies</c:v>
                </c:pt>
                <c:pt idx="4">
                  <c:v>Storage</c:v>
                </c:pt>
              </c:strCache>
            </c:strRef>
          </c:cat>
          <c:val>
            <c:numRef>
              <c:f>'Pivot Report'!$G$5:$G$10</c:f>
              <c:numCache>
                <c:formatCode>General</c:formatCode>
                <c:ptCount val="5"/>
                <c:pt idx="0">
                  <c:v>1220884223</c:v>
                </c:pt>
                <c:pt idx="1">
                  <c:v>1152871710</c:v>
                </c:pt>
                <c:pt idx="2">
                  <c:v>1149764532</c:v>
                </c:pt>
                <c:pt idx="3">
                  <c:v>1193469108</c:v>
                </c:pt>
                <c:pt idx="4">
                  <c:v>1004640688</c:v>
                </c:pt>
              </c:numCache>
            </c:numRef>
          </c:val>
          <c:extLst>
            <c:ext xmlns:c16="http://schemas.microsoft.com/office/drawing/2014/chart" uri="{C3380CC4-5D6E-409C-BE32-E72D297353CC}">
              <c16:uniqueId val="{00000000-DE98-46AF-B5EA-BBC8EA6D5694}"/>
            </c:ext>
          </c:extLst>
        </c:ser>
        <c:dLbls>
          <c:dLblPos val="ctr"/>
          <c:showLegendKey val="0"/>
          <c:showVal val="1"/>
          <c:showCatName val="0"/>
          <c:showSerName val="0"/>
          <c:showPercent val="0"/>
          <c:showBubbleSize val="0"/>
        </c:dLbls>
        <c:gapWidth val="150"/>
        <c:overlap val="100"/>
        <c:axId val="1961503487"/>
        <c:axId val="1961497247"/>
      </c:barChart>
      <c:catAx>
        <c:axId val="196150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97247"/>
        <c:crosses val="autoZero"/>
        <c:auto val="1"/>
        <c:lblAlgn val="ctr"/>
        <c:lblOffset val="100"/>
        <c:noMultiLvlLbl val="0"/>
      </c:catAx>
      <c:valAx>
        <c:axId val="196149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[Inventory_Management_Project.xlsx]Pivot Report!PivotTable1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Stock By Category</a:t>
            </a:r>
          </a:p>
        </c:rich>
      </c:tx>
      <c:layout>
        <c:manualLayout>
          <c:xMode val="edge"/>
          <c:yMode val="edge"/>
          <c:x val="0.34511789151356081"/>
          <c:y val="8.06815843033227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Report'!$C$4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Report'!$B$5:$B$10</c:f>
              <c:strCache>
                <c:ptCount val="5"/>
                <c:pt idx="0">
                  <c:v>Accessories</c:v>
                </c:pt>
                <c:pt idx="1">
                  <c:v>Electronics</c:v>
                </c:pt>
                <c:pt idx="2">
                  <c:v>Networking</c:v>
                </c:pt>
                <c:pt idx="3">
                  <c:v>Office Supplies</c:v>
                </c:pt>
                <c:pt idx="4">
                  <c:v>Storage</c:v>
                </c:pt>
              </c:strCache>
            </c:strRef>
          </c:cat>
          <c:val>
            <c:numRef>
              <c:f>'Pivot Report'!$C$5:$C$10</c:f>
              <c:numCache>
                <c:formatCode>General</c:formatCode>
                <c:ptCount val="5"/>
                <c:pt idx="0">
                  <c:v>46893</c:v>
                </c:pt>
                <c:pt idx="1">
                  <c:v>39920</c:v>
                </c:pt>
                <c:pt idx="2">
                  <c:v>46797</c:v>
                </c:pt>
                <c:pt idx="3">
                  <c:v>45119</c:v>
                </c:pt>
                <c:pt idx="4">
                  <c:v>39610</c:v>
                </c:pt>
              </c:numCache>
            </c:numRef>
          </c:val>
          <c:extLst>
            <c:ext xmlns:c16="http://schemas.microsoft.com/office/drawing/2014/chart" uri="{C3380CC4-5D6E-409C-BE32-E72D297353CC}">
              <c16:uniqueId val="{00000000-9AE8-4DA4-9D58-1C2E58E1BB70}"/>
            </c:ext>
          </c:extLst>
        </c:ser>
        <c:dLbls>
          <c:showLegendKey val="0"/>
          <c:showVal val="1"/>
          <c:showCatName val="0"/>
          <c:showSerName val="0"/>
          <c:showPercent val="0"/>
          <c:showBubbleSize val="0"/>
        </c:dLbls>
        <c:gapWidth val="150"/>
        <c:shape val="box"/>
        <c:axId val="1961524607"/>
        <c:axId val="1961521247"/>
        <c:axId val="0"/>
      </c:bar3DChart>
      <c:catAx>
        <c:axId val="1961524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21247"/>
        <c:crosses val="autoZero"/>
        <c:auto val="1"/>
        <c:lblAlgn val="ctr"/>
        <c:lblOffset val="100"/>
        <c:noMultiLvlLbl val="0"/>
      </c:catAx>
      <c:valAx>
        <c:axId val="196152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2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[Inventory_Management_Project.xlsx]Pivot Report!PivotTable3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Unit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Report'!$K$4</c:f>
              <c:strCache>
                <c:ptCount val="1"/>
                <c:pt idx="0">
                  <c:v>Total</c:v>
                </c:pt>
              </c:strCache>
            </c:strRef>
          </c:tx>
          <c:spPr>
            <a:solidFill>
              <a:schemeClr val="tx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Report'!$J$5:$J$15</c:f>
              <c:strCache>
                <c:ptCount val="10"/>
                <c:pt idx="0">
                  <c:v>Product_192</c:v>
                </c:pt>
                <c:pt idx="1">
                  <c:v>Product_311</c:v>
                </c:pt>
                <c:pt idx="2">
                  <c:v>Product_388</c:v>
                </c:pt>
                <c:pt idx="3">
                  <c:v>Product_94</c:v>
                </c:pt>
                <c:pt idx="4">
                  <c:v>Product_467</c:v>
                </c:pt>
                <c:pt idx="5">
                  <c:v>Product_492</c:v>
                </c:pt>
                <c:pt idx="6">
                  <c:v>Product_31</c:v>
                </c:pt>
                <c:pt idx="7">
                  <c:v>Product_108</c:v>
                </c:pt>
                <c:pt idx="8">
                  <c:v>Product_310</c:v>
                </c:pt>
                <c:pt idx="9">
                  <c:v>Product_324</c:v>
                </c:pt>
              </c:strCache>
            </c:strRef>
          </c:cat>
          <c:val>
            <c:numRef>
              <c:f>'Pivot Report'!$K$5:$K$15</c:f>
              <c:numCache>
                <c:formatCode>General</c:formatCode>
                <c:ptCount val="10"/>
                <c:pt idx="0">
                  <c:v>750</c:v>
                </c:pt>
                <c:pt idx="1">
                  <c:v>736</c:v>
                </c:pt>
                <c:pt idx="2">
                  <c:v>650</c:v>
                </c:pt>
                <c:pt idx="3">
                  <c:v>634</c:v>
                </c:pt>
                <c:pt idx="4">
                  <c:v>628</c:v>
                </c:pt>
                <c:pt idx="5">
                  <c:v>625</c:v>
                </c:pt>
                <c:pt idx="6">
                  <c:v>616</c:v>
                </c:pt>
                <c:pt idx="7">
                  <c:v>615</c:v>
                </c:pt>
                <c:pt idx="8">
                  <c:v>608</c:v>
                </c:pt>
                <c:pt idx="9">
                  <c:v>605</c:v>
                </c:pt>
              </c:numCache>
            </c:numRef>
          </c:val>
          <c:extLst>
            <c:ext xmlns:c16="http://schemas.microsoft.com/office/drawing/2014/chart" uri="{C3380CC4-5D6E-409C-BE32-E72D297353CC}">
              <c16:uniqueId val="{00000000-FE62-413D-9B64-24F95B0D27AC}"/>
            </c:ext>
          </c:extLst>
        </c:ser>
        <c:dLbls>
          <c:showLegendKey val="0"/>
          <c:showVal val="1"/>
          <c:showCatName val="0"/>
          <c:showSerName val="0"/>
          <c:showPercent val="0"/>
          <c:showBubbleSize val="0"/>
        </c:dLbls>
        <c:gapWidth val="150"/>
        <c:shape val="box"/>
        <c:axId val="1999121135"/>
        <c:axId val="1999124015"/>
        <c:axId val="0"/>
      </c:bar3DChart>
      <c:catAx>
        <c:axId val="199912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4015"/>
        <c:crosses val="autoZero"/>
        <c:auto val="1"/>
        <c:lblAlgn val="ctr"/>
        <c:lblOffset val="100"/>
        <c:noMultiLvlLbl val="0"/>
      </c:catAx>
      <c:valAx>
        <c:axId val="199912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2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[Inventory_Management_Project.xlsx]Pivot Report!PivotTable4</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Stock</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317500" algn="ctr" rotWithShape="0">
              <a:prstClr val="black">
                <a:alpha val="25000"/>
              </a:prstClr>
            </a:outerShdw>
          </a:effectLst>
        </c:spPr>
      </c:pivotFmt>
      <c:pivotFmt>
        <c:idx val="3"/>
        <c:spPr>
          <a:solidFill>
            <a:schemeClr val="accent3">
              <a:lumMod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5922981970207043"/>
          <c:y val="0.27409157188684746"/>
          <c:w val="0.51061142050929254"/>
          <c:h val="0.54843467483231267"/>
        </c:manualLayout>
      </c:layout>
      <c:pieChart>
        <c:varyColors val="1"/>
        <c:ser>
          <c:idx val="0"/>
          <c:order val="0"/>
          <c:tx>
            <c:strRef>
              <c:f>'Pivot Report'!$O$4</c:f>
              <c:strCache>
                <c:ptCount val="1"/>
                <c:pt idx="0">
                  <c:v>Total</c:v>
                </c:pt>
              </c:strCache>
            </c:strRef>
          </c:tx>
          <c:dPt>
            <c:idx val="0"/>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4B-4B5E-B8BE-C1D2448E25C0}"/>
              </c:ext>
            </c:extLst>
          </c:dPt>
          <c:dPt>
            <c:idx val="1"/>
            <c:bubble3D val="0"/>
            <c:spPr>
              <a:solidFill>
                <a:schemeClr val="accent3">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4B-4B5E-B8BE-C1D2448E25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Report'!$N$5:$N$7</c:f>
              <c:strCache>
                <c:ptCount val="2"/>
                <c:pt idx="0">
                  <c:v>Ok</c:v>
                </c:pt>
                <c:pt idx="1">
                  <c:v>Recorder</c:v>
                </c:pt>
              </c:strCache>
            </c:strRef>
          </c:cat>
          <c:val>
            <c:numRef>
              <c:f>'Pivot Report'!$O$5:$O$7</c:f>
              <c:numCache>
                <c:formatCode>General</c:formatCode>
                <c:ptCount val="2"/>
                <c:pt idx="0">
                  <c:v>459</c:v>
                </c:pt>
                <c:pt idx="1">
                  <c:v>41</c:v>
                </c:pt>
              </c:numCache>
            </c:numRef>
          </c:val>
          <c:extLst>
            <c:ext xmlns:c16="http://schemas.microsoft.com/office/drawing/2014/chart" uri="{C3380CC4-5D6E-409C-BE32-E72D297353CC}">
              <c16:uniqueId val="{00000004-EE4B-4B5E-B8BE-C1D2448E25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091388627093303"/>
          <c:y val="0.75984798775153106"/>
          <c:w val="0.24908611372906694"/>
          <c:h val="0.2398000886999820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[Inventory_Management_Project.xlsx]Pivot Report!PivotTable5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latin typeface="Bahnschrift SemiLight Condensed" panose="020B0502040204020203" pitchFamily="34" charset="0"/>
              </a:rPr>
              <a:t>Top 10 Products By Inventory Value</a:t>
            </a:r>
          </a:p>
        </c:rich>
      </c:tx>
      <c:layout>
        <c:manualLayout>
          <c:xMode val="edge"/>
          <c:yMode val="edge"/>
          <c:x val="0.32111772073174377"/>
          <c:y val="8.311737639971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Report'!$E$12</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Report'!$D$13:$D$23</c:f>
              <c:strCache>
                <c:ptCount val="10"/>
                <c:pt idx="0">
                  <c:v>Product_214</c:v>
                </c:pt>
                <c:pt idx="1">
                  <c:v>Product_256</c:v>
                </c:pt>
                <c:pt idx="2">
                  <c:v>Product_41</c:v>
                </c:pt>
                <c:pt idx="3">
                  <c:v>Product_445</c:v>
                </c:pt>
                <c:pt idx="4">
                  <c:v>Product_88</c:v>
                </c:pt>
                <c:pt idx="5">
                  <c:v>Product_425</c:v>
                </c:pt>
                <c:pt idx="6">
                  <c:v>Product_59</c:v>
                </c:pt>
                <c:pt idx="7">
                  <c:v>Product_349</c:v>
                </c:pt>
                <c:pt idx="8">
                  <c:v>Product_108</c:v>
                </c:pt>
                <c:pt idx="9">
                  <c:v>Product_48</c:v>
                </c:pt>
              </c:strCache>
            </c:strRef>
          </c:cat>
          <c:val>
            <c:numRef>
              <c:f>'Pivot Report'!$E$13:$E$23</c:f>
              <c:numCache>
                <c:formatCode>General</c:formatCode>
                <c:ptCount val="10"/>
                <c:pt idx="0">
                  <c:v>63862925</c:v>
                </c:pt>
                <c:pt idx="1">
                  <c:v>53636051</c:v>
                </c:pt>
                <c:pt idx="2">
                  <c:v>53130378</c:v>
                </c:pt>
                <c:pt idx="3">
                  <c:v>43438832</c:v>
                </c:pt>
                <c:pt idx="4">
                  <c:v>43039530</c:v>
                </c:pt>
                <c:pt idx="5">
                  <c:v>42389358</c:v>
                </c:pt>
                <c:pt idx="6">
                  <c:v>42014089</c:v>
                </c:pt>
                <c:pt idx="7">
                  <c:v>40075560</c:v>
                </c:pt>
                <c:pt idx="8">
                  <c:v>39894872</c:v>
                </c:pt>
                <c:pt idx="9">
                  <c:v>38304472</c:v>
                </c:pt>
              </c:numCache>
            </c:numRef>
          </c:val>
          <c:extLst>
            <c:ext xmlns:c16="http://schemas.microsoft.com/office/drawing/2014/chart" uri="{C3380CC4-5D6E-409C-BE32-E72D297353CC}">
              <c16:uniqueId val="{00000000-9AAA-45FF-B45F-30F56987DCF2}"/>
            </c:ext>
          </c:extLst>
        </c:ser>
        <c:dLbls>
          <c:dLblPos val="ctr"/>
          <c:showLegendKey val="0"/>
          <c:showVal val="1"/>
          <c:showCatName val="0"/>
          <c:showSerName val="0"/>
          <c:showPercent val="0"/>
          <c:showBubbleSize val="0"/>
        </c:dLbls>
        <c:gapWidth val="150"/>
        <c:overlap val="100"/>
        <c:axId val="1961511167"/>
        <c:axId val="1961503487"/>
      </c:barChart>
      <c:catAx>
        <c:axId val="196151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03487"/>
        <c:crosses val="autoZero"/>
        <c:auto val="1"/>
        <c:lblAlgn val="ctr"/>
        <c:lblOffset val="100"/>
        <c:noMultiLvlLbl val="0"/>
      </c:catAx>
      <c:valAx>
        <c:axId val="1961503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579120</xdr:colOff>
      <xdr:row>10</xdr:row>
      <xdr:rowOff>34290</xdr:rowOff>
    </xdr:from>
    <xdr:to>
      <xdr:col>9</xdr:col>
      <xdr:colOff>25400</xdr:colOff>
      <xdr:row>25</xdr:row>
      <xdr:rowOff>34290</xdr:rowOff>
    </xdr:to>
    <xdr:graphicFrame macro="">
      <xdr:nvGraphicFramePr>
        <xdr:cNvPr id="2" name="Chart 1">
          <a:extLst>
            <a:ext uri="{FF2B5EF4-FFF2-40B4-BE49-F238E27FC236}">
              <a16:creationId xmlns:a16="http://schemas.microsoft.com/office/drawing/2014/main" id="{6A42ECCE-4199-4308-493D-C65E805E9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284480</xdr:colOff>
      <xdr:row>10</xdr:row>
      <xdr:rowOff>42334</xdr:rowOff>
    </xdr:from>
    <xdr:to>
      <xdr:col>16</xdr:col>
      <xdr:colOff>589280</xdr:colOff>
      <xdr:row>25</xdr:row>
      <xdr:rowOff>13124</xdr:rowOff>
    </xdr:to>
    <xdr:graphicFrame macro="">
      <xdr:nvGraphicFramePr>
        <xdr:cNvPr id="3" name="Chart 2">
          <a:extLst>
            <a:ext uri="{FF2B5EF4-FFF2-40B4-BE49-F238E27FC236}">
              <a16:creationId xmlns:a16="http://schemas.microsoft.com/office/drawing/2014/main" id="{F4CF0B6B-7F2D-93BD-A9A3-66C3BE7E1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253153</xdr:colOff>
      <xdr:row>10</xdr:row>
      <xdr:rowOff>43602</xdr:rowOff>
    </xdr:from>
    <xdr:to>
      <xdr:col>24</xdr:col>
      <xdr:colOff>557953</xdr:colOff>
      <xdr:row>25</xdr:row>
      <xdr:rowOff>16933</xdr:rowOff>
    </xdr:to>
    <xdr:graphicFrame macro="">
      <xdr:nvGraphicFramePr>
        <xdr:cNvPr id="4" name="Chart 3">
          <a:extLst>
            <a:ext uri="{FF2B5EF4-FFF2-40B4-BE49-F238E27FC236}">
              <a16:creationId xmlns:a16="http://schemas.microsoft.com/office/drawing/2014/main" id="{1912A42D-EEEC-5150-5695-CE68B679E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558799</xdr:colOff>
      <xdr:row>26</xdr:row>
      <xdr:rowOff>177800</xdr:rowOff>
    </xdr:from>
    <xdr:to>
      <xdr:col>5</xdr:col>
      <xdr:colOff>406400</xdr:colOff>
      <xdr:row>40</xdr:row>
      <xdr:rowOff>110067</xdr:rowOff>
    </xdr:to>
    <xdr:graphicFrame macro="">
      <xdr:nvGraphicFramePr>
        <xdr:cNvPr id="5" name="Chart 4">
          <a:extLst>
            <a:ext uri="{FF2B5EF4-FFF2-40B4-BE49-F238E27FC236}">
              <a16:creationId xmlns:a16="http://schemas.microsoft.com/office/drawing/2014/main" id="{4DC785EF-0A6C-864D-D062-BE56D9856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490220</xdr:colOff>
      <xdr:row>26</xdr:row>
      <xdr:rowOff>135042</xdr:rowOff>
    </xdr:from>
    <xdr:to>
      <xdr:col>22</xdr:col>
      <xdr:colOff>211666</xdr:colOff>
      <xdr:row>44</xdr:row>
      <xdr:rowOff>93133</xdr:rowOff>
    </xdr:to>
    <xdr:graphicFrame macro="">
      <xdr:nvGraphicFramePr>
        <xdr:cNvPr id="6" name="Chart 5">
          <a:extLst>
            <a:ext uri="{FF2B5EF4-FFF2-40B4-BE49-F238E27FC236}">
              <a16:creationId xmlns:a16="http://schemas.microsoft.com/office/drawing/2014/main" id="{2B78EC2F-6019-B89B-23FD-E33684023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474132</xdr:colOff>
      <xdr:row>3</xdr:row>
      <xdr:rowOff>152399</xdr:rowOff>
    </xdr:from>
    <xdr:to>
      <xdr:col>23</xdr:col>
      <xdr:colOff>474132</xdr:colOff>
      <xdr:row>8</xdr:row>
      <xdr:rowOff>42334</xdr:rowOff>
    </xdr:to>
    <mc:AlternateContent xmlns:mc="http://schemas.openxmlformats.org/markup-compatibility/2006" xmlns:a14="http://schemas.microsoft.com/office/drawing/2010/main">
      <mc:Choice Requires="a14">
        <xdr:graphicFrame macro="">
          <xdr:nvGraphicFramePr>
            <xdr:cNvPr id="7" name="Low Stock Alert 1">
              <a:extLst>
                <a:ext uri="{FF2B5EF4-FFF2-40B4-BE49-F238E27FC236}">
                  <a16:creationId xmlns:a16="http://schemas.microsoft.com/office/drawing/2014/main" id="{56CA86B8-152E-4E86-86F3-4948835255A6}"/>
                </a:ext>
              </a:extLst>
            </xdr:cNvPr>
            <xdr:cNvGraphicFramePr/>
          </xdr:nvGraphicFramePr>
          <xdr:xfrm>
            <a:off x="0" y="0"/>
            <a:ext cx="0" cy="0"/>
          </xdr:xfrm>
          <a:graphic>
            <a:graphicData uri="http://schemas.microsoft.com/office/drawing/2010/slicer">
              <sle:slicer xmlns:sle="http://schemas.microsoft.com/office/drawing/2010/slicer" name="Low Stock Alert 1"/>
            </a:graphicData>
          </a:graphic>
        </xdr:graphicFrame>
      </mc:Choice>
      <mc:Fallback xmlns="">
        <xdr:sp macro="" textlink="">
          <xdr:nvSpPr>
            <xdr:cNvPr id="0" name=""/>
            <xdr:cNvSpPr>
              <a:spLocks noTextEdit="1"/>
            </xdr:cNvSpPr>
          </xdr:nvSpPr>
          <xdr:spPr>
            <a:xfrm>
              <a:off x="13241865" y="711199"/>
              <a:ext cx="1828800" cy="872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550333</xdr:colOff>
      <xdr:row>3</xdr:row>
      <xdr:rowOff>177800</xdr:rowOff>
    </xdr:from>
    <xdr:to>
      <xdr:col>19</xdr:col>
      <xdr:colOff>573193</xdr:colOff>
      <xdr:row>8</xdr:row>
      <xdr:rowOff>42334</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63FD4DF1-9C97-4A24-A2A9-AEC9E09CB68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879666" y="736600"/>
              <a:ext cx="1851660" cy="846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K" refreshedDate="46196.501273032409" createdVersion="8" refreshedVersion="8" minRefreshableVersion="3" recordCount="500" xr:uid="{A8FFC784-7FD5-4F65-A51A-4BEEA3A9C623}">
  <cacheSource type="worksheet">
    <worksheetSource name="Table1"/>
  </cacheSource>
  <cacheFields count="10">
    <cacheField name="Product id" numFmtId="0">
      <sharedItems count="5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haredItems>
    </cacheField>
    <cacheField name="Product Name" numFmtId="0">
      <sharedItems count="50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00"/>
        <s v="Product_201"/>
        <s v="Product_202"/>
        <s v="Product_203"/>
        <s v="Product_204"/>
        <s v="Product_205"/>
        <s v="Product_206"/>
        <s v="Product_207"/>
        <s v="Product_208"/>
        <s v="Product_209"/>
        <s v="Product_210"/>
        <s v="Product_211"/>
        <s v="Product_212"/>
        <s v="Product_213"/>
        <s v="Product_214"/>
        <s v="Product_215"/>
        <s v="Product_216"/>
        <s v="Product_217"/>
        <s v="Product_218"/>
        <s v="Product_219"/>
        <s v="Product_220"/>
        <s v="Product_221"/>
        <s v="Product_222"/>
        <s v="Product_223"/>
        <s v="Product_224"/>
        <s v="Product_225"/>
        <s v="Product_226"/>
        <s v="Product_227"/>
        <s v="Product_228"/>
        <s v="Product_229"/>
        <s v="Product_230"/>
        <s v="Product_231"/>
        <s v="Product_232"/>
        <s v="Product_233"/>
        <s v="Product_234"/>
        <s v="Product_235"/>
        <s v="Product_236"/>
        <s v="Product_237"/>
        <s v="Product_238"/>
        <s v="Product_239"/>
        <s v="Product_240"/>
        <s v="Product_241"/>
        <s v="Product_242"/>
        <s v="Product_243"/>
        <s v="Product_244"/>
        <s v="Product_245"/>
        <s v="Product_246"/>
        <s v="Product_247"/>
        <s v="Product_248"/>
        <s v="Product_249"/>
        <s v="Product_250"/>
        <s v="Product_251"/>
        <s v="Product_252"/>
        <s v="Product_253"/>
        <s v="Product_254"/>
        <s v="Product_255"/>
        <s v="Product_256"/>
        <s v="Product_257"/>
        <s v="Product_258"/>
        <s v="Product_259"/>
        <s v="Product_260"/>
        <s v="Product_261"/>
        <s v="Product_262"/>
        <s v="Product_263"/>
        <s v="Product_264"/>
        <s v="Product_265"/>
        <s v="Product_266"/>
        <s v="Product_267"/>
        <s v="Product_268"/>
        <s v="Product_269"/>
        <s v="Product_270"/>
        <s v="Product_271"/>
        <s v="Product_272"/>
        <s v="Product_273"/>
        <s v="Product_274"/>
        <s v="Product_275"/>
        <s v="Product_276"/>
        <s v="Product_277"/>
        <s v="Product_278"/>
        <s v="Product_279"/>
        <s v="Product_280"/>
        <s v="Product_281"/>
        <s v="Product_282"/>
        <s v="Product_283"/>
        <s v="Product_284"/>
        <s v="Product_285"/>
        <s v="Product_286"/>
        <s v="Product_287"/>
        <s v="Product_288"/>
        <s v="Product_289"/>
        <s v="Product_290"/>
        <s v="Product_291"/>
        <s v="Product_292"/>
        <s v="Product_293"/>
        <s v="Product_294"/>
        <s v="Product_295"/>
        <s v="Product_296"/>
        <s v="Product_297"/>
        <s v="Product_298"/>
        <s v="Product_299"/>
        <s v="Product_300"/>
        <s v="Product_301"/>
        <s v="Product_302"/>
        <s v="Product_303"/>
        <s v="Product_304"/>
        <s v="Product_305"/>
        <s v="Product_306"/>
        <s v="Product_307"/>
        <s v="Product_308"/>
        <s v="Product_309"/>
        <s v="Product_310"/>
        <s v="Product_311"/>
        <s v="Product_312"/>
        <s v="Product_313"/>
        <s v="Product_314"/>
        <s v="Product_315"/>
        <s v="Product_316"/>
        <s v="Product_317"/>
        <s v="Product_318"/>
        <s v="Product_319"/>
        <s v="Product_320"/>
        <s v="Product_321"/>
        <s v="Product_322"/>
        <s v="Product_323"/>
        <s v="Product_324"/>
        <s v="Product_325"/>
        <s v="Product_326"/>
        <s v="Product_327"/>
        <s v="Product_328"/>
        <s v="Product_329"/>
        <s v="Product_330"/>
        <s v="Product_331"/>
        <s v="Product_332"/>
        <s v="Product_333"/>
        <s v="Product_334"/>
        <s v="Product_335"/>
        <s v="Product_336"/>
        <s v="Product_337"/>
        <s v="Product_338"/>
        <s v="Product_339"/>
        <s v="Product_340"/>
        <s v="Product_341"/>
        <s v="Product_342"/>
        <s v="Product_343"/>
        <s v="Product_344"/>
        <s v="Product_345"/>
        <s v="Product_346"/>
        <s v="Product_347"/>
        <s v="Product_348"/>
        <s v="Product_349"/>
        <s v="Product_350"/>
        <s v="Product_351"/>
        <s v="Product_352"/>
        <s v="Product_353"/>
        <s v="Product_354"/>
        <s v="Product_355"/>
        <s v="Product_356"/>
        <s v="Product_357"/>
        <s v="Product_358"/>
        <s v="Product_359"/>
        <s v="Product_360"/>
        <s v="Product_361"/>
        <s v="Product_362"/>
        <s v="Product_363"/>
        <s v="Product_364"/>
        <s v="Product_365"/>
        <s v="Product_366"/>
        <s v="Product_367"/>
        <s v="Product_368"/>
        <s v="Product_369"/>
        <s v="Product_370"/>
        <s v="Product_371"/>
        <s v="Product_372"/>
        <s v="Product_373"/>
        <s v="Product_374"/>
        <s v="Product_375"/>
        <s v="Product_376"/>
        <s v="Product_377"/>
        <s v="Product_378"/>
        <s v="Product_379"/>
        <s v="Product_380"/>
        <s v="Product_381"/>
        <s v="Product_382"/>
        <s v="Product_383"/>
        <s v="Product_384"/>
        <s v="Product_385"/>
        <s v="Product_386"/>
        <s v="Product_387"/>
        <s v="Product_388"/>
        <s v="Product_389"/>
        <s v="Product_390"/>
        <s v="Product_391"/>
        <s v="Product_392"/>
        <s v="Product_393"/>
        <s v="Product_394"/>
        <s v="Product_395"/>
        <s v="Product_396"/>
        <s v="Product_397"/>
        <s v="Product_398"/>
        <s v="Product_399"/>
        <s v="Product_400"/>
        <s v="Product_401"/>
        <s v="Product_402"/>
        <s v="Product_403"/>
        <s v="Product_404"/>
        <s v="Product_405"/>
        <s v="Product_406"/>
        <s v="Product_407"/>
        <s v="Product_408"/>
        <s v="Product_409"/>
        <s v="Product_410"/>
        <s v="Product_411"/>
        <s v="Product_412"/>
        <s v="Product_413"/>
        <s v="Product_414"/>
        <s v="Product_415"/>
        <s v="Product_416"/>
        <s v="Product_417"/>
        <s v="Product_418"/>
        <s v="Product_419"/>
        <s v="Product_420"/>
        <s v="Product_421"/>
        <s v="Product_422"/>
        <s v="Product_423"/>
        <s v="Product_424"/>
        <s v="Product_425"/>
        <s v="Product_426"/>
        <s v="Product_427"/>
        <s v="Product_428"/>
        <s v="Product_429"/>
        <s v="Product_430"/>
        <s v="Product_431"/>
        <s v="Product_432"/>
        <s v="Product_433"/>
        <s v="Product_434"/>
        <s v="Product_435"/>
        <s v="Product_436"/>
        <s v="Product_437"/>
        <s v="Product_438"/>
        <s v="Product_439"/>
        <s v="Product_440"/>
        <s v="Product_441"/>
        <s v="Product_442"/>
        <s v="Product_443"/>
        <s v="Product_444"/>
        <s v="Product_445"/>
        <s v="Product_446"/>
        <s v="Product_447"/>
        <s v="Product_448"/>
        <s v="Product_449"/>
        <s v="Product_450"/>
        <s v="Product_451"/>
        <s v="Product_452"/>
        <s v="Product_453"/>
        <s v="Product_454"/>
        <s v="Product_455"/>
        <s v="Product_456"/>
        <s v="Product_457"/>
        <s v="Product_458"/>
        <s v="Product_459"/>
        <s v="Product_460"/>
        <s v="Product_461"/>
        <s v="Product_462"/>
        <s v="Product_463"/>
        <s v="Product_464"/>
        <s v="Product_465"/>
        <s v="Product_466"/>
        <s v="Product_467"/>
        <s v="Product_468"/>
        <s v="Product_469"/>
        <s v="Product_470"/>
        <s v="Product_471"/>
        <s v="Product_472"/>
        <s v="Product_473"/>
        <s v="Product_474"/>
        <s v="Product_475"/>
        <s v="Product_476"/>
        <s v="Product_477"/>
        <s v="Product_478"/>
        <s v="Product_479"/>
        <s v="Product_480"/>
        <s v="Product_481"/>
        <s v="Product_482"/>
        <s v="Product_483"/>
        <s v="Product_484"/>
        <s v="Product_485"/>
        <s v="Product_486"/>
        <s v="Product_487"/>
        <s v="Product_488"/>
        <s v="Product_489"/>
        <s v="Product_490"/>
        <s v="Product_491"/>
        <s v="Product_492"/>
        <s v="Product_493"/>
        <s v="Product_494"/>
        <s v="Product_495"/>
        <s v="Product_496"/>
        <s v="Product_497"/>
        <s v="Product_498"/>
        <s v="Product_499"/>
        <s v="Product_500"/>
      </sharedItems>
    </cacheField>
    <cacheField name="Category" numFmtId="0">
      <sharedItems count="5">
        <s v="Electronics"/>
        <s v="Office Supplies"/>
        <s v="Accessories"/>
        <s v="Storage"/>
        <s v="Networking"/>
      </sharedItems>
    </cacheField>
    <cacheField name="Unit Cost" numFmtId="0">
      <sharedItems containsSemiMixedTypes="0" containsString="0" containsNumber="1" containsInteger="1" minValue="137" maxValue="49987" count="497">
        <n v="1739"/>
        <n v="16149"/>
        <n v="48365"/>
        <n v="5797"/>
        <n v="2182"/>
        <n v="14428"/>
        <n v="39553"/>
        <n v="13131"/>
        <n v="27593"/>
        <n v="38718"/>
        <n v="49829"/>
        <n v="45853"/>
        <n v="18310"/>
        <n v="22159"/>
        <n v="24998"/>
        <n v="22641"/>
        <n v="2947"/>
        <n v="35242"/>
        <n v="5264"/>
        <n v="41298"/>
        <n v="37937"/>
        <n v="3103"/>
        <n v="19065"/>
        <n v="6719"/>
        <n v="29814"/>
        <n v="10759"/>
        <n v="13830"/>
        <n v="46094"/>
        <n v="40020"/>
        <n v="35105"/>
        <n v="10808"/>
        <n v="17791"/>
        <n v="14492"/>
        <n v="3765"/>
        <n v="20773"/>
        <n v="4437"/>
        <n v="47149"/>
        <n v="43054"/>
        <n v="42229"/>
        <n v="17459"/>
        <n v="48923"/>
        <n v="17319"/>
        <n v="28177"/>
        <n v="26275"/>
        <n v="9165"/>
        <n v="6057"/>
        <n v="7285"/>
        <n v="44696"/>
        <n v="4263"/>
        <n v="39152"/>
        <n v="16576"/>
        <n v="44683"/>
        <n v="44776"/>
        <n v="49309"/>
        <n v="7410"/>
        <n v="10465"/>
        <n v="47423"/>
        <n v="32906"/>
        <n v="33371"/>
        <n v="41079"/>
        <n v="40009"/>
        <n v="24604"/>
        <n v="35448"/>
        <n v="137"/>
        <n v="32121"/>
        <n v="23888"/>
        <n v="15792"/>
        <n v="37282"/>
        <n v="48066"/>
        <n v="49946"/>
        <n v="8514"/>
        <n v="36131"/>
        <n v="34681"/>
        <n v="27830"/>
        <n v="49597"/>
        <n v="46823"/>
        <n v="44119"/>
        <n v="28811"/>
        <n v="29688"/>
        <n v="14825"/>
        <n v="1478"/>
        <n v="15180"/>
        <n v="571"/>
        <n v="15103"/>
        <n v="21754"/>
        <n v="15697"/>
        <n v="14140"/>
        <n v="47505"/>
        <n v="37862"/>
        <n v="31096"/>
        <n v="12578"/>
        <n v="43287"/>
        <n v="27859"/>
        <n v="47880"/>
        <n v="4072"/>
        <n v="7261"/>
        <n v="12565"/>
        <n v="9286"/>
        <n v="18354"/>
        <n v="5040"/>
        <n v="6516"/>
        <n v="1067"/>
        <n v="10999"/>
        <n v="31646"/>
        <n v="3942"/>
        <n v="241"/>
        <n v="29919"/>
        <n v="45751"/>
        <n v="43476"/>
        <n v="10244"/>
        <n v="14367"/>
        <n v="48317"/>
        <n v="49119"/>
        <n v="3386"/>
        <n v="33054"/>
        <n v="10417"/>
        <n v="5350"/>
        <n v="4590"/>
        <n v="44350"/>
        <n v="26561"/>
        <n v="16235"/>
        <n v="2704"/>
        <n v="27574"/>
        <n v="37142"/>
        <n v="17189"/>
        <n v="15742"/>
        <n v="8677"/>
        <n v="30064"/>
        <n v="710"/>
        <n v="36996"/>
        <n v="35334"/>
        <n v="17480"/>
        <n v="4608"/>
        <n v="24317"/>
        <n v="28816"/>
        <n v="46207"/>
        <n v="42958"/>
        <n v="43869"/>
        <n v="19720"/>
        <n v="8900"/>
        <n v="7114"/>
        <n v="10287"/>
        <n v="39738"/>
        <n v="13442"/>
        <n v="33222"/>
        <n v="3429"/>
        <n v="18232"/>
        <n v="21959"/>
        <n v="41853"/>
        <n v="48677"/>
        <n v="46346"/>
        <n v="733"/>
        <n v="45386"/>
        <n v="35855"/>
        <n v="38275"/>
        <n v="28266"/>
        <n v="20302"/>
        <n v="23549"/>
        <n v="43808"/>
        <n v="36792"/>
        <n v="40775"/>
        <n v="15614"/>
        <n v="11703"/>
        <n v="1724"/>
        <n v="27082"/>
        <n v="17585"/>
        <n v="25170"/>
        <n v="30947"/>
        <n v="30266"/>
        <n v="15015"/>
        <n v="43355"/>
        <n v="21612"/>
        <n v="18392"/>
        <n v="26293"/>
        <n v="21802"/>
        <n v="7659"/>
        <n v="11802"/>
        <n v="2607"/>
        <n v="28579"/>
        <n v="28699"/>
        <n v="7678"/>
        <n v="12557"/>
        <n v="46550"/>
        <n v="34173"/>
        <n v="45113"/>
        <n v="23969"/>
        <n v="43631"/>
        <n v="40939"/>
        <n v="47269"/>
        <n v="33334"/>
        <n v="21476"/>
        <n v="36433"/>
        <n v="27654"/>
        <n v="44488"/>
        <n v="40438"/>
        <n v="26712"/>
        <n v="20014"/>
        <n v="28273"/>
        <n v="39858"/>
        <n v="30573"/>
        <n v="44377"/>
        <n v="31110"/>
        <n v="43278"/>
        <n v="33880"/>
        <n v="22066"/>
        <n v="44192"/>
        <n v="13150"/>
        <n v="3128"/>
        <n v="40160"/>
        <n v="29946"/>
        <n v="12842"/>
        <n v="32499"/>
        <n v="9771"/>
        <n v="49315"/>
        <n v="27962"/>
        <n v="45707"/>
        <n v="3391"/>
        <n v="8053"/>
        <n v="30550"/>
        <n v="36729"/>
        <n v="49596"/>
        <n v="40250"/>
        <n v="28066"/>
        <n v="29323"/>
        <n v="48836"/>
        <n v="29595"/>
        <n v="41889"/>
        <n v="31858"/>
        <n v="18096"/>
        <n v="46862"/>
        <n v="17907"/>
        <n v="35499"/>
        <n v="9984"/>
        <n v="45578"/>
        <n v="4309"/>
        <n v="21784"/>
        <n v="27348"/>
        <n v="27634"/>
        <n v="45681"/>
        <n v="25028"/>
        <n v="23152"/>
        <n v="27560"/>
        <n v="39634"/>
        <n v="32096"/>
        <n v="28662"/>
        <n v="25584"/>
        <n v="47559"/>
        <n v="8464"/>
        <n v="1867"/>
        <n v="38890"/>
        <n v="5601"/>
        <n v="8993"/>
        <n v="12009"/>
        <n v="24944"/>
        <n v="29899"/>
        <n v="49987"/>
        <n v="18335"/>
        <n v="16632"/>
        <n v="30922"/>
        <n v="3513"/>
        <n v="42707"/>
        <n v="49529"/>
        <n v="13165"/>
        <n v="40819"/>
        <n v="8372"/>
        <n v="37060"/>
        <n v="45940"/>
        <n v="11096"/>
        <n v="49116"/>
        <n v="10832"/>
        <n v="38024"/>
        <n v="37835"/>
        <n v="26095"/>
        <n v="5080"/>
        <n v="6778"/>
        <n v="44943"/>
        <n v="37188"/>
        <n v="22854"/>
        <n v="43453"/>
        <n v="33258"/>
        <n v="929"/>
        <n v="32225"/>
        <n v="23836"/>
        <n v="46454"/>
        <n v="11643"/>
        <n v="42728"/>
        <n v="35369"/>
        <n v="30565"/>
        <n v="17689"/>
        <n v="5779"/>
        <n v="16081"/>
        <n v="37445"/>
        <n v="22146"/>
        <n v="21400"/>
        <n v="14001"/>
        <n v="22404"/>
        <n v="46052"/>
        <n v="36524"/>
        <n v="12621"/>
        <n v="47290"/>
        <n v="36484"/>
        <n v="45359"/>
        <n v="29471"/>
        <n v="6198"/>
        <n v="26602"/>
        <n v="20167"/>
        <n v="24284"/>
        <n v="34894"/>
        <n v="48985"/>
        <n v="23156"/>
        <n v="17854"/>
        <n v="15208"/>
        <n v="20779"/>
        <n v="45330"/>
        <n v="14280"/>
        <n v="18220"/>
        <n v="49920"/>
        <n v="18646"/>
        <n v="19514"/>
        <n v="11859"/>
        <n v="46500"/>
        <n v="18077"/>
        <n v="36364"/>
        <n v="41903"/>
        <n v="6823"/>
        <n v="37721"/>
        <n v="31473"/>
        <n v="12182"/>
        <n v="31408"/>
        <n v="26360"/>
        <n v="37915"/>
        <n v="10043"/>
        <n v="20012"/>
        <n v="7862"/>
        <n v="39835"/>
        <n v="14890"/>
        <n v="19587"/>
        <n v="28203"/>
        <n v="40799"/>
        <n v="48602"/>
        <n v="41093"/>
        <n v="43381"/>
        <n v="15819"/>
        <n v="5019"/>
        <n v="26872"/>
        <n v="30896"/>
        <n v="15270"/>
        <n v="46170"/>
        <n v="4764"/>
        <n v="17437"/>
        <n v="43431"/>
        <n v="27961"/>
        <n v="14833"/>
        <n v="17508"/>
        <n v="4779"/>
        <n v="20259"/>
        <n v="19014"/>
        <n v="30816"/>
        <n v="45957"/>
        <n v="32898"/>
        <n v="28788"/>
        <n v="2712"/>
        <n v="48238"/>
        <n v="16508"/>
        <n v="15102"/>
        <n v="38577"/>
        <n v="37864"/>
        <n v="30934"/>
        <n v="18329"/>
        <n v="28666"/>
        <n v="6079"/>
        <n v="26861"/>
        <n v="44017"/>
        <n v="21714"/>
        <n v="18988"/>
        <n v="49940"/>
        <n v="29907"/>
        <n v="16641"/>
        <n v="26588"/>
        <n v="175"/>
        <n v="30376"/>
        <n v="12393"/>
        <n v="40904"/>
        <n v="41086"/>
        <n v="13440"/>
        <n v="8686"/>
        <n v="28812"/>
        <n v="8057"/>
        <n v="15782"/>
        <n v="20465"/>
        <n v="36292"/>
        <n v="30341"/>
        <n v="32761"/>
        <n v="33449"/>
        <n v="27329"/>
        <n v="31047"/>
        <n v="36227"/>
        <n v="12591"/>
        <n v="33408"/>
        <n v="4675"/>
        <n v="22374"/>
        <n v="17609"/>
        <n v="18636"/>
        <n v="38565"/>
        <n v="9838"/>
        <n v="31841"/>
        <n v="36270"/>
        <n v="24820"/>
        <n v="12463"/>
        <n v="37573"/>
        <n v="27020"/>
        <n v="48904"/>
        <n v="25402"/>
        <n v="32561"/>
        <n v="33018"/>
        <n v="6677"/>
        <n v="6634"/>
        <n v="1105"/>
        <n v="26968"/>
        <n v="5003"/>
        <n v="22287"/>
        <n v="42687"/>
        <n v="44294"/>
        <n v="25004"/>
        <n v="35556"/>
        <n v="4584"/>
        <n v="15008"/>
        <n v="28540"/>
        <n v="29176"/>
        <n v="1997"/>
        <n v="3777"/>
        <n v="24665"/>
        <n v="16103"/>
        <n v="11240"/>
        <n v="40043"/>
        <n v="40713"/>
        <n v="32715"/>
        <n v="9479"/>
        <n v="41905"/>
        <n v="16833"/>
        <n v="30590"/>
        <n v="44507"/>
        <n v="4940"/>
        <n v="38607"/>
        <n v="45340"/>
        <n v="19899"/>
        <n v="31767"/>
        <n v="25093"/>
        <n v="37770"/>
        <n v="1537"/>
        <n v="18088"/>
        <n v="45044"/>
        <n v="39841"/>
        <n v="18856"/>
        <n v="39884"/>
        <n v="14452"/>
        <n v="40790"/>
        <n v="41272"/>
        <n v="20346"/>
        <n v="2286"/>
        <n v="48095"/>
        <n v="19440"/>
        <n v="11610"/>
        <n v="35450"/>
        <n v="34889"/>
        <n v="10883"/>
        <n v="19442"/>
        <n v="7647"/>
        <n v="9324"/>
        <n v="44423"/>
        <n v="36624"/>
        <n v="25958"/>
        <n v="35264"/>
        <n v="24255"/>
        <n v="38409"/>
        <n v="7200"/>
        <n v="30998"/>
        <n v="36892"/>
        <n v="14607"/>
        <n v="41741"/>
        <n v="46045"/>
        <n v="7746"/>
        <n v="2538"/>
        <n v="7710"/>
        <n v="35328"/>
        <n v="29829"/>
        <n v="27567"/>
        <n v="27289"/>
        <n v="32169"/>
        <n v="18433"/>
        <n v="14338"/>
        <n v="15573"/>
        <n v="6611"/>
        <n v="35782"/>
        <n v="4068"/>
        <n v="12539"/>
        <n v="6107"/>
      </sharedItems>
    </cacheField>
    <cacheField name="Opening Stock" numFmtId="0">
      <sharedItems containsSemiMixedTypes="0" containsString="0" containsNumber="1" containsInteger="1" minValue="24" maxValue="500" count="308">
        <n v="399"/>
        <n v="134"/>
        <n v="72"/>
        <n v="322"/>
        <n v="35"/>
        <n v="139"/>
        <n v="33"/>
        <n v="386"/>
        <n v="132"/>
        <n v="162"/>
        <n v="432"/>
        <n v="236"/>
        <n v="99"/>
        <n v="69"/>
        <n v="329"/>
        <n v="393"/>
        <n v="83"/>
        <n v="302"/>
        <n v="336"/>
        <n v="118"/>
        <n v="358"/>
        <n v="60"/>
        <n v="214"/>
        <n v="345"/>
        <n v="209"/>
        <n v="363"/>
        <n v="499"/>
        <n v="256"/>
        <n v="493"/>
        <n v="370"/>
        <n v="137"/>
        <n v="225"/>
        <n v="128"/>
        <n v="181"/>
        <n v="275"/>
        <n v="254"/>
        <n v="91"/>
        <n v="307"/>
        <n v="402"/>
        <n v="479"/>
        <n v="205"/>
        <n v="280"/>
        <n v="406"/>
        <n v="98"/>
        <n v="217"/>
        <n v="259"/>
        <n v="303"/>
        <n v="389"/>
        <n v="473"/>
        <n v="156"/>
        <n v="170"/>
        <n v="252"/>
        <n v="468"/>
        <n v="410"/>
        <n v="487"/>
        <n v="172"/>
        <n v="121"/>
        <n v="418"/>
        <n v="326"/>
        <n v="29"/>
        <n v="469"/>
        <n v="49"/>
        <n v="268"/>
        <n v="292"/>
        <n v="357"/>
        <n v="104"/>
        <n v="466"/>
        <n v="179"/>
        <n v="352"/>
        <n v="480"/>
        <n v="81"/>
        <n v="52"/>
        <n v="321"/>
        <n v="56"/>
        <n v="54"/>
        <n v="296"/>
        <n v="498"/>
        <n v="262"/>
        <n v="433"/>
        <n v="68"/>
        <n v="240"/>
        <n v="230"/>
        <n v="47"/>
        <n v="226"/>
        <n v="147"/>
        <n v="294"/>
        <n v="246"/>
        <n v="45"/>
        <n v="67"/>
        <n v="228"/>
        <n v="129"/>
        <n v="219"/>
        <n v="166"/>
        <n v="394"/>
        <n v="387"/>
        <n v="117"/>
        <n v="297"/>
        <n v="180"/>
        <n v="319"/>
        <n v="490"/>
        <n v="455"/>
        <n v="324"/>
        <n v="461"/>
        <n v="316"/>
        <n v="337"/>
        <n v="356"/>
        <n v="287"/>
        <n v="124"/>
        <n v="155"/>
        <n v="71"/>
        <n v="87"/>
        <n v="470"/>
        <n v="165"/>
        <n v="446"/>
        <n v="174"/>
        <n v="290"/>
        <n v="438"/>
        <n v="497"/>
        <n v="400"/>
        <n v="159"/>
        <n v="127"/>
        <n v="371"/>
        <n v="270"/>
        <n v="42"/>
        <n v="414"/>
        <n v="154"/>
        <n v="238"/>
        <n v="77"/>
        <n v="482"/>
        <n v="38"/>
        <n v="85"/>
        <n v="206"/>
        <n v="472"/>
        <n v="403"/>
        <n v="462"/>
        <n v="471"/>
        <n v="111"/>
        <n v="430"/>
        <n v="101"/>
        <n v="133"/>
        <n v="199"/>
        <n v="367"/>
        <n v="500"/>
        <n v="317"/>
        <n v="75"/>
        <n v="196"/>
        <n v="330"/>
        <n v="150"/>
        <n v="243"/>
        <n v="388"/>
        <n v="491"/>
        <n v="178"/>
        <n v="360"/>
        <n v="311"/>
        <n v="300"/>
        <n v="422"/>
        <n v="355"/>
        <n v="426"/>
        <n v="63"/>
        <n v="359"/>
        <n v="95"/>
        <n v="145"/>
        <n v="232"/>
        <n v="224"/>
        <n v="460"/>
        <n v="285"/>
        <n v="305"/>
        <n v="253"/>
        <n v="361"/>
        <n v="476"/>
        <n v="437"/>
        <n v="445"/>
        <n v="152"/>
        <n v="161"/>
        <n v="340"/>
        <n v="245"/>
        <n v="191"/>
        <n v="61"/>
        <n v="138"/>
        <n v="51"/>
        <n v="30"/>
        <n v="264"/>
        <n v="295"/>
        <n v="192"/>
        <n v="338"/>
        <n v="484"/>
        <n v="308"/>
        <n v="349"/>
        <n v="463"/>
        <n v="187"/>
        <n v="405"/>
        <n v="447"/>
        <n v="55"/>
        <n v="449"/>
        <n v="131"/>
        <n v="151"/>
        <n v="366"/>
        <n v="323"/>
        <n v="376"/>
        <n v="327"/>
        <n v="420"/>
        <n v="351"/>
        <n v="454"/>
        <n v="74"/>
        <n v="395"/>
        <n v="158"/>
        <n v="416"/>
        <n v="185"/>
        <n v="404"/>
        <n v="332"/>
        <n v="34"/>
        <n v="113"/>
        <n v="201"/>
        <n v="163"/>
        <n v="25"/>
        <n v="408"/>
        <n v="263"/>
        <n v="425"/>
        <n v="374"/>
        <n v="301"/>
        <n v="379"/>
        <n v="176"/>
        <n v="114"/>
        <n v="398"/>
        <n v="390"/>
        <n v="288"/>
        <n v="136"/>
        <n v="293"/>
        <n v="43"/>
        <n v="169"/>
        <n v="464"/>
        <n v="46"/>
        <n v="78"/>
        <n v="271"/>
        <n v="342"/>
        <n v="96"/>
        <n v="325"/>
        <n v="417"/>
        <n v="250"/>
        <n v="50"/>
        <n v="70"/>
        <n v="108"/>
        <n v="100"/>
        <n v="167"/>
        <n v="423"/>
        <n v="431"/>
        <n v="443"/>
        <n v="244"/>
        <n v="372"/>
        <n v="475"/>
        <n v="365"/>
        <n v="40"/>
        <n v="112"/>
        <n v="260"/>
        <n v="190"/>
        <n v="73"/>
        <n v="65"/>
        <n v="231"/>
        <n v="407"/>
        <n v="494"/>
        <n v="383"/>
        <n v="450"/>
        <n v="80"/>
        <n v="381"/>
        <n v="144"/>
        <n v="94"/>
        <n v="440"/>
        <n v="391"/>
        <n v="248"/>
        <n v="377"/>
        <n v="216"/>
        <n v="467"/>
        <n v="289"/>
        <n v="465"/>
        <n v="339"/>
        <n v="459"/>
        <n v="182"/>
        <n v="140"/>
        <n v="105"/>
        <n v="291"/>
        <n v="369"/>
        <n v="109"/>
        <n v="481"/>
        <n v="299"/>
        <n v="173"/>
        <n v="148"/>
        <n v="312"/>
        <n v="171"/>
        <n v="444"/>
        <n v="24"/>
        <n v="401"/>
        <n v="122"/>
        <n v="276"/>
        <n v="207"/>
        <n v="27"/>
        <n v="364"/>
        <n v="215"/>
        <n v="32"/>
        <n v="441"/>
        <n v="175"/>
        <n v="89"/>
        <n v="320"/>
        <n v="335"/>
        <n v="36"/>
        <n v="247"/>
        <n v="457"/>
        <n v="223"/>
        <n v="82"/>
      </sharedItems>
    </cacheField>
    <cacheField name="Total Purchased" numFmtId="0">
      <sharedItems containsSemiMixedTypes="0" containsString="0" containsNumber="1" containsInteger="1" minValue="80" maxValue="1169" count="368">
        <n v="610"/>
        <n v="292"/>
        <n v="617"/>
        <n v="524"/>
        <n v="897"/>
        <n v="248"/>
        <n v="597"/>
        <n v="340"/>
        <n v="697"/>
        <n v="559"/>
        <n v="505"/>
        <n v="334"/>
        <n v="532"/>
        <n v="685"/>
        <n v="486"/>
        <n v="323"/>
        <n v="498"/>
        <n v="582"/>
        <n v="752"/>
        <n v="494"/>
        <n v="801"/>
        <n v="381"/>
        <n v="605"/>
        <n v="393"/>
        <n v="331"/>
        <n v="898"/>
        <n v="455"/>
        <n v="504"/>
        <n v="766"/>
        <n v="333"/>
        <n v="274"/>
        <n v="510"/>
        <n v="632"/>
        <n v="377"/>
        <n v="499"/>
        <n v="348"/>
        <n v="336"/>
        <n v="558"/>
        <n v="1090"/>
        <n v="369"/>
        <n v="367"/>
        <n v="712"/>
        <n v="848"/>
        <n v="354"/>
        <n v="577"/>
        <n v="1066"/>
        <n v="388"/>
        <n v="743"/>
        <n v="470"/>
        <n v="545"/>
        <n v="553"/>
        <n v="328"/>
        <n v="401"/>
        <n v="421"/>
        <n v="352"/>
        <n v="841"/>
        <n v="973"/>
        <n v="580"/>
        <n v="737"/>
        <n v="310"/>
        <n v="655"/>
        <n v="256"/>
        <n v="618"/>
        <n v="281"/>
        <n v="590"/>
        <n v="588"/>
        <n v="705"/>
        <n v="566"/>
        <n v="742"/>
        <n v="711"/>
        <n v="803"/>
        <n v="691"/>
        <n v="80"/>
        <n v="670"/>
        <n v="664"/>
        <n v="225"/>
        <n v="810"/>
        <n v="116"/>
        <n v="361"/>
        <n v="645"/>
        <n v="245"/>
        <n v="343"/>
        <n v="565"/>
        <n v="722"/>
        <n v="628"/>
        <n v="693"/>
        <n v="764"/>
        <n v="368"/>
        <n v="809"/>
        <n v="156"/>
        <n v="459"/>
        <n v="484"/>
        <n v="572"/>
        <n v="350"/>
        <n v="321"/>
        <n v="239"/>
        <n v="97"/>
        <n v="800"/>
        <n v="738"/>
        <n v="193"/>
        <n v="719"/>
        <n v="223"/>
        <n v="1093"/>
        <n v="478"/>
        <n v="441"/>
        <n v="318"/>
        <n v="866"/>
        <n v="601"/>
        <n v="451"/>
        <n v="278"/>
        <n v="412"/>
        <n v="326"/>
        <n v="583"/>
        <n v="613"/>
        <n v="386"/>
        <n v="466"/>
        <n v="456"/>
        <n v="351"/>
        <n v="593"/>
        <n v="527"/>
        <n v="477"/>
        <n v="189"/>
        <n v="400"/>
        <n v="616"/>
        <n v="335"/>
        <n v="538"/>
        <n v="382"/>
        <n v="550"/>
        <n v="191"/>
        <n v="485"/>
        <n v="375"/>
        <n v="296"/>
        <n v="995"/>
        <n v="570"/>
        <n v="569"/>
        <n v="542"/>
        <n v="234"/>
        <n v="360"/>
        <n v="699"/>
        <n v="661"/>
        <n v="598"/>
        <n v="490"/>
        <n v="272"/>
        <n v="790"/>
        <n v="880"/>
        <n v="620"/>
        <n v="536"/>
        <n v="636"/>
        <n v="276"/>
        <n v="270"/>
        <n v="745"/>
        <n v="452"/>
        <n v="124"/>
        <n v="537"/>
        <n v="674"/>
        <n v="591"/>
        <n v="141"/>
        <n v="824"/>
        <n v="365"/>
        <n v="493"/>
        <n v="584"/>
        <n v="378"/>
        <n v="621"/>
        <n v="659"/>
        <n v="586"/>
        <n v="468"/>
        <n v="650"/>
        <n v="314"/>
        <n v="511"/>
        <n v="991"/>
        <n v="648"/>
        <n v="86"/>
        <n v="665"/>
        <n v="615"/>
        <n v="420"/>
        <n v="607"/>
        <n v="1094"/>
        <n v="652"/>
        <n v="308"/>
        <n v="461"/>
        <n v="410"/>
        <n v="394"/>
        <n v="294"/>
        <n v="574"/>
        <n v="832"/>
        <n v="488"/>
        <n v="1065"/>
        <n v="727"/>
        <n v="492"/>
        <n v="746"/>
        <n v="519"/>
        <n v="329"/>
        <n v="530"/>
        <n v="472"/>
        <n v="762"/>
        <n v="313"/>
        <n v="563"/>
        <n v="396"/>
        <n v="341"/>
        <n v="687"/>
        <n v="982"/>
        <n v="578"/>
        <n v="726"/>
        <n v="713"/>
        <n v="221"/>
        <n v="433"/>
        <n v="633"/>
        <n v="678"/>
        <n v="172"/>
        <n v="980"/>
        <n v="473"/>
        <n v="491"/>
        <n v="568"/>
        <n v="454"/>
        <n v="573"/>
        <n v="549"/>
        <n v="707"/>
        <n v="306"/>
        <n v="476"/>
        <n v="813"/>
        <n v="516"/>
        <n v="696"/>
        <n v="425"/>
        <n v="196"/>
        <n v="579"/>
        <n v="667"/>
        <n v="547"/>
        <n v="528"/>
        <n v="753"/>
        <n v="533"/>
        <n v="445"/>
        <n v="240"/>
        <n v="638"/>
        <n v="522"/>
        <n v="258"/>
        <n v="415"/>
        <n v="656"/>
        <n v="268"/>
        <n v="877"/>
        <n v="862"/>
        <n v="952"/>
        <n v="517"/>
        <n v="595"/>
        <n v="417"/>
        <n v="1012"/>
        <n v="754"/>
        <n v="227"/>
        <n v="110"/>
        <n v="654"/>
        <n v="413"/>
        <n v="374"/>
        <n v="251"/>
        <n v="718"/>
        <n v="285"/>
        <n v="437"/>
        <n v="744"/>
        <n v="641"/>
        <n v="358"/>
        <n v="387"/>
        <n v="487"/>
        <n v="954"/>
        <n v="885"/>
        <n v="534"/>
        <n v="449"/>
        <n v="637"/>
        <n v="700"/>
        <n v="721"/>
        <n v="741"/>
        <n v="267"/>
        <n v="345"/>
        <n v="442"/>
        <n v="798"/>
        <n v="816"/>
        <n v="448"/>
        <n v="734"/>
        <n v="564"/>
        <n v="500"/>
        <n v="889"/>
        <n v="649"/>
        <n v="337"/>
        <n v="612"/>
        <n v="624"/>
        <n v="875"/>
        <n v="464"/>
        <n v="797"/>
        <n v="567"/>
        <n v="783"/>
        <n v="626"/>
        <n v="301"/>
        <n v="552"/>
        <n v="546"/>
        <n v="543"/>
        <n v="870"/>
        <n v="602"/>
        <n v="653"/>
        <n v="376"/>
        <n v="121"/>
        <n v="663"/>
        <n v="1169"/>
        <n v="176"/>
        <n v="355"/>
        <n v="561"/>
        <n v="507"/>
        <n v="609"/>
        <n v="320"/>
        <n v="964"/>
        <n v="562"/>
        <n v="521"/>
        <n v="404"/>
        <n v="692"/>
        <n v="600"/>
        <n v="99"/>
        <n v="474"/>
        <n v="759"/>
        <n v="512"/>
        <n v="723"/>
        <n v="855"/>
        <n v="599"/>
        <n v="520"/>
        <n v="608"/>
        <n v="399"/>
        <n v="184"/>
        <n v="640"/>
        <n v="715"/>
        <n v="730"/>
        <n v="370"/>
        <n v="232"/>
        <n v="416"/>
        <n v="717"/>
        <n v="481"/>
        <n v="946"/>
        <n v="625"/>
        <n v="447"/>
        <n v="305"/>
        <n v="646"/>
        <n v="428"/>
        <n v="372"/>
        <n v="403"/>
        <n v="443"/>
        <n v="1020"/>
        <n v="260"/>
        <n v="526"/>
        <n v="581"/>
        <n v="385"/>
        <n v="247"/>
        <n v="427"/>
        <n v="406"/>
        <n v="704"/>
        <n v="622"/>
        <n v="786"/>
        <n v="453"/>
        <n v="740"/>
        <n v="471"/>
        <n v="235"/>
        <n v="426"/>
        <n v="514"/>
        <n v="541"/>
        <n v="322"/>
        <n v="675"/>
        <n v="179"/>
        <n v="695"/>
        <n v="1034"/>
        <n v="594"/>
        <n v="209"/>
        <n v="282"/>
        <n v="716"/>
        <n v="891"/>
        <n v="639"/>
      </sharedItems>
    </cacheField>
    <cacheField name="Total Sold" numFmtId="0">
      <sharedItems containsSemiMixedTypes="0" containsString="0" containsNumber="1" containsInteger="1" minValue="122" maxValue="750" count="296">
        <n v="287"/>
        <n v="370"/>
        <n v="354"/>
        <n v="324"/>
        <n v="373"/>
        <n v="483"/>
        <n v="339"/>
        <n v="201"/>
        <n v="531"/>
        <n v="220"/>
        <n v="429"/>
        <n v="477"/>
        <n v="473"/>
        <n v="393"/>
        <n v="388"/>
        <n v="341"/>
        <n v="329"/>
        <n v="421"/>
        <n v="355"/>
        <n v="259"/>
        <n v="578"/>
        <n v="345"/>
        <n v="246"/>
        <n v="151"/>
        <n v="255"/>
        <n v="416"/>
        <n v="361"/>
        <n v="616"/>
        <n v="526"/>
        <n v="260"/>
        <n v="524"/>
        <n v="338"/>
        <n v="226"/>
        <n v="182"/>
        <n v="377"/>
        <n v="297"/>
        <n v="272"/>
        <n v="311"/>
        <n v="249"/>
        <n v="403"/>
        <n v="362"/>
        <n v="195"/>
        <n v="296"/>
        <n v="468"/>
        <n v="445"/>
        <n v="358"/>
        <n v="553"/>
        <n v="209"/>
        <n v="433"/>
        <n v="505"/>
        <n v="218"/>
        <n v="492"/>
        <n v="347"/>
        <n v="258"/>
        <n v="302"/>
        <n v="455"/>
        <n v="378"/>
        <n v="412"/>
        <n v="415"/>
        <n v="244"/>
        <n v="598"/>
        <n v="428"/>
        <n v="233"/>
        <n v="367"/>
        <n v="327"/>
        <n v="284"/>
        <n v="385"/>
        <n v="286"/>
        <n v="456"/>
        <n v="427"/>
        <n v="559"/>
        <n v="475"/>
        <n v="527"/>
        <n v="234"/>
        <n v="380"/>
        <n v="321"/>
        <n v="256"/>
        <n v="304"/>
        <n v="314"/>
        <n v="211"/>
        <n v="213"/>
        <n v="399"/>
        <n v="438"/>
        <n v="392"/>
        <n v="634"/>
        <n v="372"/>
        <n v="480"/>
        <n v="570"/>
        <n v="423"/>
        <n v="544"/>
        <n v="404"/>
        <n v="230"/>
        <n v="382"/>
        <n v="494"/>
        <n v="315"/>
        <n v="615"/>
        <n v="156"/>
        <n v="300"/>
        <n v="310"/>
        <n v="508"/>
        <n v="241"/>
        <n v="238"/>
        <n v="274"/>
        <n v="242"/>
        <n v="290"/>
        <n v="532"/>
        <n v="331"/>
        <n v="541"/>
        <n v="357"/>
        <n v="396"/>
        <n v="410"/>
        <n v="391"/>
        <n v="459"/>
        <n v="247"/>
        <n v="240"/>
        <n v="152"/>
        <n v="552"/>
        <n v="407"/>
        <n v="251"/>
        <n v="569"/>
        <n v="349"/>
        <n v="509"/>
        <n v="176"/>
        <n v="454"/>
        <n v="369"/>
        <n v="346"/>
        <n v="521"/>
        <n v="280"/>
        <n v="418"/>
        <n v="389"/>
        <n v="449"/>
        <n v="375"/>
        <n v="371"/>
        <n v="424"/>
        <n v="268"/>
        <n v="466"/>
        <n v="289"/>
        <n v="267"/>
        <n v="262"/>
        <n v="368"/>
        <n v="386"/>
        <n v="332"/>
        <n v="270"/>
        <n v="336"/>
        <n v="442"/>
        <n v="317"/>
        <n v="202"/>
        <n v="298"/>
        <n v="366"/>
        <n v="353"/>
        <n v="750"/>
        <n v="364"/>
        <n v="580"/>
        <n v="450"/>
        <n v="170"/>
        <n v="390"/>
        <n v="431"/>
        <n v="522"/>
        <n v="293"/>
        <n v="447"/>
        <n v="330"/>
        <n v="400"/>
        <n v="479"/>
        <n v="261"/>
        <n v="254"/>
        <n v="167"/>
        <n v="458"/>
        <n v="319"/>
        <n v="596"/>
        <n v="303"/>
        <n v="461"/>
        <n v="348"/>
        <n v="199"/>
        <n v="548"/>
        <n v="285"/>
        <n v="451"/>
        <n v="282"/>
        <n v="192"/>
        <n v="351"/>
        <n v="417"/>
        <n v="397"/>
        <n v="325"/>
        <n v="344"/>
        <n v="141"/>
        <n v="275"/>
        <n v="405"/>
        <n v="398"/>
        <n v="219"/>
        <n v="210"/>
        <n v="356"/>
        <n v="320"/>
        <n v="340"/>
        <n v="413"/>
        <n v="129"/>
        <n v="190"/>
        <n v="493"/>
        <n v="561"/>
        <n v="185"/>
        <n v="122"/>
        <n v="288"/>
        <n v="387"/>
        <n v="257"/>
        <n v="147"/>
        <n v="299"/>
        <n v="414"/>
        <n v="604"/>
        <n v="582"/>
        <n v="181"/>
        <n v="519"/>
        <n v="471"/>
        <n v="281"/>
        <n v="395"/>
        <n v="543"/>
        <n v="337"/>
        <n v="465"/>
        <n v="550"/>
        <n v="208"/>
        <n v="215"/>
        <n v="374"/>
        <n v="485"/>
        <n v="608"/>
        <n v="736"/>
        <n v="379"/>
        <n v="191"/>
        <n v="376"/>
        <n v="253"/>
        <n v="162"/>
        <n v="228"/>
        <n v="605"/>
        <n v="305"/>
        <n v="474"/>
        <n v="279"/>
        <n v="206"/>
        <n v="432"/>
        <n v="313"/>
        <n v="529"/>
        <n v="476"/>
        <n v="145"/>
        <n v="525"/>
        <n v="144"/>
        <n v="221"/>
        <n v="308"/>
        <n v="127"/>
        <n v="277"/>
        <n v="551"/>
        <n v="328"/>
        <n v="157"/>
        <n v="248"/>
        <n v="198"/>
        <n v="194"/>
        <n v="537"/>
        <n v="283"/>
        <n v="462"/>
        <n v="326"/>
        <n v="650"/>
        <n v="292"/>
        <n v="239"/>
        <n v="420"/>
        <n v="496"/>
        <n v="419"/>
        <n v="269"/>
        <n v="334"/>
        <n v="224"/>
        <n v="205"/>
        <n v="587"/>
        <n v="276"/>
        <n v="401"/>
        <n v="426"/>
        <n v="448"/>
        <n v="513"/>
        <n v="322"/>
        <n v="585"/>
        <n v="490"/>
        <n v="237"/>
        <n v="273"/>
        <n v="343"/>
        <n v="507"/>
        <n v="434"/>
        <n v="291"/>
        <n v="360"/>
        <n v="323"/>
        <n v="312"/>
        <n v="223"/>
        <n v="264"/>
        <n v="628"/>
        <n v="135"/>
        <n v="443"/>
        <n v="381"/>
        <n v="342"/>
        <n v="499"/>
        <n v="482"/>
        <n v="306"/>
        <n v="565"/>
        <n v="222"/>
        <n v="227"/>
        <n v="625"/>
      </sharedItems>
    </cacheField>
    <cacheField name="Current Stock" numFmtId="0">
      <sharedItems containsSemiMixedTypes="0" containsString="0" containsNumber="1" containsInteger="1" minValue="-431" maxValue="1295" count="389">
        <n v="722"/>
        <n v="56"/>
        <n v="335"/>
        <n v="522"/>
        <n v="559"/>
        <n v="-96"/>
        <n v="291"/>
        <n v="525"/>
        <n v="298"/>
        <n v="501"/>
        <n v="508"/>
        <n v="141"/>
        <n v="154"/>
        <n v="284"/>
        <n v="162"/>
        <n v="264"/>
        <n v="550"/>
        <n v="336"/>
        <n v="633"/>
        <n v="475"/>
        <n v="660"/>
        <n v="161"/>
        <n v="320"/>
        <n v="361"/>
        <n v="852"/>
        <n v="402"/>
        <n v="648"/>
        <n v="718"/>
        <n v="365"/>
        <n v="-86"/>
        <n v="477"/>
        <n v="742"/>
        <n v="-10"/>
        <n v="386"/>
        <n v="250"/>
        <n v="589"/>
        <n v="377"/>
        <n v="1086"/>
        <n v="443"/>
        <n v="555"/>
        <n v="933"/>
        <n v="464"/>
        <n v="207"/>
        <n v="857"/>
        <n v="247"/>
        <n v="449"/>
        <n v="564"/>
        <n v="595"/>
        <n v="593"/>
        <n v="-21"/>
        <n v="353"/>
        <n v="181"/>
        <n v="473"/>
        <n v="993"/>
        <n v="1259"/>
        <n v="450"/>
        <n v="403"/>
        <n v="342"/>
        <n v="661"/>
        <n v="167"/>
        <n v="152"/>
        <n v="211"/>
        <n v="415"/>
        <n v="606"/>
        <n v="531"/>
        <n v="815"/>
        <n v="430"/>
        <n v="983"/>
        <n v="363"/>
        <n v="46"/>
        <n v="290"/>
        <n v="628"/>
        <n v="230"/>
        <n v="364"/>
        <n v="-66"/>
        <n v="456"/>
        <n v="275"/>
        <n v="380"/>
        <n v="43"/>
        <n v="75"/>
        <n v="93"/>
        <n v="906"/>
        <n v="679"/>
        <n v="913"/>
        <n v="433"/>
        <n v="170"/>
        <n v="647"/>
        <n v="-431"/>
        <n v="347"/>
        <n v="259"/>
        <n v="153"/>
        <n v="7"/>
        <n v="62"/>
        <n v="-187"/>
        <n v="68"/>
        <n v="624"/>
        <n v="637"/>
        <n v="-85"/>
        <n v="444"/>
        <n v="74"/>
        <n v="872"/>
        <n v="545"/>
        <n v="439"/>
        <n v="190"/>
        <n v="305"/>
        <n v="0"/>
        <n v="944"/>
        <n v="909"/>
        <n v="171"/>
        <n v="231"/>
        <n v="678"/>
        <n v="169"/>
        <n v="625"/>
        <n v="708"/>
        <n v="452"/>
        <n v="221"/>
        <n v="249"/>
        <n v="-35"/>
        <n v="378"/>
        <n v="371"/>
        <n v="157"/>
        <n v="423"/>
        <n v="-183"/>
        <n v="478"/>
        <n v="534"/>
        <n v="541"/>
        <n v="388"/>
        <n v="520"/>
        <n v="436"/>
        <n v="281"/>
        <n v="316"/>
        <n v="234"/>
        <n v="158"/>
        <n v="392"/>
        <n v="682"/>
        <n v="529"/>
        <n v="327"/>
        <n v="134"/>
        <n v="267"/>
        <n v="-84"/>
        <n v="752"/>
        <n v="319"/>
        <n v="574"/>
        <n v="321"/>
        <n v="44"/>
        <n v="168"/>
        <n v="877"/>
        <n v="912"/>
        <n v="565"/>
        <n v="521"/>
        <n v="461"/>
        <n v="670"/>
        <n v="636"/>
        <n v="31"/>
        <n v="3"/>
        <n v="590"/>
        <n v="303"/>
        <n v="24"/>
        <n v="312"/>
        <n v="634"/>
        <n v="-240"/>
        <n v="369"/>
        <n v="884"/>
        <n v="419"/>
        <n v="73"/>
        <n v="390"/>
        <n v="900"/>
        <n v="655"/>
        <n v="744"/>
        <n v="768"/>
        <n v="280"/>
        <n v="474"/>
        <n v="-15"/>
        <n v="613"/>
        <n v="137"/>
        <n v="512"/>
        <n v="841"/>
        <n v="514"/>
        <n v="338"/>
        <n v="630"/>
        <n v="27"/>
        <n v="773"/>
        <n v="864"/>
        <n v="45"/>
        <n v="156"/>
        <n v="139"/>
        <n v="270"/>
        <n v="683"/>
        <n v="674"/>
        <n v="676"/>
        <n v="1295"/>
        <n v="538"/>
        <n v="322"/>
        <n v="659"/>
        <n v="746"/>
        <n v="703"/>
        <n v="356"/>
        <n v="358"/>
        <n v="422"/>
        <n v="222"/>
        <n v="421"/>
        <n v="669"/>
        <n v="618"/>
        <n v="429"/>
        <n v="426"/>
        <n v="554"/>
        <n v="-166"/>
        <n v="300"/>
        <n v="563"/>
        <n v="729"/>
        <n v="326"/>
        <n v="700"/>
        <n v="397"/>
        <n v="328"/>
        <n v="268"/>
        <n v="797"/>
        <n v="493"/>
        <n v="772"/>
        <n v="-20"/>
        <n v="781"/>
        <n v="1073"/>
        <n v="685"/>
        <n v="-162"/>
        <n v="238"/>
        <n v="707"/>
        <n v="619"/>
        <n v="166"/>
        <n v="343"/>
        <n v="445"/>
        <n v="611"/>
        <n v="151"/>
        <n v="736"/>
        <n v="516"/>
        <n v="258"/>
        <n v="656"/>
        <n v="588"/>
        <n v="696"/>
        <n v="9"/>
        <n v="600"/>
        <n v="285"/>
        <n v="839"/>
        <n v="828"/>
        <n v="340"/>
        <n v="409"/>
        <n v="457"/>
        <n v="468"/>
        <n v="651"/>
        <n v="283"/>
        <n v="489"/>
        <n v="527"/>
        <n v="-330"/>
        <n v="460"/>
        <n v="225"/>
        <n v="232"/>
        <n v="552"/>
        <n v="404"/>
        <n v="862"/>
        <n v="173"/>
        <n v="148"/>
        <n v="632"/>
        <n v="295"/>
        <n v="81"/>
        <n v="60"/>
        <n v="130"/>
        <n v="308"/>
        <n v="1161"/>
        <n v="899"/>
        <n v="471"/>
        <n v="124"/>
        <n v="765"/>
        <n v="548"/>
        <n v="126"/>
        <n v="136"/>
        <n v="382"/>
        <n v="458"/>
        <n v="420"/>
        <n v="393"/>
        <n v="721"/>
        <n v="867"/>
        <n v="580"/>
        <n v="463"/>
        <n v="-112"/>
        <n v="376"/>
        <n v="556"/>
        <n v="620"/>
        <n v="814"/>
        <n v="323"/>
        <n v="868"/>
        <n v="642"/>
        <n v="751"/>
        <n v="640"/>
        <n v="-3"/>
        <n v="776"/>
        <n v="774"/>
        <n v="665"/>
        <n v="462"/>
        <n v="621"/>
        <n v="49"/>
        <n v="184"/>
        <n v="691"/>
        <n v="680"/>
        <n v="282"/>
        <n v="29"/>
        <n v="256"/>
        <n v="495"/>
        <n v="488"/>
        <n v="569"/>
        <n v="317"/>
        <n v="985"/>
        <n v="532"/>
        <n v="470"/>
        <n v="446"/>
        <n v="344"/>
        <n v="694"/>
        <n v="704"/>
        <n v="579"/>
        <n v="52"/>
        <n v="663"/>
        <n v="712"/>
        <n v="829"/>
        <n v="243"/>
        <n v="407"/>
        <n v="800"/>
        <n v="106"/>
        <n v="384"/>
        <n v="961"/>
        <n v="726"/>
        <n v="348"/>
        <n v="519"/>
        <n v="239"/>
        <n v="289"/>
        <n v="812"/>
        <n v="293"/>
        <n v="273"/>
        <n v="-6"/>
        <n v="753"/>
        <n v="505"/>
        <n v="410"/>
        <n v="434"/>
        <n v="331"/>
        <n v="957"/>
        <n v="539"/>
        <n v="105"/>
        <n v="431"/>
        <n v="202"/>
        <n v="-58"/>
        <n v="251"/>
        <n v="479"/>
        <n v="517"/>
        <n v="424"/>
        <n v="304"/>
        <n v="400"/>
        <n v="427"/>
        <n v="757"/>
        <n v="976"/>
        <n v="-1"/>
        <n v="599"/>
        <n v="299"/>
        <n v="55"/>
        <n v="414"/>
        <n v="95"/>
        <n v="-63"/>
        <n v="485"/>
        <n v="496"/>
        <n v="497"/>
        <n v="383"/>
        <n v="210"/>
        <n v="706"/>
        <n v="833"/>
        <n v="294"/>
        <n v="263"/>
        <n v="354"/>
        <n v="266"/>
        <n v="617"/>
        <n v="715"/>
        <n v="638"/>
        <n v="38"/>
        <n v="536"/>
        <n v="-61"/>
        <n v="133"/>
        <n v="775"/>
        <n v="276"/>
        <n v="269"/>
        <n v="577"/>
        <n v="209"/>
        <n v="929"/>
        <n v="716"/>
        <n v="288"/>
        <n v="686"/>
      </sharedItems>
    </cacheField>
    <cacheField name="Inventory Value" numFmtId="0">
      <sharedItems containsSemiMixedTypes="0" containsString="0" containsNumber="1" containsInteger="1" minValue="-20636280" maxValue="63862925" count="499">
        <n v="1255558"/>
        <n v="904344"/>
        <n v="16202275"/>
        <n v="3026034"/>
        <n v="1219738"/>
        <n v="-1385088"/>
        <n v="11509923"/>
        <n v="6893775"/>
        <n v="8222714"/>
        <n v="19397718"/>
        <n v="25313132"/>
        <n v="6465273"/>
        <n v="2819740"/>
        <n v="6293156"/>
        <n v="4049676"/>
        <n v="5977224"/>
        <n v="1620850"/>
        <n v="11841312"/>
        <n v="3332112"/>
        <n v="19616550"/>
        <n v="25038420"/>
        <n v="499583"/>
        <n v="6100800"/>
        <n v="2425559"/>
        <n v="15652350"/>
        <n v="9166668"/>
        <n v="5559660"/>
        <n v="29868912"/>
        <n v="28734360"/>
        <n v="12813325"/>
        <n v="-929488"/>
        <n v="8486307"/>
        <n v="10753064"/>
        <n v="-37650"/>
        <n v="8018378"/>
        <n v="1109250"/>
        <n v="15794915"/>
        <n v="17307708"/>
        <n v="24872881"/>
        <n v="6582043"/>
        <n v="53130378"/>
        <n v="9040518"/>
        <n v="12482411"/>
        <n v="14582625"/>
        <n v="8550945"/>
        <n v="2810448"/>
        <n v="1507995"/>
        <n v="38304472"/>
        <n v="1052961"/>
        <n v="17579248"/>
        <n v="9348864"/>
        <n v="26586385"/>
        <n v="26552168"/>
        <n v="-1035489"/>
        <n v="2615730"/>
        <n v="1894165"/>
        <n v="22431079"/>
        <n v="32675658"/>
        <n v="42014089"/>
        <n v="18485550"/>
        <n v="16123627"/>
        <n v="8414568"/>
        <n v="23431128"/>
        <n v="22879"/>
        <n v="12944763"/>
        <n v="3630976"/>
        <n v="15472030"/>
        <n v="29127996"/>
        <n v="26521326"/>
        <n v="6938910"/>
        <n v="15536330"/>
        <n v="34091423"/>
        <n v="10102290"/>
        <n v="2281462"/>
        <n v="13578670"/>
        <n v="27706732"/>
        <n v="6626530"/>
        <n v="10806432"/>
        <n v="-978450"/>
        <n v="673968"/>
        <n v="4174500"/>
        <n v="216980"/>
        <n v="649429"/>
        <n v="1631550"/>
        <n v="1459821"/>
        <n v="7974960"/>
        <n v="43039530"/>
        <n v="25708298"/>
        <n v="28390648"/>
        <n v="5446274"/>
        <n v="7358790"/>
        <n v="18024773"/>
        <n v="-20636280"/>
        <n v="1412984"/>
        <n v="1880599"/>
        <n v="4850090"/>
        <n v="1420758"/>
        <n v="128478"/>
        <n v="312480"/>
        <n v="-1218492"/>
        <n v="72556"/>
        <n v="6863376"/>
        <n v="20158502"/>
        <n v="-335070"/>
        <n v="107004"/>
        <n v="2214006"/>
        <n v="39894872"/>
        <n v="23694420"/>
        <n v="4497116"/>
        <n v="2729730"/>
        <n v="14736685"/>
        <n v="0"/>
        <n v="3196384"/>
        <n v="30046086"/>
        <n v="1781307"/>
        <n v="2541250"/>
        <n v="1060290"/>
        <n v="30069300"/>
        <n v="4488809"/>
        <n v="10146875"/>
        <n v="1914432"/>
        <n v="12463448"/>
        <n v="8208382"/>
        <n v="4280061"/>
        <n v="-550970"/>
        <n v="5414448"/>
        <n v="11364192"/>
        <n v="263410"/>
        <n v="5808372"/>
        <n v="14946282"/>
        <n v="-3198840"/>
        <n v="2202624"/>
        <n v="12985278"/>
        <n v="15589456"/>
        <n v="17928316"/>
        <n v="22338160"/>
        <n v="19126884"/>
        <n v="5541320"/>
        <n v="3577800"/>
        <n v="2248024"/>
        <n v="1450467"/>
        <n v="9298692"/>
        <n v="2123836"/>
        <n v="13023024"/>
        <n v="2338578"/>
        <n v="7949152"/>
        <n v="11616311"/>
        <n v="13685931"/>
        <n v="6522718"/>
        <n v="12374382"/>
        <n v="-61572"/>
        <n v="34130272"/>
        <n v="11437745"/>
        <n v="21969850"/>
        <n v="6614244"/>
        <n v="6516942"/>
        <n v="1036156"/>
        <n v="7359744"/>
        <n v="32266584"/>
        <n v="37186800"/>
        <n v="8821910"/>
        <n v="6097263"/>
        <n v="794764"/>
        <n v="18144940"/>
        <n v="6400940"/>
        <n v="16008120"/>
        <n v="959357"/>
        <n v="90798"/>
        <n v="8858850"/>
        <n v="13136565"/>
        <n v="518688"/>
        <n v="5738304"/>
        <n v="14829252"/>
        <n v="15653836"/>
        <n v="4541787"/>
        <n v="7482468"/>
        <n v="-625680"/>
        <n v="10545651"/>
        <n v="25369916"/>
        <n v="3217082"/>
        <n v="916661"/>
        <n v="18154500"/>
        <n v="30755700"/>
        <n v="29549015"/>
        <n v="7694049"/>
        <n v="32461464"/>
        <n v="26078143"/>
        <n v="36302592"/>
        <n v="9333520"/>
        <n v="10179624"/>
        <n v="-546495"/>
        <n v="16951902"/>
        <n v="6094856"/>
        <n v="20704256"/>
        <n v="22464792"/>
        <n v="10287196"/>
        <n v="9556274"/>
        <n v="25110540"/>
        <n v="13146390"/>
        <n v="1198179"/>
        <n v="24048030"/>
        <n v="37392192"/>
        <n v="19108320"/>
        <n v="992970"/>
        <n v="6893952"/>
        <n v="3405850"/>
        <n v="434792"/>
        <n v="10843200"/>
        <n v="16320570"/>
        <n v="8771086"/>
        <n v="21904326"/>
        <n v="6605196"/>
        <n v="63862925"/>
        <n v="15043556"/>
        <n v="23859054"/>
        <n v="2010863"/>
        <n v="2593066"/>
        <n v="8676200"/>
        <n v="16601508"/>
        <n v="32683764"/>
        <n v="24391500"/>
        <n v="20937236"/>
        <n v="13019412"/>
        <n v="34331708"/>
        <n v="10535820"/>
        <n v="14996262"/>
        <n v="9652974"/>
        <n v="7636512"/>
        <n v="10403364"/>
        <n v="12588621"/>
        <n v="14945079"/>
        <n v="6679296"/>
        <n v="15268630"/>
        <n v="2662962"/>
        <n v="9345336"/>
        <n v="11650248"/>
        <n v="15309236"/>
        <n v="-7583046"/>
        <n v="7508400"/>
        <n v="13034576"/>
        <n v="20091240"/>
        <n v="12920684"/>
        <n v="22467200"/>
        <n v="11378814"/>
        <n v="8391552"/>
        <n v="15171321"/>
        <n v="2268352"/>
        <n v="1487999"/>
        <n v="23567340"/>
        <n v="2761293"/>
        <n v="6942596"/>
        <n v="-240180"/>
        <n v="7882304"/>
        <n v="23351119"/>
        <n v="53636051"/>
        <n v="10359275"/>
        <n v="11392920"/>
        <n v="15832064"/>
        <n v="997692"/>
        <n v="-6918534"/>
        <n v="11787902"/>
        <n v="9307655"/>
        <n v="25960884"/>
        <n v="5182268"/>
        <n v="6151960"/>
        <n v="15757420"/>
        <n v="4937720"/>
        <n v="28192584"/>
        <n v="6618352"/>
        <n v="5741624"/>
        <n v="33181295"/>
        <n v="19205920"/>
        <n v="2621280"/>
        <n v="2053734"/>
        <n v="11595294"/>
        <n v="24395328"/>
        <n v="6924762"/>
        <n v="27158125"/>
        <n v="19555704"/>
        <n v="646584"/>
        <n v="12632200"/>
        <n v="214524"/>
        <n v="27872400"/>
        <n v="3318255"/>
        <n v="35848792"/>
        <n v="29285532"/>
        <n v="20661940"/>
        <n v="6014260"/>
        <n v="2363611"/>
        <n v="7349017"/>
        <n v="17524260"/>
        <n v="14417046"/>
        <n v="6056200"/>
        <n v="6328452"/>
        <n v="10955556"/>
        <n v="24269404"/>
        <n v="-12052920"/>
        <n v="5805660"/>
        <n v="10640250"/>
        <n v="8464288"/>
        <n v="25038168"/>
        <n v="10756915"/>
        <n v="2503992"/>
        <n v="24181218"/>
        <n v="17383954"/>
        <n v="4201132"/>
        <n v="5164312"/>
        <n v="30958520"/>
        <n v="6831020"/>
        <n v="1446174"/>
        <n v="912480"/>
        <n v="2701270"/>
        <n v="13961640"/>
        <n v="16579080"/>
        <n v="16379780"/>
        <n v="23512320"/>
        <n v="2312104"/>
        <n v="8254422"/>
        <n v="5502576"/>
        <n v="35572500"/>
        <n v="6833106"/>
        <n v="19927472"/>
        <n v="5279778"/>
        <n v="3227279"/>
        <n v="5130056"/>
        <n v="12022686"/>
        <n v="5579356"/>
        <n v="13191360"/>
        <n v="11334800"/>
        <n v="24872240"/>
        <n v="6266832"/>
        <n v="5823492"/>
        <n v="3380660"/>
        <n v="15655155"/>
        <n v="10735690"/>
        <n v="21699276"/>
        <n v="11360460"/>
        <n v="7981449"/>
        <n v="18889937"/>
        <n v="-5443424"/>
        <n v="15450968"/>
        <n v="-7938723"/>
        <n v="8795364"/>
        <n v="3111780"/>
        <n v="11931168"/>
        <n v="25149344"/>
        <n v="4932210"/>
        <n v="40075560"/>
        <n v="3058488"/>
        <n v="13095187"/>
        <n v="27795840"/>
        <n v="-83883"/>
        <n v="11510408"/>
        <n v="13551192"/>
        <n v="807651"/>
        <n v="6401844"/>
        <n v="12644310"/>
        <n v="13220064"/>
        <n v="21232134"/>
        <n v="20429658"/>
        <n v="1410612"/>
        <n v="499008"/>
        <n v="33332458"/>
        <n v="11225440"/>
        <n v="4258764"/>
        <n v="1118733"/>
        <n v="9693184"/>
        <n v="20045232"/>
        <n v="6763401"/>
        <n v="14189670"/>
        <n v="2966552"/>
        <n v="15283909"/>
        <n v="16990562"/>
        <n v="6883338"/>
        <n v="18703180"/>
        <n v="26568080"/>
        <n v="13458150"/>
        <n v="7821270"/>
        <n v="11858248"/>
        <n v="60200"/>
        <n v="9963328"/>
        <n v="8600742"/>
        <n v="25360480"/>
        <n v="-862806"/>
        <n v="2257920"/>
        <n v="6114944"/>
        <n v="16682148"/>
        <n v="418964"/>
        <n v="10463466"/>
        <n v="6855775"/>
        <n v="25839904"/>
        <n v="12289925"/>
        <n v="7372863"/>
        <n v="17494374"/>
        <n v="13613743"/>
        <n v="21863200"/>
        <n v="14716278"/>
        <n v="3840062"/>
        <n v="7718283"/>
        <n v="12828672"/>
        <n v="1622225"/>
        <n v="21501414"/>
        <n v="12784134"/>
        <n v="6485328"/>
        <n v="23948865"/>
        <n v="5105922"/>
        <n v="7609999"/>
        <n v="10482030"/>
        <n v="13179420"/>
        <n v="10119956"/>
        <n v="24121866"/>
        <n v="12348140"/>
        <n v="14328872"/>
        <n v="6934746"/>
        <n v="-195366"/>
        <n v="24862554"/>
        <n v="3478717"/>
        <n v="2786280"/>
        <n v="558025"/>
        <n v="21493496"/>
        <n v="2051230"/>
        <n v="9672558"/>
        <n v="14129397"/>
        <n v="42389358"/>
        <n v="13477156"/>
        <n v="3733380"/>
        <n v="1975704"/>
        <n v="10190432"/>
        <n v="5765080"/>
        <n v="-1692208"/>
        <n v="501247"/>
        <n v="630759"/>
        <n v="13911060"/>
        <n v="7713337"/>
        <n v="19226196"/>
        <n v="2326680"/>
        <n v="16978232"/>
        <n v="12376752"/>
        <n v="13086000"/>
        <n v="4891164"/>
        <n v="17893435"/>
        <n v="12742581"/>
        <n v="19914090"/>
        <n v="43438832"/>
        <n v="-4940"/>
        <n v="23125593"/>
        <n v="13556660"/>
        <n v="1094445"/>
        <n v="20966220"/>
        <n v="10388502"/>
        <n v="3588150"/>
        <n v="813073"/>
        <n v="-1139544"/>
        <n v="21846340"/>
        <n v="19761136"/>
        <n v="9371432"/>
        <n v="31907200"/>
        <n v="10029688"/>
        <n v="15622570"/>
        <n v="8667120"/>
        <n v="14364276"/>
        <n v="1904238"/>
        <n v="14139930"/>
        <n v="4471200"/>
        <n v="3053430"/>
        <n v="12549300"/>
        <n v="9280474"/>
        <n v="5115010"/>
        <n v="11995714"/>
        <n v="1766457"/>
        <n v="6666660"/>
        <n v="25098995"/>
        <n v="20362944"/>
        <n v="4438818"/>
        <n v="8569152"/>
        <n v="15474690"/>
        <n v="1459542"/>
        <n v="3859200"/>
        <n v="-1890878"/>
        <n v="20511952"/>
        <n v="1942731"/>
        <n v="32349275"/>
        <n v="13030735"/>
        <n v="1711866"/>
        <n v="2104002"/>
        <n v="2127960"/>
        <n v="-3956736"/>
        <n v="8024001"/>
        <n v="15906159"/>
        <n v="17464960"/>
        <n v="6498138"/>
        <n v="3852497"/>
        <n v="13320002"/>
        <n v="7708635"/>
        <n v="4733476"/>
        <n v="20216830"/>
        <n v="1171584"/>
        <n v="4037558"/>
        <n v="4189402"/>
      </sharedItems>
    </cacheField>
    <cacheField name="Low Stock Alert" numFmtId="0">
      <sharedItems count="2">
        <s v="Ok"/>
        <s v="Recorder"/>
      </sharedItems>
    </cacheField>
  </cacheFields>
  <extLst>
    <ext xmlns:x14="http://schemas.microsoft.com/office/spreadsheetml/2009/9/main" uri="{725AE2AE-9491-48be-B2B4-4EB974FC3084}">
      <x14:pivotCacheDefinition pivotCacheId="201224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r>
  <r>
    <x v="1"/>
    <x v="1"/>
    <x v="1"/>
    <x v="1"/>
    <x v="1"/>
    <x v="1"/>
    <x v="1"/>
    <x v="1"/>
    <x v="1"/>
    <x v="0"/>
  </r>
  <r>
    <x v="2"/>
    <x v="2"/>
    <x v="2"/>
    <x v="2"/>
    <x v="2"/>
    <x v="2"/>
    <x v="2"/>
    <x v="2"/>
    <x v="2"/>
    <x v="0"/>
  </r>
  <r>
    <x v="3"/>
    <x v="3"/>
    <x v="3"/>
    <x v="3"/>
    <x v="3"/>
    <x v="3"/>
    <x v="3"/>
    <x v="3"/>
    <x v="3"/>
    <x v="0"/>
  </r>
  <r>
    <x v="4"/>
    <x v="4"/>
    <x v="4"/>
    <x v="4"/>
    <x v="4"/>
    <x v="4"/>
    <x v="4"/>
    <x v="4"/>
    <x v="4"/>
    <x v="0"/>
  </r>
  <r>
    <x v="5"/>
    <x v="5"/>
    <x v="0"/>
    <x v="5"/>
    <x v="5"/>
    <x v="5"/>
    <x v="5"/>
    <x v="5"/>
    <x v="5"/>
    <x v="1"/>
  </r>
  <r>
    <x v="6"/>
    <x v="6"/>
    <x v="3"/>
    <x v="6"/>
    <x v="6"/>
    <x v="6"/>
    <x v="6"/>
    <x v="6"/>
    <x v="6"/>
    <x v="0"/>
  </r>
  <r>
    <x v="7"/>
    <x v="7"/>
    <x v="3"/>
    <x v="7"/>
    <x v="7"/>
    <x v="7"/>
    <x v="7"/>
    <x v="7"/>
    <x v="7"/>
    <x v="0"/>
  </r>
  <r>
    <x v="8"/>
    <x v="8"/>
    <x v="3"/>
    <x v="8"/>
    <x v="8"/>
    <x v="8"/>
    <x v="8"/>
    <x v="8"/>
    <x v="8"/>
    <x v="0"/>
  </r>
  <r>
    <x v="9"/>
    <x v="9"/>
    <x v="4"/>
    <x v="9"/>
    <x v="9"/>
    <x v="9"/>
    <x v="9"/>
    <x v="9"/>
    <x v="9"/>
    <x v="0"/>
  </r>
  <r>
    <x v="10"/>
    <x v="10"/>
    <x v="0"/>
    <x v="10"/>
    <x v="10"/>
    <x v="10"/>
    <x v="10"/>
    <x v="10"/>
    <x v="10"/>
    <x v="0"/>
  </r>
  <r>
    <x v="11"/>
    <x v="11"/>
    <x v="2"/>
    <x v="11"/>
    <x v="11"/>
    <x v="11"/>
    <x v="10"/>
    <x v="11"/>
    <x v="11"/>
    <x v="0"/>
  </r>
  <r>
    <x v="12"/>
    <x v="12"/>
    <x v="1"/>
    <x v="12"/>
    <x v="12"/>
    <x v="12"/>
    <x v="11"/>
    <x v="12"/>
    <x v="12"/>
    <x v="0"/>
  </r>
  <r>
    <x v="13"/>
    <x v="13"/>
    <x v="2"/>
    <x v="13"/>
    <x v="2"/>
    <x v="13"/>
    <x v="12"/>
    <x v="13"/>
    <x v="13"/>
    <x v="0"/>
  </r>
  <r>
    <x v="14"/>
    <x v="14"/>
    <x v="0"/>
    <x v="14"/>
    <x v="13"/>
    <x v="14"/>
    <x v="13"/>
    <x v="14"/>
    <x v="14"/>
    <x v="0"/>
  </r>
  <r>
    <x v="15"/>
    <x v="15"/>
    <x v="1"/>
    <x v="15"/>
    <x v="14"/>
    <x v="15"/>
    <x v="14"/>
    <x v="15"/>
    <x v="15"/>
    <x v="0"/>
  </r>
  <r>
    <x v="16"/>
    <x v="16"/>
    <x v="1"/>
    <x v="16"/>
    <x v="15"/>
    <x v="16"/>
    <x v="15"/>
    <x v="16"/>
    <x v="16"/>
    <x v="0"/>
  </r>
  <r>
    <x v="17"/>
    <x v="17"/>
    <x v="4"/>
    <x v="17"/>
    <x v="16"/>
    <x v="17"/>
    <x v="16"/>
    <x v="17"/>
    <x v="17"/>
    <x v="0"/>
  </r>
  <r>
    <x v="18"/>
    <x v="18"/>
    <x v="4"/>
    <x v="18"/>
    <x v="17"/>
    <x v="18"/>
    <x v="17"/>
    <x v="18"/>
    <x v="18"/>
    <x v="0"/>
  </r>
  <r>
    <x v="19"/>
    <x v="19"/>
    <x v="1"/>
    <x v="19"/>
    <x v="18"/>
    <x v="19"/>
    <x v="18"/>
    <x v="19"/>
    <x v="19"/>
    <x v="0"/>
  </r>
  <r>
    <x v="20"/>
    <x v="20"/>
    <x v="1"/>
    <x v="20"/>
    <x v="19"/>
    <x v="20"/>
    <x v="19"/>
    <x v="20"/>
    <x v="20"/>
    <x v="0"/>
  </r>
  <r>
    <x v="21"/>
    <x v="21"/>
    <x v="0"/>
    <x v="21"/>
    <x v="20"/>
    <x v="21"/>
    <x v="20"/>
    <x v="21"/>
    <x v="21"/>
    <x v="0"/>
  </r>
  <r>
    <x v="22"/>
    <x v="22"/>
    <x v="2"/>
    <x v="22"/>
    <x v="21"/>
    <x v="22"/>
    <x v="21"/>
    <x v="22"/>
    <x v="22"/>
    <x v="0"/>
  </r>
  <r>
    <x v="23"/>
    <x v="23"/>
    <x v="2"/>
    <x v="23"/>
    <x v="22"/>
    <x v="23"/>
    <x v="22"/>
    <x v="23"/>
    <x v="23"/>
    <x v="0"/>
  </r>
  <r>
    <x v="24"/>
    <x v="24"/>
    <x v="1"/>
    <x v="24"/>
    <x v="23"/>
    <x v="24"/>
    <x v="23"/>
    <x v="7"/>
    <x v="24"/>
    <x v="0"/>
  </r>
  <r>
    <x v="25"/>
    <x v="25"/>
    <x v="1"/>
    <x v="25"/>
    <x v="24"/>
    <x v="25"/>
    <x v="24"/>
    <x v="24"/>
    <x v="25"/>
    <x v="0"/>
  </r>
  <r>
    <x v="26"/>
    <x v="26"/>
    <x v="1"/>
    <x v="26"/>
    <x v="25"/>
    <x v="26"/>
    <x v="25"/>
    <x v="25"/>
    <x v="26"/>
    <x v="0"/>
  </r>
  <r>
    <x v="27"/>
    <x v="27"/>
    <x v="1"/>
    <x v="27"/>
    <x v="26"/>
    <x v="27"/>
    <x v="18"/>
    <x v="26"/>
    <x v="27"/>
    <x v="0"/>
  </r>
  <r>
    <x v="28"/>
    <x v="28"/>
    <x v="0"/>
    <x v="28"/>
    <x v="23"/>
    <x v="28"/>
    <x v="13"/>
    <x v="27"/>
    <x v="28"/>
    <x v="0"/>
  </r>
  <r>
    <x v="29"/>
    <x v="29"/>
    <x v="2"/>
    <x v="29"/>
    <x v="15"/>
    <x v="29"/>
    <x v="26"/>
    <x v="28"/>
    <x v="29"/>
    <x v="0"/>
  </r>
  <r>
    <x v="30"/>
    <x v="30"/>
    <x v="2"/>
    <x v="30"/>
    <x v="27"/>
    <x v="30"/>
    <x v="27"/>
    <x v="29"/>
    <x v="30"/>
    <x v="1"/>
  </r>
  <r>
    <x v="31"/>
    <x v="31"/>
    <x v="4"/>
    <x v="31"/>
    <x v="28"/>
    <x v="31"/>
    <x v="28"/>
    <x v="30"/>
    <x v="31"/>
    <x v="0"/>
  </r>
  <r>
    <x v="32"/>
    <x v="32"/>
    <x v="3"/>
    <x v="32"/>
    <x v="29"/>
    <x v="32"/>
    <x v="29"/>
    <x v="31"/>
    <x v="32"/>
    <x v="0"/>
  </r>
  <r>
    <x v="33"/>
    <x v="33"/>
    <x v="1"/>
    <x v="33"/>
    <x v="30"/>
    <x v="33"/>
    <x v="30"/>
    <x v="32"/>
    <x v="33"/>
    <x v="1"/>
  </r>
  <r>
    <x v="34"/>
    <x v="34"/>
    <x v="0"/>
    <x v="34"/>
    <x v="31"/>
    <x v="34"/>
    <x v="31"/>
    <x v="33"/>
    <x v="34"/>
    <x v="0"/>
  </r>
  <r>
    <x v="35"/>
    <x v="35"/>
    <x v="1"/>
    <x v="35"/>
    <x v="32"/>
    <x v="35"/>
    <x v="32"/>
    <x v="34"/>
    <x v="35"/>
    <x v="0"/>
  </r>
  <r>
    <x v="36"/>
    <x v="36"/>
    <x v="3"/>
    <x v="36"/>
    <x v="33"/>
    <x v="36"/>
    <x v="33"/>
    <x v="2"/>
    <x v="36"/>
    <x v="0"/>
  </r>
  <r>
    <x v="37"/>
    <x v="37"/>
    <x v="2"/>
    <x v="37"/>
    <x v="34"/>
    <x v="27"/>
    <x v="34"/>
    <x v="25"/>
    <x v="37"/>
    <x v="0"/>
  </r>
  <r>
    <x v="38"/>
    <x v="38"/>
    <x v="4"/>
    <x v="38"/>
    <x v="35"/>
    <x v="32"/>
    <x v="35"/>
    <x v="35"/>
    <x v="38"/>
    <x v="0"/>
  </r>
  <r>
    <x v="39"/>
    <x v="39"/>
    <x v="2"/>
    <x v="39"/>
    <x v="36"/>
    <x v="37"/>
    <x v="36"/>
    <x v="36"/>
    <x v="39"/>
    <x v="0"/>
  </r>
  <r>
    <x v="40"/>
    <x v="40"/>
    <x v="2"/>
    <x v="40"/>
    <x v="37"/>
    <x v="38"/>
    <x v="37"/>
    <x v="37"/>
    <x v="40"/>
    <x v="0"/>
  </r>
  <r>
    <x v="41"/>
    <x v="41"/>
    <x v="3"/>
    <x v="41"/>
    <x v="38"/>
    <x v="39"/>
    <x v="38"/>
    <x v="3"/>
    <x v="41"/>
    <x v="0"/>
  </r>
  <r>
    <x v="42"/>
    <x v="42"/>
    <x v="3"/>
    <x v="42"/>
    <x v="39"/>
    <x v="40"/>
    <x v="39"/>
    <x v="38"/>
    <x v="42"/>
    <x v="0"/>
  </r>
  <r>
    <x v="43"/>
    <x v="43"/>
    <x v="3"/>
    <x v="43"/>
    <x v="40"/>
    <x v="41"/>
    <x v="40"/>
    <x v="39"/>
    <x v="43"/>
    <x v="0"/>
  </r>
  <r>
    <x v="44"/>
    <x v="44"/>
    <x v="2"/>
    <x v="44"/>
    <x v="41"/>
    <x v="42"/>
    <x v="41"/>
    <x v="40"/>
    <x v="44"/>
    <x v="0"/>
  </r>
  <r>
    <x v="45"/>
    <x v="45"/>
    <x v="4"/>
    <x v="45"/>
    <x v="42"/>
    <x v="43"/>
    <x v="42"/>
    <x v="41"/>
    <x v="45"/>
    <x v="0"/>
  </r>
  <r>
    <x v="46"/>
    <x v="46"/>
    <x v="0"/>
    <x v="46"/>
    <x v="43"/>
    <x v="44"/>
    <x v="43"/>
    <x v="42"/>
    <x v="46"/>
    <x v="0"/>
  </r>
  <r>
    <x v="47"/>
    <x v="47"/>
    <x v="2"/>
    <x v="47"/>
    <x v="11"/>
    <x v="45"/>
    <x v="44"/>
    <x v="43"/>
    <x v="47"/>
    <x v="0"/>
  </r>
  <r>
    <x v="48"/>
    <x v="48"/>
    <x v="3"/>
    <x v="48"/>
    <x v="44"/>
    <x v="46"/>
    <x v="45"/>
    <x v="44"/>
    <x v="48"/>
    <x v="0"/>
  </r>
  <r>
    <x v="49"/>
    <x v="49"/>
    <x v="4"/>
    <x v="49"/>
    <x v="45"/>
    <x v="47"/>
    <x v="46"/>
    <x v="45"/>
    <x v="49"/>
    <x v="0"/>
  </r>
  <r>
    <x v="50"/>
    <x v="50"/>
    <x v="3"/>
    <x v="50"/>
    <x v="46"/>
    <x v="48"/>
    <x v="47"/>
    <x v="46"/>
    <x v="50"/>
    <x v="0"/>
  </r>
  <r>
    <x v="51"/>
    <x v="51"/>
    <x v="0"/>
    <x v="51"/>
    <x v="47"/>
    <x v="49"/>
    <x v="6"/>
    <x v="47"/>
    <x v="51"/>
    <x v="0"/>
  </r>
  <r>
    <x v="52"/>
    <x v="52"/>
    <x v="0"/>
    <x v="52"/>
    <x v="48"/>
    <x v="50"/>
    <x v="48"/>
    <x v="48"/>
    <x v="52"/>
    <x v="0"/>
  </r>
  <r>
    <x v="53"/>
    <x v="53"/>
    <x v="3"/>
    <x v="53"/>
    <x v="49"/>
    <x v="51"/>
    <x v="49"/>
    <x v="49"/>
    <x v="53"/>
    <x v="1"/>
  </r>
  <r>
    <x v="54"/>
    <x v="54"/>
    <x v="1"/>
    <x v="54"/>
    <x v="50"/>
    <x v="52"/>
    <x v="50"/>
    <x v="50"/>
    <x v="54"/>
    <x v="0"/>
  </r>
  <r>
    <x v="55"/>
    <x v="55"/>
    <x v="4"/>
    <x v="55"/>
    <x v="51"/>
    <x v="53"/>
    <x v="51"/>
    <x v="51"/>
    <x v="55"/>
    <x v="0"/>
  </r>
  <r>
    <x v="56"/>
    <x v="56"/>
    <x v="0"/>
    <x v="56"/>
    <x v="52"/>
    <x v="54"/>
    <x v="52"/>
    <x v="52"/>
    <x v="56"/>
    <x v="0"/>
  </r>
  <r>
    <x v="57"/>
    <x v="57"/>
    <x v="1"/>
    <x v="57"/>
    <x v="53"/>
    <x v="55"/>
    <x v="53"/>
    <x v="53"/>
    <x v="57"/>
    <x v="0"/>
  </r>
  <r>
    <x v="58"/>
    <x v="58"/>
    <x v="2"/>
    <x v="58"/>
    <x v="54"/>
    <x v="56"/>
    <x v="7"/>
    <x v="54"/>
    <x v="58"/>
    <x v="0"/>
  </r>
  <r>
    <x v="59"/>
    <x v="59"/>
    <x v="0"/>
    <x v="59"/>
    <x v="55"/>
    <x v="57"/>
    <x v="54"/>
    <x v="55"/>
    <x v="59"/>
    <x v="0"/>
  </r>
  <r>
    <x v="60"/>
    <x v="60"/>
    <x v="3"/>
    <x v="60"/>
    <x v="56"/>
    <x v="58"/>
    <x v="55"/>
    <x v="56"/>
    <x v="60"/>
    <x v="0"/>
  </r>
  <r>
    <x v="61"/>
    <x v="61"/>
    <x v="2"/>
    <x v="61"/>
    <x v="53"/>
    <x v="59"/>
    <x v="56"/>
    <x v="57"/>
    <x v="61"/>
    <x v="0"/>
  </r>
  <r>
    <x v="62"/>
    <x v="62"/>
    <x v="2"/>
    <x v="62"/>
    <x v="57"/>
    <x v="60"/>
    <x v="57"/>
    <x v="58"/>
    <x v="62"/>
    <x v="0"/>
  </r>
  <r>
    <x v="63"/>
    <x v="63"/>
    <x v="3"/>
    <x v="63"/>
    <x v="58"/>
    <x v="61"/>
    <x v="58"/>
    <x v="59"/>
    <x v="63"/>
    <x v="0"/>
  </r>
  <r>
    <x v="64"/>
    <x v="64"/>
    <x v="1"/>
    <x v="64"/>
    <x v="59"/>
    <x v="62"/>
    <x v="59"/>
    <x v="56"/>
    <x v="64"/>
    <x v="0"/>
  </r>
  <r>
    <x v="65"/>
    <x v="65"/>
    <x v="0"/>
    <x v="65"/>
    <x v="60"/>
    <x v="63"/>
    <x v="60"/>
    <x v="60"/>
    <x v="65"/>
    <x v="0"/>
  </r>
  <r>
    <x v="66"/>
    <x v="66"/>
    <x v="1"/>
    <x v="66"/>
    <x v="61"/>
    <x v="64"/>
    <x v="61"/>
    <x v="61"/>
    <x v="18"/>
    <x v="0"/>
  </r>
  <r>
    <x v="67"/>
    <x v="67"/>
    <x v="2"/>
    <x v="67"/>
    <x v="21"/>
    <x v="65"/>
    <x v="62"/>
    <x v="62"/>
    <x v="66"/>
    <x v="0"/>
  </r>
  <r>
    <x v="68"/>
    <x v="68"/>
    <x v="0"/>
    <x v="68"/>
    <x v="62"/>
    <x v="66"/>
    <x v="63"/>
    <x v="63"/>
    <x v="67"/>
    <x v="0"/>
  </r>
  <r>
    <x v="69"/>
    <x v="69"/>
    <x v="0"/>
    <x v="69"/>
    <x v="63"/>
    <x v="67"/>
    <x v="64"/>
    <x v="64"/>
    <x v="68"/>
    <x v="0"/>
  </r>
  <r>
    <x v="70"/>
    <x v="70"/>
    <x v="2"/>
    <x v="70"/>
    <x v="64"/>
    <x v="68"/>
    <x v="65"/>
    <x v="65"/>
    <x v="69"/>
    <x v="0"/>
  </r>
  <r>
    <x v="71"/>
    <x v="71"/>
    <x v="4"/>
    <x v="71"/>
    <x v="65"/>
    <x v="69"/>
    <x v="66"/>
    <x v="66"/>
    <x v="70"/>
    <x v="0"/>
  </r>
  <r>
    <x v="72"/>
    <x v="72"/>
    <x v="1"/>
    <x v="72"/>
    <x v="66"/>
    <x v="70"/>
    <x v="67"/>
    <x v="67"/>
    <x v="71"/>
    <x v="0"/>
  </r>
  <r>
    <x v="73"/>
    <x v="73"/>
    <x v="3"/>
    <x v="73"/>
    <x v="32"/>
    <x v="71"/>
    <x v="68"/>
    <x v="68"/>
    <x v="72"/>
    <x v="0"/>
  </r>
  <r>
    <x v="74"/>
    <x v="74"/>
    <x v="3"/>
    <x v="74"/>
    <x v="15"/>
    <x v="72"/>
    <x v="69"/>
    <x v="69"/>
    <x v="73"/>
    <x v="1"/>
  </r>
  <r>
    <x v="75"/>
    <x v="75"/>
    <x v="2"/>
    <x v="75"/>
    <x v="67"/>
    <x v="73"/>
    <x v="70"/>
    <x v="70"/>
    <x v="74"/>
    <x v="0"/>
  </r>
  <r>
    <x v="76"/>
    <x v="76"/>
    <x v="4"/>
    <x v="76"/>
    <x v="68"/>
    <x v="74"/>
    <x v="14"/>
    <x v="71"/>
    <x v="75"/>
    <x v="0"/>
  </r>
  <r>
    <x v="77"/>
    <x v="77"/>
    <x v="1"/>
    <x v="77"/>
    <x v="69"/>
    <x v="75"/>
    <x v="71"/>
    <x v="72"/>
    <x v="76"/>
    <x v="0"/>
  </r>
  <r>
    <x v="78"/>
    <x v="78"/>
    <x v="3"/>
    <x v="78"/>
    <x v="70"/>
    <x v="76"/>
    <x v="72"/>
    <x v="73"/>
    <x v="77"/>
    <x v="0"/>
  </r>
  <r>
    <x v="79"/>
    <x v="79"/>
    <x v="2"/>
    <x v="79"/>
    <x v="71"/>
    <x v="77"/>
    <x v="73"/>
    <x v="74"/>
    <x v="78"/>
    <x v="1"/>
  </r>
  <r>
    <x v="80"/>
    <x v="80"/>
    <x v="1"/>
    <x v="80"/>
    <x v="72"/>
    <x v="78"/>
    <x v="32"/>
    <x v="75"/>
    <x v="79"/>
    <x v="0"/>
  </r>
  <r>
    <x v="81"/>
    <x v="81"/>
    <x v="3"/>
    <x v="81"/>
    <x v="72"/>
    <x v="11"/>
    <x v="74"/>
    <x v="76"/>
    <x v="80"/>
    <x v="0"/>
  </r>
  <r>
    <x v="82"/>
    <x v="82"/>
    <x v="2"/>
    <x v="82"/>
    <x v="73"/>
    <x v="79"/>
    <x v="75"/>
    <x v="77"/>
    <x v="81"/>
    <x v="0"/>
  </r>
  <r>
    <x v="83"/>
    <x v="83"/>
    <x v="0"/>
    <x v="83"/>
    <x v="74"/>
    <x v="80"/>
    <x v="76"/>
    <x v="78"/>
    <x v="82"/>
    <x v="1"/>
  </r>
  <r>
    <x v="84"/>
    <x v="84"/>
    <x v="0"/>
    <x v="84"/>
    <x v="73"/>
    <x v="15"/>
    <x v="77"/>
    <x v="79"/>
    <x v="83"/>
    <x v="0"/>
  </r>
  <r>
    <x v="85"/>
    <x v="85"/>
    <x v="3"/>
    <x v="85"/>
    <x v="9"/>
    <x v="81"/>
    <x v="57"/>
    <x v="80"/>
    <x v="84"/>
    <x v="0"/>
  </r>
  <r>
    <x v="86"/>
    <x v="86"/>
    <x v="4"/>
    <x v="86"/>
    <x v="75"/>
    <x v="82"/>
    <x v="35"/>
    <x v="46"/>
    <x v="85"/>
    <x v="0"/>
  </r>
  <r>
    <x v="87"/>
    <x v="87"/>
    <x v="2"/>
    <x v="87"/>
    <x v="76"/>
    <x v="83"/>
    <x v="78"/>
    <x v="81"/>
    <x v="86"/>
    <x v="0"/>
  </r>
  <r>
    <x v="88"/>
    <x v="88"/>
    <x v="3"/>
    <x v="88"/>
    <x v="77"/>
    <x v="84"/>
    <x v="79"/>
    <x v="82"/>
    <x v="87"/>
    <x v="0"/>
  </r>
  <r>
    <x v="89"/>
    <x v="89"/>
    <x v="2"/>
    <x v="89"/>
    <x v="78"/>
    <x v="85"/>
    <x v="80"/>
    <x v="83"/>
    <x v="88"/>
    <x v="0"/>
  </r>
  <r>
    <x v="90"/>
    <x v="90"/>
    <x v="4"/>
    <x v="90"/>
    <x v="79"/>
    <x v="86"/>
    <x v="81"/>
    <x v="84"/>
    <x v="89"/>
    <x v="0"/>
  </r>
  <r>
    <x v="91"/>
    <x v="91"/>
    <x v="0"/>
    <x v="91"/>
    <x v="80"/>
    <x v="87"/>
    <x v="82"/>
    <x v="85"/>
    <x v="90"/>
    <x v="0"/>
  </r>
  <r>
    <x v="92"/>
    <x v="92"/>
    <x v="1"/>
    <x v="92"/>
    <x v="81"/>
    <x v="88"/>
    <x v="83"/>
    <x v="86"/>
    <x v="91"/>
    <x v="0"/>
  </r>
  <r>
    <x v="93"/>
    <x v="93"/>
    <x v="4"/>
    <x v="93"/>
    <x v="82"/>
    <x v="89"/>
    <x v="84"/>
    <x v="87"/>
    <x v="92"/>
    <x v="1"/>
  </r>
  <r>
    <x v="94"/>
    <x v="94"/>
    <x v="0"/>
    <x v="94"/>
    <x v="83"/>
    <x v="90"/>
    <x v="31"/>
    <x v="88"/>
    <x v="93"/>
    <x v="0"/>
  </r>
  <r>
    <x v="95"/>
    <x v="95"/>
    <x v="1"/>
    <x v="95"/>
    <x v="84"/>
    <x v="91"/>
    <x v="85"/>
    <x v="89"/>
    <x v="94"/>
    <x v="0"/>
  </r>
  <r>
    <x v="96"/>
    <x v="96"/>
    <x v="2"/>
    <x v="96"/>
    <x v="85"/>
    <x v="92"/>
    <x v="86"/>
    <x v="33"/>
    <x v="95"/>
    <x v="0"/>
  </r>
  <r>
    <x v="97"/>
    <x v="97"/>
    <x v="4"/>
    <x v="97"/>
    <x v="11"/>
    <x v="93"/>
    <x v="48"/>
    <x v="90"/>
    <x v="96"/>
    <x v="0"/>
  </r>
  <r>
    <x v="98"/>
    <x v="98"/>
    <x v="2"/>
    <x v="98"/>
    <x v="27"/>
    <x v="94"/>
    <x v="87"/>
    <x v="91"/>
    <x v="97"/>
    <x v="1"/>
  </r>
  <r>
    <x v="99"/>
    <x v="99"/>
    <x v="2"/>
    <x v="99"/>
    <x v="86"/>
    <x v="95"/>
    <x v="88"/>
    <x v="92"/>
    <x v="98"/>
    <x v="0"/>
  </r>
  <r>
    <x v="100"/>
    <x v="100"/>
    <x v="3"/>
    <x v="100"/>
    <x v="87"/>
    <x v="96"/>
    <x v="16"/>
    <x v="93"/>
    <x v="99"/>
    <x v="1"/>
  </r>
  <r>
    <x v="101"/>
    <x v="101"/>
    <x v="3"/>
    <x v="101"/>
    <x v="88"/>
    <x v="49"/>
    <x v="89"/>
    <x v="94"/>
    <x v="100"/>
    <x v="0"/>
  </r>
  <r>
    <x v="102"/>
    <x v="102"/>
    <x v="2"/>
    <x v="102"/>
    <x v="89"/>
    <x v="97"/>
    <x v="90"/>
    <x v="95"/>
    <x v="101"/>
    <x v="0"/>
  </r>
  <r>
    <x v="103"/>
    <x v="103"/>
    <x v="4"/>
    <x v="103"/>
    <x v="90"/>
    <x v="98"/>
    <x v="91"/>
    <x v="96"/>
    <x v="102"/>
    <x v="0"/>
  </r>
  <r>
    <x v="104"/>
    <x v="104"/>
    <x v="4"/>
    <x v="104"/>
    <x v="65"/>
    <x v="99"/>
    <x v="92"/>
    <x v="97"/>
    <x v="103"/>
    <x v="1"/>
  </r>
  <r>
    <x v="105"/>
    <x v="105"/>
    <x v="4"/>
    <x v="105"/>
    <x v="91"/>
    <x v="100"/>
    <x v="93"/>
    <x v="98"/>
    <x v="104"/>
    <x v="0"/>
  </r>
  <r>
    <x v="106"/>
    <x v="106"/>
    <x v="1"/>
    <x v="106"/>
    <x v="92"/>
    <x v="101"/>
    <x v="94"/>
    <x v="99"/>
    <x v="105"/>
    <x v="0"/>
  </r>
  <r>
    <x v="107"/>
    <x v="107"/>
    <x v="4"/>
    <x v="107"/>
    <x v="93"/>
    <x v="102"/>
    <x v="95"/>
    <x v="100"/>
    <x v="106"/>
    <x v="0"/>
  </r>
  <r>
    <x v="108"/>
    <x v="108"/>
    <x v="3"/>
    <x v="108"/>
    <x v="94"/>
    <x v="40"/>
    <x v="47"/>
    <x v="101"/>
    <x v="107"/>
    <x v="0"/>
  </r>
  <r>
    <x v="109"/>
    <x v="109"/>
    <x v="4"/>
    <x v="109"/>
    <x v="95"/>
    <x v="103"/>
    <x v="96"/>
    <x v="102"/>
    <x v="108"/>
    <x v="0"/>
  </r>
  <r>
    <x v="110"/>
    <x v="110"/>
    <x v="1"/>
    <x v="110"/>
    <x v="61"/>
    <x v="104"/>
    <x v="97"/>
    <x v="103"/>
    <x v="109"/>
    <x v="0"/>
  </r>
  <r>
    <x v="111"/>
    <x v="111"/>
    <x v="3"/>
    <x v="111"/>
    <x v="96"/>
    <x v="105"/>
    <x v="98"/>
    <x v="104"/>
    <x v="110"/>
    <x v="0"/>
  </r>
  <r>
    <x v="112"/>
    <x v="112"/>
    <x v="0"/>
    <x v="112"/>
    <x v="97"/>
    <x v="51"/>
    <x v="99"/>
    <x v="105"/>
    <x v="111"/>
    <x v="1"/>
  </r>
  <r>
    <x v="113"/>
    <x v="113"/>
    <x v="0"/>
    <x v="113"/>
    <x v="98"/>
    <x v="106"/>
    <x v="100"/>
    <x v="106"/>
    <x v="112"/>
    <x v="0"/>
  </r>
  <r>
    <x v="114"/>
    <x v="114"/>
    <x v="4"/>
    <x v="114"/>
    <x v="99"/>
    <x v="107"/>
    <x v="33"/>
    <x v="107"/>
    <x v="113"/>
    <x v="0"/>
  </r>
  <r>
    <x v="115"/>
    <x v="115"/>
    <x v="3"/>
    <x v="115"/>
    <x v="61"/>
    <x v="108"/>
    <x v="16"/>
    <x v="108"/>
    <x v="114"/>
    <x v="0"/>
  </r>
  <r>
    <x v="116"/>
    <x v="116"/>
    <x v="3"/>
    <x v="116"/>
    <x v="100"/>
    <x v="109"/>
    <x v="53"/>
    <x v="19"/>
    <x v="115"/>
    <x v="0"/>
  </r>
  <r>
    <x v="117"/>
    <x v="117"/>
    <x v="2"/>
    <x v="117"/>
    <x v="101"/>
    <x v="15"/>
    <x v="25"/>
    <x v="109"/>
    <x v="116"/>
    <x v="0"/>
  </r>
  <r>
    <x v="118"/>
    <x v="118"/>
    <x v="0"/>
    <x v="118"/>
    <x v="102"/>
    <x v="110"/>
    <x v="41"/>
    <x v="110"/>
    <x v="117"/>
    <x v="0"/>
  </r>
  <r>
    <x v="119"/>
    <x v="119"/>
    <x v="2"/>
    <x v="119"/>
    <x v="70"/>
    <x v="111"/>
    <x v="101"/>
    <x v="111"/>
    <x v="118"/>
    <x v="0"/>
  </r>
  <r>
    <x v="120"/>
    <x v="120"/>
    <x v="3"/>
    <x v="120"/>
    <x v="103"/>
    <x v="112"/>
    <x v="102"/>
    <x v="112"/>
    <x v="119"/>
    <x v="0"/>
  </r>
  <r>
    <x v="121"/>
    <x v="121"/>
    <x v="3"/>
    <x v="121"/>
    <x v="104"/>
    <x v="113"/>
    <x v="103"/>
    <x v="113"/>
    <x v="120"/>
    <x v="0"/>
  </r>
  <r>
    <x v="122"/>
    <x v="122"/>
    <x v="0"/>
    <x v="122"/>
    <x v="105"/>
    <x v="114"/>
    <x v="104"/>
    <x v="114"/>
    <x v="121"/>
    <x v="0"/>
  </r>
  <r>
    <x v="123"/>
    <x v="123"/>
    <x v="3"/>
    <x v="123"/>
    <x v="106"/>
    <x v="115"/>
    <x v="105"/>
    <x v="115"/>
    <x v="122"/>
    <x v="0"/>
  </r>
  <r>
    <x v="124"/>
    <x v="124"/>
    <x v="1"/>
    <x v="124"/>
    <x v="107"/>
    <x v="116"/>
    <x v="106"/>
    <x v="116"/>
    <x v="123"/>
    <x v="0"/>
  </r>
  <r>
    <x v="125"/>
    <x v="125"/>
    <x v="1"/>
    <x v="125"/>
    <x v="108"/>
    <x v="117"/>
    <x v="107"/>
    <x v="117"/>
    <x v="124"/>
    <x v="1"/>
  </r>
  <r>
    <x v="126"/>
    <x v="126"/>
    <x v="4"/>
    <x v="126"/>
    <x v="25"/>
    <x v="62"/>
    <x v="108"/>
    <x v="95"/>
    <x v="125"/>
    <x v="0"/>
  </r>
  <r>
    <x v="127"/>
    <x v="127"/>
    <x v="1"/>
    <x v="127"/>
    <x v="33"/>
    <x v="118"/>
    <x v="109"/>
    <x v="118"/>
    <x v="126"/>
    <x v="0"/>
  </r>
  <r>
    <x v="128"/>
    <x v="128"/>
    <x v="0"/>
    <x v="128"/>
    <x v="35"/>
    <x v="119"/>
    <x v="110"/>
    <x v="119"/>
    <x v="127"/>
    <x v="0"/>
  </r>
  <r>
    <x v="129"/>
    <x v="129"/>
    <x v="3"/>
    <x v="129"/>
    <x v="109"/>
    <x v="120"/>
    <x v="111"/>
    <x v="120"/>
    <x v="128"/>
    <x v="0"/>
  </r>
  <r>
    <x v="130"/>
    <x v="130"/>
    <x v="0"/>
    <x v="130"/>
    <x v="90"/>
    <x v="12"/>
    <x v="101"/>
    <x v="121"/>
    <x v="129"/>
    <x v="0"/>
  </r>
  <r>
    <x v="131"/>
    <x v="131"/>
    <x v="3"/>
    <x v="131"/>
    <x v="110"/>
    <x v="121"/>
    <x v="112"/>
    <x v="122"/>
    <x v="130"/>
    <x v="1"/>
  </r>
  <r>
    <x v="132"/>
    <x v="132"/>
    <x v="1"/>
    <x v="132"/>
    <x v="111"/>
    <x v="122"/>
    <x v="83"/>
    <x v="123"/>
    <x v="131"/>
    <x v="0"/>
  </r>
  <r>
    <x v="133"/>
    <x v="133"/>
    <x v="2"/>
    <x v="133"/>
    <x v="112"/>
    <x v="123"/>
    <x v="113"/>
    <x v="124"/>
    <x v="132"/>
    <x v="0"/>
  </r>
  <r>
    <x v="134"/>
    <x v="134"/>
    <x v="2"/>
    <x v="134"/>
    <x v="113"/>
    <x v="124"/>
    <x v="114"/>
    <x v="125"/>
    <x v="133"/>
    <x v="0"/>
  </r>
  <r>
    <x v="135"/>
    <x v="135"/>
    <x v="3"/>
    <x v="135"/>
    <x v="114"/>
    <x v="125"/>
    <x v="3"/>
    <x v="126"/>
    <x v="134"/>
    <x v="0"/>
  </r>
  <r>
    <x v="136"/>
    <x v="136"/>
    <x v="3"/>
    <x v="136"/>
    <x v="115"/>
    <x v="126"/>
    <x v="115"/>
    <x v="127"/>
    <x v="135"/>
    <x v="0"/>
  </r>
  <r>
    <x v="137"/>
    <x v="137"/>
    <x v="0"/>
    <x v="137"/>
    <x v="116"/>
    <x v="127"/>
    <x v="116"/>
    <x v="128"/>
    <x v="136"/>
    <x v="0"/>
  </r>
  <r>
    <x v="138"/>
    <x v="138"/>
    <x v="3"/>
    <x v="138"/>
    <x v="117"/>
    <x v="128"/>
    <x v="117"/>
    <x v="129"/>
    <x v="137"/>
    <x v="0"/>
  </r>
  <r>
    <x v="139"/>
    <x v="139"/>
    <x v="0"/>
    <x v="139"/>
    <x v="108"/>
    <x v="16"/>
    <x v="118"/>
    <x v="25"/>
    <x v="138"/>
    <x v="0"/>
  </r>
  <r>
    <x v="140"/>
    <x v="140"/>
    <x v="0"/>
    <x v="140"/>
    <x v="118"/>
    <x v="129"/>
    <x v="119"/>
    <x v="130"/>
    <x v="139"/>
    <x v="0"/>
  </r>
  <r>
    <x v="141"/>
    <x v="141"/>
    <x v="3"/>
    <x v="141"/>
    <x v="119"/>
    <x v="130"/>
    <x v="13"/>
    <x v="11"/>
    <x v="140"/>
    <x v="0"/>
  </r>
  <r>
    <x v="142"/>
    <x v="142"/>
    <x v="1"/>
    <x v="142"/>
    <x v="120"/>
    <x v="116"/>
    <x v="120"/>
    <x v="131"/>
    <x v="141"/>
    <x v="0"/>
  </r>
  <r>
    <x v="143"/>
    <x v="143"/>
    <x v="1"/>
    <x v="143"/>
    <x v="121"/>
    <x v="131"/>
    <x v="121"/>
    <x v="132"/>
    <x v="142"/>
    <x v="0"/>
  </r>
  <r>
    <x v="144"/>
    <x v="144"/>
    <x v="1"/>
    <x v="144"/>
    <x v="122"/>
    <x v="21"/>
    <x v="19"/>
    <x v="133"/>
    <x v="143"/>
    <x v="0"/>
  </r>
  <r>
    <x v="145"/>
    <x v="145"/>
    <x v="1"/>
    <x v="145"/>
    <x v="88"/>
    <x v="132"/>
    <x v="74"/>
    <x v="134"/>
    <x v="144"/>
    <x v="0"/>
  </r>
  <r>
    <x v="146"/>
    <x v="146"/>
    <x v="4"/>
    <x v="146"/>
    <x v="123"/>
    <x v="133"/>
    <x v="122"/>
    <x v="128"/>
    <x v="145"/>
    <x v="0"/>
  </r>
  <r>
    <x v="147"/>
    <x v="147"/>
    <x v="0"/>
    <x v="147"/>
    <x v="124"/>
    <x v="134"/>
    <x v="123"/>
    <x v="135"/>
    <x v="146"/>
    <x v="0"/>
  </r>
  <r>
    <x v="148"/>
    <x v="148"/>
    <x v="2"/>
    <x v="148"/>
    <x v="125"/>
    <x v="135"/>
    <x v="124"/>
    <x v="136"/>
    <x v="147"/>
    <x v="0"/>
  </r>
  <r>
    <x v="149"/>
    <x v="149"/>
    <x v="2"/>
    <x v="149"/>
    <x v="86"/>
    <x v="136"/>
    <x v="125"/>
    <x v="137"/>
    <x v="148"/>
    <x v="0"/>
  </r>
  <r>
    <x v="150"/>
    <x v="150"/>
    <x v="3"/>
    <x v="150"/>
    <x v="126"/>
    <x v="29"/>
    <x v="77"/>
    <x v="138"/>
    <x v="149"/>
    <x v="0"/>
  </r>
  <r>
    <x v="151"/>
    <x v="151"/>
    <x v="3"/>
    <x v="151"/>
    <x v="127"/>
    <x v="137"/>
    <x v="126"/>
    <x v="139"/>
    <x v="150"/>
    <x v="1"/>
  </r>
  <r>
    <x v="152"/>
    <x v="152"/>
    <x v="0"/>
    <x v="152"/>
    <x v="128"/>
    <x v="127"/>
    <x v="127"/>
    <x v="140"/>
    <x v="151"/>
    <x v="0"/>
  </r>
  <r>
    <x v="153"/>
    <x v="153"/>
    <x v="2"/>
    <x v="153"/>
    <x v="129"/>
    <x v="138"/>
    <x v="128"/>
    <x v="141"/>
    <x v="152"/>
    <x v="0"/>
  </r>
  <r>
    <x v="154"/>
    <x v="154"/>
    <x v="1"/>
    <x v="154"/>
    <x v="17"/>
    <x v="139"/>
    <x v="129"/>
    <x v="142"/>
    <x v="153"/>
    <x v="0"/>
  </r>
  <r>
    <x v="155"/>
    <x v="155"/>
    <x v="2"/>
    <x v="155"/>
    <x v="130"/>
    <x v="140"/>
    <x v="130"/>
    <x v="131"/>
    <x v="154"/>
    <x v="0"/>
  </r>
  <r>
    <x v="156"/>
    <x v="156"/>
    <x v="0"/>
    <x v="156"/>
    <x v="131"/>
    <x v="141"/>
    <x v="131"/>
    <x v="143"/>
    <x v="155"/>
    <x v="0"/>
  </r>
  <r>
    <x v="157"/>
    <x v="157"/>
    <x v="0"/>
    <x v="157"/>
    <x v="120"/>
    <x v="142"/>
    <x v="18"/>
    <x v="144"/>
    <x v="156"/>
    <x v="1"/>
  </r>
  <r>
    <x v="158"/>
    <x v="158"/>
    <x v="2"/>
    <x v="158"/>
    <x v="2"/>
    <x v="108"/>
    <x v="18"/>
    <x v="145"/>
    <x v="157"/>
    <x v="0"/>
  </r>
  <r>
    <x v="159"/>
    <x v="159"/>
    <x v="1"/>
    <x v="159"/>
    <x v="132"/>
    <x v="143"/>
    <x v="66"/>
    <x v="146"/>
    <x v="158"/>
    <x v="0"/>
  </r>
  <r>
    <x v="160"/>
    <x v="160"/>
    <x v="4"/>
    <x v="160"/>
    <x v="133"/>
    <x v="144"/>
    <x v="132"/>
    <x v="147"/>
    <x v="159"/>
    <x v="0"/>
  </r>
  <r>
    <x v="161"/>
    <x v="161"/>
    <x v="2"/>
    <x v="161"/>
    <x v="134"/>
    <x v="119"/>
    <x v="133"/>
    <x v="148"/>
    <x v="160"/>
    <x v="0"/>
  </r>
  <r>
    <x v="162"/>
    <x v="162"/>
    <x v="2"/>
    <x v="162"/>
    <x v="135"/>
    <x v="145"/>
    <x v="87"/>
    <x v="149"/>
    <x v="161"/>
    <x v="0"/>
  </r>
  <r>
    <x v="163"/>
    <x v="163"/>
    <x v="4"/>
    <x v="163"/>
    <x v="136"/>
    <x v="62"/>
    <x v="134"/>
    <x v="150"/>
    <x v="162"/>
    <x v="0"/>
  </r>
  <r>
    <x v="164"/>
    <x v="164"/>
    <x v="1"/>
    <x v="164"/>
    <x v="137"/>
    <x v="146"/>
    <x v="42"/>
    <x v="151"/>
    <x v="163"/>
    <x v="0"/>
  </r>
  <r>
    <x v="165"/>
    <x v="165"/>
    <x v="2"/>
    <x v="165"/>
    <x v="138"/>
    <x v="62"/>
    <x v="18"/>
    <x v="73"/>
    <x v="164"/>
    <x v="0"/>
  </r>
  <r>
    <x v="166"/>
    <x v="166"/>
    <x v="0"/>
    <x v="166"/>
    <x v="66"/>
    <x v="147"/>
    <x v="135"/>
    <x v="152"/>
    <x v="165"/>
    <x v="0"/>
  </r>
  <r>
    <x v="167"/>
    <x v="167"/>
    <x v="0"/>
    <x v="167"/>
    <x v="139"/>
    <x v="148"/>
    <x v="56"/>
    <x v="153"/>
    <x v="166"/>
    <x v="1"/>
  </r>
  <r>
    <x v="168"/>
    <x v="168"/>
    <x v="2"/>
    <x v="168"/>
    <x v="140"/>
    <x v="149"/>
    <x v="135"/>
    <x v="154"/>
    <x v="167"/>
    <x v="1"/>
  </r>
  <r>
    <x v="169"/>
    <x v="169"/>
    <x v="1"/>
    <x v="169"/>
    <x v="1"/>
    <x v="150"/>
    <x v="136"/>
    <x v="155"/>
    <x v="168"/>
    <x v="0"/>
  </r>
  <r>
    <x v="170"/>
    <x v="170"/>
    <x v="0"/>
    <x v="170"/>
    <x v="19"/>
    <x v="151"/>
    <x v="137"/>
    <x v="156"/>
    <x v="169"/>
    <x v="0"/>
  </r>
  <r>
    <x v="171"/>
    <x v="171"/>
    <x v="4"/>
    <x v="171"/>
    <x v="9"/>
    <x v="152"/>
    <x v="138"/>
    <x v="157"/>
    <x v="170"/>
    <x v="1"/>
  </r>
  <r>
    <x v="172"/>
    <x v="172"/>
    <x v="0"/>
    <x v="172"/>
    <x v="140"/>
    <x v="153"/>
    <x v="133"/>
    <x v="158"/>
    <x v="171"/>
    <x v="0"/>
  </r>
  <r>
    <x v="173"/>
    <x v="173"/>
    <x v="3"/>
    <x v="173"/>
    <x v="141"/>
    <x v="82"/>
    <x v="139"/>
    <x v="46"/>
    <x v="172"/>
    <x v="0"/>
  </r>
  <r>
    <x v="174"/>
    <x v="174"/>
    <x v="3"/>
    <x v="174"/>
    <x v="142"/>
    <x v="154"/>
    <x v="68"/>
    <x v="27"/>
    <x v="173"/>
    <x v="0"/>
  </r>
  <r>
    <x v="175"/>
    <x v="175"/>
    <x v="0"/>
    <x v="175"/>
    <x v="60"/>
    <x v="31"/>
    <x v="140"/>
    <x v="48"/>
    <x v="174"/>
    <x v="0"/>
  </r>
  <r>
    <x v="176"/>
    <x v="176"/>
    <x v="1"/>
    <x v="176"/>
    <x v="143"/>
    <x v="155"/>
    <x v="102"/>
    <x v="159"/>
    <x v="175"/>
    <x v="0"/>
  </r>
  <r>
    <x v="177"/>
    <x v="177"/>
    <x v="1"/>
    <x v="177"/>
    <x v="144"/>
    <x v="156"/>
    <x v="68"/>
    <x v="160"/>
    <x v="176"/>
    <x v="1"/>
  </r>
  <r>
    <x v="178"/>
    <x v="178"/>
    <x v="3"/>
    <x v="178"/>
    <x v="145"/>
    <x v="10"/>
    <x v="141"/>
    <x v="161"/>
    <x v="177"/>
    <x v="0"/>
  </r>
  <r>
    <x v="179"/>
    <x v="179"/>
    <x v="1"/>
    <x v="179"/>
    <x v="146"/>
    <x v="157"/>
    <x v="142"/>
    <x v="162"/>
    <x v="178"/>
    <x v="0"/>
  </r>
  <r>
    <x v="180"/>
    <x v="180"/>
    <x v="3"/>
    <x v="180"/>
    <x v="44"/>
    <x v="125"/>
    <x v="143"/>
    <x v="163"/>
    <x v="179"/>
    <x v="0"/>
  </r>
  <r>
    <x v="181"/>
    <x v="181"/>
    <x v="3"/>
    <x v="181"/>
    <x v="147"/>
    <x v="158"/>
    <x v="144"/>
    <x v="164"/>
    <x v="180"/>
    <x v="0"/>
  </r>
  <r>
    <x v="182"/>
    <x v="182"/>
    <x v="0"/>
    <x v="182"/>
    <x v="148"/>
    <x v="159"/>
    <x v="125"/>
    <x v="165"/>
    <x v="181"/>
    <x v="0"/>
  </r>
  <r>
    <x v="183"/>
    <x v="183"/>
    <x v="0"/>
    <x v="183"/>
    <x v="28"/>
    <x v="98"/>
    <x v="106"/>
    <x v="166"/>
    <x v="182"/>
    <x v="0"/>
  </r>
  <r>
    <x v="184"/>
    <x v="184"/>
    <x v="3"/>
    <x v="184"/>
    <x v="149"/>
    <x v="160"/>
    <x v="145"/>
    <x v="167"/>
    <x v="183"/>
    <x v="0"/>
  </r>
  <r>
    <x v="185"/>
    <x v="185"/>
    <x v="2"/>
    <x v="185"/>
    <x v="80"/>
    <x v="161"/>
    <x v="35"/>
    <x v="143"/>
    <x v="184"/>
    <x v="0"/>
  </r>
  <r>
    <x v="186"/>
    <x v="186"/>
    <x v="0"/>
    <x v="186"/>
    <x v="150"/>
    <x v="162"/>
    <x v="139"/>
    <x v="168"/>
    <x v="185"/>
    <x v="0"/>
  </r>
  <r>
    <x v="187"/>
    <x v="187"/>
    <x v="1"/>
    <x v="187"/>
    <x v="97"/>
    <x v="163"/>
    <x v="146"/>
    <x v="96"/>
    <x v="186"/>
    <x v="0"/>
  </r>
  <r>
    <x v="188"/>
    <x v="188"/>
    <x v="0"/>
    <x v="188"/>
    <x v="69"/>
    <x v="164"/>
    <x v="147"/>
    <x v="169"/>
    <x v="187"/>
    <x v="0"/>
  </r>
  <r>
    <x v="189"/>
    <x v="189"/>
    <x v="1"/>
    <x v="189"/>
    <x v="151"/>
    <x v="165"/>
    <x v="148"/>
    <x v="170"/>
    <x v="188"/>
    <x v="0"/>
  </r>
  <r>
    <x v="190"/>
    <x v="190"/>
    <x v="4"/>
    <x v="190"/>
    <x v="83"/>
    <x v="107"/>
    <x v="149"/>
    <x v="171"/>
    <x v="189"/>
    <x v="0"/>
  </r>
  <r>
    <x v="191"/>
    <x v="191"/>
    <x v="1"/>
    <x v="191"/>
    <x v="130"/>
    <x v="166"/>
    <x v="150"/>
    <x v="172"/>
    <x v="190"/>
    <x v="1"/>
  </r>
  <r>
    <x v="192"/>
    <x v="192"/>
    <x v="2"/>
    <x v="192"/>
    <x v="152"/>
    <x v="2"/>
    <x v="151"/>
    <x v="173"/>
    <x v="191"/>
    <x v="0"/>
  </r>
  <r>
    <x v="193"/>
    <x v="193"/>
    <x v="4"/>
    <x v="193"/>
    <x v="133"/>
    <x v="167"/>
    <x v="152"/>
    <x v="174"/>
    <x v="192"/>
    <x v="0"/>
  </r>
  <r>
    <x v="194"/>
    <x v="194"/>
    <x v="2"/>
    <x v="194"/>
    <x v="153"/>
    <x v="168"/>
    <x v="98"/>
    <x v="175"/>
    <x v="193"/>
    <x v="0"/>
  </r>
  <r>
    <x v="195"/>
    <x v="195"/>
    <x v="1"/>
    <x v="195"/>
    <x v="154"/>
    <x v="169"/>
    <x v="153"/>
    <x v="176"/>
    <x v="194"/>
    <x v="0"/>
  </r>
  <r>
    <x v="196"/>
    <x v="196"/>
    <x v="0"/>
    <x v="196"/>
    <x v="92"/>
    <x v="170"/>
    <x v="97"/>
    <x v="177"/>
    <x v="195"/>
    <x v="0"/>
  </r>
  <r>
    <x v="197"/>
    <x v="197"/>
    <x v="2"/>
    <x v="197"/>
    <x v="155"/>
    <x v="171"/>
    <x v="154"/>
    <x v="178"/>
    <x v="196"/>
    <x v="0"/>
  </r>
  <r>
    <x v="198"/>
    <x v="198"/>
    <x v="3"/>
    <x v="198"/>
    <x v="156"/>
    <x v="172"/>
    <x v="155"/>
    <x v="179"/>
    <x v="197"/>
    <x v="0"/>
  </r>
  <r>
    <x v="199"/>
    <x v="199"/>
    <x v="1"/>
    <x v="199"/>
    <x v="86"/>
    <x v="173"/>
    <x v="156"/>
    <x v="66"/>
    <x v="198"/>
    <x v="0"/>
  </r>
  <r>
    <x v="200"/>
    <x v="200"/>
    <x v="4"/>
    <x v="200"/>
    <x v="90"/>
    <x v="174"/>
    <x v="157"/>
    <x v="180"/>
    <x v="199"/>
    <x v="1"/>
  </r>
  <r>
    <x v="201"/>
    <x v="201"/>
    <x v="3"/>
    <x v="201"/>
    <x v="157"/>
    <x v="175"/>
    <x v="29"/>
    <x v="181"/>
    <x v="200"/>
    <x v="0"/>
  </r>
  <r>
    <x v="202"/>
    <x v="202"/>
    <x v="2"/>
    <x v="202"/>
    <x v="158"/>
    <x v="176"/>
    <x v="158"/>
    <x v="182"/>
    <x v="201"/>
    <x v="0"/>
  </r>
  <r>
    <x v="203"/>
    <x v="203"/>
    <x v="1"/>
    <x v="203"/>
    <x v="159"/>
    <x v="177"/>
    <x v="159"/>
    <x v="46"/>
    <x v="202"/>
    <x v="0"/>
  </r>
  <r>
    <x v="204"/>
    <x v="204"/>
    <x v="3"/>
    <x v="204"/>
    <x v="88"/>
    <x v="178"/>
    <x v="160"/>
    <x v="183"/>
    <x v="203"/>
    <x v="1"/>
  </r>
  <r>
    <x v="205"/>
    <x v="205"/>
    <x v="2"/>
    <x v="205"/>
    <x v="151"/>
    <x v="179"/>
    <x v="5"/>
    <x v="184"/>
    <x v="204"/>
    <x v="0"/>
  </r>
  <r>
    <x v="206"/>
    <x v="206"/>
    <x v="2"/>
    <x v="206"/>
    <x v="160"/>
    <x v="180"/>
    <x v="22"/>
    <x v="89"/>
    <x v="205"/>
    <x v="0"/>
  </r>
  <r>
    <x v="207"/>
    <x v="207"/>
    <x v="0"/>
    <x v="207"/>
    <x v="161"/>
    <x v="181"/>
    <x v="161"/>
    <x v="185"/>
    <x v="206"/>
    <x v="0"/>
  </r>
  <r>
    <x v="208"/>
    <x v="208"/>
    <x v="4"/>
    <x v="208"/>
    <x v="100"/>
    <x v="182"/>
    <x v="162"/>
    <x v="186"/>
    <x v="207"/>
    <x v="0"/>
  </r>
  <r>
    <x v="209"/>
    <x v="209"/>
    <x v="0"/>
    <x v="209"/>
    <x v="162"/>
    <x v="183"/>
    <x v="163"/>
    <x v="101"/>
    <x v="208"/>
    <x v="0"/>
  </r>
  <r>
    <x v="210"/>
    <x v="210"/>
    <x v="3"/>
    <x v="210"/>
    <x v="94"/>
    <x v="127"/>
    <x v="164"/>
    <x v="187"/>
    <x v="209"/>
    <x v="0"/>
  </r>
  <r>
    <x v="211"/>
    <x v="211"/>
    <x v="4"/>
    <x v="211"/>
    <x v="163"/>
    <x v="184"/>
    <x v="92"/>
    <x v="188"/>
    <x v="210"/>
    <x v="0"/>
  </r>
  <r>
    <x v="212"/>
    <x v="212"/>
    <x v="2"/>
    <x v="212"/>
    <x v="156"/>
    <x v="185"/>
    <x v="165"/>
    <x v="189"/>
    <x v="211"/>
    <x v="0"/>
  </r>
  <r>
    <x v="213"/>
    <x v="213"/>
    <x v="0"/>
    <x v="213"/>
    <x v="164"/>
    <x v="186"/>
    <x v="91"/>
    <x v="190"/>
    <x v="212"/>
    <x v="0"/>
  </r>
  <r>
    <x v="214"/>
    <x v="214"/>
    <x v="0"/>
    <x v="214"/>
    <x v="8"/>
    <x v="187"/>
    <x v="75"/>
    <x v="191"/>
    <x v="213"/>
    <x v="0"/>
  </r>
  <r>
    <x v="215"/>
    <x v="215"/>
    <x v="2"/>
    <x v="215"/>
    <x v="165"/>
    <x v="188"/>
    <x v="24"/>
    <x v="3"/>
    <x v="214"/>
    <x v="0"/>
  </r>
  <r>
    <x v="216"/>
    <x v="216"/>
    <x v="4"/>
    <x v="216"/>
    <x v="166"/>
    <x v="189"/>
    <x v="166"/>
    <x v="48"/>
    <x v="215"/>
    <x v="0"/>
  </r>
  <r>
    <x v="217"/>
    <x v="217"/>
    <x v="2"/>
    <x v="217"/>
    <x v="167"/>
    <x v="46"/>
    <x v="167"/>
    <x v="192"/>
    <x v="216"/>
    <x v="0"/>
  </r>
  <r>
    <x v="218"/>
    <x v="218"/>
    <x v="2"/>
    <x v="218"/>
    <x v="168"/>
    <x v="190"/>
    <x v="168"/>
    <x v="13"/>
    <x v="217"/>
    <x v="0"/>
  </r>
  <r>
    <x v="219"/>
    <x v="219"/>
    <x v="3"/>
    <x v="219"/>
    <x v="101"/>
    <x v="191"/>
    <x v="7"/>
    <x v="114"/>
    <x v="218"/>
    <x v="0"/>
  </r>
  <r>
    <x v="220"/>
    <x v="220"/>
    <x v="1"/>
    <x v="220"/>
    <x v="169"/>
    <x v="192"/>
    <x v="52"/>
    <x v="193"/>
    <x v="219"/>
    <x v="0"/>
  </r>
  <r>
    <x v="221"/>
    <x v="221"/>
    <x v="4"/>
    <x v="221"/>
    <x v="170"/>
    <x v="193"/>
    <x v="169"/>
    <x v="63"/>
    <x v="220"/>
    <x v="0"/>
  </r>
  <r>
    <x v="222"/>
    <x v="222"/>
    <x v="3"/>
    <x v="222"/>
    <x v="171"/>
    <x v="194"/>
    <x v="170"/>
    <x v="194"/>
    <x v="221"/>
    <x v="0"/>
  </r>
  <r>
    <x v="223"/>
    <x v="223"/>
    <x v="3"/>
    <x v="223"/>
    <x v="39"/>
    <x v="195"/>
    <x v="171"/>
    <x v="98"/>
    <x v="222"/>
    <x v="0"/>
  </r>
  <r>
    <x v="224"/>
    <x v="224"/>
    <x v="2"/>
    <x v="224"/>
    <x v="102"/>
    <x v="196"/>
    <x v="75"/>
    <x v="195"/>
    <x v="223"/>
    <x v="0"/>
  </r>
  <r>
    <x v="225"/>
    <x v="225"/>
    <x v="4"/>
    <x v="225"/>
    <x v="172"/>
    <x v="82"/>
    <x v="26"/>
    <x v="196"/>
    <x v="224"/>
    <x v="0"/>
  </r>
  <r>
    <x v="226"/>
    <x v="226"/>
    <x v="2"/>
    <x v="226"/>
    <x v="173"/>
    <x v="197"/>
    <x v="172"/>
    <x v="197"/>
    <x v="225"/>
    <x v="0"/>
  </r>
  <r>
    <x v="227"/>
    <x v="227"/>
    <x v="3"/>
    <x v="227"/>
    <x v="174"/>
    <x v="168"/>
    <x v="173"/>
    <x v="156"/>
    <x v="226"/>
    <x v="0"/>
  </r>
  <r>
    <x v="228"/>
    <x v="228"/>
    <x v="2"/>
    <x v="228"/>
    <x v="175"/>
    <x v="67"/>
    <x v="129"/>
    <x v="198"/>
    <x v="227"/>
    <x v="0"/>
  </r>
  <r>
    <x v="229"/>
    <x v="229"/>
    <x v="0"/>
    <x v="229"/>
    <x v="92"/>
    <x v="198"/>
    <x v="174"/>
    <x v="199"/>
    <x v="228"/>
    <x v="0"/>
  </r>
  <r>
    <x v="230"/>
    <x v="230"/>
    <x v="2"/>
    <x v="230"/>
    <x v="176"/>
    <x v="76"/>
    <x v="147"/>
    <x v="195"/>
    <x v="229"/>
    <x v="0"/>
  </r>
  <r>
    <x v="231"/>
    <x v="231"/>
    <x v="1"/>
    <x v="231"/>
    <x v="177"/>
    <x v="199"/>
    <x v="64"/>
    <x v="200"/>
    <x v="230"/>
    <x v="0"/>
  </r>
  <r>
    <x v="232"/>
    <x v="232"/>
    <x v="2"/>
    <x v="232"/>
    <x v="178"/>
    <x v="200"/>
    <x v="175"/>
    <x v="201"/>
    <x v="231"/>
    <x v="0"/>
  </r>
  <r>
    <x v="233"/>
    <x v="233"/>
    <x v="4"/>
    <x v="233"/>
    <x v="43"/>
    <x v="190"/>
    <x v="176"/>
    <x v="2"/>
    <x v="232"/>
    <x v="0"/>
  </r>
  <r>
    <x v="234"/>
    <x v="234"/>
    <x v="2"/>
    <x v="234"/>
    <x v="162"/>
    <x v="201"/>
    <x v="177"/>
    <x v="202"/>
    <x v="233"/>
    <x v="0"/>
  </r>
  <r>
    <x v="235"/>
    <x v="235"/>
    <x v="4"/>
    <x v="235"/>
    <x v="96"/>
    <x v="140"/>
    <x v="135"/>
    <x v="203"/>
    <x v="234"/>
    <x v="0"/>
  </r>
  <r>
    <x v="236"/>
    <x v="236"/>
    <x v="4"/>
    <x v="236"/>
    <x v="179"/>
    <x v="202"/>
    <x v="178"/>
    <x v="204"/>
    <x v="235"/>
    <x v="0"/>
  </r>
  <r>
    <x v="237"/>
    <x v="237"/>
    <x v="2"/>
    <x v="237"/>
    <x v="91"/>
    <x v="203"/>
    <x v="56"/>
    <x v="205"/>
    <x v="236"/>
    <x v="0"/>
  </r>
  <r>
    <x v="238"/>
    <x v="238"/>
    <x v="3"/>
    <x v="238"/>
    <x v="180"/>
    <x v="204"/>
    <x v="179"/>
    <x v="206"/>
    <x v="237"/>
    <x v="1"/>
  </r>
  <r>
    <x v="239"/>
    <x v="239"/>
    <x v="3"/>
    <x v="239"/>
    <x v="181"/>
    <x v="205"/>
    <x v="180"/>
    <x v="207"/>
    <x v="238"/>
    <x v="0"/>
  </r>
  <r>
    <x v="240"/>
    <x v="240"/>
    <x v="0"/>
    <x v="240"/>
    <x v="55"/>
    <x v="206"/>
    <x v="103"/>
    <x v="208"/>
    <x v="239"/>
    <x v="0"/>
  </r>
  <r>
    <x v="241"/>
    <x v="241"/>
    <x v="4"/>
    <x v="241"/>
    <x v="182"/>
    <x v="207"/>
    <x v="59"/>
    <x v="209"/>
    <x v="240"/>
    <x v="0"/>
  </r>
  <r>
    <x v="242"/>
    <x v="242"/>
    <x v="3"/>
    <x v="242"/>
    <x v="39"/>
    <x v="208"/>
    <x v="181"/>
    <x v="210"/>
    <x v="241"/>
    <x v="0"/>
  </r>
  <r>
    <x v="243"/>
    <x v="243"/>
    <x v="2"/>
    <x v="243"/>
    <x v="8"/>
    <x v="209"/>
    <x v="57"/>
    <x v="211"/>
    <x v="242"/>
    <x v="0"/>
  </r>
  <r>
    <x v="244"/>
    <x v="244"/>
    <x v="1"/>
    <x v="244"/>
    <x v="62"/>
    <x v="210"/>
    <x v="182"/>
    <x v="212"/>
    <x v="243"/>
    <x v="0"/>
  </r>
  <r>
    <x v="245"/>
    <x v="245"/>
    <x v="0"/>
    <x v="245"/>
    <x v="183"/>
    <x v="211"/>
    <x v="18"/>
    <x v="213"/>
    <x v="244"/>
    <x v="0"/>
  </r>
  <r>
    <x v="246"/>
    <x v="246"/>
    <x v="4"/>
    <x v="246"/>
    <x v="65"/>
    <x v="212"/>
    <x v="149"/>
    <x v="141"/>
    <x v="245"/>
    <x v="0"/>
  </r>
  <r>
    <x v="247"/>
    <x v="247"/>
    <x v="4"/>
    <x v="247"/>
    <x v="184"/>
    <x v="46"/>
    <x v="166"/>
    <x v="214"/>
    <x v="246"/>
    <x v="0"/>
  </r>
  <r>
    <x v="248"/>
    <x v="248"/>
    <x v="3"/>
    <x v="248"/>
    <x v="185"/>
    <x v="213"/>
    <x v="183"/>
    <x v="215"/>
    <x v="247"/>
    <x v="0"/>
  </r>
  <r>
    <x v="249"/>
    <x v="249"/>
    <x v="4"/>
    <x v="249"/>
    <x v="186"/>
    <x v="214"/>
    <x v="184"/>
    <x v="63"/>
    <x v="248"/>
    <x v="0"/>
  </r>
  <r>
    <x v="250"/>
    <x v="250"/>
    <x v="0"/>
    <x v="250"/>
    <x v="187"/>
    <x v="215"/>
    <x v="185"/>
    <x v="216"/>
    <x v="249"/>
    <x v="0"/>
  </r>
  <r>
    <x v="251"/>
    <x v="251"/>
    <x v="4"/>
    <x v="251"/>
    <x v="188"/>
    <x v="216"/>
    <x v="186"/>
    <x v="217"/>
    <x v="250"/>
    <x v="0"/>
  </r>
  <r>
    <x v="252"/>
    <x v="252"/>
    <x v="4"/>
    <x v="252"/>
    <x v="87"/>
    <x v="217"/>
    <x v="132"/>
    <x v="218"/>
    <x v="251"/>
    <x v="1"/>
  </r>
  <r>
    <x v="253"/>
    <x v="253"/>
    <x v="1"/>
    <x v="253"/>
    <x v="189"/>
    <x v="218"/>
    <x v="52"/>
    <x v="130"/>
    <x v="252"/>
    <x v="0"/>
  </r>
  <r>
    <x v="254"/>
    <x v="254"/>
    <x v="2"/>
    <x v="254"/>
    <x v="189"/>
    <x v="219"/>
    <x v="187"/>
    <x v="219"/>
    <x v="253"/>
    <x v="0"/>
  </r>
  <r>
    <x v="255"/>
    <x v="255"/>
    <x v="1"/>
    <x v="255"/>
    <x v="111"/>
    <x v="219"/>
    <x v="188"/>
    <x v="220"/>
    <x v="254"/>
    <x v="0"/>
  </r>
  <r>
    <x v="256"/>
    <x v="256"/>
    <x v="4"/>
    <x v="256"/>
    <x v="190"/>
    <x v="220"/>
    <x v="189"/>
    <x v="148"/>
    <x v="255"/>
    <x v="0"/>
  </r>
  <r>
    <x v="257"/>
    <x v="257"/>
    <x v="4"/>
    <x v="257"/>
    <x v="191"/>
    <x v="221"/>
    <x v="166"/>
    <x v="221"/>
    <x v="256"/>
    <x v="0"/>
  </r>
  <r>
    <x v="258"/>
    <x v="258"/>
    <x v="0"/>
    <x v="258"/>
    <x v="59"/>
    <x v="70"/>
    <x v="190"/>
    <x v="175"/>
    <x v="257"/>
    <x v="0"/>
  </r>
  <r>
    <x v="259"/>
    <x v="259"/>
    <x v="3"/>
    <x v="259"/>
    <x v="140"/>
    <x v="222"/>
    <x v="191"/>
    <x v="13"/>
    <x v="258"/>
    <x v="0"/>
  </r>
  <r>
    <x v="260"/>
    <x v="260"/>
    <x v="2"/>
    <x v="260"/>
    <x v="192"/>
    <x v="223"/>
    <x v="192"/>
    <x v="222"/>
    <x v="259"/>
    <x v="1"/>
  </r>
  <r>
    <x v="261"/>
    <x v="261"/>
    <x v="0"/>
    <x v="261"/>
    <x v="4"/>
    <x v="215"/>
    <x v="125"/>
    <x v="223"/>
    <x v="260"/>
    <x v="0"/>
  </r>
  <r>
    <x v="262"/>
    <x v="262"/>
    <x v="2"/>
    <x v="262"/>
    <x v="193"/>
    <x v="224"/>
    <x v="75"/>
    <x v="224"/>
    <x v="261"/>
    <x v="0"/>
  </r>
  <r>
    <x v="263"/>
    <x v="263"/>
    <x v="0"/>
    <x v="263"/>
    <x v="43"/>
    <x v="225"/>
    <x v="193"/>
    <x v="152"/>
    <x v="262"/>
    <x v="0"/>
  </r>
  <r>
    <x v="264"/>
    <x v="264"/>
    <x v="2"/>
    <x v="264"/>
    <x v="77"/>
    <x v="226"/>
    <x v="194"/>
    <x v="225"/>
    <x v="263"/>
    <x v="0"/>
  </r>
  <r>
    <x v="265"/>
    <x v="265"/>
    <x v="0"/>
    <x v="265"/>
    <x v="194"/>
    <x v="227"/>
    <x v="195"/>
    <x v="226"/>
    <x v="264"/>
    <x v="0"/>
  </r>
  <r>
    <x v="266"/>
    <x v="266"/>
    <x v="4"/>
    <x v="266"/>
    <x v="195"/>
    <x v="228"/>
    <x v="196"/>
    <x v="227"/>
    <x v="265"/>
    <x v="0"/>
  </r>
  <r>
    <x v="267"/>
    <x v="267"/>
    <x v="1"/>
    <x v="267"/>
    <x v="146"/>
    <x v="229"/>
    <x v="128"/>
    <x v="228"/>
    <x v="266"/>
    <x v="0"/>
  </r>
  <r>
    <x v="268"/>
    <x v="268"/>
    <x v="3"/>
    <x v="268"/>
    <x v="94"/>
    <x v="230"/>
    <x v="53"/>
    <x v="142"/>
    <x v="267"/>
    <x v="0"/>
  </r>
  <r>
    <x v="269"/>
    <x v="269"/>
    <x v="0"/>
    <x v="269"/>
    <x v="67"/>
    <x v="2"/>
    <x v="197"/>
    <x v="229"/>
    <x v="268"/>
    <x v="0"/>
  </r>
  <r>
    <x v="270"/>
    <x v="270"/>
    <x v="0"/>
    <x v="270"/>
    <x v="6"/>
    <x v="231"/>
    <x v="198"/>
    <x v="230"/>
    <x v="269"/>
    <x v="0"/>
  </r>
  <r>
    <x v="271"/>
    <x v="271"/>
    <x v="1"/>
    <x v="271"/>
    <x v="196"/>
    <x v="221"/>
    <x v="197"/>
    <x v="146"/>
    <x v="270"/>
    <x v="0"/>
  </r>
  <r>
    <x v="272"/>
    <x v="272"/>
    <x v="4"/>
    <x v="272"/>
    <x v="7"/>
    <x v="232"/>
    <x v="199"/>
    <x v="231"/>
    <x v="271"/>
    <x v="0"/>
  </r>
  <r>
    <x v="273"/>
    <x v="273"/>
    <x v="2"/>
    <x v="273"/>
    <x v="197"/>
    <x v="233"/>
    <x v="16"/>
    <x v="232"/>
    <x v="272"/>
    <x v="0"/>
  </r>
  <r>
    <x v="274"/>
    <x v="274"/>
    <x v="2"/>
    <x v="274"/>
    <x v="198"/>
    <x v="234"/>
    <x v="106"/>
    <x v="156"/>
    <x v="273"/>
    <x v="0"/>
  </r>
  <r>
    <x v="275"/>
    <x v="275"/>
    <x v="1"/>
    <x v="275"/>
    <x v="199"/>
    <x v="105"/>
    <x v="200"/>
    <x v="233"/>
    <x v="274"/>
    <x v="0"/>
  </r>
  <r>
    <x v="276"/>
    <x v="276"/>
    <x v="0"/>
    <x v="276"/>
    <x v="200"/>
    <x v="159"/>
    <x v="201"/>
    <x v="234"/>
    <x v="275"/>
    <x v="0"/>
  </r>
  <r>
    <x v="277"/>
    <x v="277"/>
    <x v="0"/>
    <x v="277"/>
    <x v="63"/>
    <x v="235"/>
    <x v="90"/>
    <x v="156"/>
    <x v="276"/>
    <x v="0"/>
  </r>
  <r>
    <x v="278"/>
    <x v="278"/>
    <x v="4"/>
    <x v="278"/>
    <x v="24"/>
    <x v="196"/>
    <x v="202"/>
    <x v="112"/>
    <x v="277"/>
    <x v="0"/>
  </r>
  <r>
    <x v="279"/>
    <x v="279"/>
    <x v="0"/>
    <x v="279"/>
    <x v="201"/>
    <x v="146"/>
    <x v="203"/>
    <x v="235"/>
    <x v="278"/>
    <x v="0"/>
  </r>
  <r>
    <x v="280"/>
    <x v="280"/>
    <x v="1"/>
    <x v="280"/>
    <x v="202"/>
    <x v="236"/>
    <x v="204"/>
    <x v="236"/>
    <x v="279"/>
    <x v="0"/>
  </r>
  <r>
    <x v="281"/>
    <x v="281"/>
    <x v="4"/>
    <x v="281"/>
    <x v="203"/>
    <x v="134"/>
    <x v="118"/>
    <x v="133"/>
    <x v="280"/>
    <x v="0"/>
  </r>
  <r>
    <x v="282"/>
    <x v="282"/>
    <x v="4"/>
    <x v="282"/>
    <x v="23"/>
    <x v="237"/>
    <x v="205"/>
    <x v="237"/>
    <x v="281"/>
    <x v="1"/>
  </r>
  <r>
    <x v="283"/>
    <x v="283"/>
    <x v="4"/>
    <x v="283"/>
    <x v="43"/>
    <x v="238"/>
    <x v="131"/>
    <x v="238"/>
    <x v="282"/>
    <x v="0"/>
  </r>
  <r>
    <x v="284"/>
    <x v="284"/>
    <x v="4"/>
    <x v="284"/>
    <x v="204"/>
    <x v="193"/>
    <x v="206"/>
    <x v="239"/>
    <x v="283"/>
    <x v="0"/>
  </r>
  <r>
    <x v="285"/>
    <x v="285"/>
    <x v="3"/>
    <x v="285"/>
    <x v="205"/>
    <x v="239"/>
    <x v="207"/>
    <x v="240"/>
    <x v="284"/>
    <x v="0"/>
  </r>
  <r>
    <x v="286"/>
    <x v="286"/>
    <x v="3"/>
    <x v="286"/>
    <x v="206"/>
    <x v="177"/>
    <x v="114"/>
    <x v="241"/>
    <x v="285"/>
    <x v="0"/>
  </r>
  <r>
    <x v="287"/>
    <x v="287"/>
    <x v="4"/>
    <x v="287"/>
    <x v="148"/>
    <x v="240"/>
    <x v="208"/>
    <x v="189"/>
    <x v="286"/>
    <x v="0"/>
  </r>
  <r>
    <x v="288"/>
    <x v="288"/>
    <x v="3"/>
    <x v="288"/>
    <x v="207"/>
    <x v="241"/>
    <x v="40"/>
    <x v="242"/>
    <x v="287"/>
    <x v="0"/>
  </r>
  <r>
    <x v="289"/>
    <x v="289"/>
    <x v="2"/>
    <x v="289"/>
    <x v="9"/>
    <x v="242"/>
    <x v="171"/>
    <x v="243"/>
    <x v="288"/>
    <x v="0"/>
  </r>
  <r>
    <x v="290"/>
    <x v="290"/>
    <x v="4"/>
    <x v="290"/>
    <x v="208"/>
    <x v="3"/>
    <x v="209"/>
    <x v="244"/>
    <x v="289"/>
    <x v="0"/>
  </r>
  <r>
    <x v="291"/>
    <x v="291"/>
    <x v="4"/>
    <x v="291"/>
    <x v="209"/>
    <x v="243"/>
    <x v="210"/>
    <x v="245"/>
    <x v="290"/>
    <x v="0"/>
  </r>
  <r>
    <x v="292"/>
    <x v="292"/>
    <x v="4"/>
    <x v="292"/>
    <x v="210"/>
    <x v="244"/>
    <x v="211"/>
    <x v="246"/>
    <x v="291"/>
    <x v="0"/>
  </r>
  <r>
    <x v="293"/>
    <x v="293"/>
    <x v="4"/>
    <x v="293"/>
    <x v="211"/>
    <x v="203"/>
    <x v="212"/>
    <x v="247"/>
    <x v="292"/>
    <x v="0"/>
  </r>
  <r>
    <x v="294"/>
    <x v="294"/>
    <x v="4"/>
    <x v="294"/>
    <x v="212"/>
    <x v="65"/>
    <x v="213"/>
    <x v="114"/>
    <x v="293"/>
    <x v="0"/>
  </r>
  <r>
    <x v="295"/>
    <x v="295"/>
    <x v="1"/>
    <x v="295"/>
    <x v="213"/>
    <x v="245"/>
    <x v="61"/>
    <x v="248"/>
    <x v="294"/>
    <x v="0"/>
  </r>
  <r>
    <x v="296"/>
    <x v="296"/>
    <x v="3"/>
    <x v="296"/>
    <x v="111"/>
    <x v="246"/>
    <x v="154"/>
    <x v="249"/>
    <x v="295"/>
    <x v="0"/>
  </r>
  <r>
    <x v="297"/>
    <x v="297"/>
    <x v="1"/>
    <x v="297"/>
    <x v="214"/>
    <x v="247"/>
    <x v="214"/>
    <x v="250"/>
    <x v="296"/>
    <x v="1"/>
  </r>
  <r>
    <x v="298"/>
    <x v="298"/>
    <x v="3"/>
    <x v="298"/>
    <x v="158"/>
    <x v="248"/>
    <x v="201"/>
    <x v="251"/>
    <x v="297"/>
    <x v="0"/>
  </r>
  <r>
    <x v="299"/>
    <x v="299"/>
    <x v="2"/>
    <x v="299"/>
    <x v="89"/>
    <x v="249"/>
    <x v="25"/>
    <x v="252"/>
    <x v="298"/>
    <x v="0"/>
  </r>
  <r>
    <x v="300"/>
    <x v="300"/>
    <x v="4"/>
    <x v="300"/>
    <x v="215"/>
    <x v="250"/>
    <x v="215"/>
    <x v="253"/>
    <x v="299"/>
    <x v="0"/>
  </r>
  <r>
    <x v="301"/>
    <x v="301"/>
    <x v="2"/>
    <x v="301"/>
    <x v="216"/>
    <x v="221"/>
    <x v="117"/>
    <x v="254"/>
    <x v="300"/>
    <x v="0"/>
  </r>
  <r>
    <x v="302"/>
    <x v="302"/>
    <x v="4"/>
    <x v="302"/>
    <x v="217"/>
    <x v="251"/>
    <x v="37"/>
    <x v="28"/>
    <x v="301"/>
    <x v="0"/>
  </r>
  <r>
    <x v="303"/>
    <x v="303"/>
    <x v="0"/>
    <x v="303"/>
    <x v="50"/>
    <x v="193"/>
    <x v="101"/>
    <x v="255"/>
    <x v="302"/>
    <x v="0"/>
  </r>
  <r>
    <x v="304"/>
    <x v="304"/>
    <x v="2"/>
    <x v="304"/>
    <x v="218"/>
    <x v="47"/>
    <x v="216"/>
    <x v="107"/>
    <x v="303"/>
    <x v="0"/>
  </r>
  <r>
    <x v="305"/>
    <x v="305"/>
    <x v="2"/>
    <x v="305"/>
    <x v="159"/>
    <x v="252"/>
    <x v="217"/>
    <x v="256"/>
    <x v="304"/>
    <x v="0"/>
  </r>
  <r>
    <x v="306"/>
    <x v="306"/>
    <x v="3"/>
    <x v="306"/>
    <x v="77"/>
    <x v="253"/>
    <x v="218"/>
    <x v="257"/>
    <x v="305"/>
    <x v="0"/>
  </r>
  <r>
    <x v="307"/>
    <x v="307"/>
    <x v="3"/>
    <x v="307"/>
    <x v="145"/>
    <x v="254"/>
    <x v="219"/>
    <x v="258"/>
    <x v="306"/>
    <x v="0"/>
  </r>
  <r>
    <x v="308"/>
    <x v="308"/>
    <x v="4"/>
    <x v="308"/>
    <x v="219"/>
    <x v="255"/>
    <x v="192"/>
    <x v="259"/>
    <x v="307"/>
    <x v="0"/>
  </r>
  <r>
    <x v="309"/>
    <x v="309"/>
    <x v="1"/>
    <x v="309"/>
    <x v="220"/>
    <x v="3"/>
    <x v="220"/>
    <x v="260"/>
    <x v="308"/>
    <x v="0"/>
  </r>
  <r>
    <x v="310"/>
    <x v="310"/>
    <x v="4"/>
    <x v="310"/>
    <x v="221"/>
    <x v="256"/>
    <x v="221"/>
    <x v="261"/>
    <x v="309"/>
    <x v="0"/>
  </r>
  <r>
    <x v="311"/>
    <x v="311"/>
    <x v="1"/>
    <x v="311"/>
    <x v="70"/>
    <x v="257"/>
    <x v="222"/>
    <x v="262"/>
    <x v="310"/>
    <x v="0"/>
  </r>
  <r>
    <x v="312"/>
    <x v="312"/>
    <x v="2"/>
    <x v="312"/>
    <x v="70"/>
    <x v="258"/>
    <x v="31"/>
    <x v="263"/>
    <x v="311"/>
    <x v="0"/>
  </r>
  <r>
    <x v="313"/>
    <x v="313"/>
    <x v="3"/>
    <x v="313"/>
    <x v="222"/>
    <x v="259"/>
    <x v="158"/>
    <x v="264"/>
    <x v="312"/>
    <x v="0"/>
  </r>
  <r>
    <x v="314"/>
    <x v="314"/>
    <x v="2"/>
    <x v="314"/>
    <x v="223"/>
    <x v="260"/>
    <x v="223"/>
    <x v="265"/>
    <x v="313"/>
    <x v="0"/>
  </r>
  <r>
    <x v="315"/>
    <x v="315"/>
    <x v="4"/>
    <x v="315"/>
    <x v="224"/>
    <x v="261"/>
    <x v="224"/>
    <x v="266"/>
    <x v="314"/>
    <x v="0"/>
  </r>
  <r>
    <x v="316"/>
    <x v="316"/>
    <x v="3"/>
    <x v="316"/>
    <x v="225"/>
    <x v="262"/>
    <x v="178"/>
    <x v="267"/>
    <x v="315"/>
    <x v="0"/>
  </r>
  <r>
    <x v="317"/>
    <x v="317"/>
    <x v="3"/>
    <x v="317"/>
    <x v="109"/>
    <x v="217"/>
    <x v="225"/>
    <x v="268"/>
    <x v="316"/>
    <x v="0"/>
  </r>
  <r>
    <x v="318"/>
    <x v="318"/>
    <x v="2"/>
    <x v="318"/>
    <x v="226"/>
    <x v="263"/>
    <x v="226"/>
    <x v="121"/>
    <x v="317"/>
    <x v="0"/>
  </r>
  <r>
    <x v="319"/>
    <x v="319"/>
    <x v="1"/>
    <x v="319"/>
    <x v="114"/>
    <x v="264"/>
    <x v="52"/>
    <x v="41"/>
    <x v="318"/>
    <x v="0"/>
  </r>
  <r>
    <x v="320"/>
    <x v="320"/>
    <x v="0"/>
    <x v="320"/>
    <x v="227"/>
    <x v="265"/>
    <x v="227"/>
    <x v="269"/>
    <x v="319"/>
    <x v="0"/>
  </r>
  <r>
    <x v="321"/>
    <x v="321"/>
    <x v="2"/>
    <x v="321"/>
    <x v="228"/>
    <x v="266"/>
    <x v="140"/>
    <x v="118"/>
    <x v="320"/>
    <x v="0"/>
  </r>
  <r>
    <x v="322"/>
    <x v="322"/>
    <x v="0"/>
    <x v="322"/>
    <x v="229"/>
    <x v="267"/>
    <x v="40"/>
    <x v="270"/>
    <x v="321"/>
    <x v="0"/>
  </r>
  <r>
    <x v="323"/>
    <x v="323"/>
    <x v="2"/>
    <x v="323"/>
    <x v="230"/>
    <x v="268"/>
    <x v="228"/>
    <x v="271"/>
    <x v="322"/>
    <x v="0"/>
  </r>
  <r>
    <x v="324"/>
    <x v="324"/>
    <x v="4"/>
    <x v="324"/>
    <x v="66"/>
    <x v="269"/>
    <x v="31"/>
    <x v="52"/>
    <x v="323"/>
    <x v="0"/>
  </r>
  <r>
    <x v="325"/>
    <x v="325"/>
    <x v="0"/>
    <x v="325"/>
    <x v="112"/>
    <x v="39"/>
    <x v="186"/>
    <x v="272"/>
    <x v="324"/>
    <x v="0"/>
  </r>
  <r>
    <x v="326"/>
    <x v="326"/>
    <x v="4"/>
    <x v="326"/>
    <x v="175"/>
    <x v="270"/>
    <x v="229"/>
    <x v="273"/>
    <x v="325"/>
    <x v="0"/>
  </r>
  <r>
    <x v="327"/>
    <x v="327"/>
    <x v="1"/>
    <x v="327"/>
    <x v="231"/>
    <x v="271"/>
    <x v="140"/>
    <x v="274"/>
    <x v="326"/>
    <x v="0"/>
  </r>
  <r>
    <x v="328"/>
    <x v="328"/>
    <x v="1"/>
    <x v="328"/>
    <x v="232"/>
    <x v="272"/>
    <x v="230"/>
    <x v="275"/>
    <x v="327"/>
    <x v="0"/>
  </r>
  <r>
    <x v="329"/>
    <x v="329"/>
    <x v="0"/>
    <x v="329"/>
    <x v="233"/>
    <x v="273"/>
    <x v="136"/>
    <x v="66"/>
    <x v="328"/>
    <x v="0"/>
  </r>
  <r>
    <x v="330"/>
    <x v="330"/>
    <x v="0"/>
    <x v="330"/>
    <x v="234"/>
    <x v="118"/>
    <x v="231"/>
    <x v="234"/>
    <x v="329"/>
    <x v="0"/>
  </r>
  <r>
    <x v="331"/>
    <x v="331"/>
    <x v="0"/>
    <x v="331"/>
    <x v="235"/>
    <x v="274"/>
    <x v="232"/>
    <x v="95"/>
    <x v="330"/>
    <x v="0"/>
  </r>
  <r>
    <x v="332"/>
    <x v="332"/>
    <x v="3"/>
    <x v="332"/>
    <x v="158"/>
    <x v="275"/>
    <x v="143"/>
    <x v="6"/>
    <x v="331"/>
    <x v="0"/>
  </r>
  <r>
    <x v="333"/>
    <x v="333"/>
    <x v="2"/>
    <x v="333"/>
    <x v="166"/>
    <x v="111"/>
    <x v="7"/>
    <x v="66"/>
    <x v="332"/>
    <x v="0"/>
  </r>
  <r>
    <x v="334"/>
    <x v="334"/>
    <x v="4"/>
    <x v="334"/>
    <x v="236"/>
    <x v="276"/>
    <x v="233"/>
    <x v="276"/>
    <x v="333"/>
    <x v="0"/>
  </r>
  <r>
    <x v="335"/>
    <x v="335"/>
    <x v="3"/>
    <x v="335"/>
    <x v="237"/>
    <x v="2"/>
    <x v="234"/>
    <x v="277"/>
    <x v="334"/>
    <x v="0"/>
  </r>
  <r>
    <x v="336"/>
    <x v="336"/>
    <x v="3"/>
    <x v="239"/>
    <x v="238"/>
    <x v="277"/>
    <x v="36"/>
    <x v="278"/>
    <x v="335"/>
    <x v="0"/>
  </r>
  <r>
    <x v="337"/>
    <x v="337"/>
    <x v="4"/>
    <x v="336"/>
    <x v="164"/>
    <x v="278"/>
    <x v="235"/>
    <x v="279"/>
    <x v="336"/>
    <x v="0"/>
  </r>
  <r>
    <x v="338"/>
    <x v="338"/>
    <x v="3"/>
    <x v="337"/>
    <x v="221"/>
    <x v="112"/>
    <x v="236"/>
    <x v="247"/>
    <x v="337"/>
    <x v="0"/>
  </r>
  <r>
    <x v="339"/>
    <x v="339"/>
    <x v="3"/>
    <x v="338"/>
    <x v="239"/>
    <x v="37"/>
    <x v="237"/>
    <x v="280"/>
    <x v="338"/>
    <x v="0"/>
  </r>
  <r>
    <x v="340"/>
    <x v="340"/>
    <x v="3"/>
    <x v="339"/>
    <x v="240"/>
    <x v="279"/>
    <x v="208"/>
    <x v="281"/>
    <x v="339"/>
    <x v="1"/>
  </r>
  <r>
    <x v="341"/>
    <x v="341"/>
    <x v="2"/>
    <x v="340"/>
    <x v="32"/>
    <x v="280"/>
    <x v="151"/>
    <x v="282"/>
    <x v="340"/>
    <x v="0"/>
  </r>
  <r>
    <x v="342"/>
    <x v="342"/>
    <x v="1"/>
    <x v="341"/>
    <x v="177"/>
    <x v="63"/>
    <x v="238"/>
    <x v="122"/>
    <x v="341"/>
    <x v="1"/>
  </r>
  <r>
    <x v="343"/>
    <x v="343"/>
    <x v="2"/>
    <x v="342"/>
    <x v="241"/>
    <x v="281"/>
    <x v="122"/>
    <x v="283"/>
    <x v="342"/>
    <x v="0"/>
  </r>
  <r>
    <x v="344"/>
    <x v="344"/>
    <x v="3"/>
    <x v="343"/>
    <x v="242"/>
    <x v="74"/>
    <x v="239"/>
    <x v="284"/>
    <x v="343"/>
    <x v="0"/>
  </r>
  <r>
    <x v="345"/>
    <x v="345"/>
    <x v="0"/>
    <x v="344"/>
    <x v="238"/>
    <x v="235"/>
    <x v="240"/>
    <x v="98"/>
    <x v="344"/>
    <x v="0"/>
  </r>
  <r>
    <x v="346"/>
    <x v="346"/>
    <x v="3"/>
    <x v="345"/>
    <x v="229"/>
    <x v="282"/>
    <x v="91"/>
    <x v="285"/>
    <x v="345"/>
    <x v="0"/>
  </r>
  <r>
    <x v="347"/>
    <x v="347"/>
    <x v="0"/>
    <x v="346"/>
    <x v="243"/>
    <x v="283"/>
    <x v="241"/>
    <x v="286"/>
    <x v="346"/>
    <x v="0"/>
  </r>
  <r>
    <x v="348"/>
    <x v="348"/>
    <x v="1"/>
    <x v="347"/>
    <x v="164"/>
    <x v="284"/>
    <x v="129"/>
    <x v="287"/>
    <x v="347"/>
    <x v="0"/>
  </r>
  <r>
    <x v="349"/>
    <x v="349"/>
    <x v="4"/>
    <x v="348"/>
    <x v="121"/>
    <x v="285"/>
    <x v="42"/>
    <x v="288"/>
    <x v="348"/>
    <x v="0"/>
  </r>
  <r>
    <x v="350"/>
    <x v="350"/>
    <x v="2"/>
    <x v="349"/>
    <x v="244"/>
    <x v="286"/>
    <x v="55"/>
    <x v="289"/>
    <x v="349"/>
    <x v="0"/>
  </r>
  <r>
    <x v="351"/>
    <x v="351"/>
    <x v="3"/>
    <x v="350"/>
    <x v="245"/>
    <x v="287"/>
    <x v="179"/>
    <x v="290"/>
    <x v="350"/>
    <x v="0"/>
  </r>
  <r>
    <x v="352"/>
    <x v="352"/>
    <x v="2"/>
    <x v="351"/>
    <x v="232"/>
    <x v="288"/>
    <x v="92"/>
    <x v="291"/>
    <x v="351"/>
    <x v="1"/>
  </r>
  <r>
    <x v="353"/>
    <x v="353"/>
    <x v="3"/>
    <x v="352"/>
    <x v="201"/>
    <x v="289"/>
    <x v="242"/>
    <x v="292"/>
    <x v="352"/>
    <x v="0"/>
  </r>
  <r>
    <x v="354"/>
    <x v="354"/>
    <x v="2"/>
    <x v="353"/>
    <x v="246"/>
    <x v="290"/>
    <x v="217"/>
    <x v="293"/>
    <x v="353"/>
    <x v="0"/>
  </r>
  <r>
    <x v="355"/>
    <x v="355"/>
    <x v="2"/>
    <x v="354"/>
    <x v="239"/>
    <x v="197"/>
    <x v="243"/>
    <x v="111"/>
    <x v="354"/>
    <x v="0"/>
  </r>
  <r>
    <x v="356"/>
    <x v="356"/>
    <x v="2"/>
    <x v="355"/>
    <x v="101"/>
    <x v="291"/>
    <x v="244"/>
    <x v="130"/>
    <x v="355"/>
    <x v="0"/>
  </r>
  <r>
    <x v="357"/>
    <x v="357"/>
    <x v="3"/>
    <x v="356"/>
    <x v="247"/>
    <x v="292"/>
    <x v="130"/>
    <x v="294"/>
    <x v="356"/>
    <x v="0"/>
  </r>
  <r>
    <x v="358"/>
    <x v="358"/>
    <x v="0"/>
    <x v="357"/>
    <x v="248"/>
    <x v="62"/>
    <x v="196"/>
    <x v="203"/>
    <x v="357"/>
    <x v="0"/>
  </r>
  <r>
    <x v="359"/>
    <x v="359"/>
    <x v="1"/>
    <x v="358"/>
    <x v="83"/>
    <x v="293"/>
    <x v="148"/>
    <x v="295"/>
    <x v="358"/>
    <x v="0"/>
  </r>
  <r>
    <x v="360"/>
    <x v="360"/>
    <x v="1"/>
    <x v="359"/>
    <x v="75"/>
    <x v="294"/>
    <x v="245"/>
    <x v="296"/>
    <x v="359"/>
    <x v="0"/>
  </r>
  <r>
    <x v="361"/>
    <x v="361"/>
    <x v="4"/>
    <x v="360"/>
    <x v="177"/>
    <x v="295"/>
    <x v="14"/>
    <x v="297"/>
    <x v="360"/>
    <x v="1"/>
  </r>
  <r>
    <x v="362"/>
    <x v="362"/>
    <x v="3"/>
    <x v="361"/>
    <x v="249"/>
    <x v="296"/>
    <x v="57"/>
    <x v="298"/>
    <x v="361"/>
    <x v="0"/>
  </r>
  <r>
    <x v="363"/>
    <x v="363"/>
    <x v="4"/>
    <x v="362"/>
    <x v="207"/>
    <x v="297"/>
    <x v="246"/>
    <x v="299"/>
    <x v="362"/>
    <x v="0"/>
  </r>
  <r>
    <x v="364"/>
    <x v="364"/>
    <x v="3"/>
    <x v="363"/>
    <x v="6"/>
    <x v="298"/>
    <x v="157"/>
    <x v="300"/>
    <x v="363"/>
    <x v="0"/>
  </r>
  <r>
    <x v="365"/>
    <x v="365"/>
    <x v="0"/>
    <x v="364"/>
    <x v="250"/>
    <x v="299"/>
    <x v="19"/>
    <x v="301"/>
    <x v="364"/>
    <x v="0"/>
  </r>
  <r>
    <x v="366"/>
    <x v="366"/>
    <x v="3"/>
    <x v="365"/>
    <x v="180"/>
    <x v="300"/>
    <x v="189"/>
    <x v="302"/>
    <x v="365"/>
    <x v="1"/>
  </r>
  <r>
    <x v="367"/>
    <x v="367"/>
    <x v="1"/>
    <x v="366"/>
    <x v="251"/>
    <x v="283"/>
    <x v="247"/>
    <x v="303"/>
    <x v="366"/>
    <x v="0"/>
  </r>
  <r>
    <x v="368"/>
    <x v="368"/>
    <x v="2"/>
    <x v="367"/>
    <x v="165"/>
    <x v="301"/>
    <x v="248"/>
    <x v="26"/>
    <x v="367"/>
    <x v="0"/>
  </r>
  <r>
    <x v="369"/>
    <x v="369"/>
    <x v="4"/>
    <x v="368"/>
    <x v="252"/>
    <x v="74"/>
    <x v="117"/>
    <x v="161"/>
    <x v="368"/>
    <x v="0"/>
  </r>
  <r>
    <x v="370"/>
    <x v="370"/>
    <x v="3"/>
    <x v="369"/>
    <x v="23"/>
    <x v="17"/>
    <x v="233"/>
    <x v="304"/>
    <x v="369"/>
    <x v="0"/>
  </r>
  <r>
    <x v="371"/>
    <x v="371"/>
    <x v="4"/>
    <x v="370"/>
    <x v="253"/>
    <x v="302"/>
    <x v="231"/>
    <x v="305"/>
    <x v="370"/>
    <x v="0"/>
  </r>
  <r>
    <x v="372"/>
    <x v="372"/>
    <x v="1"/>
    <x v="371"/>
    <x v="254"/>
    <x v="236"/>
    <x v="243"/>
    <x v="306"/>
    <x v="371"/>
    <x v="0"/>
  </r>
  <r>
    <x v="373"/>
    <x v="373"/>
    <x v="1"/>
    <x v="372"/>
    <x v="255"/>
    <x v="303"/>
    <x v="42"/>
    <x v="33"/>
    <x v="372"/>
    <x v="0"/>
  </r>
  <r>
    <x v="374"/>
    <x v="374"/>
    <x v="2"/>
    <x v="373"/>
    <x v="81"/>
    <x v="304"/>
    <x v="62"/>
    <x v="307"/>
    <x v="373"/>
    <x v="0"/>
  </r>
  <r>
    <x v="375"/>
    <x v="375"/>
    <x v="4"/>
    <x v="374"/>
    <x v="159"/>
    <x v="305"/>
    <x v="31"/>
    <x v="308"/>
    <x v="374"/>
    <x v="0"/>
  </r>
  <r>
    <x v="376"/>
    <x v="376"/>
    <x v="4"/>
    <x v="375"/>
    <x v="219"/>
    <x v="222"/>
    <x v="249"/>
    <x v="309"/>
    <x v="375"/>
    <x v="0"/>
  </r>
  <r>
    <x v="377"/>
    <x v="377"/>
    <x v="0"/>
    <x v="376"/>
    <x v="256"/>
    <x v="289"/>
    <x v="165"/>
    <x v="55"/>
    <x v="376"/>
    <x v="0"/>
  </r>
  <r>
    <x v="378"/>
    <x v="378"/>
    <x v="1"/>
    <x v="377"/>
    <x v="207"/>
    <x v="306"/>
    <x v="243"/>
    <x v="310"/>
    <x v="377"/>
    <x v="0"/>
  </r>
  <r>
    <x v="379"/>
    <x v="379"/>
    <x v="0"/>
    <x v="378"/>
    <x v="134"/>
    <x v="307"/>
    <x v="250"/>
    <x v="311"/>
    <x v="378"/>
    <x v="0"/>
  </r>
  <r>
    <x v="380"/>
    <x v="380"/>
    <x v="3"/>
    <x v="379"/>
    <x v="105"/>
    <x v="308"/>
    <x v="25"/>
    <x v="312"/>
    <x v="379"/>
    <x v="0"/>
  </r>
  <r>
    <x v="381"/>
    <x v="381"/>
    <x v="3"/>
    <x v="380"/>
    <x v="257"/>
    <x v="141"/>
    <x v="13"/>
    <x v="213"/>
    <x v="380"/>
    <x v="0"/>
  </r>
  <r>
    <x v="382"/>
    <x v="382"/>
    <x v="0"/>
    <x v="381"/>
    <x v="165"/>
    <x v="309"/>
    <x v="251"/>
    <x v="313"/>
    <x v="381"/>
    <x v="0"/>
  </r>
  <r>
    <x v="383"/>
    <x v="383"/>
    <x v="1"/>
    <x v="382"/>
    <x v="258"/>
    <x v="310"/>
    <x v="200"/>
    <x v="284"/>
    <x v="382"/>
    <x v="0"/>
  </r>
  <r>
    <x v="384"/>
    <x v="384"/>
    <x v="4"/>
    <x v="383"/>
    <x v="86"/>
    <x v="311"/>
    <x v="148"/>
    <x v="49"/>
    <x v="383"/>
    <x v="1"/>
  </r>
  <r>
    <x v="385"/>
    <x v="385"/>
    <x v="0"/>
    <x v="384"/>
    <x v="49"/>
    <x v="312"/>
    <x v="252"/>
    <x v="145"/>
    <x v="384"/>
    <x v="0"/>
  </r>
  <r>
    <x v="386"/>
    <x v="386"/>
    <x v="3"/>
    <x v="385"/>
    <x v="259"/>
    <x v="146"/>
    <x v="253"/>
    <x v="314"/>
    <x v="385"/>
    <x v="0"/>
  </r>
  <r>
    <x v="387"/>
    <x v="387"/>
    <x v="1"/>
    <x v="386"/>
    <x v="111"/>
    <x v="313"/>
    <x v="254"/>
    <x v="315"/>
    <x v="386"/>
    <x v="0"/>
  </r>
  <r>
    <x v="388"/>
    <x v="388"/>
    <x v="4"/>
    <x v="387"/>
    <x v="210"/>
    <x v="109"/>
    <x v="29"/>
    <x v="316"/>
    <x v="387"/>
    <x v="0"/>
  </r>
  <r>
    <x v="389"/>
    <x v="389"/>
    <x v="3"/>
    <x v="388"/>
    <x v="260"/>
    <x v="92"/>
    <x v="255"/>
    <x v="317"/>
    <x v="388"/>
    <x v="0"/>
  </r>
  <r>
    <x v="390"/>
    <x v="390"/>
    <x v="2"/>
    <x v="389"/>
    <x v="17"/>
    <x v="314"/>
    <x v="162"/>
    <x v="2"/>
    <x v="389"/>
    <x v="0"/>
  </r>
  <r>
    <x v="391"/>
    <x v="391"/>
    <x v="0"/>
    <x v="390"/>
    <x v="89"/>
    <x v="315"/>
    <x v="256"/>
    <x v="318"/>
    <x v="390"/>
    <x v="0"/>
  </r>
  <r>
    <x v="392"/>
    <x v="392"/>
    <x v="0"/>
    <x v="79"/>
    <x v="261"/>
    <x v="316"/>
    <x v="236"/>
    <x v="319"/>
    <x v="391"/>
    <x v="0"/>
  </r>
  <r>
    <x v="393"/>
    <x v="393"/>
    <x v="0"/>
    <x v="391"/>
    <x v="262"/>
    <x v="112"/>
    <x v="257"/>
    <x v="320"/>
    <x v="392"/>
    <x v="0"/>
  </r>
  <r>
    <x v="394"/>
    <x v="394"/>
    <x v="2"/>
    <x v="392"/>
    <x v="117"/>
    <x v="229"/>
    <x v="258"/>
    <x v="124"/>
    <x v="393"/>
    <x v="0"/>
  </r>
  <r>
    <x v="395"/>
    <x v="395"/>
    <x v="1"/>
    <x v="393"/>
    <x v="263"/>
    <x v="230"/>
    <x v="259"/>
    <x v="321"/>
    <x v="394"/>
    <x v="0"/>
  </r>
  <r>
    <x v="396"/>
    <x v="396"/>
    <x v="1"/>
    <x v="394"/>
    <x v="191"/>
    <x v="138"/>
    <x v="125"/>
    <x v="322"/>
    <x v="395"/>
    <x v="0"/>
  </r>
  <r>
    <x v="397"/>
    <x v="397"/>
    <x v="4"/>
    <x v="395"/>
    <x v="264"/>
    <x v="317"/>
    <x v="260"/>
    <x v="171"/>
    <x v="396"/>
    <x v="0"/>
  </r>
  <r>
    <x v="398"/>
    <x v="398"/>
    <x v="4"/>
    <x v="396"/>
    <x v="265"/>
    <x v="122"/>
    <x v="14"/>
    <x v="323"/>
    <x v="397"/>
    <x v="0"/>
  </r>
  <r>
    <x v="399"/>
    <x v="399"/>
    <x v="4"/>
    <x v="397"/>
    <x v="150"/>
    <x v="285"/>
    <x v="44"/>
    <x v="173"/>
    <x v="398"/>
    <x v="0"/>
  </r>
  <r>
    <x v="400"/>
    <x v="400"/>
    <x v="3"/>
    <x v="398"/>
    <x v="38"/>
    <x v="111"/>
    <x v="182"/>
    <x v="324"/>
    <x v="399"/>
    <x v="0"/>
  </r>
  <r>
    <x v="401"/>
    <x v="401"/>
    <x v="2"/>
    <x v="399"/>
    <x v="173"/>
    <x v="318"/>
    <x v="261"/>
    <x v="88"/>
    <x v="400"/>
    <x v="0"/>
  </r>
  <r>
    <x v="402"/>
    <x v="402"/>
    <x v="4"/>
    <x v="400"/>
    <x v="76"/>
    <x v="144"/>
    <x v="179"/>
    <x v="325"/>
    <x v="401"/>
    <x v="0"/>
  </r>
  <r>
    <x v="403"/>
    <x v="403"/>
    <x v="3"/>
    <x v="401"/>
    <x v="266"/>
    <x v="31"/>
    <x v="262"/>
    <x v="326"/>
    <x v="402"/>
    <x v="0"/>
  </r>
  <r>
    <x v="404"/>
    <x v="404"/>
    <x v="0"/>
    <x v="402"/>
    <x v="267"/>
    <x v="167"/>
    <x v="108"/>
    <x v="327"/>
    <x v="403"/>
    <x v="0"/>
  </r>
  <r>
    <x v="405"/>
    <x v="405"/>
    <x v="1"/>
    <x v="403"/>
    <x v="103"/>
    <x v="113"/>
    <x v="241"/>
    <x v="296"/>
    <x v="404"/>
    <x v="0"/>
  </r>
  <r>
    <x v="406"/>
    <x v="406"/>
    <x v="4"/>
    <x v="404"/>
    <x v="268"/>
    <x v="319"/>
    <x v="213"/>
    <x v="328"/>
    <x v="405"/>
    <x v="0"/>
  </r>
  <r>
    <x v="407"/>
    <x v="407"/>
    <x v="3"/>
    <x v="405"/>
    <x v="145"/>
    <x v="320"/>
    <x v="189"/>
    <x v="329"/>
    <x v="406"/>
    <x v="0"/>
  </r>
  <r>
    <x v="408"/>
    <x v="408"/>
    <x v="1"/>
    <x v="406"/>
    <x v="53"/>
    <x v="321"/>
    <x v="229"/>
    <x v="330"/>
    <x v="407"/>
    <x v="0"/>
  </r>
  <r>
    <x v="409"/>
    <x v="409"/>
    <x v="3"/>
    <x v="407"/>
    <x v="167"/>
    <x v="47"/>
    <x v="214"/>
    <x v="64"/>
    <x v="408"/>
    <x v="0"/>
  </r>
  <r>
    <x v="410"/>
    <x v="410"/>
    <x v="1"/>
    <x v="408"/>
    <x v="269"/>
    <x v="322"/>
    <x v="263"/>
    <x v="331"/>
    <x v="409"/>
    <x v="0"/>
  </r>
  <r>
    <x v="411"/>
    <x v="411"/>
    <x v="2"/>
    <x v="409"/>
    <x v="270"/>
    <x v="323"/>
    <x v="136"/>
    <x v="288"/>
    <x v="410"/>
    <x v="0"/>
  </r>
  <r>
    <x v="412"/>
    <x v="412"/>
    <x v="2"/>
    <x v="410"/>
    <x v="123"/>
    <x v="324"/>
    <x v="94"/>
    <x v="244"/>
    <x v="411"/>
    <x v="0"/>
  </r>
  <r>
    <x v="413"/>
    <x v="413"/>
    <x v="1"/>
    <x v="411"/>
    <x v="77"/>
    <x v="62"/>
    <x v="264"/>
    <x v="332"/>
    <x v="412"/>
    <x v="0"/>
  </r>
  <r>
    <x v="414"/>
    <x v="414"/>
    <x v="4"/>
    <x v="412"/>
    <x v="159"/>
    <x v="325"/>
    <x v="68"/>
    <x v="333"/>
    <x v="413"/>
    <x v="0"/>
  </r>
  <r>
    <x v="415"/>
    <x v="415"/>
    <x v="2"/>
    <x v="413"/>
    <x v="129"/>
    <x v="326"/>
    <x v="265"/>
    <x v="334"/>
    <x v="414"/>
    <x v="1"/>
  </r>
  <r>
    <x v="416"/>
    <x v="416"/>
    <x v="2"/>
    <x v="414"/>
    <x v="3"/>
    <x v="184"/>
    <x v="266"/>
    <x v="335"/>
    <x v="415"/>
    <x v="0"/>
  </r>
  <r>
    <x v="417"/>
    <x v="417"/>
    <x v="1"/>
    <x v="415"/>
    <x v="271"/>
    <x v="327"/>
    <x v="40"/>
    <x v="149"/>
    <x v="416"/>
    <x v="0"/>
  </r>
  <r>
    <x v="418"/>
    <x v="418"/>
    <x v="4"/>
    <x v="416"/>
    <x v="272"/>
    <x v="190"/>
    <x v="14"/>
    <x v="275"/>
    <x v="417"/>
    <x v="0"/>
  </r>
  <r>
    <x v="419"/>
    <x v="419"/>
    <x v="4"/>
    <x v="417"/>
    <x v="47"/>
    <x v="135"/>
    <x v="267"/>
    <x v="336"/>
    <x v="418"/>
    <x v="0"/>
  </r>
  <r>
    <x v="420"/>
    <x v="420"/>
    <x v="2"/>
    <x v="418"/>
    <x v="273"/>
    <x v="328"/>
    <x v="66"/>
    <x v="215"/>
    <x v="419"/>
    <x v="0"/>
  </r>
  <r>
    <x v="421"/>
    <x v="421"/>
    <x v="2"/>
    <x v="419"/>
    <x v="253"/>
    <x v="146"/>
    <x v="140"/>
    <x v="337"/>
    <x v="420"/>
    <x v="0"/>
  </r>
  <r>
    <x v="422"/>
    <x v="422"/>
    <x v="1"/>
    <x v="420"/>
    <x v="274"/>
    <x v="40"/>
    <x v="36"/>
    <x v="338"/>
    <x v="421"/>
    <x v="0"/>
  </r>
  <r>
    <x v="423"/>
    <x v="423"/>
    <x v="4"/>
    <x v="421"/>
    <x v="177"/>
    <x v="329"/>
    <x v="79"/>
    <x v="339"/>
    <x v="422"/>
    <x v="0"/>
  </r>
  <r>
    <x v="424"/>
    <x v="424"/>
    <x v="1"/>
    <x v="422"/>
    <x v="275"/>
    <x v="330"/>
    <x v="268"/>
    <x v="340"/>
    <x v="423"/>
    <x v="0"/>
  </r>
  <r>
    <x v="425"/>
    <x v="425"/>
    <x v="3"/>
    <x v="423"/>
    <x v="276"/>
    <x v="135"/>
    <x v="197"/>
    <x v="341"/>
    <x v="424"/>
    <x v="0"/>
  </r>
  <r>
    <x v="426"/>
    <x v="426"/>
    <x v="4"/>
    <x v="424"/>
    <x v="129"/>
    <x v="93"/>
    <x v="251"/>
    <x v="342"/>
    <x v="425"/>
    <x v="0"/>
  </r>
  <r>
    <x v="427"/>
    <x v="427"/>
    <x v="3"/>
    <x v="425"/>
    <x v="277"/>
    <x v="196"/>
    <x v="36"/>
    <x v="343"/>
    <x v="426"/>
    <x v="0"/>
  </r>
  <r>
    <x v="428"/>
    <x v="428"/>
    <x v="1"/>
    <x v="426"/>
    <x v="38"/>
    <x v="331"/>
    <x v="171"/>
    <x v="82"/>
    <x v="427"/>
    <x v="0"/>
  </r>
  <r>
    <x v="429"/>
    <x v="429"/>
    <x v="0"/>
    <x v="427"/>
    <x v="240"/>
    <x v="120"/>
    <x v="21"/>
    <x v="344"/>
    <x v="428"/>
    <x v="0"/>
  </r>
  <r>
    <x v="430"/>
    <x v="430"/>
    <x v="0"/>
    <x v="428"/>
    <x v="278"/>
    <x v="93"/>
    <x v="269"/>
    <x v="345"/>
    <x v="429"/>
    <x v="1"/>
  </r>
  <r>
    <x v="431"/>
    <x v="431"/>
    <x v="1"/>
    <x v="429"/>
    <x v="228"/>
    <x v="332"/>
    <x v="256"/>
    <x v="346"/>
    <x v="430"/>
    <x v="0"/>
  </r>
  <r>
    <x v="432"/>
    <x v="432"/>
    <x v="1"/>
    <x v="430"/>
    <x v="50"/>
    <x v="333"/>
    <x v="241"/>
    <x v="59"/>
    <x v="431"/>
    <x v="0"/>
  </r>
  <r>
    <x v="433"/>
    <x v="433"/>
    <x v="1"/>
    <x v="431"/>
    <x v="80"/>
    <x v="334"/>
    <x v="270"/>
    <x v="46"/>
    <x v="432"/>
    <x v="0"/>
  </r>
  <r>
    <x v="434"/>
    <x v="434"/>
    <x v="2"/>
    <x v="432"/>
    <x v="279"/>
    <x v="335"/>
    <x v="114"/>
    <x v="347"/>
    <x v="433"/>
    <x v="0"/>
  </r>
  <r>
    <x v="435"/>
    <x v="435"/>
    <x v="4"/>
    <x v="276"/>
    <x v="280"/>
    <x v="327"/>
    <x v="134"/>
    <x v="348"/>
    <x v="434"/>
    <x v="0"/>
  </r>
  <r>
    <x v="436"/>
    <x v="436"/>
    <x v="2"/>
    <x v="433"/>
    <x v="281"/>
    <x v="307"/>
    <x v="88"/>
    <x v="42"/>
    <x v="435"/>
    <x v="0"/>
  </r>
  <r>
    <x v="437"/>
    <x v="437"/>
    <x v="0"/>
    <x v="434"/>
    <x v="273"/>
    <x v="336"/>
    <x v="192"/>
    <x v="349"/>
    <x v="436"/>
    <x v="0"/>
  </r>
  <r>
    <x v="438"/>
    <x v="438"/>
    <x v="4"/>
    <x v="435"/>
    <x v="280"/>
    <x v="318"/>
    <x v="271"/>
    <x v="350"/>
    <x v="437"/>
    <x v="0"/>
  </r>
  <r>
    <x v="439"/>
    <x v="439"/>
    <x v="2"/>
    <x v="436"/>
    <x v="54"/>
    <x v="337"/>
    <x v="272"/>
    <x v="351"/>
    <x v="438"/>
    <x v="0"/>
  </r>
  <r>
    <x v="440"/>
    <x v="440"/>
    <x v="3"/>
    <x v="437"/>
    <x v="178"/>
    <x v="287"/>
    <x v="247"/>
    <x v="232"/>
    <x v="439"/>
    <x v="0"/>
  </r>
  <r>
    <x v="441"/>
    <x v="441"/>
    <x v="4"/>
    <x v="438"/>
    <x v="147"/>
    <x v="303"/>
    <x v="141"/>
    <x v="352"/>
    <x v="440"/>
    <x v="0"/>
  </r>
  <r>
    <x v="442"/>
    <x v="442"/>
    <x v="4"/>
    <x v="439"/>
    <x v="168"/>
    <x v="206"/>
    <x v="273"/>
    <x v="353"/>
    <x v="441"/>
    <x v="0"/>
  </r>
  <r>
    <x v="443"/>
    <x v="443"/>
    <x v="0"/>
    <x v="440"/>
    <x v="282"/>
    <x v="338"/>
    <x v="274"/>
    <x v="246"/>
    <x v="442"/>
    <x v="0"/>
  </r>
  <r>
    <x v="444"/>
    <x v="444"/>
    <x v="1"/>
    <x v="441"/>
    <x v="283"/>
    <x v="339"/>
    <x v="275"/>
    <x v="354"/>
    <x v="443"/>
    <x v="0"/>
  </r>
  <r>
    <x v="445"/>
    <x v="445"/>
    <x v="2"/>
    <x v="442"/>
    <x v="86"/>
    <x v="340"/>
    <x v="276"/>
    <x v="355"/>
    <x v="444"/>
    <x v="1"/>
  </r>
  <r>
    <x v="446"/>
    <x v="446"/>
    <x v="1"/>
    <x v="443"/>
    <x v="284"/>
    <x v="162"/>
    <x v="41"/>
    <x v="356"/>
    <x v="445"/>
    <x v="0"/>
  </r>
  <r>
    <x v="447"/>
    <x v="447"/>
    <x v="4"/>
    <x v="444"/>
    <x v="285"/>
    <x v="341"/>
    <x v="131"/>
    <x v="357"/>
    <x v="446"/>
    <x v="0"/>
  </r>
  <r>
    <x v="448"/>
    <x v="448"/>
    <x v="4"/>
    <x v="445"/>
    <x v="56"/>
    <x v="87"/>
    <x v="277"/>
    <x v="358"/>
    <x v="447"/>
    <x v="0"/>
  </r>
  <r>
    <x v="449"/>
    <x v="449"/>
    <x v="4"/>
    <x v="446"/>
    <x v="203"/>
    <x v="238"/>
    <x v="278"/>
    <x v="20"/>
    <x v="448"/>
    <x v="0"/>
  </r>
  <r>
    <x v="450"/>
    <x v="450"/>
    <x v="2"/>
    <x v="447"/>
    <x v="286"/>
    <x v="342"/>
    <x v="162"/>
    <x v="359"/>
    <x v="449"/>
    <x v="0"/>
  </r>
  <r>
    <x v="451"/>
    <x v="451"/>
    <x v="1"/>
    <x v="448"/>
    <x v="287"/>
    <x v="343"/>
    <x v="170"/>
    <x v="360"/>
    <x v="450"/>
    <x v="0"/>
  </r>
  <r>
    <x v="452"/>
    <x v="452"/>
    <x v="1"/>
    <x v="449"/>
    <x v="288"/>
    <x v="168"/>
    <x v="267"/>
    <x v="135"/>
    <x v="451"/>
    <x v="0"/>
  </r>
  <r>
    <x v="453"/>
    <x v="453"/>
    <x v="4"/>
    <x v="450"/>
    <x v="289"/>
    <x v="344"/>
    <x v="261"/>
    <x v="361"/>
    <x v="452"/>
    <x v="1"/>
  </r>
  <r>
    <x v="454"/>
    <x v="454"/>
    <x v="3"/>
    <x v="451"/>
    <x v="57"/>
    <x v="345"/>
    <x v="279"/>
    <x v="362"/>
    <x v="453"/>
    <x v="0"/>
  </r>
  <r>
    <x v="455"/>
    <x v="455"/>
    <x v="0"/>
    <x v="452"/>
    <x v="290"/>
    <x v="346"/>
    <x v="37"/>
    <x v="363"/>
    <x v="454"/>
    <x v="0"/>
  </r>
  <r>
    <x v="456"/>
    <x v="456"/>
    <x v="4"/>
    <x v="453"/>
    <x v="237"/>
    <x v="337"/>
    <x v="280"/>
    <x v="364"/>
    <x v="455"/>
    <x v="0"/>
  </r>
  <r>
    <x v="457"/>
    <x v="457"/>
    <x v="2"/>
    <x v="454"/>
    <x v="137"/>
    <x v="347"/>
    <x v="261"/>
    <x v="322"/>
    <x v="456"/>
    <x v="0"/>
  </r>
  <r>
    <x v="458"/>
    <x v="458"/>
    <x v="1"/>
    <x v="455"/>
    <x v="23"/>
    <x v="348"/>
    <x v="274"/>
    <x v="313"/>
    <x v="457"/>
    <x v="0"/>
  </r>
  <r>
    <x v="459"/>
    <x v="459"/>
    <x v="2"/>
    <x v="456"/>
    <x v="285"/>
    <x v="349"/>
    <x v="244"/>
    <x v="365"/>
    <x v="458"/>
    <x v="0"/>
  </r>
  <r>
    <x v="460"/>
    <x v="460"/>
    <x v="2"/>
    <x v="457"/>
    <x v="13"/>
    <x v="350"/>
    <x v="281"/>
    <x v="366"/>
    <x v="459"/>
    <x v="0"/>
  </r>
  <r>
    <x v="461"/>
    <x v="461"/>
    <x v="0"/>
    <x v="458"/>
    <x v="244"/>
    <x v="49"/>
    <x v="138"/>
    <x v="367"/>
    <x v="460"/>
    <x v="0"/>
  </r>
  <r>
    <x v="462"/>
    <x v="462"/>
    <x v="4"/>
    <x v="459"/>
    <x v="103"/>
    <x v="351"/>
    <x v="282"/>
    <x v="368"/>
    <x v="461"/>
    <x v="0"/>
  </r>
  <r>
    <x v="463"/>
    <x v="463"/>
    <x v="1"/>
    <x v="460"/>
    <x v="110"/>
    <x v="352"/>
    <x v="283"/>
    <x v="369"/>
    <x v="462"/>
    <x v="0"/>
  </r>
  <r>
    <x v="464"/>
    <x v="464"/>
    <x v="0"/>
    <x v="461"/>
    <x v="189"/>
    <x v="353"/>
    <x v="177"/>
    <x v="72"/>
    <x v="463"/>
    <x v="0"/>
  </r>
  <r>
    <x v="465"/>
    <x v="465"/>
    <x v="4"/>
    <x v="462"/>
    <x v="291"/>
    <x v="354"/>
    <x v="174"/>
    <x v="370"/>
    <x v="464"/>
    <x v="0"/>
  </r>
  <r>
    <x v="466"/>
    <x v="466"/>
    <x v="2"/>
    <x v="463"/>
    <x v="52"/>
    <x v="355"/>
    <x v="284"/>
    <x v="371"/>
    <x v="465"/>
    <x v="0"/>
  </r>
  <r>
    <x v="467"/>
    <x v="467"/>
    <x v="1"/>
    <x v="464"/>
    <x v="292"/>
    <x v="108"/>
    <x v="170"/>
    <x v="372"/>
    <x v="466"/>
    <x v="0"/>
  </r>
  <r>
    <x v="468"/>
    <x v="468"/>
    <x v="1"/>
    <x v="465"/>
    <x v="195"/>
    <x v="213"/>
    <x v="285"/>
    <x v="310"/>
    <x v="467"/>
    <x v="0"/>
  </r>
  <r>
    <x v="469"/>
    <x v="469"/>
    <x v="4"/>
    <x v="466"/>
    <x v="38"/>
    <x v="249"/>
    <x v="248"/>
    <x v="373"/>
    <x v="468"/>
    <x v="0"/>
  </r>
  <r>
    <x v="470"/>
    <x v="470"/>
    <x v="1"/>
    <x v="467"/>
    <x v="45"/>
    <x v="39"/>
    <x v="180"/>
    <x v="109"/>
    <x v="469"/>
    <x v="0"/>
  </r>
  <r>
    <x v="471"/>
    <x v="471"/>
    <x v="0"/>
    <x v="468"/>
    <x v="42"/>
    <x v="291"/>
    <x v="73"/>
    <x v="374"/>
    <x v="470"/>
    <x v="0"/>
  </r>
  <r>
    <x v="472"/>
    <x v="472"/>
    <x v="2"/>
    <x v="469"/>
    <x v="224"/>
    <x v="62"/>
    <x v="286"/>
    <x v="148"/>
    <x v="471"/>
    <x v="0"/>
  </r>
  <r>
    <x v="473"/>
    <x v="473"/>
    <x v="4"/>
    <x v="470"/>
    <x v="293"/>
    <x v="256"/>
    <x v="255"/>
    <x v="283"/>
    <x v="472"/>
    <x v="0"/>
  </r>
  <r>
    <x v="474"/>
    <x v="474"/>
    <x v="0"/>
    <x v="471"/>
    <x v="294"/>
    <x v="301"/>
    <x v="179"/>
    <x v="108"/>
    <x v="473"/>
    <x v="0"/>
  </r>
  <r>
    <x v="475"/>
    <x v="475"/>
    <x v="1"/>
    <x v="472"/>
    <x v="16"/>
    <x v="356"/>
    <x v="287"/>
    <x v="320"/>
    <x v="474"/>
    <x v="0"/>
  </r>
  <r>
    <x v="476"/>
    <x v="476"/>
    <x v="4"/>
    <x v="473"/>
    <x v="295"/>
    <x v="123"/>
    <x v="288"/>
    <x v="375"/>
    <x v="475"/>
    <x v="0"/>
  </r>
  <r>
    <x v="477"/>
    <x v="477"/>
    <x v="1"/>
    <x v="474"/>
    <x v="296"/>
    <x v="357"/>
    <x v="289"/>
    <x v="376"/>
    <x v="476"/>
    <x v="1"/>
  </r>
  <r>
    <x v="478"/>
    <x v="478"/>
    <x v="1"/>
    <x v="475"/>
    <x v="250"/>
    <x v="294"/>
    <x v="290"/>
    <x v="377"/>
    <x v="477"/>
    <x v="0"/>
  </r>
  <r>
    <x v="479"/>
    <x v="479"/>
    <x v="2"/>
    <x v="476"/>
    <x v="297"/>
    <x v="304"/>
    <x v="192"/>
    <x v="378"/>
    <x v="478"/>
    <x v="1"/>
  </r>
  <r>
    <x v="480"/>
    <x v="480"/>
    <x v="3"/>
    <x v="477"/>
    <x v="189"/>
    <x v="358"/>
    <x v="291"/>
    <x v="283"/>
    <x v="479"/>
    <x v="0"/>
  </r>
  <r>
    <x v="481"/>
    <x v="481"/>
    <x v="3"/>
    <x v="478"/>
    <x v="201"/>
    <x v="359"/>
    <x v="180"/>
    <x v="379"/>
    <x v="480"/>
    <x v="0"/>
  </r>
  <r>
    <x v="482"/>
    <x v="482"/>
    <x v="0"/>
    <x v="479"/>
    <x v="298"/>
    <x v="309"/>
    <x v="45"/>
    <x v="380"/>
    <x v="481"/>
    <x v="0"/>
  </r>
  <r>
    <x v="483"/>
    <x v="483"/>
    <x v="4"/>
    <x v="480"/>
    <x v="114"/>
    <x v="181"/>
    <x v="174"/>
    <x v="247"/>
    <x v="482"/>
    <x v="0"/>
  </r>
  <r>
    <x v="484"/>
    <x v="484"/>
    <x v="4"/>
    <x v="481"/>
    <x v="36"/>
    <x v="360"/>
    <x v="292"/>
    <x v="115"/>
    <x v="483"/>
    <x v="0"/>
  </r>
  <r>
    <x v="485"/>
    <x v="485"/>
    <x v="0"/>
    <x v="482"/>
    <x v="299"/>
    <x v="361"/>
    <x v="74"/>
    <x v="319"/>
    <x v="484"/>
    <x v="0"/>
  </r>
  <r>
    <x v="486"/>
    <x v="486"/>
    <x v="4"/>
    <x v="483"/>
    <x v="13"/>
    <x v="362"/>
    <x v="200"/>
    <x v="381"/>
    <x v="485"/>
    <x v="0"/>
  </r>
  <r>
    <x v="487"/>
    <x v="487"/>
    <x v="2"/>
    <x v="484"/>
    <x v="300"/>
    <x v="363"/>
    <x v="110"/>
    <x v="281"/>
    <x v="486"/>
    <x v="1"/>
  </r>
  <r>
    <x v="488"/>
    <x v="488"/>
    <x v="4"/>
    <x v="485"/>
    <x v="24"/>
    <x v="364"/>
    <x v="293"/>
    <x v="382"/>
    <x v="487"/>
    <x v="0"/>
  </r>
  <r>
    <x v="489"/>
    <x v="489"/>
    <x v="3"/>
    <x v="486"/>
    <x v="301"/>
    <x v="91"/>
    <x v="294"/>
    <x v="383"/>
    <x v="488"/>
    <x v="0"/>
  </r>
  <r>
    <x v="490"/>
    <x v="490"/>
    <x v="2"/>
    <x v="487"/>
    <x v="156"/>
    <x v="365"/>
    <x v="156"/>
    <x v="290"/>
    <x v="489"/>
    <x v="0"/>
  </r>
  <r>
    <x v="491"/>
    <x v="491"/>
    <x v="0"/>
    <x v="488"/>
    <x v="302"/>
    <x v="188"/>
    <x v="295"/>
    <x v="344"/>
    <x v="490"/>
    <x v="0"/>
  </r>
  <r>
    <x v="492"/>
    <x v="492"/>
    <x v="4"/>
    <x v="489"/>
    <x v="303"/>
    <x v="22"/>
    <x v="233"/>
    <x v="384"/>
    <x v="491"/>
    <x v="0"/>
  </r>
  <r>
    <x v="493"/>
    <x v="493"/>
    <x v="1"/>
    <x v="490"/>
    <x v="304"/>
    <x v="366"/>
    <x v="47"/>
    <x v="385"/>
    <x v="492"/>
    <x v="0"/>
  </r>
  <r>
    <x v="494"/>
    <x v="494"/>
    <x v="4"/>
    <x v="491"/>
    <x v="305"/>
    <x v="262"/>
    <x v="258"/>
    <x v="304"/>
    <x v="493"/>
    <x v="0"/>
  </r>
  <r>
    <x v="495"/>
    <x v="495"/>
    <x v="1"/>
    <x v="492"/>
    <x v="121"/>
    <x v="294"/>
    <x v="241"/>
    <x v="386"/>
    <x v="494"/>
    <x v="0"/>
  </r>
  <r>
    <x v="496"/>
    <x v="496"/>
    <x v="1"/>
    <x v="493"/>
    <x v="282"/>
    <x v="254"/>
    <x v="149"/>
    <x v="148"/>
    <x v="495"/>
    <x v="0"/>
  </r>
  <r>
    <x v="497"/>
    <x v="497"/>
    <x v="1"/>
    <x v="494"/>
    <x v="306"/>
    <x v="213"/>
    <x v="129"/>
    <x v="387"/>
    <x v="496"/>
    <x v="0"/>
  </r>
  <r>
    <x v="498"/>
    <x v="498"/>
    <x v="1"/>
    <x v="495"/>
    <x v="307"/>
    <x v="367"/>
    <x v="81"/>
    <x v="192"/>
    <x v="497"/>
    <x v="0"/>
  </r>
  <r>
    <x v="499"/>
    <x v="499"/>
    <x v="4"/>
    <x v="496"/>
    <x v="159"/>
    <x v="341"/>
    <x v="172"/>
    <x v="388"/>
    <x v="4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984CF5-C17B-4B0B-B6C9-D878A2B165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4:O7" firstHeaderRow="1" firstDataRow="1" firstDataCol="1"/>
  <pivotFields count="10">
    <pivotField dataField="1" showAll="0"/>
    <pivotField showAll="0"/>
    <pivotField showAll="0">
      <items count="6">
        <item x="2"/>
        <item x="0"/>
        <item x="4"/>
        <item x="1"/>
        <item x="3"/>
        <item t="default"/>
      </items>
    </pivotField>
    <pivotField showAll="0"/>
    <pivotField showAll="0"/>
    <pivotField showAll="0"/>
    <pivotField showAll="0"/>
    <pivotField showAll="0">
      <items count="390">
        <item x="87"/>
        <item x="250"/>
        <item x="160"/>
        <item x="93"/>
        <item x="122"/>
        <item x="206"/>
        <item x="222"/>
        <item x="281"/>
        <item x="5"/>
        <item x="29"/>
        <item x="97"/>
        <item x="139"/>
        <item x="74"/>
        <item x="361"/>
        <item x="378"/>
        <item x="345"/>
        <item x="117"/>
        <item x="49"/>
        <item x="218"/>
        <item x="172"/>
        <item x="32"/>
        <item x="334"/>
        <item x="291"/>
        <item x="355"/>
        <item x="105"/>
        <item x="154"/>
        <item x="91"/>
        <item x="237"/>
        <item x="157"/>
        <item x="180"/>
        <item x="302"/>
        <item x="153"/>
        <item x="376"/>
        <item x="78"/>
        <item x="144"/>
        <item x="183"/>
        <item x="69"/>
        <item x="297"/>
        <item x="316"/>
        <item x="358"/>
        <item x="1"/>
        <item x="262"/>
        <item x="92"/>
        <item x="94"/>
        <item x="164"/>
        <item x="99"/>
        <item x="79"/>
        <item x="261"/>
        <item x="80"/>
        <item x="360"/>
        <item x="342"/>
        <item x="323"/>
        <item x="268"/>
        <item x="271"/>
        <item x="263"/>
        <item x="379"/>
        <item x="137"/>
        <item x="272"/>
        <item x="174"/>
        <item x="185"/>
        <item x="11"/>
        <item x="258"/>
        <item x="230"/>
        <item x="60"/>
        <item x="90"/>
        <item x="12"/>
        <item x="184"/>
        <item x="120"/>
        <item x="132"/>
        <item x="21"/>
        <item x="14"/>
        <item x="226"/>
        <item x="59"/>
        <item x="145"/>
        <item x="111"/>
        <item x="85"/>
        <item x="108"/>
        <item x="257"/>
        <item x="51"/>
        <item x="298"/>
        <item x="103"/>
        <item x="344"/>
        <item x="42"/>
        <item x="384"/>
        <item x="366"/>
        <item x="61"/>
        <item x="115"/>
        <item x="199"/>
        <item x="252"/>
        <item x="72"/>
        <item x="109"/>
        <item x="253"/>
        <item x="131"/>
        <item x="223"/>
        <item x="329"/>
        <item x="320"/>
        <item x="44"/>
        <item x="116"/>
        <item x="34"/>
        <item x="346"/>
        <item x="303"/>
        <item x="233"/>
        <item x="89"/>
        <item x="370"/>
        <item x="15"/>
        <item x="372"/>
        <item x="138"/>
        <item x="214"/>
        <item x="382"/>
        <item x="186"/>
        <item x="333"/>
        <item x="76"/>
        <item x="381"/>
        <item x="170"/>
        <item x="129"/>
        <item x="301"/>
        <item x="247"/>
        <item x="13"/>
        <item x="239"/>
        <item x="387"/>
        <item x="330"/>
        <item x="70"/>
        <item x="6"/>
        <item x="332"/>
        <item x="369"/>
        <item x="260"/>
        <item x="8"/>
        <item x="357"/>
        <item x="207"/>
        <item x="156"/>
        <item x="350"/>
        <item x="104"/>
        <item x="264"/>
        <item x="158"/>
        <item x="130"/>
        <item x="307"/>
        <item x="141"/>
        <item x="22"/>
        <item x="143"/>
        <item x="192"/>
        <item x="286"/>
        <item x="210"/>
        <item x="136"/>
        <item x="213"/>
        <item x="339"/>
        <item x="2"/>
        <item x="17"/>
        <item x="178"/>
        <item x="242"/>
        <item x="57"/>
        <item x="227"/>
        <item x="312"/>
        <item x="88"/>
        <item x="327"/>
        <item x="50"/>
        <item x="371"/>
        <item x="196"/>
        <item x="197"/>
        <item x="23"/>
        <item x="68"/>
        <item x="73"/>
        <item x="28"/>
        <item x="161"/>
        <item x="119"/>
        <item x="282"/>
        <item x="36"/>
        <item x="118"/>
        <item x="77"/>
        <item x="273"/>
        <item x="365"/>
        <item x="324"/>
        <item x="33"/>
        <item x="126"/>
        <item x="165"/>
        <item x="133"/>
        <item x="276"/>
        <item x="212"/>
        <item x="351"/>
        <item x="25"/>
        <item x="56"/>
        <item x="255"/>
        <item x="321"/>
        <item x="243"/>
        <item x="337"/>
        <item x="359"/>
        <item x="62"/>
        <item x="163"/>
        <item x="275"/>
        <item x="200"/>
        <item x="198"/>
        <item x="121"/>
        <item x="349"/>
        <item x="204"/>
        <item x="352"/>
        <item x="203"/>
        <item x="66"/>
        <item x="343"/>
        <item x="84"/>
        <item x="338"/>
        <item x="128"/>
        <item x="102"/>
        <item x="38"/>
        <item x="98"/>
        <item x="228"/>
        <item x="311"/>
        <item x="45"/>
        <item x="55"/>
        <item x="114"/>
        <item x="75"/>
        <item x="244"/>
        <item x="274"/>
        <item x="251"/>
        <item x="150"/>
        <item x="295"/>
        <item x="280"/>
        <item x="41"/>
        <item x="245"/>
        <item x="310"/>
        <item x="267"/>
        <item x="52"/>
        <item x="171"/>
        <item x="19"/>
        <item x="30"/>
        <item x="123"/>
        <item x="347"/>
        <item x="362"/>
        <item x="305"/>
        <item x="248"/>
        <item x="216"/>
        <item x="304"/>
        <item x="363"/>
        <item x="364"/>
        <item x="9"/>
        <item x="336"/>
        <item x="10"/>
        <item x="175"/>
        <item x="177"/>
        <item x="232"/>
        <item x="348"/>
        <item x="328"/>
        <item x="127"/>
        <item x="149"/>
        <item x="3"/>
        <item x="7"/>
        <item x="249"/>
        <item x="135"/>
        <item x="64"/>
        <item x="309"/>
        <item x="124"/>
        <item x="377"/>
        <item x="191"/>
        <item x="341"/>
        <item x="125"/>
        <item x="101"/>
        <item x="270"/>
        <item x="16"/>
        <item x="254"/>
        <item x="205"/>
        <item x="39"/>
        <item x="283"/>
        <item x="4"/>
        <item x="208"/>
        <item x="46"/>
        <item x="148"/>
        <item x="306"/>
        <item x="142"/>
        <item x="383"/>
        <item x="315"/>
        <item x="279"/>
        <item x="235"/>
        <item x="35"/>
        <item x="155"/>
        <item x="48"/>
        <item x="47"/>
        <item x="356"/>
        <item x="238"/>
        <item x="63"/>
        <item x="229"/>
        <item x="173"/>
        <item x="373"/>
        <item x="202"/>
        <item x="225"/>
        <item x="284"/>
        <item x="296"/>
        <item x="95"/>
        <item x="112"/>
        <item x="71"/>
        <item x="179"/>
        <item x="259"/>
        <item x="18"/>
        <item x="159"/>
        <item x="152"/>
        <item x="96"/>
        <item x="375"/>
        <item x="290"/>
        <item x="288"/>
        <item x="86"/>
        <item x="26"/>
        <item x="246"/>
        <item x="167"/>
        <item x="234"/>
        <item x="193"/>
        <item x="20"/>
        <item x="58"/>
        <item x="317"/>
        <item x="294"/>
        <item x="201"/>
        <item x="151"/>
        <item x="188"/>
        <item x="189"/>
        <item x="110"/>
        <item x="82"/>
        <item x="300"/>
        <item x="134"/>
        <item x="187"/>
        <item x="221"/>
        <item x="388"/>
        <item x="299"/>
        <item x="313"/>
        <item x="236"/>
        <item x="211"/>
        <item x="195"/>
        <item x="314"/>
        <item x="367"/>
        <item x="224"/>
        <item x="113"/>
        <item x="318"/>
        <item x="374"/>
        <item x="386"/>
        <item x="27"/>
        <item x="277"/>
        <item x="0"/>
        <item x="326"/>
        <item x="209"/>
        <item x="231"/>
        <item x="31"/>
        <item x="168"/>
        <item x="194"/>
        <item x="289"/>
        <item x="140"/>
        <item x="335"/>
        <item x="353"/>
        <item x="269"/>
        <item x="169"/>
        <item x="217"/>
        <item x="181"/>
        <item x="293"/>
        <item x="380"/>
        <item x="292"/>
        <item x="219"/>
        <item x="215"/>
        <item x="322"/>
        <item x="331"/>
        <item x="285"/>
        <item x="65"/>
        <item x="241"/>
        <item x="319"/>
        <item x="368"/>
        <item x="240"/>
        <item x="176"/>
        <item x="24"/>
        <item x="43"/>
        <item x="256"/>
        <item x="182"/>
        <item x="278"/>
        <item x="287"/>
        <item x="100"/>
        <item x="146"/>
        <item x="162"/>
        <item x="266"/>
        <item x="166"/>
        <item x="81"/>
        <item x="107"/>
        <item x="147"/>
        <item x="83"/>
        <item x="385"/>
        <item x="40"/>
        <item x="106"/>
        <item x="340"/>
        <item x="325"/>
        <item x="354"/>
        <item x="67"/>
        <item x="308"/>
        <item x="53"/>
        <item x="220"/>
        <item x="37"/>
        <item x="265"/>
        <item x="54"/>
        <item x="190"/>
        <item t="default"/>
      </items>
    </pivotField>
    <pivotField showAll="0"/>
    <pivotField axis="axisRow" showAll="0">
      <items count="3">
        <item x="0"/>
        <item x="1"/>
        <item t="default"/>
      </items>
    </pivotField>
  </pivotFields>
  <rowFields count="1">
    <field x="9"/>
  </rowFields>
  <rowItems count="3">
    <i>
      <x/>
    </i>
    <i>
      <x v="1"/>
    </i>
    <i t="grand">
      <x/>
    </i>
  </rowItems>
  <colItems count="1">
    <i/>
  </colItems>
  <dataFields count="1">
    <dataField name="Count of Product id" fld="0"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319D5-1E64-4F4B-A8E3-D7EB99EC9B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K15" firstHeaderRow="1" firstDataRow="1" firstDataCol="1"/>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measureFilter="1" sortType="descending">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showAll="0">
      <items count="6">
        <item x="2"/>
        <item x="0"/>
        <item x="4"/>
        <item x="1"/>
        <item x="3"/>
        <item t="default"/>
      </items>
    </pivotField>
    <pivotField showAll="0"/>
    <pivotField showAll="0"/>
    <pivotField showAll="0"/>
    <pivotField dataField="1" showAll="0"/>
    <pivotField showAll="0"/>
    <pivotField showAll="0"/>
    <pivotField showAll="0">
      <items count="3">
        <item x="0"/>
        <item x="1"/>
        <item t="default"/>
      </items>
    </pivotField>
  </pivotFields>
  <rowFields count="1">
    <field x="1"/>
  </rowFields>
  <rowItems count="11">
    <i>
      <x v="103"/>
    </i>
    <i>
      <x v="236"/>
    </i>
    <i>
      <x v="320"/>
    </i>
    <i>
      <x v="494"/>
    </i>
    <i>
      <x v="408"/>
    </i>
    <i>
      <x v="436"/>
    </i>
    <i>
      <x v="234"/>
    </i>
    <i>
      <x v="10"/>
    </i>
    <i>
      <x v="235"/>
    </i>
    <i>
      <x v="250"/>
    </i>
    <i t="grand">
      <x/>
    </i>
  </rowItems>
  <colItems count="1">
    <i/>
  </colItems>
  <dataFields count="1">
    <dataField name="Sum of Total Sold" fld="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1C8B7-44EC-4FCF-BF78-17F396D9EE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G10" firstHeaderRow="1" firstDataRow="1" firstDataCol="1"/>
  <pivotFields count="10">
    <pivotField showAll="0"/>
    <pivotField showAll="0"/>
    <pivotField axis="axisRow" showAll="0">
      <items count="6">
        <item x="2"/>
        <item x="0"/>
        <item x="4"/>
        <item x="1"/>
        <item x="3"/>
        <item t="default"/>
      </items>
    </pivotField>
    <pivotField showAll="0"/>
    <pivotField showAll="0"/>
    <pivotField showAll="0"/>
    <pivotField showAll="0"/>
    <pivotField showAll="0"/>
    <pivotField dataField="1" showAll="0"/>
    <pivotField showAll="0">
      <items count="3">
        <item x="0"/>
        <item x="1"/>
        <item t="default"/>
      </items>
    </pivotField>
  </pivotFields>
  <rowFields count="1">
    <field x="2"/>
  </rowFields>
  <rowItems count="6">
    <i>
      <x/>
    </i>
    <i>
      <x v="1"/>
    </i>
    <i>
      <x v="2"/>
    </i>
    <i>
      <x v="3"/>
    </i>
    <i>
      <x v="4"/>
    </i>
    <i t="grand">
      <x/>
    </i>
  </rowItems>
  <colItems count="1">
    <i/>
  </colItems>
  <dataFields count="1">
    <dataField name="Sum of Inventory Value" fld="8" baseField="0" baseItem="0"/>
  </dataField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2"/>
          </reference>
        </references>
      </pivotArea>
    </chartFormat>
    <chartFormat chart="9" format="5">
      <pivotArea type="data" outline="0" fieldPosition="0">
        <references count="2">
          <reference field="4294967294" count="1" selected="0">
            <x v="0"/>
          </reference>
          <reference field="2" count="1" selected="0">
            <x v="3"/>
          </reference>
        </references>
      </pivotArea>
    </chartFormat>
    <chartFormat chart="9"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755884-F3F8-43BD-B32D-D604B1AE50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10" firstHeaderRow="1" firstDataRow="1" firstDataCol="1"/>
  <pivotFields count="10">
    <pivotField showAll="0"/>
    <pivotField showAll="0"/>
    <pivotField axis="axisRow" showAll="0">
      <items count="6">
        <item x="2"/>
        <item x="0"/>
        <item x="4"/>
        <item x="1"/>
        <item x="3"/>
        <item t="default"/>
      </items>
    </pivotField>
    <pivotField showAll="0"/>
    <pivotField showAll="0"/>
    <pivotField showAll="0"/>
    <pivotField showAll="0"/>
    <pivotField dataField="1" showAll="0"/>
    <pivotField showAll="0"/>
    <pivotField showAll="0">
      <items count="3">
        <item x="0"/>
        <item x="1"/>
        <item t="default"/>
      </items>
    </pivotField>
  </pivotFields>
  <rowFields count="1">
    <field x="2"/>
  </rowFields>
  <rowItems count="6">
    <i>
      <x/>
    </i>
    <i>
      <x v="1"/>
    </i>
    <i>
      <x v="2"/>
    </i>
    <i>
      <x v="3"/>
    </i>
    <i>
      <x v="4"/>
    </i>
    <i t="grand">
      <x/>
    </i>
  </rowItems>
  <colItems count="1">
    <i/>
  </colItems>
  <dataFields count="1">
    <dataField name="Sum of Current Stock"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29CE6-BD18-4922-AEB3-A78372553F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23" firstHeaderRow="1" firstDataRow="1" firstDataCol="1"/>
  <pivotFields count="10">
    <pivotField showAll="0"/>
    <pivotField axis="axisRow" showAll="0" measureFilter="1" sortType="descending">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showAll="0">
      <items count="6">
        <item x="2"/>
        <item x="0"/>
        <item x="4"/>
        <item x="1"/>
        <item x="3"/>
        <item t="default"/>
      </items>
    </pivotField>
    <pivotField showAll="0"/>
    <pivotField showAll="0"/>
    <pivotField showAll="0"/>
    <pivotField showAll="0"/>
    <pivotField showAll="0"/>
    <pivotField dataField="1" showAll="0"/>
    <pivotField showAll="0">
      <items count="3">
        <item x="0"/>
        <item x="1"/>
        <item t="default"/>
      </items>
    </pivotField>
  </pivotFields>
  <rowFields count="1">
    <field x="1"/>
  </rowFields>
  <rowItems count="11">
    <i>
      <x v="128"/>
    </i>
    <i>
      <x v="174"/>
    </i>
    <i>
      <x v="345"/>
    </i>
    <i>
      <x v="384"/>
    </i>
    <i>
      <x v="487"/>
    </i>
    <i>
      <x v="362"/>
    </i>
    <i>
      <x v="455"/>
    </i>
    <i>
      <x v="277"/>
    </i>
    <i>
      <x v="10"/>
    </i>
    <i>
      <x v="422"/>
    </i>
    <i t="grand">
      <x/>
    </i>
  </rowItems>
  <colItems count="1">
    <i/>
  </colItems>
  <dataFields count="1">
    <dataField name="Sum of Inventory Value" fld="8"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ECF1A1-AC05-4A8C-96D8-1E83B9EF5088}" sourceName="Category">
  <pivotTables>
    <pivotTable tabId="7" name="PivotTable3"/>
    <pivotTable tabId="7" name="PivotTable1"/>
    <pivotTable tabId="7" name="PivotTable2"/>
    <pivotTable tabId="7" name="PivotTable4"/>
    <pivotTable tabId="7" name="PivotTable5"/>
  </pivotTables>
  <data>
    <tabular pivotCacheId="2012248339">
      <items count="5">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w_Stock_Alert" xr10:uid="{DD6969E8-5DA2-4DBB-9850-BFAD287DF27B}" sourceName="Low Stock Alert">
  <pivotTables>
    <pivotTable tabId="7" name="PivotTable3"/>
    <pivotTable tabId="7" name="PivotTable1"/>
    <pivotTable tabId="7" name="PivotTable2"/>
    <pivotTable tabId="7" name="PivotTable4"/>
    <pivotTable tabId="7" name="PivotTable5"/>
  </pivotTables>
  <data>
    <tabular pivotCacheId="20122483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FDAB9E3-8633-40EB-9FCA-197FB624E57A}" cache="Slicer_Category" caption="Category" rowHeight="234950"/>
  <slicer name="Low Stock Alert 1" xr10:uid="{2B2DC01E-7890-491A-AB11-15E7F74D4198}" cache="Slicer_Low_Stock_Alert" caption="Low Stock Aler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B8CAF7-5324-4ADD-9058-1E2A9956FD62}" name="Table1" displayName="Table1" ref="A1:J501" totalsRowShown="0" headerRowDxfId="5">
  <autoFilter ref="A1:J501" xr:uid="{93B8CAF7-5324-4ADD-9058-1E2A9956FD62}">
    <filterColumn colId="9">
      <filters>
        <filter val="Recorder"/>
      </filters>
    </filterColumn>
  </autoFilter>
  <tableColumns count="10">
    <tableColumn id="1" xr3:uid="{9D4766F2-9D30-4248-A377-2DFB5457C3A2}" name="Product id"/>
    <tableColumn id="2" xr3:uid="{827C41B7-D554-4C94-9183-36AF69CB1C4A}" name="Product Name"/>
    <tableColumn id="3" xr3:uid="{97D2D554-23BB-43D8-9D29-CE2D31FFDD0E}" name="Category"/>
    <tableColumn id="4" xr3:uid="{501A253E-5CB3-49BC-9248-D204E30D22CB}" name="Unit Cost"/>
    <tableColumn id="5" xr3:uid="{23BBC659-F135-4900-94FF-85CC092B915B}" name="Opening Stock"/>
    <tableColumn id="6" xr3:uid="{75DA1AEF-5D42-4DE9-8839-8F692FDC02D9}" name="Total Purchased" dataDxfId="4">
      <calculatedColumnFormula>SUMIFS(Purchases!$C:$C,Purchases!$B:$B,A2)</calculatedColumnFormula>
    </tableColumn>
    <tableColumn id="7" xr3:uid="{CD54219D-9376-49B6-84B9-BF00B81B2A28}" name="Total Sold" dataDxfId="3">
      <calculatedColumnFormula>SUMIFS(Sales!$C:$C,Sales!$B:$B,A2)</calculatedColumnFormula>
    </tableColumn>
    <tableColumn id="8" xr3:uid="{625C3078-4EA9-4E45-B50F-94C81E50C14D}" name="Current Stock" dataDxfId="2">
      <calculatedColumnFormula>E2+F2-G2</calculatedColumnFormula>
    </tableColumn>
    <tableColumn id="9" xr3:uid="{936A0A5F-4FDC-4823-B74C-FA46AA6BD57B}" name="Inventory Value" dataDxfId="1">
      <calculatedColumnFormula>Table1[[#This Row],[Current Stock]]*Table1[[#This Row],[Unit Cost]]</calculatedColumnFormula>
    </tableColumn>
    <tableColumn id="10" xr3:uid="{98A94BD8-B64A-49D4-A2B9-9C53E4546D73}" name="Stock Status" dataDxfId="0">
      <calculatedColumnFormula>IF(H2&lt;50,"Recorder","Ok")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workbookViewId="0">
      <selection activeCell="H23" sqref="H23"/>
    </sheetView>
  </sheetViews>
  <sheetFormatPr defaultRowHeight="14.4" x14ac:dyDescent="0.3"/>
  <cols>
    <col min="1" max="1" width="9.88671875" bestFit="1" customWidth="1"/>
    <col min="2" max="2" width="13.21875" bestFit="1" customWidth="1"/>
    <col min="3" max="3" width="13.109375" bestFit="1" customWidth="1"/>
    <col min="4" max="4" width="8.6640625" bestFit="1" customWidth="1"/>
    <col min="5" max="5" width="13.33203125" bestFit="1" customWidth="1"/>
  </cols>
  <sheetData>
    <row r="1" spans="1:5" x14ac:dyDescent="0.3">
      <c r="A1" s="1" t="s">
        <v>0</v>
      </c>
      <c r="B1" s="1" t="s">
        <v>1</v>
      </c>
      <c r="C1" s="1" t="s">
        <v>2</v>
      </c>
      <c r="D1" s="1" t="s">
        <v>3</v>
      </c>
      <c r="E1" s="1" t="s">
        <v>4</v>
      </c>
    </row>
    <row r="2" spans="1:5" x14ac:dyDescent="0.3">
      <c r="A2" t="s">
        <v>5</v>
      </c>
      <c r="B2" t="s">
        <v>6</v>
      </c>
      <c r="C2" t="s">
        <v>7</v>
      </c>
      <c r="D2">
        <v>1739</v>
      </c>
      <c r="E2">
        <v>399</v>
      </c>
    </row>
    <row r="3" spans="1:5" x14ac:dyDescent="0.3">
      <c r="A3" t="s">
        <v>8</v>
      </c>
      <c r="B3" t="s">
        <v>9</v>
      </c>
      <c r="C3" t="s">
        <v>10</v>
      </c>
      <c r="D3">
        <v>16149</v>
      </c>
      <c r="E3">
        <v>134</v>
      </c>
    </row>
    <row r="4" spans="1:5" x14ac:dyDescent="0.3">
      <c r="A4" t="s">
        <v>11</v>
      </c>
      <c r="B4" t="s">
        <v>12</v>
      </c>
      <c r="C4" t="s">
        <v>13</v>
      </c>
      <c r="D4">
        <v>48365</v>
      </c>
      <c r="E4">
        <v>72</v>
      </c>
    </row>
    <row r="5" spans="1:5" x14ac:dyDescent="0.3">
      <c r="A5" t="s">
        <v>14</v>
      </c>
      <c r="B5" t="s">
        <v>15</v>
      </c>
      <c r="C5" t="s">
        <v>16</v>
      </c>
      <c r="D5">
        <v>5797</v>
      </c>
      <c r="E5">
        <v>322</v>
      </c>
    </row>
    <row r="6" spans="1:5" x14ac:dyDescent="0.3">
      <c r="A6" t="s">
        <v>17</v>
      </c>
      <c r="B6" t="s">
        <v>18</v>
      </c>
      <c r="C6" t="s">
        <v>19</v>
      </c>
      <c r="D6">
        <v>2182</v>
      </c>
      <c r="E6">
        <v>35</v>
      </c>
    </row>
    <row r="7" spans="1:5" x14ac:dyDescent="0.3">
      <c r="A7" t="s">
        <v>20</v>
      </c>
      <c r="B7" t="s">
        <v>21</v>
      </c>
      <c r="C7" t="s">
        <v>7</v>
      </c>
      <c r="D7">
        <v>14428</v>
      </c>
      <c r="E7">
        <v>139</v>
      </c>
    </row>
    <row r="8" spans="1:5" x14ac:dyDescent="0.3">
      <c r="A8" t="s">
        <v>22</v>
      </c>
      <c r="B8" t="s">
        <v>23</v>
      </c>
      <c r="C8" t="s">
        <v>16</v>
      </c>
      <c r="D8">
        <v>39553</v>
      </c>
      <c r="E8">
        <v>33</v>
      </c>
    </row>
    <row r="9" spans="1:5" x14ac:dyDescent="0.3">
      <c r="A9" t="s">
        <v>24</v>
      </c>
      <c r="B9" t="s">
        <v>25</v>
      </c>
      <c r="C9" t="s">
        <v>16</v>
      </c>
      <c r="D9">
        <v>13131</v>
      </c>
      <c r="E9">
        <v>386</v>
      </c>
    </row>
    <row r="10" spans="1:5" x14ac:dyDescent="0.3">
      <c r="A10" t="s">
        <v>26</v>
      </c>
      <c r="B10" t="s">
        <v>27</v>
      </c>
      <c r="C10" t="s">
        <v>16</v>
      </c>
      <c r="D10">
        <v>27593</v>
      </c>
      <c r="E10">
        <v>132</v>
      </c>
    </row>
    <row r="11" spans="1:5" x14ac:dyDescent="0.3">
      <c r="A11" t="s">
        <v>28</v>
      </c>
      <c r="B11" t="s">
        <v>29</v>
      </c>
      <c r="C11" t="s">
        <v>19</v>
      </c>
      <c r="D11">
        <v>38718</v>
      </c>
      <c r="E11">
        <v>162</v>
      </c>
    </row>
    <row r="12" spans="1:5" x14ac:dyDescent="0.3">
      <c r="A12" t="s">
        <v>30</v>
      </c>
      <c r="B12" t="s">
        <v>31</v>
      </c>
      <c r="C12" t="s">
        <v>7</v>
      </c>
      <c r="D12">
        <v>49829</v>
      </c>
      <c r="E12">
        <v>432</v>
      </c>
    </row>
    <row r="13" spans="1:5" x14ac:dyDescent="0.3">
      <c r="A13" t="s">
        <v>32</v>
      </c>
      <c r="B13" t="s">
        <v>33</v>
      </c>
      <c r="C13" t="s">
        <v>13</v>
      </c>
      <c r="D13">
        <v>45853</v>
      </c>
      <c r="E13">
        <v>236</v>
      </c>
    </row>
    <row r="14" spans="1:5" x14ac:dyDescent="0.3">
      <c r="A14" t="s">
        <v>34</v>
      </c>
      <c r="B14" t="s">
        <v>35</v>
      </c>
      <c r="C14" t="s">
        <v>10</v>
      </c>
      <c r="D14">
        <v>18310</v>
      </c>
      <c r="E14">
        <v>99</v>
      </c>
    </row>
    <row r="15" spans="1:5" x14ac:dyDescent="0.3">
      <c r="A15" t="s">
        <v>36</v>
      </c>
      <c r="B15" t="s">
        <v>37</v>
      </c>
      <c r="C15" t="s">
        <v>13</v>
      </c>
      <c r="D15">
        <v>22159</v>
      </c>
      <c r="E15">
        <v>72</v>
      </c>
    </row>
    <row r="16" spans="1:5" x14ac:dyDescent="0.3">
      <c r="A16" t="s">
        <v>38</v>
      </c>
      <c r="B16" t="s">
        <v>39</v>
      </c>
      <c r="C16" t="s">
        <v>7</v>
      </c>
      <c r="D16">
        <v>24998</v>
      </c>
      <c r="E16">
        <v>69</v>
      </c>
    </row>
    <row r="17" spans="1:5" x14ac:dyDescent="0.3">
      <c r="A17" t="s">
        <v>40</v>
      </c>
      <c r="B17" t="s">
        <v>41</v>
      </c>
      <c r="C17" t="s">
        <v>10</v>
      </c>
      <c r="D17">
        <v>22641</v>
      </c>
      <c r="E17">
        <v>329</v>
      </c>
    </row>
    <row r="18" spans="1:5" x14ac:dyDescent="0.3">
      <c r="A18" t="s">
        <v>42</v>
      </c>
      <c r="B18" t="s">
        <v>43</v>
      </c>
      <c r="C18" t="s">
        <v>10</v>
      </c>
      <c r="D18">
        <v>2947</v>
      </c>
      <c r="E18">
        <v>393</v>
      </c>
    </row>
    <row r="19" spans="1:5" x14ac:dyDescent="0.3">
      <c r="A19" t="s">
        <v>44</v>
      </c>
      <c r="B19" t="s">
        <v>45</v>
      </c>
      <c r="C19" t="s">
        <v>19</v>
      </c>
      <c r="D19">
        <v>35242</v>
      </c>
      <c r="E19">
        <v>83</v>
      </c>
    </row>
    <row r="20" spans="1:5" x14ac:dyDescent="0.3">
      <c r="A20" t="s">
        <v>46</v>
      </c>
      <c r="B20" t="s">
        <v>47</v>
      </c>
      <c r="C20" t="s">
        <v>19</v>
      </c>
      <c r="D20">
        <v>5264</v>
      </c>
      <c r="E20">
        <v>302</v>
      </c>
    </row>
    <row r="21" spans="1:5" x14ac:dyDescent="0.3">
      <c r="A21" t="s">
        <v>48</v>
      </c>
      <c r="B21" t="s">
        <v>49</v>
      </c>
      <c r="C21" t="s">
        <v>10</v>
      </c>
      <c r="D21">
        <v>41298</v>
      </c>
      <c r="E21">
        <v>336</v>
      </c>
    </row>
    <row r="22" spans="1:5" x14ac:dyDescent="0.3">
      <c r="A22" t="s">
        <v>50</v>
      </c>
      <c r="B22" t="s">
        <v>51</v>
      </c>
      <c r="C22" t="s">
        <v>10</v>
      </c>
      <c r="D22">
        <v>37937</v>
      </c>
      <c r="E22">
        <v>118</v>
      </c>
    </row>
    <row r="23" spans="1:5" x14ac:dyDescent="0.3">
      <c r="A23" t="s">
        <v>52</v>
      </c>
      <c r="B23" t="s">
        <v>53</v>
      </c>
      <c r="C23" t="s">
        <v>7</v>
      </c>
      <c r="D23">
        <v>3103</v>
      </c>
      <c r="E23">
        <v>358</v>
      </c>
    </row>
    <row r="24" spans="1:5" x14ac:dyDescent="0.3">
      <c r="A24" t="s">
        <v>54</v>
      </c>
      <c r="B24" t="s">
        <v>55</v>
      </c>
      <c r="C24" t="s">
        <v>13</v>
      </c>
      <c r="D24">
        <v>19065</v>
      </c>
      <c r="E24">
        <v>60</v>
      </c>
    </row>
    <row r="25" spans="1:5" x14ac:dyDescent="0.3">
      <c r="A25" t="s">
        <v>56</v>
      </c>
      <c r="B25" t="s">
        <v>57</v>
      </c>
      <c r="C25" t="s">
        <v>13</v>
      </c>
      <c r="D25">
        <v>6719</v>
      </c>
      <c r="E25">
        <v>214</v>
      </c>
    </row>
    <row r="26" spans="1:5" x14ac:dyDescent="0.3">
      <c r="A26" t="s">
        <v>58</v>
      </c>
      <c r="B26" t="s">
        <v>59</v>
      </c>
      <c r="C26" t="s">
        <v>10</v>
      </c>
      <c r="D26">
        <v>29814</v>
      </c>
      <c r="E26">
        <v>345</v>
      </c>
    </row>
    <row r="27" spans="1:5" x14ac:dyDescent="0.3">
      <c r="A27" t="s">
        <v>60</v>
      </c>
      <c r="B27" t="s">
        <v>61</v>
      </c>
      <c r="C27" t="s">
        <v>10</v>
      </c>
      <c r="D27">
        <v>10759</v>
      </c>
      <c r="E27">
        <v>209</v>
      </c>
    </row>
    <row r="28" spans="1:5" x14ac:dyDescent="0.3">
      <c r="A28" t="s">
        <v>62</v>
      </c>
      <c r="B28" t="s">
        <v>63</v>
      </c>
      <c r="C28" t="s">
        <v>10</v>
      </c>
      <c r="D28">
        <v>13830</v>
      </c>
      <c r="E28">
        <v>363</v>
      </c>
    </row>
    <row r="29" spans="1:5" x14ac:dyDescent="0.3">
      <c r="A29" t="s">
        <v>64</v>
      </c>
      <c r="B29" t="s">
        <v>65</v>
      </c>
      <c r="C29" t="s">
        <v>10</v>
      </c>
      <c r="D29">
        <v>46094</v>
      </c>
      <c r="E29">
        <v>499</v>
      </c>
    </row>
    <row r="30" spans="1:5" x14ac:dyDescent="0.3">
      <c r="A30" t="s">
        <v>66</v>
      </c>
      <c r="B30" t="s">
        <v>67</v>
      </c>
      <c r="C30" t="s">
        <v>7</v>
      </c>
      <c r="D30">
        <v>40020</v>
      </c>
      <c r="E30">
        <v>345</v>
      </c>
    </row>
    <row r="31" spans="1:5" x14ac:dyDescent="0.3">
      <c r="A31" t="s">
        <v>68</v>
      </c>
      <c r="B31" t="s">
        <v>69</v>
      </c>
      <c r="C31" t="s">
        <v>13</v>
      </c>
      <c r="D31">
        <v>35105</v>
      </c>
      <c r="E31">
        <v>393</v>
      </c>
    </row>
    <row r="32" spans="1:5" x14ac:dyDescent="0.3">
      <c r="A32" t="s">
        <v>70</v>
      </c>
      <c r="B32" t="s">
        <v>71</v>
      </c>
      <c r="C32" t="s">
        <v>13</v>
      </c>
      <c r="D32">
        <v>10808</v>
      </c>
      <c r="E32">
        <v>256</v>
      </c>
    </row>
    <row r="33" spans="1:5" x14ac:dyDescent="0.3">
      <c r="A33" t="s">
        <v>72</v>
      </c>
      <c r="B33" t="s">
        <v>73</v>
      </c>
      <c r="C33" t="s">
        <v>19</v>
      </c>
      <c r="D33">
        <v>17791</v>
      </c>
      <c r="E33">
        <v>493</v>
      </c>
    </row>
    <row r="34" spans="1:5" x14ac:dyDescent="0.3">
      <c r="A34" t="s">
        <v>74</v>
      </c>
      <c r="B34" t="s">
        <v>75</v>
      </c>
      <c r="C34" t="s">
        <v>16</v>
      </c>
      <c r="D34">
        <v>14492</v>
      </c>
      <c r="E34">
        <v>370</v>
      </c>
    </row>
    <row r="35" spans="1:5" x14ac:dyDescent="0.3">
      <c r="A35" t="s">
        <v>76</v>
      </c>
      <c r="B35" t="s">
        <v>77</v>
      </c>
      <c r="C35" t="s">
        <v>10</v>
      </c>
      <c r="D35">
        <v>3765</v>
      </c>
      <c r="E35">
        <v>137</v>
      </c>
    </row>
    <row r="36" spans="1:5" x14ac:dyDescent="0.3">
      <c r="A36" t="s">
        <v>78</v>
      </c>
      <c r="B36" t="s">
        <v>79</v>
      </c>
      <c r="C36" t="s">
        <v>7</v>
      </c>
      <c r="D36">
        <v>20773</v>
      </c>
      <c r="E36">
        <v>225</v>
      </c>
    </row>
    <row r="37" spans="1:5" x14ac:dyDescent="0.3">
      <c r="A37" t="s">
        <v>80</v>
      </c>
      <c r="B37" t="s">
        <v>81</v>
      </c>
      <c r="C37" t="s">
        <v>10</v>
      </c>
      <c r="D37">
        <v>4437</v>
      </c>
      <c r="E37">
        <v>128</v>
      </c>
    </row>
    <row r="38" spans="1:5" x14ac:dyDescent="0.3">
      <c r="A38" t="s">
        <v>82</v>
      </c>
      <c r="B38" t="s">
        <v>83</v>
      </c>
      <c r="C38" t="s">
        <v>16</v>
      </c>
      <c r="D38">
        <v>47149</v>
      </c>
      <c r="E38">
        <v>181</v>
      </c>
    </row>
    <row r="39" spans="1:5" x14ac:dyDescent="0.3">
      <c r="A39" t="s">
        <v>84</v>
      </c>
      <c r="B39" t="s">
        <v>85</v>
      </c>
      <c r="C39" t="s">
        <v>13</v>
      </c>
      <c r="D39">
        <v>43054</v>
      </c>
      <c r="E39">
        <v>275</v>
      </c>
    </row>
    <row r="40" spans="1:5" x14ac:dyDescent="0.3">
      <c r="A40" t="s">
        <v>86</v>
      </c>
      <c r="B40" t="s">
        <v>87</v>
      </c>
      <c r="C40" t="s">
        <v>19</v>
      </c>
      <c r="D40">
        <v>42229</v>
      </c>
      <c r="E40">
        <v>254</v>
      </c>
    </row>
    <row r="41" spans="1:5" x14ac:dyDescent="0.3">
      <c r="A41" t="s">
        <v>88</v>
      </c>
      <c r="B41" t="s">
        <v>89</v>
      </c>
      <c r="C41" t="s">
        <v>13</v>
      </c>
      <c r="D41">
        <v>17459</v>
      </c>
      <c r="E41">
        <v>91</v>
      </c>
    </row>
    <row r="42" spans="1:5" x14ac:dyDescent="0.3">
      <c r="A42" t="s">
        <v>90</v>
      </c>
      <c r="B42" t="s">
        <v>91</v>
      </c>
      <c r="C42" t="s">
        <v>13</v>
      </c>
      <c r="D42">
        <v>48923</v>
      </c>
      <c r="E42">
        <v>307</v>
      </c>
    </row>
    <row r="43" spans="1:5" x14ac:dyDescent="0.3">
      <c r="A43" t="s">
        <v>92</v>
      </c>
      <c r="B43" t="s">
        <v>93</v>
      </c>
      <c r="C43" t="s">
        <v>16</v>
      </c>
      <c r="D43">
        <v>17319</v>
      </c>
      <c r="E43">
        <v>402</v>
      </c>
    </row>
    <row r="44" spans="1:5" x14ac:dyDescent="0.3">
      <c r="A44" t="s">
        <v>94</v>
      </c>
      <c r="B44" t="s">
        <v>95</v>
      </c>
      <c r="C44" t="s">
        <v>16</v>
      </c>
      <c r="D44">
        <v>28177</v>
      </c>
      <c r="E44">
        <v>479</v>
      </c>
    </row>
    <row r="45" spans="1:5" x14ac:dyDescent="0.3">
      <c r="A45" t="s">
        <v>96</v>
      </c>
      <c r="B45" t="s">
        <v>97</v>
      </c>
      <c r="C45" t="s">
        <v>16</v>
      </c>
      <c r="D45">
        <v>26275</v>
      </c>
      <c r="E45">
        <v>205</v>
      </c>
    </row>
    <row r="46" spans="1:5" x14ac:dyDescent="0.3">
      <c r="A46" t="s">
        <v>98</v>
      </c>
      <c r="B46" t="s">
        <v>99</v>
      </c>
      <c r="C46" t="s">
        <v>13</v>
      </c>
      <c r="D46">
        <v>9165</v>
      </c>
      <c r="E46">
        <v>280</v>
      </c>
    </row>
    <row r="47" spans="1:5" x14ac:dyDescent="0.3">
      <c r="A47" t="s">
        <v>100</v>
      </c>
      <c r="B47" t="s">
        <v>101</v>
      </c>
      <c r="C47" t="s">
        <v>19</v>
      </c>
      <c r="D47">
        <v>6057</v>
      </c>
      <c r="E47">
        <v>406</v>
      </c>
    </row>
    <row r="48" spans="1:5" x14ac:dyDescent="0.3">
      <c r="A48" t="s">
        <v>102</v>
      </c>
      <c r="B48" t="s">
        <v>103</v>
      </c>
      <c r="C48" t="s">
        <v>7</v>
      </c>
      <c r="D48">
        <v>7285</v>
      </c>
      <c r="E48">
        <v>98</v>
      </c>
    </row>
    <row r="49" spans="1:5" x14ac:dyDescent="0.3">
      <c r="A49" t="s">
        <v>104</v>
      </c>
      <c r="B49" t="s">
        <v>105</v>
      </c>
      <c r="C49" t="s">
        <v>13</v>
      </c>
      <c r="D49">
        <v>44696</v>
      </c>
      <c r="E49">
        <v>236</v>
      </c>
    </row>
    <row r="50" spans="1:5" x14ac:dyDescent="0.3">
      <c r="A50" t="s">
        <v>106</v>
      </c>
      <c r="B50" t="s">
        <v>107</v>
      </c>
      <c r="C50" t="s">
        <v>16</v>
      </c>
      <c r="D50">
        <v>4263</v>
      </c>
      <c r="E50">
        <v>217</v>
      </c>
    </row>
    <row r="51" spans="1:5" x14ac:dyDescent="0.3">
      <c r="A51" t="s">
        <v>108</v>
      </c>
      <c r="B51" t="s">
        <v>109</v>
      </c>
      <c r="C51" t="s">
        <v>19</v>
      </c>
      <c r="D51">
        <v>39152</v>
      </c>
      <c r="E51">
        <v>259</v>
      </c>
    </row>
    <row r="52" spans="1:5" x14ac:dyDescent="0.3">
      <c r="A52" t="s">
        <v>110</v>
      </c>
      <c r="B52" t="s">
        <v>111</v>
      </c>
      <c r="C52" t="s">
        <v>16</v>
      </c>
      <c r="D52">
        <v>16576</v>
      </c>
      <c r="E52">
        <v>303</v>
      </c>
    </row>
    <row r="53" spans="1:5" x14ac:dyDescent="0.3">
      <c r="A53" t="s">
        <v>112</v>
      </c>
      <c r="B53" t="s">
        <v>113</v>
      </c>
      <c r="C53" t="s">
        <v>7</v>
      </c>
      <c r="D53">
        <v>44683</v>
      </c>
      <c r="E53">
        <v>389</v>
      </c>
    </row>
    <row r="54" spans="1:5" x14ac:dyDescent="0.3">
      <c r="A54" t="s">
        <v>114</v>
      </c>
      <c r="B54" t="s">
        <v>115</v>
      </c>
      <c r="C54" t="s">
        <v>7</v>
      </c>
      <c r="D54">
        <v>44776</v>
      </c>
      <c r="E54">
        <v>473</v>
      </c>
    </row>
    <row r="55" spans="1:5" x14ac:dyDescent="0.3">
      <c r="A55" t="s">
        <v>116</v>
      </c>
      <c r="B55" t="s">
        <v>117</v>
      </c>
      <c r="C55" t="s">
        <v>16</v>
      </c>
      <c r="D55">
        <v>49309</v>
      </c>
      <c r="E55">
        <v>156</v>
      </c>
    </row>
    <row r="56" spans="1:5" x14ac:dyDescent="0.3">
      <c r="A56" t="s">
        <v>118</v>
      </c>
      <c r="B56" t="s">
        <v>119</v>
      </c>
      <c r="C56" t="s">
        <v>10</v>
      </c>
      <c r="D56">
        <v>7410</v>
      </c>
      <c r="E56">
        <v>170</v>
      </c>
    </row>
    <row r="57" spans="1:5" x14ac:dyDescent="0.3">
      <c r="A57" t="s">
        <v>120</v>
      </c>
      <c r="B57" t="s">
        <v>121</v>
      </c>
      <c r="C57" t="s">
        <v>19</v>
      </c>
      <c r="D57">
        <v>10465</v>
      </c>
      <c r="E57">
        <v>252</v>
      </c>
    </row>
    <row r="58" spans="1:5" x14ac:dyDescent="0.3">
      <c r="A58" t="s">
        <v>122</v>
      </c>
      <c r="B58" t="s">
        <v>123</v>
      </c>
      <c r="C58" t="s">
        <v>7</v>
      </c>
      <c r="D58">
        <v>47423</v>
      </c>
      <c r="E58">
        <v>468</v>
      </c>
    </row>
    <row r="59" spans="1:5" x14ac:dyDescent="0.3">
      <c r="A59" t="s">
        <v>124</v>
      </c>
      <c r="B59" t="s">
        <v>125</v>
      </c>
      <c r="C59" t="s">
        <v>10</v>
      </c>
      <c r="D59">
        <v>32906</v>
      </c>
      <c r="E59">
        <v>410</v>
      </c>
    </row>
    <row r="60" spans="1:5" x14ac:dyDescent="0.3">
      <c r="A60" t="s">
        <v>126</v>
      </c>
      <c r="B60" t="s">
        <v>127</v>
      </c>
      <c r="C60" t="s">
        <v>13</v>
      </c>
      <c r="D60">
        <v>33371</v>
      </c>
      <c r="E60">
        <v>487</v>
      </c>
    </row>
    <row r="61" spans="1:5" x14ac:dyDescent="0.3">
      <c r="A61" t="s">
        <v>128</v>
      </c>
      <c r="B61" t="s">
        <v>129</v>
      </c>
      <c r="C61" t="s">
        <v>7</v>
      </c>
      <c r="D61">
        <v>41079</v>
      </c>
      <c r="E61">
        <v>172</v>
      </c>
    </row>
    <row r="62" spans="1:5" x14ac:dyDescent="0.3">
      <c r="A62" t="s">
        <v>130</v>
      </c>
      <c r="B62" t="s">
        <v>131</v>
      </c>
      <c r="C62" t="s">
        <v>16</v>
      </c>
      <c r="D62">
        <v>40009</v>
      </c>
      <c r="E62">
        <v>121</v>
      </c>
    </row>
    <row r="63" spans="1:5" x14ac:dyDescent="0.3">
      <c r="A63" t="s">
        <v>132</v>
      </c>
      <c r="B63" t="s">
        <v>133</v>
      </c>
      <c r="C63" t="s">
        <v>13</v>
      </c>
      <c r="D63">
        <v>24604</v>
      </c>
      <c r="E63">
        <v>410</v>
      </c>
    </row>
    <row r="64" spans="1:5" x14ac:dyDescent="0.3">
      <c r="A64" t="s">
        <v>134</v>
      </c>
      <c r="B64" t="s">
        <v>135</v>
      </c>
      <c r="C64" t="s">
        <v>13</v>
      </c>
      <c r="D64">
        <v>35448</v>
      </c>
      <c r="E64">
        <v>418</v>
      </c>
    </row>
    <row r="65" spans="1:5" x14ac:dyDescent="0.3">
      <c r="A65" t="s">
        <v>136</v>
      </c>
      <c r="B65" t="s">
        <v>137</v>
      </c>
      <c r="C65" t="s">
        <v>16</v>
      </c>
      <c r="D65">
        <v>137</v>
      </c>
      <c r="E65">
        <v>326</v>
      </c>
    </row>
    <row r="66" spans="1:5" x14ac:dyDescent="0.3">
      <c r="A66" t="s">
        <v>138</v>
      </c>
      <c r="B66" t="s">
        <v>139</v>
      </c>
      <c r="C66" t="s">
        <v>10</v>
      </c>
      <c r="D66">
        <v>32121</v>
      </c>
      <c r="E66">
        <v>29</v>
      </c>
    </row>
    <row r="67" spans="1:5" x14ac:dyDescent="0.3">
      <c r="A67" t="s">
        <v>140</v>
      </c>
      <c r="B67" t="s">
        <v>141</v>
      </c>
      <c r="C67" t="s">
        <v>7</v>
      </c>
      <c r="D67">
        <v>23888</v>
      </c>
      <c r="E67">
        <v>469</v>
      </c>
    </row>
    <row r="68" spans="1:5" x14ac:dyDescent="0.3">
      <c r="A68" t="s">
        <v>142</v>
      </c>
      <c r="B68" t="s">
        <v>143</v>
      </c>
      <c r="C68" t="s">
        <v>10</v>
      </c>
      <c r="D68">
        <v>15792</v>
      </c>
      <c r="E68">
        <v>49</v>
      </c>
    </row>
    <row r="69" spans="1:5" x14ac:dyDescent="0.3">
      <c r="A69" t="s">
        <v>144</v>
      </c>
      <c r="B69" t="s">
        <v>145</v>
      </c>
      <c r="C69" t="s">
        <v>13</v>
      </c>
      <c r="D69">
        <v>37282</v>
      </c>
      <c r="E69">
        <v>60</v>
      </c>
    </row>
    <row r="70" spans="1:5" x14ac:dyDescent="0.3">
      <c r="A70" t="s">
        <v>146</v>
      </c>
      <c r="B70" t="s">
        <v>147</v>
      </c>
      <c r="C70" t="s">
        <v>7</v>
      </c>
      <c r="D70">
        <v>48066</v>
      </c>
      <c r="E70">
        <v>268</v>
      </c>
    </row>
    <row r="71" spans="1:5" x14ac:dyDescent="0.3">
      <c r="A71" t="s">
        <v>148</v>
      </c>
      <c r="B71" t="s">
        <v>149</v>
      </c>
      <c r="C71" t="s">
        <v>7</v>
      </c>
      <c r="D71">
        <v>49946</v>
      </c>
      <c r="E71">
        <v>292</v>
      </c>
    </row>
    <row r="72" spans="1:5" x14ac:dyDescent="0.3">
      <c r="A72" t="s">
        <v>150</v>
      </c>
      <c r="B72" t="s">
        <v>151</v>
      </c>
      <c r="C72" t="s">
        <v>13</v>
      </c>
      <c r="D72">
        <v>8514</v>
      </c>
      <c r="E72">
        <v>357</v>
      </c>
    </row>
    <row r="73" spans="1:5" x14ac:dyDescent="0.3">
      <c r="A73" t="s">
        <v>152</v>
      </c>
      <c r="B73" t="s">
        <v>153</v>
      </c>
      <c r="C73" t="s">
        <v>19</v>
      </c>
      <c r="D73">
        <v>36131</v>
      </c>
      <c r="E73">
        <v>104</v>
      </c>
    </row>
    <row r="74" spans="1:5" x14ac:dyDescent="0.3">
      <c r="A74" t="s">
        <v>154</v>
      </c>
      <c r="B74" t="s">
        <v>155</v>
      </c>
      <c r="C74" t="s">
        <v>10</v>
      </c>
      <c r="D74">
        <v>34681</v>
      </c>
      <c r="E74">
        <v>466</v>
      </c>
    </row>
    <row r="75" spans="1:5" x14ac:dyDescent="0.3">
      <c r="A75" t="s">
        <v>156</v>
      </c>
      <c r="B75" t="s">
        <v>157</v>
      </c>
      <c r="C75" t="s">
        <v>16</v>
      </c>
      <c r="D75">
        <v>27830</v>
      </c>
      <c r="E75">
        <v>128</v>
      </c>
    </row>
    <row r="76" spans="1:5" x14ac:dyDescent="0.3">
      <c r="A76" t="s">
        <v>158</v>
      </c>
      <c r="B76" t="s">
        <v>159</v>
      </c>
      <c r="C76" t="s">
        <v>16</v>
      </c>
      <c r="D76">
        <v>49597</v>
      </c>
      <c r="E76">
        <v>393</v>
      </c>
    </row>
    <row r="77" spans="1:5" x14ac:dyDescent="0.3">
      <c r="A77" t="s">
        <v>160</v>
      </c>
      <c r="B77" t="s">
        <v>161</v>
      </c>
      <c r="C77" t="s">
        <v>13</v>
      </c>
      <c r="D77">
        <v>46823</v>
      </c>
      <c r="E77">
        <v>179</v>
      </c>
    </row>
    <row r="78" spans="1:5" x14ac:dyDescent="0.3">
      <c r="A78" t="s">
        <v>162</v>
      </c>
      <c r="B78" t="s">
        <v>163</v>
      </c>
      <c r="C78" t="s">
        <v>19</v>
      </c>
      <c r="D78">
        <v>44119</v>
      </c>
      <c r="E78">
        <v>352</v>
      </c>
    </row>
    <row r="79" spans="1:5" x14ac:dyDescent="0.3">
      <c r="A79" t="s">
        <v>164</v>
      </c>
      <c r="B79" t="s">
        <v>165</v>
      </c>
      <c r="C79" t="s">
        <v>10</v>
      </c>
      <c r="D79">
        <v>28811</v>
      </c>
      <c r="E79">
        <v>480</v>
      </c>
    </row>
    <row r="80" spans="1:5" x14ac:dyDescent="0.3">
      <c r="A80" t="s">
        <v>166</v>
      </c>
      <c r="B80" t="s">
        <v>167</v>
      </c>
      <c r="C80" t="s">
        <v>16</v>
      </c>
      <c r="D80">
        <v>29688</v>
      </c>
      <c r="E80">
        <v>81</v>
      </c>
    </row>
    <row r="81" spans="1:5" x14ac:dyDescent="0.3">
      <c r="A81" t="s">
        <v>168</v>
      </c>
      <c r="B81" t="s">
        <v>169</v>
      </c>
      <c r="C81" t="s">
        <v>13</v>
      </c>
      <c r="D81">
        <v>14825</v>
      </c>
      <c r="E81">
        <v>52</v>
      </c>
    </row>
    <row r="82" spans="1:5" x14ac:dyDescent="0.3">
      <c r="A82" t="s">
        <v>170</v>
      </c>
      <c r="B82" t="s">
        <v>171</v>
      </c>
      <c r="C82" t="s">
        <v>10</v>
      </c>
      <c r="D82">
        <v>1478</v>
      </c>
      <c r="E82">
        <v>321</v>
      </c>
    </row>
    <row r="83" spans="1:5" x14ac:dyDescent="0.3">
      <c r="A83" t="s">
        <v>172</v>
      </c>
      <c r="B83" t="s">
        <v>173</v>
      </c>
      <c r="C83" t="s">
        <v>16</v>
      </c>
      <c r="D83">
        <v>15180</v>
      </c>
      <c r="E83">
        <v>321</v>
      </c>
    </row>
    <row r="84" spans="1:5" x14ac:dyDescent="0.3">
      <c r="A84" t="s">
        <v>174</v>
      </c>
      <c r="B84" t="s">
        <v>175</v>
      </c>
      <c r="C84" t="s">
        <v>13</v>
      </c>
      <c r="D84">
        <v>571</v>
      </c>
      <c r="E84">
        <v>56</v>
      </c>
    </row>
    <row r="85" spans="1:5" x14ac:dyDescent="0.3">
      <c r="A85" t="s">
        <v>176</v>
      </c>
      <c r="B85" t="s">
        <v>177</v>
      </c>
      <c r="C85" t="s">
        <v>7</v>
      </c>
      <c r="D85">
        <v>15103</v>
      </c>
      <c r="E85">
        <v>54</v>
      </c>
    </row>
    <row r="86" spans="1:5" x14ac:dyDescent="0.3">
      <c r="A86" t="s">
        <v>178</v>
      </c>
      <c r="B86" t="s">
        <v>179</v>
      </c>
      <c r="C86" t="s">
        <v>7</v>
      </c>
      <c r="D86">
        <v>21754</v>
      </c>
      <c r="E86">
        <v>56</v>
      </c>
    </row>
    <row r="87" spans="1:5" x14ac:dyDescent="0.3">
      <c r="A87" t="s">
        <v>180</v>
      </c>
      <c r="B87" t="s">
        <v>181</v>
      </c>
      <c r="C87" t="s">
        <v>16</v>
      </c>
      <c r="D87">
        <v>15697</v>
      </c>
      <c r="E87">
        <v>162</v>
      </c>
    </row>
    <row r="88" spans="1:5" x14ac:dyDescent="0.3">
      <c r="A88" t="s">
        <v>182</v>
      </c>
      <c r="B88" t="s">
        <v>183</v>
      </c>
      <c r="C88" t="s">
        <v>19</v>
      </c>
      <c r="D88">
        <v>14140</v>
      </c>
      <c r="E88">
        <v>296</v>
      </c>
    </row>
    <row r="89" spans="1:5" x14ac:dyDescent="0.3">
      <c r="A89" t="s">
        <v>184</v>
      </c>
      <c r="B89" t="s">
        <v>185</v>
      </c>
      <c r="C89" t="s">
        <v>13</v>
      </c>
      <c r="D89">
        <v>47505</v>
      </c>
      <c r="E89">
        <v>498</v>
      </c>
    </row>
    <row r="90" spans="1:5" x14ac:dyDescent="0.3">
      <c r="A90" t="s">
        <v>186</v>
      </c>
      <c r="B90" t="s">
        <v>187</v>
      </c>
      <c r="C90" t="s">
        <v>16</v>
      </c>
      <c r="D90">
        <v>37862</v>
      </c>
      <c r="E90">
        <v>262</v>
      </c>
    </row>
    <row r="91" spans="1:5" x14ac:dyDescent="0.3">
      <c r="A91" t="s">
        <v>188</v>
      </c>
      <c r="B91" t="s">
        <v>189</v>
      </c>
      <c r="C91" t="s">
        <v>13</v>
      </c>
      <c r="D91">
        <v>31096</v>
      </c>
      <c r="E91">
        <v>433</v>
      </c>
    </row>
    <row r="92" spans="1:5" x14ac:dyDescent="0.3">
      <c r="A92" t="s">
        <v>190</v>
      </c>
      <c r="B92" t="s">
        <v>191</v>
      </c>
      <c r="C92" t="s">
        <v>19</v>
      </c>
      <c r="D92">
        <v>12578</v>
      </c>
      <c r="E92">
        <v>68</v>
      </c>
    </row>
    <row r="93" spans="1:5" x14ac:dyDescent="0.3">
      <c r="A93" t="s">
        <v>192</v>
      </c>
      <c r="B93" t="s">
        <v>193</v>
      </c>
      <c r="C93" t="s">
        <v>7</v>
      </c>
      <c r="D93">
        <v>43287</v>
      </c>
      <c r="E93">
        <v>240</v>
      </c>
    </row>
    <row r="94" spans="1:5" x14ac:dyDescent="0.3">
      <c r="A94" t="s">
        <v>194</v>
      </c>
      <c r="B94" t="s">
        <v>195</v>
      </c>
      <c r="C94" t="s">
        <v>10</v>
      </c>
      <c r="D94">
        <v>27859</v>
      </c>
      <c r="E94">
        <v>230</v>
      </c>
    </row>
    <row r="95" spans="1:5" x14ac:dyDescent="0.3">
      <c r="A95" t="s">
        <v>196</v>
      </c>
      <c r="B95" t="s">
        <v>197</v>
      </c>
      <c r="C95" t="s">
        <v>19</v>
      </c>
      <c r="D95">
        <v>47880</v>
      </c>
      <c r="E95">
        <v>47</v>
      </c>
    </row>
    <row r="96" spans="1:5" x14ac:dyDescent="0.3">
      <c r="A96" t="s">
        <v>198</v>
      </c>
      <c r="B96" t="s">
        <v>199</v>
      </c>
      <c r="C96" t="s">
        <v>7</v>
      </c>
      <c r="D96">
        <v>4072</v>
      </c>
      <c r="E96">
        <v>226</v>
      </c>
    </row>
    <row r="97" spans="1:5" x14ac:dyDescent="0.3">
      <c r="A97" t="s">
        <v>200</v>
      </c>
      <c r="B97" t="s">
        <v>201</v>
      </c>
      <c r="C97" t="s">
        <v>10</v>
      </c>
      <c r="D97">
        <v>7261</v>
      </c>
      <c r="E97">
        <v>147</v>
      </c>
    </row>
    <row r="98" spans="1:5" x14ac:dyDescent="0.3">
      <c r="A98" t="s">
        <v>202</v>
      </c>
      <c r="B98" t="s">
        <v>203</v>
      </c>
      <c r="C98" t="s">
        <v>13</v>
      </c>
      <c r="D98">
        <v>12565</v>
      </c>
      <c r="E98">
        <v>294</v>
      </c>
    </row>
    <row r="99" spans="1:5" x14ac:dyDescent="0.3">
      <c r="A99" t="s">
        <v>204</v>
      </c>
      <c r="B99" t="s">
        <v>205</v>
      </c>
      <c r="C99" t="s">
        <v>19</v>
      </c>
      <c r="D99">
        <v>9286</v>
      </c>
      <c r="E99">
        <v>236</v>
      </c>
    </row>
    <row r="100" spans="1:5" x14ac:dyDescent="0.3">
      <c r="A100" t="s">
        <v>206</v>
      </c>
      <c r="B100" t="s">
        <v>207</v>
      </c>
      <c r="C100" t="s">
        <v>13</v>
      </c>
      <c r="D100">
        <v>18354</v>
      </c>
      <c r="E100">
        <v>256</v>
      </c>
    </row>
    <row r="101" spans="1:5" x14ac:dyDescent="0.3">
      <c r="A101" t="s">
        <v>208</v>
      </c>
      <c r="B101" t="s">
        <v>209</v>
      </c>
      <c r="C101" t="s">
        <v>13</v>
      </c>
      <c r="D101">
        <v>5040</v>
      </c>
      <c r="E101">
        <v>246</v>
      </c>
    </row>
    <row r="102" spans="1:5" x14ac:dyDescent="0.3">
      <c r="A102" t="s">
        <v>210</v>
      </c>
      <c r="B102" t="s">
        <v>211</v>
      </c>
      <c r="C102" t="s">
        <v>16</v>
      </c>
      <c r="D102">
        <v>6516</v>
      </c>
      <c r="E102">
        <v>45</v>
      </c>
    </row>
    <row r="103" spans="1:5" x14ac:dyDescent="0.3">
      <c r="A103" t="s">
        <v>212</v>
      </c>
      <c r="B103" t="s">
        <v>213</v>
      </c>
      <c r="C103" t="s">
        <v>16</v>
      </c>
      <c r="D103">
        <v>1067</v>
      </c>
      <c r="E103">
        <v>67</v>
      </c>
    </row>
    <row r="104" spans="1:5" x14ac:dyDescent="0.3">
      <c r="A104" t="s">
        <v>214</v>
      </c>
      <c r="B104" t="s">
        <v>215</v>
      </c>
      <c r="C104" t="s">
        <v>13</v>
      </c>
      <c r="D104">
        <v>10999</v>
      </c>
      <c r="E104">
        <v>228</v>
      </c>
    </row>
    <row r="105" spans="1:5" x14ac:dyDescent="0.3">
      <c r="A105" t="s">
        <v>216</v>
      </c>
      <c r="B105" t="s">
        <v>217</v>
      </c>
      <c r="C105" t="s">
        <v>19</v>
      </c>
      <c r="D105">
        <v>31646</v>
      </c>
      <c r="E105">
        <v>129</v>
      </c>
    </row>
    <row r="106" spans="1:5" x14ac:dyDescent="0.3">
      <c r="A106" t="s">
        <v>218</v>
      </c>
      <c r="B106" t="s">
        <v>219</v>
      </c>
      <c r="C106" t="s">
        <v>19</v>
      </c>
      <c r="D106">
        <v>3942</v>
      </c>
      <c r="E106">
        <v>104</v>
      </c>
    </row>
    <row r="107" spans="1:5" x14ac:dyDescent="0.3">
      <c r="A107" t="s">
        <v>220</v>
      </c>
      <c r="B107" t="s">
        <v>221</v>
      </c>
      <c r="C107" t="s">
        <v>19</v>
      </c>
      <c r="D107">
        <v>241</v>
      </c>
      <c r="E107">
        <v>219</v>
      </c>
    </row>
    <row r="108" spans="1:5" x14ac:dyDescent="0.3">
      <c r="A108" t="s">
        <v>222</v>
      </c>
      <c r="B108" t="s">
        <v>223</v>
      </c>
      <c r="C108" t="s">
        <v>10</v>
      </c>
      <c r="D108">
        <v>29919</v>
      </c>
      <c r="E108">
        <v>166</v>
      </c>
    </row>
    <row r="109" spans="1:5" x14ac:dyDescent="0.3">
      <c r="A109" t="s">
        <v>224</v>
      </c>
      <c r="B109" t="s">
        <v>225</v>
      </c>
      <c r="C109" t="s">
        <v>19</v>
      </c>
      <c r="D109">
        <v>45751</v>
      </c>
      <c r="E109">
        <v>394</v>
      </c>
    </row>
    <row r="110" spans="1:5" x14ac:dyDescent="0.3">
      <c r="A110" t="s">
        <v>226</v>
      </c>
      <c r="B110" t="s">
        <v>227</v>
      </c>
      <c r="C110" t="s">
        <v>16</v>
      </c>
      <c r="D110">
        <v>43476</v>
      </c>
      <c r="E110">
        <v>387</v>
      </c>
    </row>
    <row r="111" spans="1:5" x14ac:dyDescent="0.3">
      <c r="A111" t="s">
        <v>228</v>
      </c>
      <c r="B111" t="s">
        <v>229</v>
      </c>
      <c r="C111" t="s">
        <v>19</v>
      </c>
      <c r="D111">
        <v>10244</v>
      </c>
      <c r="E111">
        <v>117</v>
      </c>
    </row>
    <row r="112" spans="1:5" x14ac:dyDescent="0.3">
      <c r="A112" t="s">
        <v>230</v>
      </c>
      <c r="B112" t="s">
        <v>231</v>
      </c>
      <c r="C112" t="s">
        <v>10</v>
      </c>
      <c r="D112">
        <v>14367</v>
      </c>
      <c r="E112">
        <v>49</v>
      </c>
    </row>
    <row r="113" spans="1:5" x14ac:dyDescent="0.3">
      <c r="A113" t="s">
        <v>232</v>
      </c>
      <c r="B113" t="s">
        <v>233</v>
      </c>
      <c r="C113" t="s">
        <v>16</v>
      </c>
      <c r="D113">
        <v>48317</v>
      </c>
      <c r="E113">
        <v>297</v>
      </c>
    </row>
    <row r="114" spans="1:5" x14ac:dyDescent="0.3">
      <c r="A114" t="s">
        <v>234</v>
      </c>
      <c r="B114" t="s">
        <v>235</v>
      </c>
      <c r="C114" t="s">
        <v>7</v>
      </c>
      <c r="D114">
        <v>49119</v>
      </c>
      <c r="E114">
        <v>180</v>
      </c>
    </row>
    <row r="115" spans="1:5" x14ac:dyDescent="0.3">
      <c r="A115" t="s">
        <v>236</v>
      </c>
      <c r="B115" t="s">
        <v>237</v>
      </c>
      <c r="C115" t="s">
        <v>7</v>
      </c>
      <c r="D115">
        <v>3386</v>
      </c>
      <c r="E115">
        <v>319</v>
      </c>
    </row>
    <row r="116" spans="1:5" x14ac:dyDescent="0.3">
      <c r="A116" t="s">
        <v>238</v>
      </c>
      <c r="B116" t="s">
        <v>239</v>
      </c>
      <c r="C116" t="s">
        <v>19</v>
      </c>
      <c r="D116">
        <v>33054</v>
      </c>
      <c r="E116">
        <v>490</v>
      </c>
    </row>
    <row r="117" spans="1:5" x14ac:dyDescent="0.3">
      <c r="A117" t="s">
        <v>240</v>
      </c>
      <c r="B117" t="s">
        <v>241</v>
      </c>
      <c r="C117" t="s">
        <v>16</v>
      </c>
      <c r="D117">
        <v>10417</v>
      </c>
      <c r="E117">
        <v>49</v>
      </c>
    </row>
    <row r="118" spans="1:5" x14ac:dyDescent="0.3">
      <c r="A118" t="s">
        <v>242</v>
      </c>
      <c r="B118" t="s">
        <v>243</v>
      </c>
      <c r="C118" t="s">
        <v>16</v>
      </c>
      <c r="D118">
        <v>5350</v>
      </c>
      <c r="E118">
        <v>455</v>
      </c>
    </row>
    <row r="119" spans="1:5" x14ac:dyDescent="0.3">
      <c r="A119" t="s">
        <v>244</v>
      </c>
      <c r="B119" t="s">
        <v>245</v>
      </c>
      <c r="C119" t="s">
        <v>13</v>
      </c>
      <c r="D119">
        <v>4590</v>
      </c>
      <c r="E119">
        <v>324</v>
      </c>
    </row>
    <row r="120" spans="1:5" x14ac:dyDescent="0.3">
      <c r="A120" t="s">
        <v>246</v>
      </c>
      <c r="B120" t="s">
        <v>247</v>
      </c>
      <c r="C120" t="s">
        <v>7</v>
      </c>
      <c r="D120">
        <v>44350</v>
      </c>
      <c r="E120">
        <v>461</v>
      </c>
    </row>
    <row r="121" spans="1:5" x14ac:dyDescent="0.3">
      <c r="A121" t="s">
        <v>248</v>
      </c>
      <c r="B121" t="s">
        <v>249</v>
      </c>
      <c r="C121" t="s">
        <v>13</v>
      </c>
      <c r="D121">
        <v>26561</v>
      </c>
      <c r="E121">
        <v>81</v>
      </c>
    </row>
    <row r="122" spans="1:5" x14ac:dyDescent="0.3">
      <c r="A122" t="s">
        <v>250</v>
      </c>
      <c r="B122" t="s">
        <v>251</v>
      </c>
      <c r="C122" t="s">
        <v>16</v>
      </c>
      <c r="D122">
        <v>16235</v>
      </c>
      <c r="E122">
        <v>316</v>
      </c>
    </row>
    <row r="123" spans="1:5" x14ac:dyDescent="0.3">
      <c r="A123" t="s">
        <v>252</v>
      </c>
      <c r="B123" t="s">
        <v>253</v>
      </c>
      <c r="C123" t="s">
        <v>16</v>
      </c>
      <c r="D123">
        <v>2704</v>
      </c>
      <c r="E123">
        <v>337</v>
      </c>
    </row>
    <row r="124" spans="1:5" x14ac:dyDescent="0.3">
      <c r="A124" t="s">
        <v>254</v>
      </c>
      <c r="B124" t="s">
        <v>255</v>
      </c>
      <c r="C124" t="s">
        <v>7</v>
      </c>
      <c r="D124">
        <v>27574</v>
      </c>
      <c r="E124">
        <v>356</v>
      </c>
    </row>
    <row r="125" spans="1:5" x14ac:dyDescent="0.3">
      <c r="A125" t="s">
        <v>256</v>
      </c>
      <c r="B125" t="s">
        <v>257</v>
      </c>
      <c r="C125" t="s">
        <v>16</v>
      </c>
      <c r="D125">
        <v>37142</v>
      </c>
      <c r="E125">
        <v>287</v>
      </c>
    </row>
    <row r="126" spans="1:5" x14ac:dyDescent="0.3">
      <c r="A126" t="s">
        <v>258</v>
      </c>
      <c r="B126" t="s">
        <v>259</v>
      </c>
      <c r="C126" t="s">
        <v>10</v>
      </c>
      <c r="D126">
        <v>17189</v>
      </c>
      <c r="E126">
        <v>124</v>
      </c>
    </row>
    <row r="127" spans="1:5" x14ac:dyDescent="0.3">
      <c r="A127" t="s">
        <v>260</v>
      </c>
      <c r="B127" t="s">
        <v>261</v>
      </c>
      <c r="C127" t="s">
        <v>10</v>
      </c>
      <c r="D127">
        <v>15742</v>
      </c>
      <c r="E127">
        <v>155</v>
      </c>
    </row>
    <row r="128" spans="1:5" x14ac:dyDescent="0.3">
      <c r="A128" t="s">
        <v>262</v>
      </c>
      <c r="B128" t="s">
        <v>263</v>
      </c>
      <c r="C128" t="s">
        <v>19</v>
      </c>
      <c r="D128">
        <v>8677</v>
      </c>
      <c r="E128">
        <v>363</v>
      </c>
    </row>
    <row r="129" spans="1:5" x14ac:dyDescent="0.3">
      <c r="A129" t="s">
        <v>264</v>
      </c>
      <c r="B129" t="s">
        <v>265</v>
      </c>
      <c r="C129" t="s">
        <v>10</v>
      </c>
      <c r="D129">
        <v>30064</v>
      </c>
      <c r="E129">
        <v>181</v>
      </c>
    </row>
    <row r="130" spans="1:5" x14ac:dyDescent="0.3">
      <c r="A130" t="s">
        <v>266</v>
      </c>
      <c r="B130" t="s">
        <v>267</v>
      </c>
      <c r="C130" t="s">
        <v>7</v>
      </c>
      <c r="D130">
        <v>710</v>
      </c>
      <c r="E130">
        <v>254</v>
      </c>
    </row>
    <row r="131" spans="1:5" x14ac:dyDescent="0.3">
      <c r="A131" t="s">
        <v>268</v>
      </c>
      <c r="B131" t="s">
        <v>269</v>
      </c>
      <c r="C131" t="s">
        <v>16</v>
      </c>
      <c r="D131">
        <v>36996</v>
      </c>
      <c r="E131">
        <v>71</v>
      </c>
    </row>
    <row r="132" spans="1:5" x14ac:dyDescent="0.3">
      <c r="A132" t="s">
        <v>270</v>
      </c>
      <c r="B132" t="s">
        <v>271</v>
      </c>
      <c r="C132" t="s">
        <v>7</v>
      </c>
      <c r="D132">
        <v>35334</v>
      </c>
      <c r="E132">
        <v>129</v>
      </c>
    </row>
    <row r="133" spans="1:5" x14ac:dyDescent="0.3">
      <c r="A133" t="s">
        <v>272</v>
      </c>
      <c r="B133" t="s">
        <v>273</v>
      </c>
      <c r="C133" t="s">
        <v>16</v>
      </c>
      <c r="D133">
        <v>17480</v>
      </c>
      <c r="E133">
        <v>87</v>
      </c>
    </row>
    <row r="134" spans="1:5" x14ac:dyDescent="0.3">
      <c r="A134" t="s">
        <v>274</v>
      </c>
      <c r="B134" t="s">
        <v>275</v>
      </c>
      <c r="C134" t="s">
        <v>10</v>
      </c>
      <c r="D134">
        <v>4608</v>
      </c>
      <c r="E134">
        <v>470</v>
      </c>
    </row>
    <row r="135" spans="1:5" x14ac:dyDescent="0.3">
      <c r="A135" t="s">
        <v>276</v>
      </c>
      <c r="B135" t="s">
        <v>277</v>
      </c>
      <c r="C135" t="s">
        <v>13</v>
      </c>
      <c r="D135">
        <v>24317</v>
      </c>
      <c r="E135">
        <v>165</v>
      </c>
    </row>
    <row r="136" spans="1:5" x14ac:dyDescent="0.3">
      <c r="A136" t="s">
        <v>278</v>
      </c>
      <c r="B136" t="s">
        <v>279</v>
      </c>
      <c r="C136" t="s">
        <v>13</v>
      </c>
      <c r="D136">
        <v>28816</v>
      </c>
      <c r="E136">
        <v>446</v>
      </c>
    </row>
    <row r="137" spans="1:5" x14ac:dyDescent="0.3">
      <c r="A137" t="s">
        <v>280</v>
      </c>
      <c r="B137" t="s">
        <v>281</v>
      </c>
      <c r="C137" t="s">
        <v>16</v>
      </c>
      <c r="D137">
        <v>46207</v>
      </c>
      <c r="E137">
        <v>174</v>
      </c>
    </row>
    <row r="138" spans="1:5" x14ac:dyDescent="0.3">
      <c r="A138" t="s">
        <v>282</v>
      </c>
      <c r="B138" t="s">
        <v>283</v>
      </c>
      <c r="C138" t="s">
        <v>16</v>
      </c>
      <c r="D138">
        <v>42958</v>
      </c>
      <c r="E138">
        <v>290</v>
      </c>
    </row>
    <row r="139" spans="1:5" x14ac:dyDescent="0.3">
      <c r="A139" t="s">
        <v>284</v>
      </c>
      <c r="B139" t="s">
        <v>285</v>
      </c>
      <c r="C139" t="s">
        <v>7</v>
      </c>
      <c r="D139">
        <v>43869</v>
      </c>
      <c r="E139">
        <v>438</v>
      </c>
    </row>
    <row r="140" spans="1:5" x14ac:dyDescent="0.3">
      <c r="A140" t="s">
        <v>286</v>
      </c>
      <c r="B140" t="s">
        <v>287</v>
      </c>
      <c r="C140" t="s">
        <v>16</v>
      </c>
      <c r="D140">
        <v>19720</v>
      </c>
      <c r="E140">
        <v>497</v>
      </c>
    </row>
    <row r="141" spans="1:5" x14ac:dyDescent="0.3">
      <c r="A141" t="s">
        <v>288</v>
      </c>
      <c r="B141" t="s">
        <v>289</v>
      </c>
      <c r="C141" t="s">
        <v>7</v>
      </c>
      <c r="D141">
        <v>8900</v>
      </c>
      <c r="E141">
        <v>155</v>
      </c>
    </row>
    <row r="142" spans="1:5" x14ac:dyDescent="0.3">
      <c r="A142" t="s">
        <v>290</v>
      </c>
      <c r="B142" t="s">
        <v>291</v>
      </c>
      <c r="C142" t="s">
        <v>7</v>
      </c>
      <c r="D142">
        <v>7114</v>
      </c>
      <c r="E142">
        <v>400</v>
      </c>
    </row>
    <row r="143" spans="1:5" x14ac:dyDescent="0.3">
      <c r="A143" t="s">
        <v>292</v>
      </c>
      <c r="B143" t="s">
        <v>293</v>
      </c>
      <c r="C143" t="s">
        <v>16</v>
      </c>
      <c r="D143">
        <v>10287</v>
      </c>
      <c r="E143">
        <v>159</v>
      </c>
    </row>
    <row r="144" spans="1:5" x14ac:dyDescent="0.3">
      <c r="A144" t="s">
        <v>294</v>
      </c>
      <c r="B144" t="s">
        <v>295</v>
      </c>
      <c r="C144" t="s">
        <v>10</v>
      </c>
      <c r="D144">
        <v>39738</v>
      </c>
      <c r="E144">
        <v>127</v>
      </c>
    </row>
    <row r="145" spans="1:5" x14ac:dyDescent="0.3">
      <c r="A145" t="s">
        <v>296</v>
      </c>
      <c r="B145" t="s">
        <v>297</v>
      </c>
      <c r="C145" t="s">
        <v>10</v>
      </c>
      <c r="D145">
        <v>13442</v>
      </c>
      <c r="E145">
        <v>371</v>
      </c>
    </row>
    <row r="146" spans="1:5" x14ac:dyDescent="0.3">
      <c r="A146" t="s">
        <v>298</v>
      </c>
      <c r="B146" t="s">
        <v>299</v>
      </c>
      <c r="C146" t="s">
        <v>10</v>
      </c>
      <c r="D146">
        <v>33222</v>
      </c>
      <c r="E146">
        <v>270</v>
      </c>
    </row>
    <row r="147" spans="1:5" x14ac:dyDescent="0.3">
      <c r="A147" t="s">
        <v>300</v>
      </c>
      <c r="B147" t="s">
        <v>301</v>
      </c>
      <c r="C147" t="s">
        <v>10</v>
      </c>
      <c r="D147">
        <v>3429</v>
      </c>
      <c r="E147">
        <v>67</v>
      </c>
    </row>
    <row r="148" spans="1:5" x14ac:dyDescent="0.3">
      <c r="A148" t="s">
        <v>302</v>
      </c>
      <c r="B148" t="s">
        <v>303</v>
      </c>
      <c r="C148" t="s">
        <v>19</v>
      </c>
      <c r="D148">
        <v>18232</v>
      </c>
      <c r="E148">
        <v>42</v>
      </c>
    </row>
    <row r="149" spans="1:5" x14ac:dyDescent="0.3">
      <c r="A149" t="s">
        <v>304</v>
      </c>
      <c r="B149" t="s">
        <v>305</v>
      </c>
      <c r="C149" t="s">
        <v>7</v>
      </c>
      <c r="D149">
        <v>21959</v>
      </c>
      <c r="E149">
        <v>414</v>
      </c>
    </row>
    <row r="150" spans="1:5" x14ac:dyDescent="0.3">
      <c r="A150" t="s">
        <v>306</v>
      </c>
      <c r="B150" t="s">
        <v>307</v>
      </c>
      <c r="C150" t="s">
        <v>13</v>
      </c>
      <c r="D150">
        <v>41853</v>
      </c>
      <c r="E150">
        <v>154</v>
      </c>
    </row>
    <row r="151" spans="1:5" x14ac:dyDescent="0.3">
      <c r="A151" t="s">
        <v>308</v>
      </c>
      <c r="B151" t="s">
        <v>309</v>
      </c>
      <c r="C151" t="s">
        <v>13</v>
      </c>
      <c r="D151">
        <v>48677</v>
      </c>
      <c r="E151">
        <v>246</v>
      </c>
    </row>
    <row r="152" spans="1:5" x14ac:dyDescent="0.3">
      <c r="A152" t="s">
        <v>310</v>
      </c>
      <c r="B152" t="s">
        <v>311</v>
      </c>
      <c r="C152" t="s">
        <v>16</v>
      </c>
      <c r="D152">
        <v>46346</v>
      </c>
      <c r="E152">
        <v>238</v>
      </c>
    </row>
    <row r="153" spans="1:5" x14ac:dyDescent="0.3">
      <c r="A153" t="s">
        <v>312</v>
      </c>
      <c r="B153" t="s">
        <v>313</v>
      </c>
      <c r="C153" t="s">
        <v>16</v>
      </c>
      <c r="D153">
        <v>733</v>
      </c>
      <c r="E153">
        <v>77</v>
      </c>
    </row>
    <row r="154" spans="1:5" x14ac:dyDescent="0.3">
      <c r="A154" t="s">
        <v>314</v>
      </c>
      <c r="B154" t="s">
        <v>315</v>
      </c>
      <c r="C154" t="s">
        <v>7</v>
      </c>
      <c r="D154">
        <v>45386</v>
      </c>
      <c r="E154">
        <v>482</v>
      </c>
    </row>
    <row r="155" spans="1:5" x14ac:dyDescent="0.3">
      <c r="A155" t="s">
        <v>316</v>
      </c>
      <c r="B155" t="s">
        <v>317</v>
      </c>
      <c r="C155" t="s">
        <v>13</v>
      </c>
      <c r="D155">
        <v>35855</v>
      </c>
      <c r="E155">
        <v>38</v>
      </c>
    </row>
    <row r="156" spans="1:5" x14ac:dyDescent="0.3">
      <c r="A156" t="s">
        <v>318</v>
      </c>
      <c r="B156" t="s">
        <v>319</v>
      </c>
      <c r="C156" t="s">
        <v>10</v>
      </c>
      <c r="D156">
        <v>38275</v>
      </c>
      <c r="E156">
        <v>302</v>
      </c>
    </row>
    <row r="157" spans="1:5" x14ac:dyDescent="0.3">
      <c r="A157" t="s">
        <v>320</v>
      </c>
      <c r="B157" t="s">
        <v>321</v>
      </c>
      <c r="C157" t="s">
        <v>13</v>
      </c>
      <c r="D157">
        <v>28266</v>
      </c>
      <c r="E157">
        <v>85</v>
      </c>
    </row>
    <row r="158" spans="1:5" x14ac:dyDescent="0.3">
      <c r="A158" t="s">
        <v>322</v>
      </c>
      <c r="B158" t="s">
        <v>323</v>
      </c>
      <c r="C158" t="s">
        <v>7</v>
      </c>
      <c r="D158">
        <v>20302</v>
      </c>
      <c r="E158">
        <v>206</v>
      </c>
    </row>
    <row r="159" spans="1:5" x14ac:dyDescent="0.3">
      <c r="A159" t="s">
        <v>324</v>
      </c>
      <c r="B159" t="s">
        <v>325</v>
      </c>
      <c r="C159" t="s">
        <v>7</v>
      </c>
      <c r="D159">
        <v>23549</v>
      </c>
      <c r="E159">
        <v>127</v>
      </c>
    </row>
    <row r="160" spans="1:5" x14ac:dyDescent="0.3">
      <c r="A160" t="s">
        <v>326</v>
      </c>
      <c r="B160" t="s">
        <v>327</v>
      </c>
      <c r="C160" t="s">
        <v>13</v>
      </c>
      <c r="D160">
        <v>43808</v>
      </c>
      <c r="E160">
        <v>72</v>
      </c>
    </row>
    <row r="161" spans="1:5" x14ac:dyDescent="0.3">
      <c r="A161" t="s">
        <v>328</v>
      </c>
      <c r="B161" t="s">
        <v>329</v>
      </c>
      <c r="C161" t="s">
        <v>10</v>
      </c>
      <c r="D161">
        <v>36792</v>
      </c>
      <c r="E161">
        <v>472</v>
      </c>
    </row>
    <row r="162" spans="1:5" x14ac:dyDescent="0.3">
      <c r="A162" t="s">
        <v>330</v>
      </c>
      <c r="B162" t="s">
        <v>331</v>
      </c>
      <c r="C162" t="s">
        <v>19</v>
      </c>
      <c r="D162">
        <v>40775</v>
      </c>
      <c r="E162">
        <v>403</v>
      </c>
    </row>
    <row r="163" spans="1:5" x14ac:dyDescent="0.3">
      <c r="A163" t="s">
        <v>332</v>
      </c>
      <c r="B163" t="s">
        <v>333</v>
      </c>
      <c r="C163" t="s">
        <v>13</v>
      </c>
      <c r="D163">
        <v>15614</v>
      </c>
      <c r="E163">
        <v>462</v>
      </c>
    </row>
    <row r="164" spans="1:5" x14ac:dyDescent="0.3">
      <c r="A164" t="s">
        <v>334</v>
      </c>
      <c r="B164" t="s">
        <v>335</v>
      </c>
      <c r="C164" t="s">
        <v>13</v>
      </c>
      <c r="D164">
        <v>11703</v>
      </c>
      <c r="E164">
        <v>471</v>
      </c>
    </row>
    <row r="165" spans="1:5" x14ac:dyDescent="0.3">
      <c r="A165" t="s">
        <v>336</v>
      </c>
      <c r="B165" t="s">
        <v>337</v>
      </c>
      <c r="C165" t="s">
        <v>19</v>
      </c>
      <c r="D165">
        <v>1724</v>
      </c>
      <c r="E165">
        <v>111</v>
      </c>
    </row>
    <row r="166" spans="1:5" x14ac:dyDescent="0.3">
      <c r="A166" t="s">
        <v>338</v>
      </c>
      <c r="B166" t="s">
        <v>339</v>
      </c>
      <c r="C166" t="s">
        <v>10</v>
      </c>
      <c r="D166">
        <v>27082</v>
      </c>
      <c r="E166">
        <v>430</v>
      </c>
    </row>
    <row r="167" spans="1:5" x14ac:dyDescent="0.3">
      <c r="A167" t="s">
        <v>340</v>
      </c>
      <c r="B167" t="s">
        <v>341</v>
      </c>
      <c r="C167" t="s">
        <v>13</v>
      </c>
      <c r="D167">
        <v>17585</v>
      </c>
      <c r="E167">
        <v>101</v>
      </c>
    </row>
    <row r="168" spans="1:5" x14ac:dyDescent="0.3">
      <c r="A168" t="s">
        <v>342</v>
      </c>
      <c r="B168" t="s">
        <v>343</v>
      </c>
      <c r="C168" t="s">
        <v>7</v>
      </c>
      <c r="D168">
        <v>25170</v>
      </c>
      <c r="E168">
        <v>466</v>
      </c>
    </row>
    <row r="169" spans="1:5" x14ac:dyDescent="0.3">
      <c r="A169" t="s">
        <v>344</v>
      </c>
      <c r="B169" t="s">
        <v>345</v>
      </c>
      <c r="C169" t="s">
        <v>7</v>
      </c>
      <c r="D169">
        <v>30947</v>
      </c>
      <c r="E169">
        <v>133</v>
      </c>
    </row>
    <row r="170" spans="1:5" x14ac:dyDescent="0.3">
      <c r="A170" t="s">
        <v>346</v>
      </c>
      <c r="B170" t="s">
        <v>347</v>
      </c>
      <c r="C170" t="s">
        <v>13</v>
      </c>
      <c r="D170">
        <v>30266</v>
      </c>
      <c r="E170">
        <v>199</v>
      </c>
    </row>
    <row r="171" spans="1:5" x14ac:dyDescent="0.3">
      <c r="A171" t="s">
        <v>348</v>
      </c>
      <c r="B171" t="s">
        <v>349</v>
      </c>
      <c r="C171" t="s">
        <v>10</v>
      </c>
      <c r="D171">
        <v>15015</v>
      </c>
      <c r="E171">
        <v>134</v>
      </c>
    </row>
    <row r="172" spans="1:5" x14ac:dyDescent="0.3">
      <c r="A172" t="s">
        <v>350</v>
      </c>
      <c r="B172" t="s">
        <v>351</v>
      </c>
      <c r="C172" t="s">
        <v>7</v>
      </c>
      <c r="D172">
        <v>43355</v>
      </c>
      <c r="E172">
        <v>118</v>
      </c>
    </row>
    <row r="173" spans="1:5" x14ac:dyDescent="0.3">
      <c r="A173" t="s">
        <v>352</v>
      </c>
      <c r="B173" t="s">
        <v>353</v>
      </c>
      <c r="C173" t="s">
        <v>19</v>
      </c>
      <c r="D173">
        <v>21612</v>
      </c>
      <c r="E173">
        <v>162</v>
      </c>
    </row>
    <row r="174" spans="1:5" x14ac:dyDescent="0.3">
      <c r="A174" t="s">
        <v>354</v>
      </c>
      <c r="B174" t="s">
        <v>355</v>
      </c>
      <c r="C174" t="s">
        <v>7</v>
      </c>
      <c r="D174">
        <v>18392</v>
      </c>
      <c r="E174">
        <v>199</v>
      </c>
    </row>
    <row r="175" spans="1:5" x14ac:dyDescent="0.3">
      <c r="A175" t="s">
        <v>356</v>
      </c>
      <c r="B175" t="s">
        <v>357</v>
      </c>
      <c r="C175" t="s">
        <v>16</v>
      </c>
      <c r="D175">
        <v>26293</v>
      </c>
      <c r="E175">
        <v>367</v>
      </c>
    </row>
    <row r="176" spans="1:5" x14ac:dyDescent="0.3">
      <c r="A176" t="s">
        <v>358</v>
      </c>
      <c r="B176" t="s">
        <v>359</v>
      </c>
      <c r="C176" t="s">
        <v>16</v>
      </c>
      <c r="D176">
        <v>21802</v>
      </c>
      <c r="E176">
        <v>500</v>
      </c>
    </row>
    <row r="177" spans="1:5" x14ac:dyDescent="0.3">
      <c r="A177" t="s">
        <v>360</v>
      </c>
      <c r="B177" t="s">
        <v>361</v>
      </c>
      <c r="C177" t="s">
        <v>7</v>
      </c>
      <c r="D177">
        <v>7659</v>
      </c>
      <c r="E177">
        <v>469</v>
      </c>
    </row>
    <row r="178" spans="1:5" x14ac:dyDescent="0.3">
      <c r="A178" t="s">
        <v>362</v>
      </c>
      <c r="B178" t="s">
        <v>363</v>
      </c>
      <c r="C178" t="s">
        <v>10</v>
      </c>
      <c r="D178">
        <v>11802</v>
      </c>
      <c r="E178">
        <v>317</v>
      </c>
    </row>
    <row r="179" spans="1:5" x14ac:dyDescent="0.3">
      <c r="A179" t="s">
        <v>364</v>
      </c>
      <c r="B179" t="s">
        <v>365</v>
      </c>
      <c r="C179" t="s">
        <v>10</v>
      </c>
      <c r="D179">
        <v>2607</v>
      </c>
      <c r="E179">
        <v>75</v>
      </c>
    </row>
    <row r="180" spans="1:5" x14ac:dyDescent="0.3">
      <c r="A180" t="s">
        <v>366</v>
      </c>
      <c r="B180" t="s">
        <v>367</v>
      </c>
      <c r="C180" t="s">
        <v>16</v>
      </c>
      <c r="D180">
        <v>28579</v>
      </c>
      <c r="E180">
        <v>196</v>
      </c>
    </row>
    <row r="181" spans="1:5" x14ac:dyDescent="0.3">
      <c r="A181" t="s">
        <v>368</v>
      </c>
      <c r="B181" t="s">
        <v>369</v>
      </c>
      <c r="C181" t="s">
        <v>10</v>
      </c>
      <c r="D181">
        <v>28699</v>
      </c>
      <c r="E181">
        <v>330</v>
      </c>
    </row>
    <row r="182" spans="1:5" x14ac:dyDescent="0.3">
      <c r="A182" t="s">
        <v>370</v>
      </c>
      <c r="B182" t="s">
        <v>371</v>
      </c>
      <c r="C182" t="s">
        <v>16</v>
      </c>
      <c r="D182">
        <v>7678</v>
      </c>
      <c r="E182">
        <v>217</v>
      </c>
    </row>
    <row r="183" spans="1:5" x14ac:dyDescent="0.3">
      <c r="A183" t="s">
        <v>372</v>
      </c>
      <c r="B183" t="s">
        <v>373</v>
      </c>
      <c r="C183" t="s">
        <v>16</v>
      </c>
      <c r="D183">
        <v>12557</v>
      </c>
      <c r="E183">
        <v>150</v>
      </c>
    </row>
    <row r="184" spans="1:5" x14ac:dyDescent="0.3">
      <c r="A184" t="s">
        <v>374</v>
      </c>
      <c r="B184" t="s">
        <v>375</v>
      </c>
      <c r="C184" t="s">
        <v>7</v>
      </c>
      <c r="D184">
        <v>46550</v>
      </c>
      <c r="E184">
        <v>243</v>
      </c>
    </row>
    <row r="185" spans="1:5" x14ac:dyDescent="0.3">
      <c r="A185" t="s">
        <v>376</v>
      </c>
      <c r="B185" t="s">
        <v>377</v>
      </c>
      <c r="C185" t="s">
        <v>7</v>
      </c>
      <c r="D185">
        <v>34173</v>
      </c>
      <c r="E185">
        <v>493</v>
      </c>
    </row>
    <row r="186" spans="1:5" x14ac:dyDescent="0.3">
      <c r="A186" t="s">
        <v>378</v>
      </c>
      <c r="B186" t="s">
        <v>379</v>
      </c>
      <c r="C186" t="s">
        <v>16</v>
      </c>
      <c r="D186">
        <v>45113</v>
      </c>
      <c r="E186">
        <v>388</v>
      </c>
    </row>
    <row r="187" spans="1:5" x14ac:dyDescent="0.3">
      <c r="A187" t="s">
        <v>380</v>
      </c>
      <c r="B187" t="s">
        <v>381</v>
      </c>
      <c r="C187" t="s">
        <v>13</v>
      </c>
      <c r="D187">
        <v>23969</v>
      </c>
      <c r="E187">
        <v>240</v>
      </c>
    </row>
    <row r="188" spans="1:5" x14ac:dyDescent="0.3">
      <c r="A188" t="s">
        <v>382</v>
      </c>
      <c r="B188" t="s">
        <v>383</v>
      </c>
      <c r="C188" t="s">
        <v>7</v>
      </c>
      <c r="D188">
        <v>43631</v>
      </c>
      <c r="E188">
        <v>491</v>
      </c>
    </row>
    <row r="189" spans="1:5" x14ac:dyDescent="0.3">
      <c r="A189" t="s">
        <v>384</v>
      </c>
      <c r="B189" t="s">
        <v>385</v>
      </c>
      <c r="C189" t="s">
        <v>10</v>
      </c>
      <c r="D189">
        <v>40939</v>
      </c>
      <c r="E189">
        <v>180</v>
      </c>
    </row>
    <row r="190" spans="1:5" x14ac:dyDescent="0.3">
      <c r="A190" t="s">
        <v>386</v>
      </c>
      <c r="B190" t="s">
        <v>387</v>
      </c>
      <c r="C190" t="s">
        <v>7</v>
      </c>
      <c r="D190">
        <v>47269</v>
      </c>
      <c r="E190">
        <v>480</v>
      </c>
    </row>
    <row r="191" spans="1:5" x14ac:dyDescent="0.3">
      <c r="A191" t="s">
        <v>388</v>
      </c>
      <c r="B191" t="s">
        <v>389</v>
      </c>
      <c r="C191" t="s">
        <v>10</v>
      </c>
      <c r="D191">
        <v>33334</v>
      </c>
      <c r="E191">
        <v>178</v>
      </c>
    </row>
    <row r="192" spans="1:5" x14ac:dyDescent="0.3">
      <c r="A192" t="s">
        <v>390</v>
      </c>
      <c r="B192" t="s">
        <v>391</v>
      </c>
      <c r="C192" t="s">
        <v>19</v>
      </c>
      <c r="D192">
        <v>21476</v>
      </c>
      <c r="E192">
        <v>226</v>
      </c>
    </row>
    <row r="193" spans="1:5" x14ac:dyDescent="0.3">
      <c r="A193" t="s">
        <v>392</v>
      </c>
      <c r="B193" t="s">
        <v>393</v>
      </c>
      <c r="C193" t="s">
        <v>10</v>
      </c>
      <c r="D193">
        <v>36433</v>
      </c>
      <c r="E193">
        <v>85</v>
      </c>
    </row>
    <row r="194" spans="1:5" x14ac:dyDescent="0.3">
      <c r="A194" t="s">
        <v>394</v>
      </c>
      <c r="B194" t="s">
        <v>395</v>
      </c>
      <c r="C194" t="s">
        <v>13</v>
      </c>
      <c r="D194">
        <v>27654</v>
      </c>
      <c r="E194">
        <v>360</v>
      </c>
    </row>
    <row r="195" spans="1:5" x14ac:dyDescent="0.3">
      <c r="A195" t="s">
        <v>396</v>
      </c>
      <c r="B195" t="s">
        <v>397</v>
      </c>
      <c r="C195" t="s">
        <v>19</v>
      </c>
      <c r="D195">
        <v>44488</v>
      </c>
      <c r="E195">
        <v>403</v>
      </c>
    </row>
    <row r="196" spans="1:5" x14ac:dyDescent="0.3">
      <c r="A196" t="s">
        <v>398</v>
      </c>
      <c r="B196" t="s">
        <v>399</v>
      </c>
      <c r="C196" t="s">
        <v>13</v>
      </c>
      <c r="D196">
        <v>40438</v>
      </c>
      <c r="E196">
        <v>311</v>
      </c>
    </row>
    <row r="197" spans="1:5" x14ac:dyDescent="0.3">
      <c r="A197" t="s">
        <v>400</v>
      </c>
      <c r="B197" t="s">
        <v>401</v>
      </c>
      <c r="C197" t="s">
        <v>10</v>
      </c>
      <c r="D197">
        <v>26712</v>
      </c>
      <c r="E197">
        <v>300</v>
      </c>
    </row>
    <row r="198" spans="1:5" x14ac:dyDescent="0.3">
      <c r="A198" t="s">
        <v>402</v>
      </c>
      <c r="B198" t="s">
        <v>403</v>
      </c>
      <c r="C198" t="s">
        <v>7</v>
      </c>
      <c r="D198">
        <v>20014</v>
      </c>
      <c r="E198">
        <v>166</v>
      </c>
    </row>
    <row r="199" spans="1:5" x14ac:dyDescent="0.3">
      <c r="A199" t="s">
        <v>404</v>
      </c>
      <c r="B199" t="s">
        <v>405</v>
      </c>
      <c r="C199" t="s">
        <v>13</v>
      </c>
      <c r="D199">
        <v>28273</v>
      </c>
      <c r="E199">
        <v>422</v>
      </c>
    </row>
    <row r="200" spans="1:5" x14ac:dyDescent="0.3">
      <c r="A200" t="s">
        <v>406</v>
      </c>
      <c r="B200" t="s">
        <v>407</v>
      </c>
      <c r="C200" t="s">
        <v>16</v>
      </c>
      <c r="D200">
        <v>39858</v>
      </c>
      <c r="E200">
        <v>355</v>
      </c>
    </row>
    <row r="201" spans="1:5" x14ac:dyDescent="0.3">
      <c r="A201" t="s">
        <v>408</v>
      </c>
      <c r="B201" t="s">
        <v>409</v>
      </c>
      <c r="C201" t="s">
        <v>10</v>
      </c>
      <c r="D201">
        <v>30573</v>
      </c>
      <c r="E201">
        <v>246</v>
      </c>
    </row>
    <row r="202" spans="1:5" x14ac:dyDescent="0.3">
      <c r="A202" t="s">
        <v>410</v>
      </c>
      <c r="B202" t="s">
        <v>411</v>
      </c>
      <c r="C202" t="s">
        <v>19</v>
      </c>
      <c r="D202">
        <v>44377</v>
      </c>
      <c r="E202">
        <v>129</v>
      </c>
    </row>
    <row r="203" spans="1:5" x14ac:dyDescent="0.3">
      <c r="A203" t="s">
        <v>412</v>
      </c>
      <c r="B203" t="s">
        <v>413</v>
      </c>
      <c r="C203" t="s">
        <v>16</v>
      </c>
      <c r="D203">
        <v>31110</v>
      </c>
      <c r="E203">
        <v>426</v>
      </c>
    </row>
    <row r="204" spans="1:5" x14ac:dyDescent="0.3">
      <c r="A204" t="s">
        <v>414</v>
      </c>
      <c r="B204" t="s">
        <v>415</v>
      </c>
      <c r="C204" t="s">
        <v>13</v>
      </c>
      <c r="D204">
        <v>43278</v>
      </c>
      <c r="E204">
        <v>63</v>
      </c>
    </row>
    <row r="205" spans="1:5" x14ac:dyDescent="0.3">
      <c r="A205" t="s">
        <v>416</v>
      </c>
      <c r="B205" t="s">
        <v>417</v>
      </c>
      <c r="C205" t="s">
        <v>10</v>
      </c>
      <c r="D205">
        <v>33880</v>
      </c>
      <c r="E205">
        <v>359</v>
      </c>
    </row>
    <row r="206" spans="1:5" x14ac:dyDescent="0.3">
      <c r="A206" t="s">
        <v>418</v>
      </c>
      <c r="B206" t="s">
        <v>419</v>
      </c>
      <c r="C206" t="s">
        <v>16</v>
      </c>
      <c r="D206">
        <v>22066</v>
      </c>
      <c r="E206">
        <v>67</v>
      </c>
    </row>
    <row r="207" spans="1:5" x14ac:dyDescent="0.3">
      <c r="A207" t="s">
        <v>420</v>
      </c>
      <c r="B207" t="s">
        <v>421</v>
      </c>
      <c r="C207" t="s">
        <v>13</v>
      </c>
      <c r="D207">
        <v>44192</v>
      </c>
      <c r="E207">
        <v>178</v>
      </c>
    </row>
    <row r="208" spans="1:5" x14ac:dyDescent="0.3">
      <c r="A208" t="s">
        <v>422</v>
      </c>
      <c r="B208" t="s">
        <v>423</v>
      </c>
      <c r="C208" t="s">
        <v>13</v>
      </c>
      <c r="D208">
        <v>13150</v>
      </c>
      <c r="E208">
        <v>95</v>
      </c>
    </row>
    <row r="209" spans="1:5" x14ac:dyDescent="0.3">
      <c r="A209" t="s">
        <v>424</v>
      </c>
      <c r="B209" t="s">
        <v>425</v>
      </c>
      <c r="C209" t="s">
        <v>7</v>
      </c>
      <c r="D209">
        <v>3128</v>
      </c>
      <c r="E209">
        <v>145</v>
      </c>
    </row>
    <row r="210" spans="1:5" x14ac:dyDescent="0.3">
      <c r="A210" t="s">
        <v>426</v>
      </c>
      <c r="B210" t="s">
        <v>427</v>
      </c>
      <c r="C210" t="s">
        <v>19</v>
      </c>
      <c r="D210">
        <v>40160</v>
      </c>
      <c r="E210">
        <v>455</v>
      </c>
    </row>
    <row r="211" spans="1:5" x14ac:dyDescent="0.3">
      <c r="A211" t="s">
        <v>428</v>
      </c>
      <c r="B211" t="s">
        <v>429</v>
      </c>
      <c r="C211" t="s">
        <v>7</v>
      </c>
      <c r="D211">
        <v>29946</v>
      </c>
      <c r="E211">
        <v>232</v>
      </c>
    </row>
    <row r="212" spans="1:5" x14ac:dyDescent="0.3">
      <c r="A212" t="s">
        <v>430</v>
      </c>
      <c r="B212" t="s">
        <v>431</v>
      </c>
      <c r="C212" t="s">
        <v>16</v>
      </c>
      <c r="D212">
        <v>12842</v>
      </c>
      <c r="E212">
        <v>387</v>
      </c>
    </row>
    <row r="213" spans="1:5" x14ac:dyDescent="0.3">
      <c r="A213" t="s">
        <v>432</v>
      </c>
      <c r="B213" t="s">
        <v>433</v>
      </c>
      <c r="C213" t="s">
        <v>19</v>
      </c>
      <c r="D213">
        <v>32499</v>
      </c>
      <c r="E213">
        <v>224</v>
      </c>
    </row>
    <row r="214" spans="1:5" x14ac:dyDescent="0.3">
      <c r="A214" t="s">
        <v>434</v>
      </c>
      <c r="B214" t="s">
        <v>435</v>
      </c>
      <c r="C214" t="s">
        <v>13</v>
      </c>
      <c r="D214">
        <v>9771</v>
      </c>
      <c r="E214">
        <v>355</v>
      </c>
    </row>
    <row r="215" spans="1:5" x14ac:dyDescent="0.3">
      <c r="A215" t="s">
        <v>436</v>
      </c>
      <c r="B215" t="s">
        <v>437</v>
      </c>
      <c r="C215" t="s">
        <v>7</v>
      </c>
      <c r="D215">
        <v>49315</v>
      </c>
      <c r="E215">
        <v>460</v>
      </c>
    </row>
    <row r="216" spans="1:5" x14ac:dyDescent="0.3">
      <c r="A216" t="s">
        <v>438</v>
      </c>
      <c r="B216" t="s">
        <v>439</v>
      </c>
      <c r="C216" t="s">
        <v>7</v>
      </c>
      <c r="D216">
        <v>27962</v>
      </c>
      <c r="E216">
        <v>132</v>
      </c>
    </row>
    <row r="217" spans="1:5" x14ac:dyDescent="0.3">
      <c r="A217" t="s">
        <v>440</v>
      </c>
      <c r="B217" t="s">
        <v>441</v>
      </c>
      <c r="C217" t="s">
        <v>13</v>
      </c>
      <c r="D217">
        <v>45707</v>
      </c>
      <c r="E217">
        <v>285</v>
      </c>
    </row>
    <row r="218" spans="1:5" x14ac:dyDescent="0.3">
      <c r="A218" t="s">
        <v>442</v>
      </c>
      <c r="B218" t="s">
        <v>443</v>
      </c>
      <c r="C218" t="s">
        <v>19</v>
      </c>
      <c r="D218">
        <v>3391</v>
      </c>
      <c r="E218">
        <v>305</v>
      </c>
    </row>
    <row r="219" spans="1:5" x14ac:dyDescent="0.3">
      <c r="A219" t="s">
        <v>444</v>
      </c>
      <c r="B219" t="s">
        <v>445</v>
      </c>
      <c r="C219" t="s">
        <v>13</v>
      </c>
      <c r="D219">
        <v>8053</v>
      </c>
      <c r="E219">
        <v>253</v>
      </c>
    </row>
    <row r="220" spans="1:5" x14ac:dyDescent="0.3">
      <c r="A220" t="s">
        <v>446</v>
      </c>
      <c r="B220" t="s">
        <v>447</v>
      </c>
      <c r="C220" t="s">
        <v>13</v>
      </c>
      <c r="D220">
        <v>30550</v>
      </c>
      <c r="E220">
        <v>361</v>
      </c>
    </row>
    <row r="221" spans="1:5" x14ac:dyDescent="0.3">
      <c r="A221" t="s">
        <v>448</v>
      </c>
      <c r="B221" t="s">
        <v>449</v>
      </c>
      <c r="C221" t="s">
        <v>16</v>
      </c>
      <c r="D221">
        <v>36729</v>
      </c>
      <c r="E221">
        <v>324</v>
      </c>
    </row>
    <row r="222" spans="1:5" x14ac:dyDescent="0.3">
      <c r="A222" t="s">
        <v>450</v>
      </c>
      <c r="B222" t="s">
        <v>451</v>
      </c>
      <c r="C222" t="s">
        <v>10</v>
      </c>
      <c r="D222">
        <v>49596</v>
      </c>
      <c r="E222">
        <v>476</v>
      </c>
    </row>
    <row r="223" spans="1:5" x14ac:dyDescent="0.3">
      <c r="A223" t="s">
        <v>452</v>
      </c>
      <c r="B223" t="s">
        <v>453</v>
      </c>
      <c r="C223" t="s">
        <v>19</v>
      </c>
      <c r="D223">
        <v>40250</v>
      </c>
      <c r="E223">
        <v>437</v>
      </c>
    </row>
    <row r="224" spans="1:5" x14ac:dyDescent="0.3">
      <c r="A224" t="s">
        <v>454</v>
      </c>
      <c r="B224" t="s">
        <v>455</v>
      </c>
      <c r="C224" t="s">
        <v>16</v>
      </c>
      <c r="D224">
        <v>28066</v>
      </c>
      <c r="E224">
        <v>445</v>
      </c>
    </row>
    <row r="225" spans="1:5" x14ac:dyDescent="0.3">
      <c r="A225" t="s">
        <v>456</v>
      </c>
      <c r="B225" t="s">
        <v>457</v>
      </c>
      <c r="C225" t="s">
        <v>16</v>
      </c>
      <c r="D225">
        <v>29323</v>
      </c>
      <c r="E225">
        <v>479</v>
      </c>
    </row>
    <row r="226" spans="1:5" x14ac:dyDescent="0.3">
      <c r="A226" t="s">
        <v>458</v>
      </c>
      <c r="B226" t="s">
        <v>459</v>
      </c>
      <c r="C226" t="s">
        <v>13</v>
      </c>
      <c r="D226">
        <v>48836</v>
      </c>
      <c r="E226">
        <v>461</v>
      </c>
    </row>
    <row r="227" spans="1:5" x14ac:dyDescent="0.3">
      <c r="A227" t="s">
        <v>460</v>
      </c>
      <c r="B227" t="s">
        <v>461</v>
      </c>
      <c r="C227" t="s">
        <v>19</v>
      </c>
      <c r="D227">
        <v>29595</v>
      </c>
      <c r="E227">
        <v>152</v>
      </c>
    </row>
    <row r="228" spans="1:5" x14ac:dyDescent="0.3">
      <c r="A228" t="s">
        <v>462</v>
      </c>
      <c r="B228" t="s">
        <v>463</v>
      </c>
      <c r="C228" t="s">
        <v>13</v>
      </c>
      <c r="D228">
        <v>41889</v>
      </c>
      <c r="E228">
        <v>161</v>
      </c>
    </row>
    <row r="229" spans="1:5" x14ac:dyDescent="0.3">
      <c r="A229" t="s">
        <v>464</v>
      </c>
      <c r="B229" t="s">
        <v>465</v>
      </c>
      <c r="C229" t="s">
        <v>16</v>
      </c>
      <c r="D229">
        <v>31858</v>
      </c>
      <c r="E229">
        <v>340</v>
      </c>
    </row>
    <row r="230" spans="1:5" x14ac:dyDescent="0.3">
      <c r="A230" t="s">
        <v>466</v>
      </c>
      <c r="B230" t="s">
        <v>467</v>
      </c>
      <c r="C230" t="s">
        <v>13</v>
      </c>
      <c r="D230">
        <v>18096</v>
      </c>
      <c r="E230">
        <v>245</v>
      </c>
    </row>
    <row r="231" spans="1:5" x14ac:dyDescent="0.3">
      <c r="A231" t="s">
        <v>468</v>
      </c>
      <c r="B231" t="s">
        <v>469</v>
      </c>
      <c r="C231" t="s">
        <v>7</v>
      </c>
      <c r="D231">
        <v>46862</v>
      </c>
      <c r="E231">
        <v>166</v>
      </c>
    </row>
    <row r="232" spans="1:5" x14ac:dyDescent="0.3">
      <c r="A232" t="s">
        <v>470</v>
      </c>
      <c r="B232" t="s">
        <v>471</v>
      </c>
      <c r="C232" t="s">
        <v>13</v>
      </c>
      <c r="D232">
        <v>17907</v>
      </c>
      <c r="E232">
        <v>191</v>
      </c>
    </row>
    <row r="233" spans="1:5" x14ac:dyDescent="0.3">
      <c r="A233" t="s">
        <v>472</v>
      </c>
      <c r="B233" t="s">
        <v>473</v>
      </c>
      <c r="C233" t="s">
        <v>10</v>
      </c>
      <c r="D233">
        <v>35499</v>
      </c>
      <c r="E233">
        <v>61</v>
      </c>
    </row>
    <row r="234" spans="1:5" x14ac:dyDescent="0.3">
      <c r="A234" t="s">
        <v>474</v>
      </c>
      <c r="B234" t="s">
        <v>475</v>
      </c>
      <c r="C234" t="s">
        <v>13</v>
      </c>
      <c r="D234">
        <v>9984</v>
      </c>
      <c r="E234">
        <v>138</v>
      </c>
    </row>
    <row r="235" spans="1:5" x14ac:dyDescent="0.3">
      <c r="A235" t="s">
        <v>476</v>
      </c>
      <c r="B235" t="s">
        <v>477</v>
      </c>
      <c r="C235" t="s">
        <v>19</v>
      </c>
      <c r="D235">
        <v>45578</v>
      </c>
      <c r="E235">
        <v>98</v>
      </c>
    </row>
    <row r="236" spans="1:5" x14ac:dyDescent="0.3">
      <c r="A236" t="s">
        <v>478</v>
      </c>
      <c r="B236" t="s">
        <v>479</v>
      </c>
      <c r="C236" t="s">
        <v>13</v>
      </c>
      <c r="D236">
        <v>4309</v>
      </c>
      <c r="E236">
        <v>232</v>
      </c>
    </row>
    <row r="237" spans="1:5" x14ac:dyDescent="0.3">
      <c r="A237" t="s">
        <v>480</v>
      </c>
      <c r="B237" t="s">
        <v>481</v>
      </c>
      <c r="C237" t="s">
        <v>19</v>
      </c>
      <c r="D237">
        <v>21784</v>
      </c>
      <c r="E237">
        <v>297</v>
      </c>
    </row>
    <row r="238" spans="1:5" x14ac:dyDescent="0.3">
      <c r="A238" t="s">
        <v>482</v>
      </c>
      <c r="B238" t="s">
        <v>483</v>
      </c>
      <c r="C238" t="s">
        <v>19</v>
      </c>
      <c r="D238">
        <v>27348</v>
      </c>
      <c r="E238">
        <v>51</v>
      </c>
    </row>
    <row r="239" spans="1:5" x14ac:dyDescent="0.3">
      <c r="A239" t="s">
        <v>484</v>
      </c>
      <c r="B239" t="s">
        <v>485</v>
      </c>
      <c r="C239" t="s">
        <v>13</v>
      </c>
      <c r="D239">
        <v>27634</v>
      </c>
      <c r="E239">
        <v>219</v>
      </c>
    </row>
    <row r="240" spans="1:5" x14ac:dyDescent="0.3">
      <c r="A240" t="s">
        <v>486</v>
      </c>
      <c r="B240" t="s">
        <v>487</v>
      </c>
      <c r="C240" t="s">
        <v>16</v>
      </c>
      <c r="D240">
        <v>45681</v>
      </c>
      <c r="E240">
        <v>30</v>
      </c>
    </row>
    <row r="241" spans="1:5" x14ac:dyDescent="0.3">
      <c r="A241" t="s">
        <v>488</v>
      </c>
      <c r="B241" t="s">
        <v>489</v>
      </c>
      <c r="C241" t="s">
        <v>16</v>
      </c>
      <c r="D241">
        <v>25028</v>
      </c>
      <c r="E241">
        <v>264</v>
      </c>
    </row>
    <row r="242" spans="1:5" x14ac:dyDescent="0.3">
      <c r="A242" t="s">
        <v>490</v>
      </c>
      <c r="B242" t="s">
        <v>491</v>
      </c>
      <c r="C242" t="s">
        <v>7</v>
      </c>
      <c r="D242">
        <v>23152</v>
      </c>
      <c r="E242">
        <v>172</v>
      </c>
    </row>
    <row r="243" spans="1:5" x14ac:dyDescent="0.3">
      <c r="A243" t="s">
        <v>492</v>
      </c>
      <c r="B243" t="s">
        <v>493</v>
      </c>
      <c r="C243" t="s">
        <v>19</v>
      </c>
      <c r="D243">
        <v>27560</v>
      </c>
      <c r="E243">
        <v>295</v>
      </c>
    </row>
    <row r="244" spans="1:5" x14ac:dyDescent="0.3">
      <c r="A244" t="s">
        <v>494</v>
      </c>
      <c r="B244" t="s">
        <v>495</v>
      </c>
      <c r="C244" t="s">
        <v>16</v>
      </c>
      <c r="D244">
        <v>39634</v>
      </c>
      <c r="E244">
        <v>479</v>
      </c>
    </row>
    <row r="245" spans="1:5" x14ac:dyDescent="0.3">
      <c r="A245" t="s">
        <v>496</v>
      </c>
      <c r="B245" t="s">
        <v>497</v>
      </c>
      <c r="C245" t="s">
        <v>13</v>
      </c>
      <c r="D245">
        <v>32096</v>
      </c>
      <c r="E245">
        <v>132</v>
      </c>
    </row>
    <row r="246" spans="1:5" x14ac:dyDescent="0.3">
      <c r="A246" t="s">
        <v>498</v>
      </c>
      <c r="B246" t="s">
        <v>499</v>
      </c>
      <c r="C246" t="s">
        <v>10</v>
      </c>
      <c r="D246">
        <v>28662</v>
      </c>
      <c r="E246">
        <v>268</v>
      </c>
    </row>
    <row r="247" spans="1:5" x14ac:dyDescent="0.3">
      <c r="A247" t="s">
        <v>500</v>
      </c>
      <c r="B247" t="s">
        <v>501</v>
      </c>
      <c r="C247" t="s">
        <v>7</v>
      </c>
      <c r="D247">
        <v>25584</v>
      </c>
      <c r="E247">
        <v>192</v>
      </c>
    </row>
    <row r="248" spans="1:5" x14ac:dyDescent="0.3">
      <c r="A248" t="s">
        <v>502</v>
      </c>
      <c r="B248" t="s">
        <v>503</v>
      </c>
      <c r="C248" t="s">
        <v>19</v>
      </c>
      <c r="D248">
        <v>47559</v>
      </c>
      <c r="E248">
        <v>104</v>
      </c>
    </row>
    <row r="249" spans="1:5" x14ac:dyDescent="0.3">
      <c r="A249" t="s">
        <v>504</v>
      </c>
      <c r="B249" t="s">
        <v>505</v>
      </c>
      <c r="C249" t="s">
        <v>19</v>
      </c>
      <c r="D249">
        <v>8464</v>
      </c>
      <c r="E249">
        <v>338</v>
      </c>
    </row>
    <row r="250" spans="1:5" x14ac:dyDescent="0.3">
      <c r="A250" t="s">
        <v>506</v>
      </c>
      <c r="B250" t="s">
        <v>507</v>
      </c>
      <c r="C250" t="s">
        <v>16</v>
      </c>
      <c r="D250">
        <v>1867</v>
      </c>
      <c r="E250">
        <v>484</v>
      </c>
    </row>
    <row r="251" spans="1:5" x14ac:dyDescent="0.3">
      <c r="A251" t="s">
        <v>508</v>
      </c>
      <c r="B251" t="s">
        <v>509</v>
      </c>
      <c r="C251" t="s">
        <v>19</v>
      </c>
      <c r="D251">
        <v>38890</v>
      </c>
      <c r="E251">
        <v>308</v>
      </c>
    </row>
    <row r="252" spans="1:5" x14ac:dyDescent="0.3">
      <c r="A252" t="s">
        <v>510</v>
      </c>
      <c r="B252" t="s">
        <v>511</v>
      </c>
      <c r="C252" t="s">
        <v>7</v>
      </c>
      <c r="D252">
        <v>5601</v>
      </c>
      <c r="E252">
        <v>349</v>
      </c>
    </row>
    <row r="253" spans="1:5" x14ac:dyDescent="0.3">
      <c r="A253" t="s">
        <v>512</v>
      </c>
      <c r="B253" t="s">
        <v>513</v>
      </c>
      <c r="C253" t="s">
        <v>19</v>
      </c>
      <c r="D253">
        <v>8993</v>
      </c>
      <c r="E253">
        <v>463</v>
      </c>
    </row>
    <row r="254" spans="1:5" x14ac:dyDescent="0.3">
      <c r="A254" t="s">
        <v>514</v>
      </c>
      <c r="B254" t="s">
        <v>515</v>
      </c>
      <c r="C254" t="s">
        <v>19</v>
      </c>
      <c r="D254">
        <v>12009</v>
      </c>
      <c r="E254">
        <v>45</v>
      </c>
    </row>
    <row r="255" spans="1:5" x14ac:dyDescent="0.3">
      <c r="A255" t="s">
        <v>516</v>
      </c>
      <c r="B255" t="s">
        <v>517</v>
      </c>
      <c r="C255" t="s">
        <v>10</v>
      </c>
      <c r="D255">
        <v>24944</v>
      </c>
      <c r="E255">
        <v>187</v>
      </c>
    </row>
    <row r="256" spans="1:5" x14ac:dyDescent="0.3">
      <c r="A256" t="s">
        <v>518</v>
      </c>
      <c r="B256" t="s">
        <v>519</v>
      </c>
      <c r="C256" t="s">
        <v>13</v>
      </c>
      <c r="D256">
        <v>29899</v>
      </c>
      <c r="E256">
        <v>187</v>
      </c>
    </row>
    <row r="257" spans="1:5" x14ac:dyDescent="0.3">
      <c r="A257" t="s">
        <v>520</v>
      </c>
      <c r="B257" t="s">
        <v>521</v>
      </c>
      <c r="C257" t="s">
        <v>10</v>
      </c>
      <c r="D257">
        <v>49987</v>
      </c>
      <c r="E257">
        <v>470</v>
      </c>
    </row>
    <row r="258" spans="1:5" x14ac:dyDescent="0.3">
      <c r="A258" t="s">
        <v>522</v>
      </c>
      <c r="B258" t="s">
        <v>523</v>
      </c>
      <c r="C258" t="s">
        <v>19</v>
      </c>
      <c r="D258">
        <v>18335</v>
      </c>
      <c r="E258">
        <v>405</v>
      </c>
    </row>
    <row r="259" spans="1:5" x14ac:dyDescent="0.3">
      <c r="A259" t="s">
        <v>524</v>
      </c>
      <c r="B259" t="s">
        <v>525</v>
      </c>
      <c r="C259" t="s">
        <v>19</v>
      </c>
      <c r="D259">
        <v>16632</v>
      </c>
      <c r="E259">
        <v>447</v>
      </c>
    </row>
    <row r="260" spans="1:5" x14ac:dyDescent="0.3">
      <c r="A260" t="s">
        <v>526</v>
      </c>
      <c r="B260" t="s">
        <v>527</v>
      </c>
      <c r="C260" t="s">
        <v>7</v>
      </c>
      <c r="D260">
        <v>30922</v>
      </c>
      <c r="E260">
        <v>29</v>
      </c>
    </row>
    <row r="261" spans="1:5" x14ac:dyDescent="0.3">
      <c r="A261" t="s">
        <v>528</v>
      </c>
      <c r="B261" t="s">
        <v>529</v>
      </c>
      <c r="C261" t="s">
        <v>16</v>
      </c>
      <c r="D261">
        <v>3513</v>
      </c>
      <c r="E261">
        <v>199</v>
      </c>
    </row>
    <row r="262" spans="1:5" x14ac:dyDescent="0.3">
      <c r="A262" t="s">
        <v>530</v>
      </c>
      <c r="B262" t="s">
        <v>531</v>
      </c>
      <c r="C262" t="s">
        <v>13</v>
      </c>
      <c r="D262">
        <v>42707</v>
      </c>
      <c r="E262">
        <v>55</v>
      </c>
    </row>
    <row r="263" spans="1:5" x14ac:dyDescent="0.3">
      <c r="A263" t="s">
        <v>532</v>
      </c>
      <c r="B263" t="s">
        <v>533</v>
      </c>
      <c r="C263" t="s">
        <v>7</v>
      </c>
      <c r="D263">
        <v>49529</v>
      </c>
      <c r="E263">
        <v>35</v>
      </c>
    </row>
    <row r="264" spans="1:5" x14ac:dyDescent="0.3">
      <c r="A264" t="s">
        <v>534</v>
      </c>
      <c r="B264" t="s">
        <v>535</v>
      </c>
      <c r="C264" t="s">
        <v>13</v>
      </c>
      <c r="D264">
        <v>13165</v>
      </c>
      <c r="E264">
        <v>449</v>
      </c>
    </row>
    <row r="265" spans="1:5" x14ac:dyDescent="0.3">
      <c r="A265" t="s">
        <v>536</v>
      </c>
      <c r="B265" t="s">
        <v>537</v>
      </c>
      <c r="C265" t="s">
        <v>7</v>
      </c>
      <c r="D265">
        <v>40819</v>
      </c>
      <c r="E265">
        <v>98</v>
      </c>
    </row>
    <row r="266" spans="1:5" x14ac:dyDescent="0.3">
      <c r="A266" t="s">
        <v>538</v>
      </c>
      <c r="B266" t="s">
        <v>539</v>
      </c>
      <c r="C266" t="s">
        <v>13</v>
      </c>
      <c r="D266">
        <v>8372</v>
      </c>
      <c r="E266">
        <v>262</v>
      </c>
    </row>
    <row r="267" spans="1:5" x14ac:dyDescent="0.3">
      <c r="A267" t="s">
        <v>540</v>
      </c>
      <c r="B267" t="s">
        <v>541</v>
      </c>
      <c r="C267" t="s">
        <v>7</v>
      </c>
      <c r="D267">
        <v>37060</v>
      </c>
      <c r="E267">
        <v>131</v>
      </c>
    </row>
    <row r="268" spans="1:5" x14ac:dyDescent="0.3">
      <c r="A268" t="s">
        <v>542</v>
      </c>
      <c r="B268" t="s">
        <v>543</v>
      </c>
      <c r="C268" t="s">
        <v>19</v>
      </c>
      <c r="D268">
        <v>45940</v>
      </c>
      <c r="E268">
        <v>151</v>
      </c>
    </row>
    <row r="269" spans="1:5" x14ac:dyDescent="0.3">
      <c r="A269" t="s">
        <v>544</v>
      </c>
      <c r="B269" t="s">
        <v>545</v>
      </c>
      <c r="C269" t="s">
        <v>10</v>
      </c>
      <c r="D269">
        <v>11096</v>
      </c>
      <c r="E269">
        <v>330</v>
      </c>
    </row>
    <row r="270" spans="1:5" x14ac:dyDescent="0.3">
      <c r="A270" t="s">
        <v>546</v>
      </c>
      <c r="B270" t="s">
        <v>547</v>
      </c>
      <c r="C270" t="s">
        <v>16</v>
      </c>
      <c r="D270">
        <v>49116</v>
      </c>
      <c r="E270">
        <v>387</v>
      </c>
    </row>
    <row r="271" spans="1:5" x14ac:dyDescent="0.3">
      <c r="A271" t="s">
        <v>548</v>
      </c>
      <c r="B271" t="s">
        <v>549</v>
      </c>
      <c r="C271" t="s">
        <v>7</v>
      </c>
      <c r="D271">
        <v>10832</v>
      </c>
      <c r="E271">
        <v>179</v>
      </c>
    </row>
    <row r="272" spans="1:5" x14ac:dyDescent="0.3">
      <c r="A272" t="s">
        <v>550</v>
      </c>
      <c r="B272" t="s">
        <v>551</v>
      </c>
      <c r="C272" t="s">
        <v>7</v>
      </c>
      <c r="D272">
        <v>38024</v>
      </c>
      <c r="E272">
        <v>33</v>
      </c>
    </row>
    <row r="273" spans="1:5" x14ac:dyDescent="0.3">
      <c r="A273" t="s">
        <v>552</v>
      </c>
      <c r="B273" t="s">
        <v>553</v>
      </c>
      <c r="C273" t="s">
        <v>10</v>
      </c>
      <c r="D273">
        <v>37835</v>
      </c>
      <c r="E273">
        <v>366</v>
      </c>
    </row>
    <row r="274" spans="1:5" x14ac:dyDescent="0.3">
      <c r="A274" t="s">
        <v>554</v>
      </c>
      <c r="B274" t="s">
        <v>555</v>
      </c>
      <c r="C274" t="s">
        <v>19</v>
      </c>
      <c r="D274">
        <v>26095</v>
      </c>
      <c r="E274">
        <v>386</v>
      </c>
    </row>
    <row r="275" spans="1:5" x14ac:dyDescent="0.3">
      <c r="A275" t="s">
        <v>556</v>
      </c>
      <c r="B275" t="s">
        <v>557</v>
      </c>
      <c r="C275" t="s">
        <v>13</v>
      </c>
      <c r="D275">
        <v>5080</v>
      </c>
      <c r="E275">
        <v>323</v>
      </c>
    </row>
    <row r="276" spans="1:5" x14ac:dyDescent="0.3">
      <c r="A276" t="s">
        <v>558</v>
      </c>
      <c r="B276" t="s">
        <v>559</v>
      </c>
      <c r="C276" t="s">
        <v>13</v>
      </c>
      <c r="D276">
        <v>6778</v>
      </c>
      <c r="E276">
        <v>376</v>
      </c>
    </row>
    <row r="277" spans="1:5" x14ac:dyDescent="0.3">
      <c r="A277" t="s">
        <v>560</v>
      </c>
      <c r="B277" t="s">
        <v>561</v>
      </c>
      <c r="C277" t="s">
        <v>10</v>
      </c>
      <c r="D277">
        <v>44943</v>
      </c>
      <c r="E277">
        <v>327</v>
      </c>
    </row>
    <row r="278" spans="1:5" x14ac:dyDescent="0.3">
      <c r="A278" t="s">
        <v>562</v>
      </c>
      <c r="B278" t="s">
        <v>563</v>
      </c>
      <c r="C278" t="s">
        <v>7</v>
      </c>
      <c r="D278">
        <v>37188</v>
      </c>
      <c r="E278">
        <v>420</v>
      </c>
    </row>
    <row r="279" spans="1:5" x14ac:dyDescent="0.3">
      <c r="A279" t="s">
        <v>564</v>
      </c>
      <c r="B279" t="s">
        <v>565</v>
      </c>
      <c r="C279" t="s">
        <v>7</v>
      </c>
      <c r="D279">
        <v>22854</v>
      </c>
      <c r="E279">
        <v>292</v>
      </c>
    </row>
    <row r="280" spans="1:5" x14ac:dyDescent="0.3">
      <c r="A280" t="s">
        <v>566</v>
      </c>
      <c r="B280" t="s">
        <v>567</v>
      </c>
      <c r="C280" t="s">
        <v>19</v>
      </c>
      <c r="D280">
        <v>43453</v>
      </c>
      <c r="E280">
        <v>209</v>
      </c>
    </row>
    <row r="281" spans="1:5" x14ac:dyDescent="0.3">
      <c r="A281" t="s">
        <v>568</v>
      </c>
      <c r="B281" t="s">
        <v>569</v>
      </c>
      <c r="C281" t="s">
        <v>7</v>
      </c>
      <c r="D281">
        <v>33258</v>
      </c>
      <c r="E281">
        <v>351</v>
      </c>
    </row>
    <row r="282" spans="1:5" x14ac:dyDescent="0.3">
      <c r="A282" t="s">
        <v>570</v>
      </c>
      <c r="B282" t="s">
        <v>571</v>
      </c>
      <c r="C282" t="s">
        <v>10</v>
      </c>
      <c r="D282">
        <v>929</v>
      </c>
      <c r="E282">
        <v>454</v>
      </c>
    </row>
    <row r="283" spans="1:5" x14ac:dyDescent="0.3">
      <c r="A283" t="s">
        <v>572</v>
      </c>
      <c r="B283" t="s">
        <v>573</v>
      </c>
      <c r="C283" t="s">
        <v>19</v>
      </c>
      <c r="D283">
        <v>32225</v>
      </c>
      <c r="E283">
        <v>74</v>
      </c>
    </row>
    <row r="284" spans="1:5" x14ac:dyDescent="0.3">
      <c r="A284" t="s">
        <v>574</v>
      </c>
      <c r="B284" t="s">
        <v>575</v>
      </c>
      <c r="C284" t="s">
        <v>19</v>
      </c>
      <c r="D284">
        <v>23836</v>
      </c>
      <c r="E284">
        <v>345</v>
      </c>
    </row>
    <row r="285" spans="1:5" x14ac:dyDescent="0.3">
      <c r="A285" t="s">
        <v>576</v>
      </c>
      <c r="B285" t="s">
        <v>577</v>
      </c>
      <c r="C285" t="s">
        <v>19</v>
      </c>
      <c r="D285">
        <v>46454</v>
      </c>
      <c r="E285">
        <v>98</v>
      </c>
    </row>
    <row r="286" spans="1:5" x14ac:dyDescent="0.3">
      <c r="A286" t="s">
        <v>578</v>
      </c>
      <c r="B286" t="s">
        <v>579</v>
      </c>
      <c r="C286" t="s">
        <v>19</v>
      </c>
      <c r="D286">
        <v>11643</v>
      </c>
      <c r="E286">
        <v>395</v>
      </c>
    </row>
    <row r="287" spans="1:5" x14ac:dyDescent="0.3">
      <c r="A287" t="s">
        <v>580</v>
      </c>
      <c r="B287" t="s">
        <v>581</v>
      </c>
      <c r="C287" t="s">
        <v>16</v>
      </c>
      <c r="D287">
        <v>42728</v>
      </c>
      <c r="E287">
        <v>158</v>
      </c>
    </row>
    <row r="288" spans="1:5" x14ac:dyDescent="0.3">
      <c r="A288" t="s">
        <v>582</v>
      </c>
      <c r="B288" t="s">
        <v>583</v>
      </c>
      <c r="C288" t="s">
        <v>16</v>
      </c>
      <c r="D288">
        <v>35369</v>
      </c>
      <c r="E288">
        <v>416</v>
      </c>
    </row>
    <row r="289" spans="1:5" x14ac:dyDescent="0.3">
      <c r="A289" t="s">
        <v>584</v>
      </c>
      <c r="B289" t="s">
        <v>585</v>
      </c>
      <c r="C289" t="s">
        <v>19</v>
      </c>
      <c r="D289">
        <v>30565</v>
      </c>
      <c r="E289">
        <v>243</v>
      </c>
    </row>
    <row r="290" spans="1:5" x14ac:dyDescent="0.3">
      <c r="A290" t="s">
        <v>586</v>
      </c>
      <c r="B290" t="s">
        <v>587</v>
      </c>
      <c r="C290" t="s">
        <v>16</v>
      </c>
      <c r="D290">
        <v>17689</v>
      </c>
      <c r="E290">
        <v>185</v>
      </c>
    </row>
    <row r="291" spans="1:5" x14ac:dyDescent="0.3">
      <c r="A291" t="s">
        <v>588</v>
      </c>
      <c r="B291" t="s">
        <v>589</v>
      </c>
      <c r="C291" t="s">
        <v>13</v>
      </c>
      <c r="D291">
        <v>5779</v>
      </c>
      <c r="E291">
        <v>162</v>
      </c>
    </row>
    <row r="292" spans="1:5" x14ac:dyDescent="0.3">
      <c r="A292" t="s">
        <v>590</v>
      </c>
      <c r="B292" t="s">
        <v>591</v>
      </c>
      <c r="C292" t="s">
        <v>19</v>
      </c>
      <c r="D292">
        <v>16081</v>
      </c>
      <c r="E292">
        <v>404</v>
      </c>
    </row>
    <row r="293" spans="1:5" x14ac:dyDescent="0.3">
      <c r="A293" t="s">
        <v>592</v>
      </c>
      <c r="B293" t="s">
        <v>593</v>
      </c>
      <c r="C293" t="s">
        <v>19</v>
      </c>
      <c r="D293">
        <v>37445</v>
      </c>
      <c r="E293">
        <v>332</v>
      </c>
    </row>
    <row r="294" spans="1:5" x14ac:dyDescent="0.3">
      <c r="A294" t="s">
        <v>594</v>
      </c>
      <c r="B294" t="s">
        <v>595</v>
      </c>
      <c r="C294" t="s">
        <v>19</v>
      </c>
      <c r="D294">
        <v>22146</v>
      </c>
      <c r="E294">
        <v>34</v>
      </c>
    </row>
    <row r="295" spans="1:5" x14ac:dyDescent="0.3">
      <c r="A295" t="s">
        <v>596</v>
      </c>
      <c r="B295" t="s">
        <v>597</v>
      </c>
      <c r="C295" t="s">
        <v>19</v>
      </c>
      <c r="D295">
        <v>21400</v>
      </c>
      <c r="E295">
        <v>113</v>
      </c>
    </row>
    <row r="296" spans="1:5" x14ac:dyDescent="0.3">
      <c r="A296" t="s">
        <v>598</v>
      </c>
      <c r="B296" t="s">
        <v>599</v>
      </c>
      <c r="C296" t="s">
        <v>19</v>
      </c>
      <c r="D296">
        <v>14001</v>
      </c>
      <c r="E296">
        <v>201</v>
      </c>
    </row>
    <row r="297" spans="1:5" x14ac:dyDescent="0.3">
      <c r="A297" t="s">
        <v>600</v>
      </c>
      <c r="B297" t="s">
        <v>601</v>
      </c>
      <c r="C297" t="s">
        <v>10</v>
      </c>
      <c r="D297">
        <v>22404</v>
      </c>
      <c r="E297">
        <v>163</v>
      </c>
    </row>
    <row r="298" spans="1:5" x14ac:dyDescent="0.3">
      <c r="A298" t="s">
        <v>602</v>
      </c>
      <c r="B298" t="s">
        <v>603</v>
      </c>
      <c r="C298" t="s">
        <v>16</v>
      </c>
      <c r="D298">
        <v>46052</v>
      </c>
      <c r="E298">
        <v>470</v>
      </c>
    </row>
    <row r="299" spans="1:5" x14ac:dyDescent="0.3">
      <c r="A299" t="s">
        <v>604</v>
      </c>
      <c r="B299" t="s">
        <v>605</v>
      </c>
      <c r="C299" t="s">
        <v>10</v>
      </c>
      <c r="D299">
        <v>36524</v>
      </c>
      <c r="E299">
        <v>25</v>
      </c>
    </row>
    <row r="300" spans="1:5" x14ac:dyDescent="0.3">
      <c r="A300" t="s">
        <v>606</v>
      </c>
      <c r="B300" t="s">
        <v>607</v>
      </c>
      <c r="C300" t="s">
        <v>16</v>
      </c>
      <c r="D300">
        <v>12621</v>
      </c>
      <c r="E300">
        <v>63</v>
      </c>
    </row>
    <row r="301" spans="1:5" x14ac:dyDescent="0.3">
      <c r="A301" t="s">
        <v>608</v>
      </c>
      <c r="B301" t="s">
        <v>609</v>
      </c>
      <c r="C301" t="s">
        <v>13</v>
      </c>
      <c r="D301">
        <v>47290</v>
      </c>
      <c r="E301">
        <v>228</v>
      </c>
    </row>
    <row r="302" spans="1:5" x14ac:dyDescent="0.3">
      <c r="A302" t="s">
        <v>610</v>
      </c>
      <c r="B302" t="s">
        <v>611</v>
      </c>
      <c r="C302" t="s">
        <v>19</v>
      </c>
      <c r="D302">
        <v>36484</v>
      </c>
      <c r="E302">
        <v>408</v>
      </c>
    </row>
    <row r="303" spans="1:5" x14ac:dyDescent="0.3">
      <c r="A303" t="s">
        <v>612</v>
      </c>
      <c r="B303" t="s">
        <v>613</v>
      </c>
      <c r="C303" t="s">
        <v>13</v>
      </c>
      <c r="D303">
        <v>45359</v>
      </c>
      <c r="E303">
        <v>263</v>
      </c>
    </row>
    <row r="304" spans="1:5" x14ac:dyDescent="0.3">
      <c r="A304" t="s">
        <v>614</v>
      </c>
      <c r="B304" t="s">
        <v>615</v>
      </c>
      <c r="C304" t="s">
        <v>19</v>
      </c>
      <c r="D304">
        <v>29471</v>
      </c>
      <c r="E304">
        <v>425</v>
      </c>
    </row>
    <row r="305" spans="1:5" x14ac:dyDescent="0.3">
      <c r="A305" t="s">
        <v>616</v>
      </c>
      <c r="B305" t="s">
        <v>617</v>
      </c>
      <c r="C305" t="s">
        <v>7</v>
      </c>
      <c r="D305">
        <v>6198</v>
      </c>
      <c r="E305">
        <v>170</v>
      </c>
    </row>
    <row r="306" spans="1:5" x14ac:dyDescent="0.3">
      <c r="A306" t="s">
        <v>618</v>
      </c>
      <c r="B306" t="s">
        <v>619</v>
      </c>
      <c r="C306" t="s">
        <v>13</v>
      </c>
      <c r="D306">
        <v>26602</v>
      </c>
      <c r="E306">
        <v>374</v>
      </c>
    </row>
    <row r="307" spans="1:5" x14ac:dyDescent="0.3">
      <c r="A307" t="s">
        <v>620</v>
      </c>
      <c r="B307" t="s">
        <v>621</v>
      </c>
      <c r="C307" t="s">
        <v>13</v>
      </c>
      <c r="D307">
        <v>20167</v>
      </c>
      <c r="E307">
        <v>359</v>
      </c>
    </row>
    <row r="308" spans="1:5" x14ac:dyDescent="0.3">
      <c r="A308" t="s">
        <v>622</v>
      </c>
      <c r="B308" t="s">
        <v>623</v>
      </c>
      <c r="C308" t="s">
        <v>16</v>
      </c>
      <c r="D308">
        <v>24284</v>
      </c>
      <c r="E308">
        <v>262</v>
      </c>
    </row>
    <row r="309" spans="1:5" x14ac:dyDescent="0.3">
      <c r="A309" t="s">
        <v>624</v>
      </c>
      <c r="B309" t="s">
        <v>625</v>
      </c>
      <c r="C309" t="s">
        <v>16</v>
      </c>
      <c r="D309">
        <v>34894</v>
      </c>
      <c r="E309">
        <v>196</v>
      </c>
    </row>
    <row r="310" spans="1:5" x14ac:dyDescent="0.3">
      <c r="A310" t="s">
        <v>626</v>
      </c>
      <c r="B310" t="s">
        <v>627</v>
      </c>
      <c r="C310" t="s">
        <v>19</v>
      </c>
      <c r="D310">
        <v>48985</v>
      </c>
      <c r="E310">
        <v>301</v>
      </c>
    </row>
    <row r="311" spans="1:5" x14ac:dyDescent="0.3">
      <c r="A311" t="s">
        <v>628</v>
      </c>
      <c r="B311" t="s">
        <v>629</v>
      </c>
      <c r="C311" t="s">
        <v>10</v>
      </c>
      <c r="D311">
        <v>23156</v>
      </c>
      <c r="E311">
        <v>379</v>
      </c>
    </row>
    <row r="312" spans="1:5" x14ac:dyDescent="0.3">
      <c r="A312" t="s">
        <v>630</v>
      </c>
      <c r="B312" t="s">
        <v>631</v>
      </c>
      <c r="C312" t="s">
        <v>19</v>
      </c>
      <c r="D312">
        <v>17854</v>
      </c>
      <c r="E312">
        <v>176</v>
      </c>
    </row>
    <row r="313" spans="1:5" x14ac:dyDescent="0.3">
      <c r="A313" t="s">
        <v>632</v>
      </c>
      <c r="B313" t="s">
        <v>633</v>
      </c>
      <c r="C313" t="s">
        <v>10</v>
      </c>
      <c r="D313">
        <v>15208</v>
      </c>
      <c r="E313">
        <v>81</v>
      </c>
    </row>
    <row r="314" spans="1:5" x14ac:dyDescent="0.3">
      <c r="A314" t="s">
        <v>634</v>
      </c>
      <c r="B314" t="s">
        <v>635</v>
      </c>
      <c r="C314" t="s">
        <v>13</v>
      </c>
      <c r="D314">
        <v>20779</v>
      </c>
      <c r="E314">
        <v>81</v>
      </c>
    </row>
    <row r="315" spans="1:5" x14ac:dyDescent="0.3">
      <c r="A315" t="s">
        <v>636</v>
      </c>
      <c r="B315" t="s">
        <v>637</v>
      </c>
      <c r="C315" t="s">
        <v>16</v>
      </c>
      <c r="D315">
        <v>45330</v>
      </c>
      <c r="E315">
        <v>114</v>
      </c>
    </row>
    <row r="316" spans="1:5" x14ac:dyDescent="0.3">
      <c r="A316" t="s">
        <v>638</v>
      </c>
      <c r="B316" t="s">
        <v>639</v>
      </c>
      <c r="C316" t="s">
        <v>13</v>
      </c>
      <c r="D316">
        <v>14280</v>
      </c>
      <c r="E316">
        <v>398</v>
      </c>
    </row>
    <row r="317" spans="1:5" x14ac:dyDescent="0.3">
      <c r="A317" t="s">
        <v>640</v>
      </c>
      <c r="B317" t="s">
        <v>641</v>
      </c>
      <c r="C317" t="s">
        <v>19</v>
      </c>
      <c r="D317">
        <v>18220</v>
      </c>
      <c r="E317">
        <v>390</v>
      </c>
    </row>
    <row r="318" spans="1:5" x14ac:dyDescent="0.3">
      <c r="A318" t="s">
        <v>642</v>
      </c>
      <c r="B318" t="s">
        <v>643</v>
      </c>
      <c r="C318" t="s">
        <v>16</v>
      </c>
      <c r="D318">
        <v>49920</v>
      </c>
      <c r="E318">
        <v>288</v>
      </c>
    </row>
    <row r="319" spans="1:5" x14ac:dyDescent="0.3">
      <c r="A319" t="s">
        <v>644</v>
      </c>
      <c r="B319" t="s">
        <v>645</v>
      </c>
      <c r="C319" t="s">
        <v>16</v>
      </c>
      <c r="D319">
        <v>18646</v>
      </c>
      <c r="E319">
        <v>71</v>
      </c>
    </row>
    <row r="320" spans="1:5" x14ac:dyDescent="0.3">
      <c r="A320" t="s">
        <v>646</v>
      </c>
      <c r="B320" t="s">
        <v>647</v>
      </c>
      <c r="C320" t="s">
        <v>13</v>
      </c>
      <c r="D320">
        <v>19514</v>
      </c>
      <c r="E320">
        <v>136</v>
      </c>
    </row>
    <row r="321" spans="1:5" x14ac:dyDescent="0.3">
      <c r="A321" t="s">
        <v>648</v>
      </c>
      <c r="B321" t="s">
        <v>649</v>
      </c>
      <c r="C321" t="s">
        <v>10</v>
      </c>
      <c r="D321">
        <v>11859</v>
      </c>
      <c r="E321">
        <v>174</v>
      </c>
    </row>
    <row r="322" spans="1:5" x14ac:dyDescent="0.3">
      <c r="A322" t="s">
        <v>650</v>
      </c>
      <c r="B322" t="s">
        <v>651</v>
      </c>
      <c r="C322" t="s">
        <v>7</v>
      </c>
      <c r="D322">
        <v>46500</v>
      </c>
      <c r="E322">
        <v>293</v>
      </c>
    </row>
    <row r="323" spans="1:5" x14ac:dyDescent="0.3">
      <c r="A323" t="s">
        <v>652</v>
      </c>
      <c r="B323" t="s">
        <v>653</v>
      </c>
      <c r="C323" t="s">
        <v>13</v>
      </c>
      <c r="D323">
        <v>18077</v>
      </c>
      <c r="E323">
        <v>43</v>
      </c>
    </row>
    <row r="324" spans="1:5" x14ac:dyDescent="0.3">
      <c r="A324" t="s">
        <v>654</v>
      </c>
      <c r="B324" t="s">
        <v>655</v>
      </c>
      <c r="C324" t="s">
        <v>7</v>
      </c>
      <c r="D324">
        <v>36364</v>
      </c>
      <c r="E324">
        <v>169</v>
      </c>
    </row>
    <row r="325" spans="1:5" x14ac:dyDescent="0.3">
      <c r="A325" t="s">
        <v>656</v>
      </c>
      <c r="B325" t="s">
        <v>657</v>
      </c>
      <c r="C325" t="s">
        <v>13</v>
      </c>
      <c r="D325">
        <v>41903</v>
      </c>
      <c r="E325">
        <v>464</v>
      </c>
    </row>
    <row r="326" spans="1:5" x14ac:dyDescent="0.3">
      <c r="A326" t="s">
        <v>658</v>
      </c>
      <c r="B326" t="s">
        <v>659</v>
      </c>
      <c r="C326" t="s">
        <v>19</v>
      </c>
      <c r="D326">
        <v>6823</v>
      </c>
      <c r="E326">
        <v>466</v>
      </c>
    </row>
    <row r="327" spans="1:5" x14ac:dyDescent="0.3">
      <c r="A327" t="s">
        <v>660</v>
      </c>
      <c r="B327" t="s">
        <v>661</v>
      </c>
      <c r="C327" t="s">
        <v>7</v>
      </c>
      <c r="D327">
        <v>37721</v>
      </c>
      <c r="E327">
        <v>165</v>
      </c>
    </row>
    <row r="328" spans="1:5" x14ac:dyDescent="0.3">
      <c r="A328" t="s">
        <v>662</v>
      </c>
      <c r="B328" t="s">
        <v>663</v>
      </c>
      <c r="C328" t="s">
        <v>19</v>
      </c>
      <c r="D328">
        <v>31473</v>
      </c>
      <c r="E328">
        <v>245</v>
      </c>
    </row>
    <row r="329" spans="1:5" x14ac:dyDescent="0.3">
      <c r="A329" t="s">
        <v>664</v>
      </c>
      <c r="B329" t="s">
        <v>665</v>
      </c>
      <c r="C329" t="s">
        <v>10</v>
      </c>
      <c r="D329">
        <v>12182</v>
      </c>
      <c r="E329">
        <v>46</v>
      </c>
    </row>
    <row r="330" spans="1:5" x14ac:dyDescent="0.3">
      <c r="A330" t="s">
        <v>666</v>
      </c>
      <c r="B330" t="s">
        <v>667</v>
      </c>
      <c r="C330" t="s">
        <v>10</v>
      </c>
      <c r="D330">
        <v>31408</v>
      </c>
      <c r="E330">
        <v>78</v>
      </c>
    </row>
    <row r="331" spans="1:5" x14ac:dyDescent="0.3">
      <c r="A331" t="s">
        <v>668</v>
      </c>
      <c r="B331" t="s">
        <v>669</v>
      </c>
      <c r="C331" t="s">
        <v>7</v>
      </c>
      <c r="D331">
        <v>26360</v>
      </c>
      <c r="E331">
        <v>271</v>
      </c>
    </row>
    <row r="332" spans="1:5" x14ac:dyDescent="0.3">
      <c r="A332" t="s">
        <v>670</v>
      </c>
      <c r="B332" t="s">
        <v>671</v>
      </c>
      <c r="C332" t="s">
        <v>7</v>
      </c>
      <c r="D332">
        <v>37915</v>
      </c>
      <c r="E332">
        <v>342</v>
      </c>
    </row>
    <row r="333" spans="1:5" x14ac:dyDescent="0.3">
      <c r="A333" t="s">
        <v>672</v>
      </c>
      <c r="B333" t="s">
        <v>673</v>
      </c>
      <c r="C333" t="s">
        <v>7</v>
      </c>
      <c r="D333">
        <v>10043</v>
      </c>
      <c r="E333">
        <v>96</v>
      </c>
    </row>
    <row r="334" spans="1:5" x14ac:dyDescent="0.3">
      <c r="A334" t="s">
        <v>674</v>
      </c>
      <c r="B334" t="s">
        <v>675</v>
      </c>
      <c r="C334" t="s">
        <v>16</v>
      </c>
      <c r="D334">
        <v>20012</v>
      </c>
      <c r="E334">
        <v>63</v>
      </c>
    </row>
    <row r="335" spans="1:5" x14ac:dyDescent="0.3">
      <c r="A335" t="s">
        <v>676</v>
      </c>
      <c r="B335" t="s">
        <v>677</v>
      </c>
      <c r="C335" t="s">
        <v>13</v>
      </c>
      <c r="D335">
        <v>7862</v>
      </c>
      <c r="E335">
        <v>305</v>
      </c>
    </row>
    <row r="336" spans="1:5" x14ac:dyDescent="0.3">
      <c r="A336" t="s">
        <v>678</v>
      </c>
      <c r="B336" t="s">
        <v>679</v>
      </c>
      <c r="C336" t="s">
        <v>19</v>
      </c>
      <c r="D336">
        <v>39835</v>
      </c>
      <c r="E336">
        <v>325</v>
      </c>
    </row>
    <row r="337" spans="1:5" x14ac:dyDescent="0.3">
      <c r="A337" t="s">
        <v>680</v>
      </c>
      <c r="B337" t="s">
        <v>681</v>
      </c>
      <c r="C337" t="s">
        <v>16</v>
      </c>
      <c r="D337">
        <v>14890</v>
      </c>
      <c r="E337">
        <v>417</v>
      </c>
    </row>
    <row r="338" spans="1:5" x14ac:dyDescent="0.3">
      <c r="A338" t="s">
        <v>682</v>
      </c>
      <c r="B338" t="s">
        <v>683</v>
      </c>
      <c r="C338" t="s">
        <v>16</v>
      </c>
      <c r="D338">
        <v>25028</v>
      </c>
      <c r="E338">
        <v>250</v>
      </c>
    </row>
    <row r="339" spans="1:5" x14ac:dyDescent="0.3">
      <c r="A339" t="s">
        <v>684</v>
      </c>
      <c r="B339" t="s">
        <v>685</v>
      </c>
      <c r="C339" t="s">
        <v>19</v>
      </c>
      <c r="D339">
        <v>19587</v>
      </c>
      <c r="E339">
        <v>460</v>
      </c>
    </row>
    <row r="340" spans="1:5" x14ac:dyDescent="0.3">
      <c r="A340" t="s">
        <v>686</v>
      </c>
      <c r="B340" t="s">
        <v>687</v>
      </c>
      <c r="C340" t="s">
        <v>16</v>
      </c>
      <c r="D340">
        <v>28203</v>
      </c>
      <c r="E340">
        <v>176</v>
      </c>
    </row>
    <row r="341" spans="1:5" x14ac:dyDescent="0.3">
      <c r="A341" t="s">
        <v>688</v>
      </c>
      <c r="B341" t="s">
        <v>689</v>
      </c>
      <c r="C341" t="s">
        <v>16</v>
      </c>
      <c r="D341">
        <v>40799</v>
      </c>
      <c r="E341">
        <v>50</v>
      </c>
    </row>
    <row r="342" spans="1:5" x14ac:dyDescent="0.3">
      <c r="A342" t="s">
        <v>690</v>
      </c>
      <c r="B342" t="s">
        <v>691</v>
      </c>
      <c r="C342" t="s">
        <v>16</v>
      </c>
      <c r="D342">
        <v>48602</v>
      </c>
      <c r="E342">
        <v>70</v>
      </c>
    </row>
    <row r="343" spans="1:5" x14ac:dyDescent="0.3">
      <c r="A343" t="s">
        <v>692</v>
      </c>
      <c r="B343" t="s">
        <v>693</v>
      </c>
      <c r="C343" t="s">
        <v>13</v>
      </c>
      <c r="D343">
        <v>41093</v>
      </c>
      <c r="E343">
        <v>128</v>
      </c>
    </row>
    <row r="344" spans="1:5" x14ac:dyDescent="0.3">
      <c r="A344" t="s">
        <v>694</v>
      </c>
      <c r="B344" t="s">
        <v>695</v>
      </c>
      <c r="C344" t="s">
        <v>10</v>
      </c>
      <c r="D344">
        <v>43381</v>
      </c>
      <c r="E344">
        <v>61</v>
      </c>
    </row>
    <row r="345" spans="1:5" x14ac:dyDescent="0.3">
      <c r="A345" t="s">
        <v>696</v>
      </c>
      <c r="B345" t="s">
        <v>697</v>
      </c>
      <c r="C345" t="s">
        <v>13</v>
      </c>
      <c r="D345">
        <v>15819</v>
      </c>
      <c r="E345">
        <v>108</v>
      </c>
    </row>
    <row r="346" spans="1:5" x14ac:dyDescent="0.3">
      <c r="A346" t="s">
        <v>698</v>
      </c>
      <c r="B346" t="s">
        <v>699</v>
      </c>
      <c r="C346" t="s">
        <v>16</v>
      </c>
      <c r="D346">
        <v>5019</v>
      </c>
      <c r="E346">
        <v>100</v>
      </c>
    </row>
    <row r="347" spans="1:5" x14ac:dyDescent="0.3">
      <c r="A347" t="s">
        <v>700</v>
      </c>
      <c r="B347" t="s">
        <v>701</v>
      </c>
      <c r="C347" t="s">
        <v>7</v>
      </c>
      <c r="D347">
        <v>26872</v>
      </c>
      <c r="E347">
        <v>250</v>
      </c>
    </row>
    <row r="348" spans="1:5" x14ac:dyDescent="0.3">
      <c r="A348" t="s">
        <v>702</v>
      </c>
      <c r="B348" t="s">
        <v>703</v>
      </c>
      <c r="C348" t="s">
        <v>16</v>
      </c>
      <c r="D348">
        <v>30896</v>
      </c>
      <c r="E348">
        <v>169</v>
      </c>
    </row>
    <row r="349" spans="1:5" x14ac:dyDescent="0.3">
      <c r="A349" t="s">
        <v>704</v>
      </c>
      <c r="B349" t="s">
        <v>705</v>
      </c>
      <c r="C349" t="s">
        <v>7</v>
      </c>
      <c r="D349">
        <v>15270</v>
      </c>
      <c r="E349">
        <v>167</v>
      </c>
    </row>
    <row r="350" spans="1:5" x14ac:dyDescent="0.3">
      <c r="A350" t="s">
        <v>706</v>
      </c>
      <c r="B350" t="s">
        <v>707</v>
      </c>
      <c r="C350" t="s">
        <v>10</v>
      </c>
      <c r="D350">
        <v>46170</v>
      </c>
      <c r="E350">
        <v>460</v>
      </c>
    </row>
    <row r="351" spans="1:5" x14ac:dyDescent="0.3">
      <c r="A351" t="s">
        <v>708</v>
      </c>
      <c r="B351" t="s">
        <v>709</v>
      </c>
      <c r="C351" t="s">
        <v>19</v>
      </c>
      <c r="D351">
        <v>4764</v>
      </c>
      <c r="E351">
        <v>371</v>
      </c>
    </row>
    <row r="352" spans="1:5" x14ac:dyDescent="0.3">
      <c r="A352" t="s">
        <v>710</v>
      </c>
      <c r="B352" t="s">
        <v>711</v>
      </c>
      <c r="C352" t="s">
        <v>13</v>
      </c>
      <c r="D352">
        <v>17437</v>
      </c>
      <c r="E352">
        <v>423</v>
      </c>
    </row>
    <row r="353" spans="1:5" x14ac:dyDescent="0.3">
      <c r="A353" t="s">
        <v>712</v>
      </c>
      <c r="B353" t="s">
        <v>713</v>
      </c>
      <c r="C353" t="s">
        <v>16</v>
      </c>
      <c r="D353">
        <v>43431</v>
      </c>
      <c r="E353">
        <v>431</v>
      </c>
    </row>
    <row r="354" spans="1:5" x14ac:dyDescent="0.3">
      <c r="A354" t="s">
        <v>714</v>
      </c>
      <c r="B354" t="s">
        <v>715</v>
      </c>
      <c r="C354" t="s">
        <v>13</v>
      </c>
      <c r="D354">
        <v>27961</v>
      </c>
      <c r="E354">
        <v>78</v>
      </c>
    </row>
    <row r="355" spans="1:5" x14ac:dyDescent="0.3">
      <c r="A355" t="s">
        <v>716</v>
      </c>
      <c r="B355" t="s">
        <v>717</v>
      </c>
      <c r="C355" t="s">
        <v>16</v>
      </c>
      <c r="D355">
        <v>14833</v>
      </c>
      <c r="E355">
        <v>351</v>
      </c>
    </row>
    <row r="356" spans="1:5" x14ac:dyDescent="0.3">
      <c r="A356" t="s">
        <v>718</v>
      </c>
      <c r="B356" t="s">
        <v>719</v>
      </c>
      <c r="C356" t="s">
        <v>13</v>
      </c>
      <c r="D356">
        <v>17508</v>
      </c>
      <c r="E356">
        <v>443</v>
      </c>
    </row>
    <row r="357" spans="1:5" x14ac:dyDescent="0.3">
      <c r="A357" t="s">
        <v>720</v>
      </c>
      <c r="B357" t="s">
        <v>721</v>
      </c>
      <c r="C357" t="s">
        <v>13</v>
      </c>
      <c r="D357">
        <v>4779</v>
      </c>
      <c r="E357">
        <v>50</v>
      </c>
    </row>
    <row r="358" spans="1:5" x14ac:dyDescent="0.3">
      <c r="A358" t="s">
        <v>722</v>
      </c>
      <c r="B358" t="s">
        <v>723</v>
      </c>
      <c r="C358" t="s">
        <v>13</v>
      </c>
      <c r="D358">
        <v>20259</v>
      </c>
      <c r="E358">
        <v>324</v>
      </c>
    </row>
    <row r="359" spans="1:5" x14ac:dyDescent="0.3">
      <c r="A359" t="s">
        <v>724</v>
      </c>
      <c r="B359" t="s">
        <v>725</v>
      </c>
      <c r="C359" t="s">
        <v>16</v>
      </c>
      <c r="D359">
        <v>19014</v>
      </c>
      <c r="E359">
        <v>244</v>
      </c>
    </row>
    <row r="360" spans="1:5" x14ac:dyDescent="0.3">
      <c r="A360" t="s">
        <v>726</v>
      </c>
      <c r="B360" t="s">
        <v>727</v>
      </c>
      <c r="C360" t="s">
        <v>7</v>
      </c>
      <c r="D360">
        <v>30816</v>
      </c>
      <c r="E360">
        <v>372</v>
      </c>
    </row>
    <row r="361" spans="1:5" x14ac:dyDescent="0.3">
      <c r="A361" t="s">
        <v>728</v>
      </c>
      <c r="B361" t="s">
        <v>729</v>
      </c>
      <c r="C361" t="s">
        <v>10</v>
      </c>
      <c r="D361">
        <v>45957</v>
      </c>
      <c r="E361">
        <v>226</v>
      </c>
    </row>
    <row r="362" spans="1:5" x14ac:dyDescent="0.3">
      <c r="A362" t="s">
        <v>730</v>
      </c>
      <c r="B362" t="s">
        <v>731</v>
      </c>
      <c r="C362" t="s">
        <v>10</v>
      </c>
      <c r="D362">
        <v>32898</v>
      </c>
      <c r="E362">
        <v>296</v>
      </c>
    </row>
    <row r="363" spans="1:5" x14ac:dyDescent="0.3">
      <c r="A363" t="s">
        <v>732</v>
      </c>
      <c r="B363" t="s">
        <v>733</v>
      </c>
      <c r="C363" t="s">
        <v>19</v>
      </c>
      <c r="D363">
        <v>28788</v>
      </c>
      <c r="E363">
        <v>61</v>
      </c>
    </row>
    <row r="364" spans="1:5" x14ac:dyDescent="0.3">
      <c r="A364" t="s">
        <v>734</v>
      </c>
      <c r="B364" t="s">
        <v>735</v>
      </c>
      <c r="C364" t="s">
        <v>16</v>
      </c>
      <c r="D364">
        <v>2712</v>
      </c>
      <c r="E364">
        <v>475</v>
      </c>
    </row>
    <row r="365" spans="1:5" x14ac:dyDescent="0.3">
      <c r="A365" t="s">
        <v>736</v>
      </c>
      <c r="B365" t="s">
        <v>737</v>
      </c>
      <c r="C365" t="s">
        <v>19</v>
      </c>
      <c r="D365">
        <v>48238</v>
      </c>
      <c r="E365">
        <v>185</v>
      </c>
    </row>
    <row r="366" spans="1:5" x14ac:dyDescent="0.3">
      <c r="A366" t="s">
        <v>738</v>
      </c>
      <c r="B366" t="s">
        <v>739</v>
      </c>
      <c r="C366" t="s">
        <v>16</v>
      </c>
      <c r="D366">
        <v>16508</v>
      </c>
      <c r="E366">
        <v>33</v>
      </c>
    </row>
    <row r="367" spans="1:5" x14ac:dyDescent="0.3">
      <c r="A367" t="s">
        <v>740</v>
      </c>
      <c r="B367" t="s">
        <v>741</v>
      </c>
      <c r="C367" t="s">
        <v>7</v>
      </c>
      <c r="D367">
        <v>15102</v>
      </c>
      <c r="E367">
        <v>365</v>
      </c>
    </row>
    <row r="368" spans="1:5" x14ac:dyDescent="0.3">
      <c r="A368" t="s">
        <v>742</v>
      </c>
      <c r="B368" t="s">
        <v>743</v>
      </c>
      <c r="C368" t="s">
        <v>16</v>
      </c>
      <c r="D368">
        <v>38577</v>
      </c>
      <c r="E368">
        <v>30</v>
      </c>
    </row>
    <row r="369" spans="1:5" x14ac:dyDescent="0.3">
      <c r="A369" t="s">
        <v>744</v>
      </c>
      <c r="B369" t="s">
        <v>745</v>
      </c>
      <c r="C369" t="s">
        <v>10</v>
      </c>
      <c r="D369">
        <v>37864</v>
      </c>
      <c r="E369">
        <v>40</v>
      </c>
    </row>
    <row r="370" spans="1:5" x14ac:dyDescent="0.3">
      <c r="A370" t="s">
        <v>746</v>
      </c>
      <c r="B370" t="s">
        <v>747</v>
      </c>
      <c r="C370" t="s">
        <v>13</v>
      </c>
      <c r="D370">
        <v>30934</v>
      </c>
      <c r="E370">
        <v>285</v>
      </c>
    </row>
    <row r="371" spans="1:5" x14ac:dyDescent="0.3">
      <c r="A371" t="s">
        <v>748</v>
      </c>
      <c r="B371" t="s">
        <v>749</v>
      </c>
      <c r="C371" t="s">
        <v>19</v>
      </c>
      <c r="D371">
        <v>18329</v>
      </c>
      <c r="E371">
        <v>112</v>
      </c>
    </row>
    <row r="372" spans="1:5" x14ac:dyDescent="0.3">
      <c r="A372" t="s">
        <v>750</v>
      </c>
      <c r="B372" t="s">
        <v>751</v>
      </c>
      <c r="C372" t="s">
        <v>16</v>
      </c>
      <c r="D372">
        <v>28666</v>
      </c>
      <c r="E372">
        <v>345</v>
      </c>
    </row>
    <row r="373" spans="1:5" x14ac:dyDescent="0.3">
      <c r="A373" t="s">
        <v>752</v>
      </c>
      <c r="B373" t="s">
        <v>753</v>
      </c>
      <c r="C373" t="s">
        <v>19</v>
      </c>
      <c r="D373">
        <v>6079</v>
      </c>
      <c r="E373">
        <v>260</v>
      </c>
    </row>
    <row r="374" spans="1:5" x14ac:dyDescent="0.3">
      <c r="A374" t="s">
        <v>754</v>
      </c>
      <c r="B374" t="s">
        <v>755</v>
      </c>
      <c r="C374" t="s">
        <v>10</v>
      </c>
      <c r="D374">
        <v>26861</v>
      </c>
      <c r="E374">
        <v>190</v>
      </c>
    </row>
    <row r="375" spans="1:5" x14ac:dyDescent="0.3">
      <c r="A375" t="s">
        <v>756</v>
      </c>
      <c r="B375" t="s">
        <v>757</v>
      </c>
      <c r="C375" t="s">
        <v>10</v>
      </c>
      <c r="D375">
        <v>44017</v>
      </c>
      <c r="E375">
        <v>73</v>
      </c>
    </row>
    <row r="376" spans="1:5" x14ac:dyDescent="0.3">
      <c r="A376" t="s">
        <v>758</v>
      </c>
      <c r="B376" t="s">
        <v>759</v>
      </c>
      <c r="C376" t="s">
        <v>13</v>
      </c>
      <c r="D376">
        <v>21714</v>
      </c>
      <c r="E376">
        <v>230</v>
      </c>
    </row>
    <row r="377" spans="1:5" x14ac:dyDescent="0.3">
      <c r="A377" t="s">
        <v>760</v>
      </c>
      <c r="B377" t="s">
        <v>761</v>
      </c>
      <c r="C377" t="s">
        <v>19</v>
      </c>
      <c r="D377">
        <v>18988</v>
      </c>
      <c r="E377">
        <v>359</v>
      </c>
    </row>
    <row r="378" spans="1:5" x14ac:dyDescent="0.3">
      <c r="A378" t="s">
        <v>762</v>
      </c>
      <c r="B378" t="s">
        <v>763</v>
      </c>
      <c r="C378" t="s">
        <v>19</v>
      </c>
      <c r="D378">
        <v>49940</v>
      </c>
      <c r="E378">
        <v>301</v>
      </c>
    </row>
    <row r="379" spans="1:5" x14ac:dyDescent="0.3">
      <c r="A379" t="s">
        <v>764</v>
      </c>
      <c r="B379" t="s">
        <v>765</v>
      </c>
      <c r="C379" t="s">
        <v>7</v>
      </c>
      <c r="D379">
        <v>29907</v>
      </c>
      <c r="E379">
        <v>65</v>
      </c>
    </row>
    <row r="380" spans="1:5" x14ac:dyDescent="0.3">
      <c r="A380" t="s">
        <v>766</v>
      </c>
      <c r="B380" t="s">
        <v>767</v>
      </c>
      <c r="C380" t="s">
        <v>10</v>
      </c>
      <c r="D380">
        <v>16641</v>
      </c>
      <c r="E380">
        <v>185</v>
      </c>
    </row>
    <row r="381" spans="1:5" x14ac:dyDescent="0.3">
      <c r="A381" t="s">
        <v>768</v>
      </c>
      <c r="B381" t="s">
        <v>769</v>
      </c>
      <c r="C381" t="s">
        <v>7</v>
      </c>
      <c r="D381">
        <v>26588</v>
      </c>
      <c r="E381">
        <v>462</v>
      </c>
    </row>
    <row r="382" spans="1:5" x14ac:dyDescent="0.3">
      <c r="A382" t="s">
        <v>770</v>
      </c>
      <c r="B382" t="s">
        <v>771</v>
      </c>
      <c r="C382" t="s">
        <v>16</v>
      </c>
      <c r="D382">
        <v>175</v>
      </c>
      <c r="E382">
        <v>356</v>
      </c>
    </row>
    <row r="383" spans="1:5" x14ac:dyDescent="0.3">
      <c r="A383" t="s">
        <v>772</v>
      </c>
      <c r="B383" t="s">
        <v>773</v>
      </c>
      <c r="C383" t="s">
        <v>16</v>
      </c>
      <c r="D383">
        <v>30376</v>
      </c>
      <c r="E383">
        <v>231</v>
      </c>
    </row>
    <row r="384" spans="1:5" x14ac:dyDescent="0.3">
      <c r="A384" t="s">
        <v>774</v>
      </c>
      <c r="B384" t="s">
        <v>775</v>
      </c>
      <c r="C384" t="s">
        <v>7</v>
      </c>
      <c r="D384">
        <v>12393</v>
      </c>
      <c r="E384">
        <v>285</v>
      </c>
    </row>
    <row r="385" spans="1:5" x14ac:dyDescent="0.3">
      <c r="A385" t="s">
        <v>776</v>
      </c>
      <c r="B385" t="s">
        <v>777</v>
      </c>
      <c r="C385" t="s">
        <v>10</v>
      </c>
      <c r="D385">
        <v>40904</v>
      </c>
      <c r="E385">
        <v>407</v>
      </c>
    </row>
    <row r="386" spans="1:5" x14ac:dyDescent="0.3">
      <c r="A386" t="s">
        <v>778</v>
      </c>
      <c r="B386" t="s">
        <v>779</v>
      </c>
      <c r="C386" t="s">
        <v>19</v>
      </c>
      <c r="D386">
        <v>41086</v>
      </c>
      <c r="E386">
        <v>246</v>
      </c>
    </row>
    <row r="387" spans="1:5" x14ac:dyDescent="0.3">
      <c r="A387" t="s">
        <v>780</v>
      </c>
      <c r="B387" t="s">
        <v>781</v>
      </c>
      <c r="C387" t="s">
        <v>7</v>
      </c>
      <c r="D387">
        <v>13440</v>
      </c>
      <c r="E387">
        <v>156</v>
      </c>
    </row>
    <row r="388" spans="1:5" x14ac:dyDescent="0.3">
      <c r="A388" t="s">
        <v>782</v>
      </c>
      <c r="B388" t="s">
        <v>783</v>
      </c>
      <c r="C388" t="s">
        <v>16</v>
      </c>
      <c r="D388">
        <v>8686</v>
      </c>
      <c r="E388">
        <v>494</v>
      </c>
    </row>
    <row r="389" spans="1:5" x14ac:dyDescent="0.3">
      <c r="A389" t="s">
        <v>784</v>
      </c>
      <c r="B389" t="s">
        <v>785</v>
      </c>
      <c r="C389" t="s">
        <v>10</v>
      </c>
      <c r="D389">
        <v>28812</v>
      </c>
      <c r="E389">
        <v>470</v>
      </c>
    </row>
    <row r="390" spans="1:5" x14ac:dyDescent="0.3">
      <c r="A390" t="s">
        <v>786</v>
      </c>
      <c r="B390" t="s">
        <v>787</v>
      </c>
      <c r="C390" t="s">
        <v>19</v>
      </c>
      <c r="D390">
        <v>8057</v>
      </c>
      <c r="E390">
        <v>34</v>
      </c>
    </row>
    <row r="391" spans="1:5" x14ac:dyDescent="0.3">
      <c r="A391" t="s">
        <v>788</v>
      </c>
      <c r="B391" t="s">
        <v>789</v>
      </c>
      <c r="C391" t="s">
        <v>16</v>
      </c>
      <c r="D391">
        <v>15782</v>
      </c>
      <c r="E391">
        <v>383</v>
      </c>
    </row>
    <row r="392" spans="1:5" x14ac:dyDescent="0.3">
      <c r="A392" t="s">
        <v>790</v>
      </c>
      <c r="B392" t="s">
        <v>791</v>
      </c>
      <c r="C392" t="s">
        <v>13</v>
      </c>
      <c r="D392">
        <v>20465</v>
      </c>
      <c r="E392">
        <v>302</v>
      </c>
    </row>
    <row r="393" spans="1:5" x14ac:dyDescent="0.3">
      <c r="A393" t="s">
        <v>792</v>
      </c>
      <c r="B393" t="s">
        <v>793</v>
      </c>
      <c r="C393" t="s">
        <v>7</v>
      </c>
      <c r="D393">
        <v>36292</v>
      </c>
      <c r="E393">
        <v>228</v>
      </c>
    </row>
    <row r="394" spans="1:5" x14ac:dyDescent="0.3">
      <c r="A394" t="s">
        <v>794</v>
      </c>
      <c r="B394" t="s">
        <v>795</v>
      </c>
      <c r="C394" t="s">
        <v>7</v>
      </c>
      <c r="D394">
        <v>14825</v>
      </c>
      <c r="E394">
        <v>450</v>
      </c>
    </row>
    <row r="395" spans="1:5" x14ac:dyDescent="0.3">
      <c r="A395" t="s">
        <v>796</v>
      </c>
      <c r="B395" t="s">
        <v>797</v>
      </c>
      <c r="C395" t="s">
        <v>7</v>
      </c>
      <c r="D395">
        <v>30341</v>
      </c>
      <c r="E395">
        <v>80</v>
      </c>
    </row>
    <row r="396" spans="1:5" x14ac:dyDescent="0.3">
      <c r="A396" t="s">
        <v>798</v>
      </c>
      <c r="B396" t="s">
        <v>799</v>
      </c>
      <c r="C396" t="s">
        <v>13</v>
      </c>
      <c r="D396">
        <v>32761</v>
      </c>
      <c r="E396">
        <v>497</v>
      </c>
    </row>
    <row r="397" spans="1:5" x14ac:dyDescent="0.3">
      <c r="A397" t="s">
        <v>800</v>
      </c>
      <c r="B397" t="s">
        <v>801</v>
      </c>
      <c r="C397" t="s">
        <v>10</v>
      </c>
      <c r="D397">
        <v>33449</v>
      </c>
      <c r="E397">
        <v>381</v>
      </c>
    </row>
    <row r="398" spans="1:5" x14ac:dyDescent="0.3">
      <c r="A398" t="s">
        <v>802</v>
      </c>
      <c r="B398" t="s">
        <v>803</v>
      </c>
      <c r="C398" t="s">
        <v>10</v>
      </c>
      <c r="D398">
        <v>27329</v>
      </c>
      <c r="E398">
        <v>447</v>
      </c>
    </row>
    <row r="399" spans="1:5" x14ac:dyDescent="0.3">
      <c r="A399" t="s">
        <v>804</v>
      </c>
      <c r="B399" t="s">
        <v>805</v>
      </c>
      <c r="C399" t="s">
        <v>19</v>
      </c>
      <c r="D399">
        <v>31047</v>
      </c>
      <c r="E399">
        <v>144</v>
      </c>
    </row>
    <row r="400" spans="1:5" x14ac:dyDescent="0.3">
      <c r="A400" t="s">
        <v>806</v>
      </c>
      <c r="B400" t="s">
        <v>807</v>
      </c>
      <c r="C400" t="s">
        <v>19</v>
      </c>
      <c r="D400">
        <v>36227</v>
      </c>
      <c r="E400">
        <v>94</v>
      </c>
    </row>
    <row r="401" spans="1:5" x14ac:dyDescent="0.3">
      <c r="A401" t="s">
        <v>808</v>
      </c>
      <c r="B401" t="s">
        <v>809</v>
      </c>
      <c r="C401" t="s">
        <v>19</v>
      </c>
      <c r="D401">
        <v>12591</v>
      </c>
      <c r="E401">
        <v>491</v>
      </c>
    </row>
    <row r="402" spans="1:5" x14ac:dyDescent="0.3">
      <c r="A402" t="s">
        <v>810</v>
      </c>
      <c r="B402" t="s">
        <v>811</v>
      </c>
      <c r="C402" t="s">
        <v>16</v>
      </c>
      <c r="D402">
        <v>33408</v>
      </c>
      <c r="E402">
        <v>402</v>
      </c>
    </row>
    <row r="403" spans="1:5" x14ac:dyDescent="0.3">
      <c r="A403" t="s">
        <v>812</v>
      </c>
      <c r="B403" t="s">
        <v>813</v>
      </c>
      <c r="C403" t="s">
        <v>13</v>
      </c>
      <c r="D403">
        <v>4675</v>
      </c>
      <c r="E403">
        <v>161</v>
      </c>
    </row>
    <row r="404" spans="1:5" x14ac:dyDescent="0.3">
      <c r="A404" t="s">
        <v>814</v>
      </c>
      <c r="B404" t="s">
        <v>815</v>
      </c>
      <c r="C404" t="s">
        <v>19</v>
      </c>
      <c r="D404">
        <v>22374</v>
      </c>
      <c r="E404">
        <v>498</v>
      </c>
    </row>
    <row r="405" spans="1:5" x14ac:dyDescent="0.3">
      <c r="A405" t="s">
        <v>816</v>
      </c>
      <c r="B405" t="s">
        <v>817</v>
      </c>
      <c r="C405" t="s">
        <v>16</v>
      </c>
      <c r="D405">
        <v>17609</v>
      </c>
      <c r="E405">
        <v>440</v>
      </c>
    </row>
    <row r="406" spans="1:5" x14ac:dyDescent="0.3">
      <c r="A406" t="s">
        <v>818</v>
      </c>
      <c r="B406" t="s">
        <v>819</v>
      </c>
      <c r="C406" t="s">
        <v>7</v>
      </c>
      <c r="D406">
        <v>18636</v>
      </c>
      <c r="E406">
        <v>391</v>
      </c>
    </row>
    <row r="407" spans="1:5" x14ac:dyDescent="0.3">
      <c r="A407" t="s">
        <v>820</v>
      </c>
      <c r="B407" t="s">
        <v>821</v>
      </c>
      <c r="C407" t="s">
        <v>10</v>
      </c>
      <c r="D407">
        <v>38565</v>
      </c>
      <c r="E407">
        <v>316</v>
      </c>
    </row>
    <row r="408" spans="1:5" x14ac:dyDescent="0.3">
      <c r="A408" t="s">
        <v>822</v>
      </c>
      <c r="B408" t="s">
        <v>823</v>
      </c>
      <c r="C408" t="s">
        <v>19</v>
      </c>
      <c r="D408">
        <v>9838</v>
      </c>
      <c r="E408">
        <v>248</v>
      </c>
    </row>
    <row r="409" spans="1:5" x14ac:dyDescent="0.3">
      <c r="A409" t="s">
        <v>824</v>
      </c>
      <c r="B409" t="s">
        <v>825</v>
      </c>
      <c r="C409" t="s">
        <v>16</v>
      </c>
      <c r="D409">
        <v>31841</v>
      </c>
      <c r="E409">
        <v>196</v>
      </c>
    </row>
    <row r="410" spans="1:5" x14ac:dyDescent="0.3">
      <c r="A410" t="s">
        <v>826</v>
      </c>
      <c r="B410" t="s">
        <v>827</v>
      </c>
      <c r="C410" t="s">
        <v>10</v>
      </c>
      <c r="D410">
        <v>36270</v>
      </c>
      <c r="E410">
        <v>410</v>
      </c>
    </row>
    <row r="411" spans="1:5" x14ac:dyDescent="0.3">
      <c r="A411" t="s">
        <v>828</v>
      </c>
      <c r="B411" t="s">
        <v>829</v>
      </c>
      <c r="C411" t="s">
        <v>16</v>
      </c>
      <c r="D411">
        <v>24820</v>
      </c>
      <c r="E411">
        <v>253</v>
      </c>
    </row>
    <row r="412" spans="1:5" x14ac:dyDescent="0.3">
      <c r="A412" t="s">
        <v>830</v>
      </c>
      <c r="B412" t="s">
        <v>831</v>
      </c>
      <c r="C412" t="s">
        <v>10</v>
      </c>
      <c r="D412">
        <v>12463</v>
      </c>
      <c r="E412">
        <v>377</v>
      </c>
    </row>
    <row r="413" spans="1:5" x14ac:dyDescent="0.3">
      <c r="A413" t="s">
        <v>832</v>
      </c>
      <c r="B413" t="s">
        <v>833</v>
      </c>
      <c r="C413" t="s">
        <v>13</v>
      </c>
      <c r="D413">
        <v>37573</v>
      </c>
      <c r="E413">
        <v>216</v>
      </c>
    </row>
    <row r="414" spans="1:5" x14ac:dyDescent="0.3">
      <c r="A414" t="s">
        <v>834</v>
      </c>
      <c r="B414" t="s">
        <v>835</v>
      </c>
      <c r="C414" t="s">
        <v>13</v>
      </c>
      <c r="D414">
        <v>27020</v>
      </c>
      <c r="E414">
        <v>42</v>
      </c>
    </row>
    <row r="415" spans="1:5" x14ac:dyDescent="0.3">
      <c r="A415" t="s">
        <v>836</v>
      </c>
      <c r="B415" t="s">
        <v>837</v>
      </c>
      <c r="C415" t="s">
        <v>10</v>
      </c>
      <c r="D415">
        <v>48904</v>
      </c>
      <c r="E415">
        <v>262</v>
      </c>
    </row>
    <row r="416" spans="1:5" x14ac:dyDescent="0.3">
      <c r="A416" t="s">
        <v>838</v>
      </c>
      <c r="B416" t="s">
        <v>839</v>
      </c>
      <c r="C416" t="s">
        <v>19</v>
      </c>
      <c r="D416">
        <v>25402</v>
      </c>
      <c r="E416">
        <v>359</v>
      </c>
    </row>
    <row r="417" spans="1:5" x14ac:dyDescent="0.3">
      <c r="A417" t="s">
        <v>840</v>
      </c>
      <c r="B417" t="s">
        <v>841</v>
      </c>
      <c r="C417" t="s">
        <v>13</v>
      </c>
      <c r="D417">
        <v>32561</v>
      </c>
      <c r="E417">
        <v>38</v>
      </c>
    </row>
    <row r="418" spans="1:5" x14ac:dyDescent="0.3">
      <c r="A418" t="s">
        <v>842</v>
      </c>
      <c r="B418" t="s">
        <v>843</v>
      </c>
      <c r="C418" t="s">
        <v>13</v>
      </c>
      <c r="D418">
        <v>33018</v>
      </c>
      <c r="E418">
        <v>322</v>
      </c>
    </row>
    <row r="419" spans="1:5" x14ac:dyDescent="0.3">
      <c r="A419" t="s">
        <v>844</v>
      </c>
      <c r="B419" t="s">
        <v>845</v>
      </c>
      <c r="C419" t="s">
        <v>10</v>
      </c>
      <c r="D419">
        <v>6677</v>
      </c>
      <c r="E419">
        <v>467</v>
      </c>
    </row>
    <row r="420" spans="1:5" x14ac:dyDescent="0.3">
      <c r="A420" t="s">
        <v>846</v>
      </c>
      <c r="B420" t="s">
        <v>847</v>
      </c>
      <c r="C420" t="s">
        <v>19</v>
      </c>
      <c r="D420">
        <v>6634</v>
      </c>
      <c r="E420">
        <v>289</v>
      </c>
    </row>
    <row r="421" spans="1:5" x14ac:dyDescent="0.3">
      <c r="A421" t="s">
        <v>848</v>
      </c>
      <c r="B421" t="s">
        <v>849</v>
      </c>
      <c r="C421" t="s">
        <v>19</v>
      </c>
      <c r="D421">
        <v>1105</v>
      </c>
      <c r="E421">
        <v>389</v>
      </c>
    </row>
    <row r="422" spans="1:5" x14ac:dyDescent="0.3">
      <c r="A422" t="s">
        <v>850</v>
      </c>
      <c r="B422" t="s">
        <v>851</v>
      </c>
      <c r="C422" t="s">
        <v>13</v>
      </c>
      <c r="D422">
        <v>26968</v>
      </c>
      <c r="E422">
        <v>465</v>
      </c>
    </row>
    <row r="423" spans="1:5" x14ac:dyDescent="0.3">
      <c r="A423" t="s">
        <v>852</v>
      </c>
      <c r="B423" t="s">
        <v>853</v>
      </c>
      <c r="C423" t="s">
        <v>13</v>
      </c>
      <c r="D423">
        <v>5003</v>
      </c>
      <c r="E423">
        <v>260</v>
      </c>
    </row>
    <row r="424" spans="1:5" x14ac:dyDescent="0.3">
      <c r="A424" t="s">
        <v>854</v>
      </c>
      <c r="B424" t="s">
        <v>855</v>
      </c>
      <c r="C424" t="s">
        <v>10</v>
      </c>
      <c r="D424">
        <v>22287</v>
      </c>
      <c r="E424">
        <v>339</v>
      </c>
    </row>
    <row r="425" spans="1:5" x14ac:dyDescent="0.3">
      <c r="A425" t="s">
        <v>856</v>
      </c>
      <c r="B425" t="s">
        <v>857</v>
      </c>
      <c r="C425" t="s">
        <v>19</v>
      </c>
      <c r="D425">
        <v>42687</v>
      </c>
      <c r="E425">
        <v>61</v>
      </c>
    </row>
    <row r="426" spans="1:5" x14ac:dyDescent="0.3">
      <c r="A426" t="s">
        <v>858</v>
      </c>
      <c r="B426" t="s">
        <v>859</v>
      </c>
      <c r="C426" t="s">
        <v>10</v>
      </c>
      <c r="D426">
        <v>44294</v>
      </c>
      <c r="E426">
        <v>459</v>
      </c>
    </row>
    <row r="427" spans="1:5" x14ac:dyDescent="0.3">
      <c r="A427" t="s">
        <v>860</v>
      </c>
      <c r="B427" t="s">
        <v>861</v>
      </c>
      <c r="C427" t="s">
        <v>16</v>
      </c>
      <c r="D427">
        <v>25004</v>
      </c>
      <c r="E427">
        <v>182</v>
      </c>
    </row>
    <row r="428" spans="1:5" x14ac:dyDescent="0.3">
      <c r="A428" t="s">
        <v>862</v>
      </c>
      <c r="B428" t="s">
        <v>863</v>
      </c>
      <c r="C428" t="s">
        <v>19</v>
      </c>
      <c r="D428">
        <v>35556</v>
      </c>
      <c r="E428">
        <v>38</v>
      </c>
    </row>
    <row r="429" spans="1:5" x14ac:dyDescent="0.3">
      <c r="A429" t="s">
        <v>864</v>
      </c>
      <c r="B429" t="s">
        <v>865</v>
      </c>
      <c r="C429" t="s">
        <v>16</v>
      </c>
      <c r="D429">
        <v>4584</v>
      </c>
      <c r="E429">
        <v>140</v>
      </c>
    </row>
    <row r="430" spans="1:5" x14ac:dyDescent="0.3">
      <c r="A430" t="s">
        <v>866</v>
      </c>
      <c r="B430" t="s">
        <v>867</v>
      </c>
      <c r="C430" t="s">
        <v>10</v>
      </c>
      <c r="D430">
        <v>15008</v>
      </c>
      <c r="E430">
        <v>402</v>
      </c>
    </row>
    <row r="431" spans="1:5" x14ac:dyDescent="0.3">
      <c r="A431" t="s">
        <v>868</v>
      </c>
      <c r="B431" t="s">
        <v>869</v>
      </c>
      <c r="C431" t="s">
        <v>7</v>
      </c>
      <c r="D431">
        <v>28540</v>
      </c>
      <c r="E431">
        <v>70</v>
      </c>
    </row>
    <row r="432" spans="1:5" x14ac:dyDescent="0.3">
      <c r="A432" t="s">
        <v>870</v>
      </c>
      <c r="B432" t="s">
        <v>871</v>
      </c>
      <c r="C432" t="s">
        <v>7</v>
      </c>
      <c r="D432">
        <v>29176</v>
      </c>
      <c r="E432">
        <v>105</v>
      </c>
    </row>
    <row r="433" spans="1:5" x14ac:dyDescent="0.3">
      <c r="A433" t="s">
        <v>872</v>
      </c>
      <c r="B433" t="s">
        <v>873</v>
      </c>
      <c r="C433" t="s">
        <v>10</v>
      </c>
      <c r="D433">
        <v>1997</v>
      </c>
      <c r="E433">
        <v>43</v>
      </c>
    </row>
    <row r="434" spans="1:5" x14ac:dyDescent="0.3">
      <c r="A434" t="s">
        <v>874</v>
      </c>
      <c r="B434" t="s">
        <v>875</v>
      </c>
      <c r="C434" t="s">
        <v>10</v>
      </c>
      <c r="D434">
        <v>3777</v>
      </c>
      <c r="E434">
        <v>170</v>
      </c>
    </row>
    <row r="435" spans="1:5" x14ac:dyDescent="0.3">
      <c r="A435" t="s">
        <v>876</v>
      </c>
      <c r="B435" t="s">
        <v>877</v>
      </c>
      <c r="C435" t="s">
        <v>10</v>
      </c>
      <c r="D435">
        <v>24665</v>
      </c>
      <c r="E435">
        <v>240</v>
      </c>
    </row>
    <row r="436" spans="1:5" x14ac:dyDescent="0.3">
      <c r="A436" t="s">
        <v>878</v>
      </c>
      <c r="B436" t="s">
        <v>879</v>
      </c>
      <c r="C436" t="s">
        <v>13</v>
      </c>
      <c r="D436">
        <v>16103</v>
      </c>
      <c r="E436">
        <v>291</v>
      </c>
    </row>
    <row r="437" spans="1:5" x14ac:dyDescent="0.3">
      <c r="A437" t="s">
        <v>880</v>
      </c>
      <c r="B437" t="s">
        <v>881</v>
      </c>
      <c r="C437" t="s">
        <v>19</v>
      </c>
      <c r="D437">
        <v>37188</v>
      </c>
      <c r="E437">
        <v>369</v>
      </c>
    </row>
    <row r="438" spans="1:5" x14ac:dyDescent="0.3">
      <c r="A438" t="s">
        <v>882</v>
      </c>
      <c r="B438" t="s">
        <v>883</v>
      </c>
      <c r="C438" t="s">
        <v>13</v>
      </c>
      <c r="D438">
        <v>11240</v>
      </c>
      <c r="E438">
        <v>109</v>
      </c>
    </row>
    <row r="439" spans="1:5" x14ac:dyDescent="0.3">
      <c r="A439" t="s">
        <v>884</v>
      </c>
      <c r="B439" t="s">
        <v>885</v>
      </c>
      <c r="C439" t="s">
        <v>7</v>
      </c>
      <c r="D439">
        <v>40043</v>
      </c>
      <c r="E439">
        <v>465</v>
      </c>
    </row>
    <row r="440" spans="1:5" x14ac:dyDescent="0.3">
      <c r="A440" t="s">
        <v>886</v>
      </c>
      <c r="B440" t="s">
        <v>887</v>
      </c>
      <c r="C440" t="s">
        <v>19</v>
      </c>
      <c r="D440">
        <v>40713</v>
      </c>
      <c r="E440">
        <v>369</v>
      </c>
    </row>
    <row r="441" spans="1:5" x14ac:dyDescent="0.3">
      <c r="A441" t="s">
        <v>888</v>
      </c>
      <c r="B441" t="s">
        <v>889</v>
      </c>
      <c r="C441" t="s">
        <v>13</v>
      </c>
      <c r="D441">
        <v>32715</v>
      </c>
      <c r="E441">
        <v>487</v>
      </c>
    </row>
    <row r="442" spans="1:5" x14ac:dyDescent="0.3">
      <c r="A442" t="s">
        <v>890</v>
      </c>
      <c r="B442" t="s">
        <v>891</v>
      </c>
      <c r="C442" t="s">
        <v>16</v>
      </c>
      <c r="D442">
        <v>9479</v>
      </c>
      <c r="E442">
        <v>138</v>
      </c>
    </row>
    <row r="443" spans="1:5" x14ac:dyDescent="0.3">
      <c r="A443" t="s">
        <v>892</v>
      </c>
      <c r="B443" t="s">
        <v>893</v>
      </c>
      <c r="C443" t="s">
        <v>19</v>
      </c>
      <c r="D443">
        <v>41905</v>
      </c>
      <c r="E443">
        <v>150</v>
      </c>
    </row>
    <row r="444" spans="1:5" x14ac:dyDescent="0.3">
      <c r="A444" t="s">
        <v>894</v>
      </c>
      <c r="B444" t="s">
        <v>895</v>
      </c>
      <c r="C444" t="s">
        <v>19</v>
      </c>
      <c r="D444">
        <v>16833</v>
      </c>
      <c r="E444">
        <v>361</v>
      </c>
    </row>
    <row r="445" spans="1:5" x14ac:dyDescent="0.3">
      <c r="A445" t="s">
        <v>896</v>
      </c>
      <c r="B445" t="s">
        <v>897</v>
      </c>
      <c r="C445" t="s">
        <v>7</v>
      </c>
      <c r="D445">
        <v>30590</v>
      </c>
      <c r="E445">
        <v>481</v>
      </c>
    </row>
    <row r="446" spans="1:5" x14ac:dyDescent="0.3">
      <c r="A446" t="s">
        <v>898</v>
      </c>
      <c r="B446" t="s">
        <v>899</v>
      </c>
      <c r="C446" t="s">
        <v>10</v>
      </c>
      <c r="D446">
        <v>44507</v>
      </c>
      <c r="E446">
        <v>299</v>
      </c>
    </row>
    <row r="447" spans="1:5" x14ac:dyDescent="0.3">
      <c r="A447" t="s">
        <v>900</v>
      </c>
      <c r="B447" t="s">
        <v>901</v>
      </c>
      <c r="C447" t="s">
        <v>13</v>
      </c>
      <c r="D447">
        <v>4940</v>
      </c>
      <c r="E447">
        <v>246</v>
      </c>
    </row>
    <row r="448" spans="1:5" x14ac:dyDescent="0.3">
      <c r="A448" t="s">
        <v>902</v>
      </c>
      <c r="B448" t="s">
        <v>903</v>
      </c>
      <c r="C448" t="s">
        <v>10</v>
      </c>
      <c r="D448">
        <v>38607</v>
      </c>
      <c r="E448">
        <v>173</v>
      </c>
    </row>
    <row r="449" spans="1:5" x14ac:dyDescent="0.3">
      <c r="A449" t="s">
        <v>904</v>
      </c>
      <c r="B449" t="s">
        <v>905</v>
      </c>
      <c r="C449" t="s">
        <v>19</v>
      </c>
      <c r="D449">
        <v>45340</v>
      </c>
      <c r="E449">
        <v>148</v>
      </c>
    </row>
    <row r="450" spans="1:5" x14ac:dyDescent="0.3">
      <c r="A450" t="s">
        <v>906</v>
      </c>
      <c r="B450" t="s">
        <v>907</v>
      </c>
      <c r="C450" t="s">
        <v>19</v>
      </c>
      <c r="D450">
        <v>19899</v>
      </c>
      <c r="E450">
        <v>121</v>
      </c>
    </row>
    <row r="451" spans="1:5" x14ac:dyDescent="0.3">
      <c r="A451" t="s">
        <v>908</v>
      </c>
      <c r="B451" t="s">
        <v>909</v>
      </c>
      <c r="C451" t="s">
        <v>19</v>
      </c>
      <c r="D451">
        <v>31767</v>
      </c>
      <c r="E451">
        <v>74</v>
      </c>
    </row>
    <row r="452" spans="1:5" x14ac:dyDescent="0.3">
      <c r="A452" t="s">
        <v>910</v>
      </c>
      <c r="B452" t="s">
        <v>911</v>
      </c>
      <c r="C452" t="s">
        <v>13</v>
      </c>
      <c r="D452">
        <v>25093</v>
      </c>
      <c r="E452">
        <v>312</v>
      </c>
    </row>
    <row r="453" spans="1:5" x14ac:dyDescent="0.3">
      <c r="A453" t="s">
        <v>912</v>
      </c>
      <c r="B453" t="s">
        <v>913</v>
      </c>
      <c r="C453" t="s">
        <v>10</v>
      </c>
      <c r="D453">
        <v>37770</v>
      </c>
      <c r="E453">
        <v>171</v>
      </c>
    </row>
    <row r="454" spans="1:5" x14ac:dyDescent="0.3">
      <c r="A454" t="s">
        <v>914</v>
      </c>
      <c r="B454" t="s">
        <v>915</v>
      </c>
      <c r="C454" t="s">
        <v>10</v>
      </c>
      <c r="D454">
        <v>1537</v>
      </c>
      <c r="E454">
        <v>444</v>
      </c>
    </row>
    <row r="455" spans="1:5" x14ac:dyDescent="0.3">
      <c r="A455" t="s">
        <v>916</v>
      </c>
      <c r="B455" t="s">
        <v>917</v>
      </c>
      <c r="C455" t="s">
        <v>19</v>
      </c>
      <c r="D455">
        <v>18088</v>
      </c>
      <c r="E455">
        <v>24</v>
      </c>
    </row>
    <row r="456" spans="1:5" x14ac:dyDescent="0.3">
      <c r="A456" t="s">
        <v>918</v>
      </c>
      <c r="B456" t="s">
        <v>919</v>
      </c>
      <c r="C456" t="s">
        <v>16</v>
      </c>
      <c r="D456">
        <v>45044</v>
      </c>
      <c r="E456">
        <v>418</v>
      </c>
    </row>
    <row r="457" spans="1:5" x14ac:dyDescent="0.3">
      <c r="A457" t="s">
        <v>920</v>
      </c>
      <c r="B457" t="s">
        <v>921</v>
      </c>
      <c r="C457" t="s">
        <v>7</v>
      </c>
      <c r="D457">
        <v>39841</v>
      </c>
      <c r="E457">
        <v>401</v>
      </c>
    </row>
    <row r="458" spans="1:5" x14ac:dyDescent="0.3">
      <c r="A458" t="s">
        <v>922</v>
      </c>
      <c r="B458" t="s">
        <v>923</v>
      </c>
      <c r="C458" t="s">
        <v>19</v>
      </c>
      <c r="D458">
        <v>18856</v>
      </c>
      <c r="E458">
        <v>417</v>
      </c>
    </row>
    <row r="459" spans="1:5" x14ac:dyDescent="0.3">
      <c r="A459" t="s">
        <v>924</v>
      </c>
      <c r="B459" t="s">
        <v>925</v>
      </c>
      <c r="C459" t="s">
        <v>13</v>
      </c>
      <c r="D459">
        <v>39884</v>
      </c>
      <c r="E459">
        <v>430</v>
      </c>
    </row>
    <row r="460" spans="1:5" x14ac:dyDescent="0.3">
      <c r="A460" t="s">
        <v>926</v>
      </c>
      <c r="B460" t="s">
        <v>927</v>
      </c>
      <c r="C460" t="s">
        <v>10</v>
      </c>
      <c r="D460">
        <v>14452</v>
      </c>
      <c r="E460">
        <v>345</v>
      </c>
    </row>
    <row r="461" spans="1:5" x14ac:dyDescent="0.3">
      <c r="A461" t="s">
        <v>928</v>
      </c>
      <c r="B461" t="s">
        <v>929</v>
      </c>
      <c r="C461" t="s">
        <v>13</v>
      </c>
      <c r="D461">
        <v>40790</v>
      </c>
      <c r="E461">
        <v>148</v>
      </c>
    </row>
    <row r="462" spans="1:5" x14ac:dyDescent="0.3">
      <c r="A462" t="s">
        <v>930</v>
      </c>
      <c r="B462" t="s">
        <v>931</v>
      </c>
      <c r="C462" t="s">
        <v>13</v>
      </c>
      <c r="D462">
        <v>41272</v>
      </c>
      <c r="E462">
        <v>69</v>
      </c>
    </row>
    <row r="463" spans="1:5" x14ac:dyDescent="0.3">
      <c r="A463" t="s">
        <v>932</v>
      </c>
      <c r="B463" t="s">
        <v>933</v>
      </c>
      <c r="C463" t="s">
        <v>7</v>
      </c>
      <c r="D463">
        <v>20346</v>
      </c>
      <c r="E463">
        <v>423</v>
      </c>
    </row>
    <row r="464" spans="1:5" x14ac:dyDescent="0.3">
      <c r="A464" t="s">
        <v>934</v>
      </c>
      <c r="B464" t="s">
        <v>935</v>
      </c>
      <c r="C464" t="s">
        <v>19</v>
      </c>
      <c r="D464">
        <v>2286</v>
      </c>
      <c r="E464">
        <v>316</v>
      </c>
    </row>
    <row r="465" spans="1:5" x14ac:dyDescent="0.3">
      <c r="A465" t="s">
        <v>936</v>
      </c>
      <c r="B465" t="s">
        <v>937</v>
      </c>
      <c r="C465" t="s">
        <v>10</v>
      </c>
      <c r="D465">
        <v>48095</v>
      </c>
      <c r="E465">
        <v>87</v>
      </c>
    </row>
    <row r="466" spans="1:5" x14ac:dyDescent="0.3">
      <c r="A466" t="s">
        <v>938</v>
      </c>
      <c r="B466" t="s">
        <v>939</v>
      </c>
      <c r="C466" t="s">
        <v>7</v>
      </c>
      <c r="D466">
        <v>19440</v>
      </c>
      <c r="E466">
        <v>187</v>
      </c>
    </row>
    <row r="467" spans="1:5" x14ac:dyDescent="0.3">
      <c r="A467" t="s">
        <v>940</v>
      </c>
      <c r="B467" t="s">
        <v>941</v>
      </c>
      <c r="C467" t="s">
        <v>19</v>
      </c>
      <c r="D467">
        <v>11610</v>
      </c>
      <c r="E467">
        <v>122</v>
      </c>
    </row>
    <row r="468" spans="1:5" x14ac:dyDescent="0.3">
      <c r="A468" t="s">
        <v>942</v>
      </c>
      <c r="B468" t="s">
        <v>943</v>
      </c>
      <c r="C468" t="s">
        <v>13</v>
      </c>
      <c r="D468">
        <v>35450</v>
      </c>
      <c r="E468">
        <v>468</v>
      </c>
    </row>
    <row r="469" spans="1:5" x14ac:dyDescent="0.3">
      <c r="A469" t="s">
        <v>944</v>
      </c>
      <c r="B469" t="s">
        <v>945</v>
      </c>
      <c r="C469" t="s">
        <v>10</v>
      </c>
      <c r="D469">
        <v>34889</v>
      </c>
      <c r="E469">
        <v>276</v>
      </c>
    </row>
    <row r="470" spans="1:5" x14ac:dyDescent="0.3">
      <c r="A470" t="s">
        <v>946</v>
      </c>
      <c r="B470" t="s">
        <v>947</v>
      </c>
      <c r="C470" t="s">
        <v>10</v>
      </c>
      <c r="D470">
        <v>10883</v>
      </c>
      <c r="E470">
        <v>151</v>
      </c>
    </row>
    <row r="471" spans="1:5" x14ac:dyDescent="0.3">
      <c r="A471" t="s">
        <v>948</v>
      </c>
      <c r="B471" t="s">
        <v>949</v>
      </c>
      <c r="C471" t="s">
        <v>19</v>
      </c>
      <c r="D471">
        <v>19442</v>
      </c>
      <c r="E471">
        <v>402</v>
      </c>
    </row>
    <row r="472" spans="1:5" x14ac:dyDescent="0.3">
      <c r="A472" t="s">
        <v>950</v>
      </c>
      <c r="B472" t="s">
        <v>951</v>
      </c>
      <c r="C472" t="s">
        <v>10</v>
      </c>
      <c r="D472">
        <v>7647</v>
      </c>
      <c r="E472">
        <v>259</v>
      </c>
    </row>
    <row r="473" spans="1:5" x14ac:dyDescent="0.3">
      <c r="A473" t="s">
        <v>952</v>
      </c>
      <c r="B473" t="s">
        <v>953</v>
      </c>
      <c r="C473" t="s">
        <v>7</v>
      </c>
      <c r="D473">
        <v>9324</v>
      </c>
      <c r="E473">
        <v>406</v>
      </c>
    </row>
    <row r="474" spans="1:5" x14ac:dyDescent="0.3">
      <c r="A474" t="s">
        <v>954</v>
      </c>
      <c r="B474" t="s">
        <v>955</v>
      </c>
      <c r="C474" t="s">
        <v>13</v>
      </c>
      <c r="D474">
        <v>44423</v>
      </c>
      <c r="E474">
        <v>390</v>
      </c>
    </row>
    <row r="475" spans="1:5" x14ac:dyDescent="0.3">
      <c r="A475" t="s">
        <v>956</v>
      </c>
      <c r="B475" t="s">
        <v>957</v>
      </c>
      <c r="C475" t="s">
        <v>19</v>
      </c>
      <c r="D475">
        <v>36624</v>
      </c>
      <c r="E475">
        <v>207</v>
      </c>
    </row>
    <row r="476" spans="1:5" x14ac:dyDescent="0.3">
      <c r="A476" t="s">
        <v>958</v>
      </c>
      <c r="B476" t="s">
        <v>959</v>
      </c>
      <c r="C476" t="s">
        <v>7</v>
      </c>
      <c r="D476">
        <v>25958</v>
      </c>
      <c r="E476">
        <v>27</v>
      </c>
    </row>
    <row r="477" spans="1:5" x14ac:dyDescent="0.3">
      <c r="A477" t="s">
        <v>960</v>
      </c>
      <c r="B477" t="s">
        <v>961</v>
      </c>
      <c r="C477" t="s">
        <v>10</v>
      </c>
      <c r="D477">
        <v>35264</v>
      </c>
      <c r="E477">
        <v>83</v>
      </c>
    </row>
    <row r="478" spans="1:5" x14ac:dyDescent="0.3">
      <c r="A478" t="s">
        <v>962</v>
      </c>
      <c r="B478" t="s">
        <v>963</v>
      </c>
      <c r="C478" t="s">
        <v>19</v>
      </c>
      <c r="D478">
        <v>24255</v>
      </c>
      <c r="E478">
        <v>364</v>
      </c>
    </row>
    <row r="479" spans="1:5" x14ac:dyDescent="0.3">
      <c r="A479" t="s">
        <v>964</v>
      </c>
      <c r="B479" t="s">
        <v>965</v>
      </c>
      <c r="C479" t="s">
        <v>10</v>
      </c>
      <c r="D479">
        <v>38409</v>
      </c>
      <c r="E479">
        <v>215</v>
      </c>
    </row>
    <row r="480" spans="1:5" x14ac:dyDescent="0.3">
      <c r="A480" t="s">
        <v>966</v>
      </c>
      <c r="B480" t="s">
        <v>967</v>
      </c>
      <c r="C480" t="s">
        <v>10</v>
      </c>
      <c r="D480">
        <v>7200</v>
      </c>
      <c r="E480">
        <v>365</v>
      </c>
    </row>
    <row r="481" spans="1:5" x14ac:dyDescent="0.3">
      <c r="A481" t="s">
        <v>968</v>
      </c>
      <c r="B481" t="s">
        <v>969</v>
      </c>
      <c r="C481" t="s">
        <v>13</v>
      </c>
      <c r="D481">
        <v>30998</v>
      </c>
      <c r="E481">
        <v>32</v>
      </c>
    </row>
    <row r="482" spans="1:5" x14ac:dyDescent="0.3">
      <c r="A482" t="s">
        <v>970</v>
      </c>
      <c r="B482" t="s">
        <v>971</v>
      </c>
      <c r="C482" t="s">
        <v>16</v>
      </c>
      <c r="D482">
        <v>36892</v>
      </c>
      <c r="E482">
        <v>187</v>
      </c>
    </row>
    <row r="483" spans="1:5" x14ac:dyDescent="0.3">
      <c r="A483" t="s">
        <v>972</v>
      </c>
      <c r="B483" t="s">
        <v>973</v>
      </c>
      <c r="C483" t="s">
        <v>16</v>
      </c>
      <c r="D483">
        <v>14607</v>
      </c>
      <c r="E483">
        <v>351</v>
      </c>
    </row>
    <row r="484" spans="1:5" x14ac:dyDescent="0.3">
      <c r="A484" t="s">
        <v>974</v>
      </c>
      <c r="B484" t="s">
        <v>975</v>
      </c>
      <c r="C484" t="s">
        <v>7</v>
      </c>
      <c r="D484">
        <v>41741</v>
      </c>
      <c r="E484">
        <v>441</v>
      </c>
    </row>
    <row r="485" spans="1:5" x14ac:dyDescent="0.3">
      <c r="A485" t="s">
        <v>976</v>
      </c>
      <c r="B485" t="s">
        <v>977</v>
      </c>
      <c r="C485" t="s">
        <v>19</v>
      </c>
      <c r="D485">
        <v>46045</v>
      </c>
      <c r="E485">
        <v>174</v>
      </c>
    </row>
    <row r="486" spans="1:5" x14ac:dyDescent="0.3">
      <c r="A486" t="s">
        <v>978</v>
      </c>
      <c r="B486" t="s">
        <v>979</v>
      </c>
      <c r="C486" t="s">
        <v>19</v>
      </c>
      <c r="D486">
        <v>7746</v>
      </c>
      <c r="E486">
        <v>91</v>
      </c>
    </row>
    <row r="487" spans="1:5" x14ac:dyDescent="0.3">
      <c r="A487" t="s">
        <v>980</v>
      </c>
      <c r="B487" t="s">
        <v>981</v>
      </c>
      <c r="C487" t="s">
        <v>7</v>
      </c>
      <c r="D487">
        <v>2538</v>
      </c>
      <c r="E487">
        <v>175</v>
      </c>
    </row>
    <row r="488" spans="1:5" x14ac:dyDescent="0.3">
      <c r="A488" t="s">
        <v>982</v>
      </c>
      <c r="B488" t="s">
        <v>983</v>
      </c>
      <c r="C488" t="s">
        <v>19</v>
      </c>
      <c r="D488">
        <v>7710</v>
      </c>
      <c r="E488">
        <v>69</v>
      </c>
    </row>
    <row r="489" spans="1:5" x14ac:dyDescent="0.3">
      <c r="A489" t="s">
        <v>984</v>
      </c>
      <c r="B489" t="s">
        <v>985</v>
      </c>
      <c r="C489" t="s">
        <v>13</v>
      </c>
      <c r="D489">
        <v>35328</v>
      </c>
      <c r="E489">
        <v>89</v>
      </c>
    </row>
    <row r="490" spans="1:5" x14ac:dyDescent="0.3">
      <c r="A490" t="s">
        <v>986</v>
      </c>
      <c r="B490" t="s">
        <v>987</v>
      </c>
      <c r="C490" t="s">
        <v>19</v>
      </c>
      <c r="D490">
        <v>29829</v>
      </c>
      <c r="E490">
        <v>209</v>
      </c>
    </row>
    <row r="491" spans="1:5" x14ac:dyDescent="0.3">
      <c r="A491" t="s">
        <v>988</v>
      </c>
      <c r="B491" t="s">
        <v>989</v>
      </c>
      <c r="C491" t="s">
        <v>16</v>
      </c>
      <c r="D491">
        <v>27567</v>
      </c>
      <c r="E491">
        <v>320</v>
      </c>
    </row>
    <row r="492" spans="1:5" x14ac:dyDescent="0.3">
      <c r="A492" t="s">
        <v>990</v>
      </c>
      <c r="B492" t="s">
        <v>991</v>
      </c>
      <c r="C492" t="s">
        <v>13</v>
      </c>
      <c r="D492">
        <v>27289</v>
      </c>
      <c r="E492">
        <v>355</v>
      </c>
    </row>
    <row r="493" spans="1:5" x14ac:dyDescent="0.3">
      <c r="A493" t="s">
        <v>992</v>
      </c>
      <c r="B493" t="s">
        <v>993</v>
      </c>
      <c r="C493" t="s">
        <v>7</v>
      </c>
      <c r="D493">
        <v>32169</v>
      </c>
      <c r="E493">
        <v>335</v>
      </c>
    </row>
    <row r="494" spans="1:5" x14ac:dyDescent="0.3">
      <c r="A494" t="s">
        <v>994</v>
      </c>
      <c r="B494" t="s">
        <v>995</v>
      </c>
      <c r="C494" t="s">
        <v>19</v>
      </c>
      <c r="D494">
        <v>18433</v>
      </c>
      <c r="E494">
        <v>36</v>
      </c>
    </row>
    <row r="495" spans="1:5" x14ac:dyDescent="0.3">
      <c r="A495" t="s">
        <v>996</v>
      </c>
      <c r="B495" t="s">
        <v>997</v>
      </c>
      <c r="C495" t="s">
        <v>10</v>
      </c>
      <c r="D495">
        <v>14338</v>
      </c>
      <c r="E495">
        <v>247</v>
      </c>
    </row>
    <row r="496" spans="1:5" x14ac:dyDescent="0.3">
      <c r="A496" t="s">
        <v>998</v>
      </c>
      <c r="B496" t="s">
        <v>999</v>
      </c>
      <c r="C496" t="s">
        <v>19</v>
      </c>
      <c r="D496">
        <v>15573</v>
      </c>
      <c r="E496">
        <v>457</v>
      </c>
    </row>
    <row r="497" spans="1:5" x14ac:dyDescent="0.3">
      <c r="A497" t="s">
        <v>1000</v>
      </c>
      <c r="B497" t="s">
        <v>1001</v>
      </c>
      <c r="C497" t="s">
        <v>10</v>
      </c>
      <c r="D497">
        <v>6611</v>
      </c>
      <c r="E497">
        <v>371</v>
      </c>
    </row>
    <row r="498" spans="1:5" x14ac:dyDescent="0.3">
      <c r="A498" t="s">
        <v>1002</v>
      </c>
      <c r="B498" t="s">
        <v>1003</v>
      </c>
      <c r="C498" t="s">
        <v>10</v>
      </c>
      <c r="D498">
        <v>35782</v>
      </c>
      <c r="E498">
        <v>481</v>
      </c>
    </row>
    <row r="499" spans="1:5" x14ac:dyDescent="0.3">
      <c r="A499" t="s">
        <v>1004</v>
      </c>
      <c r="B499" t="s">
        <v>1005</v>
      </c>
      <c r="C499" t="s">
        <v>10</v>
      </c>
      <c r="D499">
        <v>4068</v>
      </c>
      <c r="E499">
        <v>223</v>
      </c>
    </row>
    <row r="500" spans="1:5" x14ac:dyDescent="0.3">
      <c r="A500" t="s">
        <v>1006</v>
      </c>
      <c r="B500" t="s">
        <v>1007</v>
      </c>
      <c r="C500" t="s">
        <v>10</v>
      </c>
      <c r="D500">
        <v>12539</v>
      </c>
      <c r="E500">
        <v>82</v>
      </c>
    </row>
    <row r="501" spans="1:5" x14ac:dyDescent="0.3">
      <c r="A501" t="s">
        <v>1008</v>
      </c>
      <c r="B501" t="s">
        <v>1009</v>
      </c>
      <c r="C501" t="s">
        <v>19</v>
      </c>
      <c r="D501">
        <v>6107</v>
      </c>
      <c r="E501">
        <v>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01"/>
  <sheetViews>
    <sheetView workbookViewId="0">
      <selection activeCell="D1" sqref="D1"/>
    </sheetView>
  </sheetViews>
  <sheetFormatPr defaultRowHeight="14.4" x14ac:dyDescent="0.3"/>
  <cols>
    <col min="1" max="1" width="10.88671875" bestFit="1" customWidth="1"/>
    <col min="2" max="2" width="9.88671875" bestFit="1" customWidth="1"/>
    <col min="3" max="3" width="17.77734375" bestFit="1" customWidth="1"/>
    <col min="4" max="4" width="13.6640625" bestFit="1" customWidth="1"/>
    <col min="5" max="5" width="15.77734375" bestFit="1" customWidth="1"/>
  </cols>
  <sheetData>
    <row r="1" spans="1:5" x14ac:dyDescent="0.3">
      <c r="A1" s="1" t="s">
        <v>1010</v>
      </c>
      <c r="B1" s="1" t="s">
        <v>0</v>
      </c>
      <c r="C1" s="1" t="s">
        <v>1011</v>
      </c>
      <c r="D1" s="2" t="s">
        <v>13014</v>
      </c>
      <c r="E1" s="2" t="s">
        <v>13015</v>
      </c>
    </row>
    <row r="2" spans="1:5" x14ac:dyDescent="0.3">
      <c r="A2" t="s">
        <v>1012</v>
      </c>
      <c r="B2" t="s">
        <v>226</v>
      </c>
      <c r="C2">
        <v>87</v>
      </c>
      <c r="D2" t="str">
        <f>VLOOKUP(B2,Products!$A:$E,2,FALSE)</f>
        <v>Product_109</v>
      </c>
      <c r="E2" t="str">
        <f>VLOOKUP(B2,Products!$A:$E,3,FALSE)</f>
        <v>Storage</v>
      </c>
    </row>
    <row r="3" spans="1:5" x14ac:dyDescent="0.3">
      <c r="A3" t="s">
        <v>1013</v>
      </c>
      <c r="B3" t="s">
        <v>664</v>
      </c>
      <c r="C3">
        <v>81</v>
      </c>
      <c r="D3" t="str">
        <f>VLOOKUP(B3,Products!$A:$E,2,FALSE)</f>
        <v>Product_328</v>
      </c>
      <c r="E3" t="str">
        <f>VLOOKUP(B3,Products!$A:$E,3,FALSE)</f>
        <v>Office Supplies</v>
      </c>
    </row>
    <row r="4" spans="1:5" x14ac:dyDescent="0.3">
      <c r="A4" t="s">
        <v>1014</v>
      </c>
      <c r="B4" t="s">
        <v>1004</v>
      </c>
      <c r="C4">
        <v>7</v>
      </c>
      <c r="D4" t="str">
        <f>VLOOKUP(B4,Products!$A:$E,2,FALSE)</f>
        <v>Product_498</v>
      </c>
      <c r="E4" t="str">
        <f>VLOOKUP(B4,Products!$A:$E,3,FALSE)</f>
        <v>Office Supplies</v>
      </c>
    </row>
    <row r="5" spans="1:5" x14ac:dyDescent="0.3">
      <c r="A5" t="s">
        <v>1015</v>
      </c>
      <c r="B5" t="s">
        <v>60</v>
      </c>
      <c r="C5">
        <v>47</v>
      </c>
      <c r="D5" t="str">
        <f>VLOOKUP(B5,Products!$A:$E,2,FALSE)</f>
        <v>Product_26</v>
      </c>
      <c r="E5" t="str">
        <f>VLOOKUP(B5,Products!$A:$E,3,FALSE)</f>
        <v>Office Supplies</v>
      </c>
    </row>
    <row r="6" spans="1:5" x14ac:dyDescent="0.3">
      <c r="A6" t="s">
        <v>1016</v>
      </c>
      <c r="B6" t="s">
        <v>258</v>
      </c>
      <c r="C6">
        <v>21</v>
      </c>
      <c r="D6" t="str">
        <f>VLOOKUP(B6,Products!$A:$E,2,FALSE)</f>
        <v>Product_125</v>
      </c>
      <c r="E6" t="str">
        <f>VLOOKUP(B6,Products!$A:$E,3,FALSE)</f>
        <v>Office Supplies</v>
      </c>
    </row>
    <row r="7" spans="1:5" x14ac:dyDescent="0.3">
      <c r="A7" t="s">
        <v>1017</v>
      </c>
      <c r="B7" t="s">
        <v>814</v>
      </c>
      <c r="C7">
        <v>77</v>
      </c>
      <c r="D7" t="str">
        <f>VLOOKUP(B7,Products!$A:$E,2,FALSE)</f>
        <v>Product_403</v>
      </c>
      <c r="E7" t="str">
        <f>VLOOKUP(B7,Products!$A:$E,3,FALSE)</f>
        <v>Networking</v>
      </c>
    </row>
    <row r="8" spans="1:5" x14ac:dyDescent="0.3">
      <c r="A8" t="s">
        <v>1018</v>
      </c>
      <c r="B8" t="s">
        <v>220</v>
      </c>
      <c r="C8">
        <v>13</v>
      </c>
      <c r="D8" t="str">
        <f>VLOOKUP(B8,Products!$A:$E,2,FALSE)</f>
        <v>Product_106</v>
      </c>
      <c r="E8" t="str">
        <f>VLOOKUP(B8,Products!$A:$E,3,FALSE)</f>
        <v>Networking</v>
      </c>
    </row>
    <row r="9" spans="1:5" x14ac:dyDescent="0.3">
      <c r="A9" t="s">
        <v>1019</v>
      </c>
      <c r="B9" t="s">
        <v>858</v>
      </c>
      <c r="C9">
        <v>75</v>
      </c>
      <c r="D9" t="str">
        <f>VLOOKUP(B9,Products!$A:$E,2,FALSE)</f>
        <v>Product_425</v>
      </c>
      <c r="E9" t="str">
        <f>VLOOKUP(B9,Products!$A:$E,3,FALSE)</f>
        <v>Office Supplies</v>
      </c>
    </row>
    <row r="10" spans="1:5" x14ac:dyDescent="0.3">
      <c r="A10" t="s">
        <v>1020</v>
      </c>
      <c r="B10" t="s">
        <v>222</v>
      </c>
      <c r="C10">
        <v>80</v>
      </c>
      <c r="D10" t="str">
        <f>VLOOKUP(B10,Products!$A:$E,2,FALSE)</f>
        <v>Product_107</v>
      </c>
      <c r="E10" t="str">
        <f>VLOOKUP(B10,Products!$A:$E,3,FALSE)</f>
        <v>Office Supplies</v>
      </c>
    </row>
    <row r="11" spans="1:5" x14ac:dyDescent="0.3">
      <c r="A11" t="s">
        <v>1021</v>
      </c>
      <c r="B11" t="s">
        <v>230</v>
      </c>
      <c r="C11">
        <v>34</v>
      </c>
      <c r="D11" t="str">
        <f>VLOOKUP(B11,Products!$A:$E,2,FALSE)</f>
        <v>Product_111</v>
      </c>
      <c r="E11" t="str">
        <f>VLOOKUP(B11,Products!$A:$E,3,FALSE)</f>
        <v>Office Supplies</v>
      </c>
    </row>
    <row r="12" spans="1:5" x14ac:dyDescent="0.3">
      <c r="A12" t="s">
        <v>1022</v>
      </c>
      <c r="B12" t="s">
        <v>346</v>
      </c>
      <c r="C12">
        <v>23</v>
      </c>
      <c r="D12" t="str">
        <f>VLOOKUP(B12,Products!$A:$E,2,FALSE)</f>
        <v>Product_169</v>
      </c>
      <c r="E12" t="str">
        <f>VLOOKUP(B12,Products!$A:$E,3,FALSE)</f>
        <v>Accessories</v>
      </c>
    </row>
    <row r="13" spans="1:5" x14ac:dyDescent="0.3">
      <c r="A13" t="s">
        <v>1023</v>
      </c>
      <c r="B13" t="s">
        <v>816</v>
      </c>
      <c r="C13">
        <v>81</v>
      </c>
      <c r="D13" t="str">
        <f>VLOOKUP(B13,Products!$A:$E,2,FALSE)</f>
        <v>Product_404</v>
      </c>
      <c r="E13" t="str">
        <f>VLOOKUP(B13,Products!$A:$E,3,FALSE)</f>
        <v>Storage</v>
      </c>
    </row>
    <row r="14" spans="1:5" x14ac:dyDescent="0.3">
      <c r="A14" t="s">
        <v>1024</v>
      </c>
      <c r="B14" t="s">
        <v>8</v>
      </c>
      <c r="C14">
        <v>40</v>
      </c>
      <c r="D14" t="str">
        <f>VLOOKUP(B14,Products!$A:$E,2,FALSE)</f>
        <v>Product_2</v>
      </c>
      <c r="E14" t="str">
        <f>VLOOKUP(B14,Products!$A:$E,3,FALSE)</f>
        <v>Office Supplies</v>
      </c>
    </row>
    <row r="15" spans="1:5" x14ac:dyDescent="0.3">
      <c r="A15" t="s">
        <v>1025</v>
      </c>
      <c r="B15" t="s">
        <v>888</v>
      </c>
      <c r="C15">
        <v>23</v>
      </c>
      <c r="D15" t="str">
        <f>VLOOKUP(B15,Products!$A:$E,2,FALSE)</f>
        <v>Product_440</v>
      </c>
      <c r="E15" t="str">
        <f>VLOOKUP(B15,Products!$A:$E,3,FALSE)</f>
        <v>Accessories</v>
      </c>
    </row>
    <row r="16" spans="1:5" x14ac:dyDescent="0.3">
      <c r="A16" t="s">
        <v>1026</v>
      </c>
      <c r="B16" t="s">
        <v>142</v>
      </c>
      <c r="C16">
        <v>74</v>
      </c>
      <c r="D16" t="str">
        <f>VLOOKUP(B16,Products!$A:$E,2,FALSE)</f>
        <v>Product_67</v>
      </c>
      <c r="E16" t="str">
        <f>VLOOKUP(B16,Products!$A:$E,3,FALSE)</f>
        <v>Office Supplies</v>
      </c>
    </row>
    <row r="17" spans="1:5" x14ac:dyDescent="0.3">
      <c r="A17" t="s">
        <v>1027</v>
      </c>
      <c r="B17" t="s">
        <v>266</v>
      </c>
      <c r="C17">
        <v>27</v>
      </c>
      <c r="D17" t="str">
        <f>VLOOKUP(B17,Products!$A:$E,2,FALSE)</f>
        <v>Product_129</v>
      </c>
      <c r="E17" t="str">
        <f>VLOOKUP(B17,Products!$A:$E,3,FALSE)</f>
        <v>Electronics</v>
      </c>
    </row>
    <row r="18" spans="1:5" x14ac:dyDescent="0.3">
      <c r="A18" t="s">
        <v>1028</v>
      </c>
      <c r="B18" t="s">
        <v>122</v>
      </c>
      <c r="C18">
        <v>89</v>
      </c>
      <c r="D18" t="str">
        <f>VLOOKUP(B18,Products!$A:$E,2,FALSE)</f>
        <v>Product_57</v>
      </c>
      <c r="E18" t="str">
        <f>VLOOKUP(B18,Products!$A:$E,3,FALSE)</f>
        <v>Electronics</v>
      </c>
    </row>
    <row r="19" spans="1:5" x14ac:dyDescent="0.3">
      <c r="A19" t="s">
        <v>1029</v>
      </c>
      <c r="B19" t="s">
        <v>896</v>
      </c>
      <c r="C19">
        <v>8</v>
      </c>
      <c r="D19" t="str">
        <f>VLOOKUP(B19,Products!$A:$E,2,FALSE)</f>
        <v>Product_444</v>
      </c>
      <c r="E19" t="str">
        <f>VLOOKUP(B19,Products!$A:$E,3,FALSE)</f>
        <v>Electronics</v>
      </c>
    </row>
    <row r="20" spans="1:5" x14ac:dyDescent="0.3">
      <c r="A20" t="s">
        <v>1030</v>
      </c>
      <c r="B20" t="s">
        <v>144</v>
      </c>
      <c r="C20">
        <v>6</v>
      </c>
      <c r="D20" t="str">
        <f>VLOOKUP(B20,Products!$A:$E,2,FALSE)</f>
        <v>Product_68</v>
      </c>
      <c r="E20" t="str">
        <f>VLOOKUP(B20,Products!$A:$E,3,FALSE)</f>
        <v>Accessories</v>
      </c>
    </row>
    <row r="21" spans="1:5" x14ac:dyDescent="0.3">
      <c r="A21" t="s">
        <v>1031</v>
      </c>
      <c r="B21" t="s">
        <v>376</v>
      </c>
      <c r="C21">
        <v>35</v>
      </c>
      <c r="D21" t="str">
        <f>VLOOKUP(B21,Products!$A:$E,2,FALSE)</f>
        <v>Product_184</v>
      </c>
      <c r="E21" t="str">
        <f>VLOOKUP(B21,Products!$A:$E,3,FALSE)</f>
        <v>Electronics</v>
      </c>
    </row>
    <row r="22" spans="1:5" x14ac:dyDescent="0.3">
      <c r="A22" t="s">
        <v>1032</v>
      </c>
      <c r="B22" t="s">
        <v>612</v>
      </c>
      <c r="C22">
        <v>46</v>
      </c>
      <c r="D22" t="str">
        <f>VLOOKUP(B22,Products!$A:$E,2,FALSE)</f>
        <v>Product_302</v>
      </c>
      <c r="E22" t="str">
        <f>VLOOKUP(B22,Products!$A:$E,3,FALSE)</f>
        <v>Accessories</v>
      </c>
    </row>
    <row r="23" spans="1:5" x14ac:dyDescent="0.3">
      <c r="A23" t="s">
        <v>1033</v>
      </c>
      <c r="B23" t="s">
        <v>26</v>
      </c>
      <c r="C23">
        <v>27</v>
      </c>
      <c r="D23" t="str">
        <f>VLOOKUP(B23,Products!$A:$E,2,FALSE)</f>
        <v>Product_9</v>
      </c>
      <c r="E23" t="str">
        <f>VLOOKUP(B23,Products!$A:$E,3,FALSE)</f>
        <v>Storage</v>
      </c>
    </row>
    <row r="24" spans="1:5" x14ac:dyDescent="0.3">
      <c r="A24" t="s">
        <v>1034</v>
      </c>
      <c r="B24" t="s">
        <v>280</v>
      </c>
      <c r="C24">
        <v>11</v>
      </c>
      <c r="D24" t="str">
        <f>VLOOKUP(B24,Products!$A:$E,2,FALSE)</f>
        <v>Product_136</v>
      </c>
      <c r="E24" t="str">
        <f>VLOOKUP(B24,Products!$A:$E,3,FALSE)</f>
        <v>Storage</v>
      </c>
    </row>
    <row r="25" spans="1:5" x14ac:dyDescent="0.3">
      <c r="A25" t="s">
        <v>1035</v>
      </c>
      <c r="B25" t="s">
        <v>138</v>
      </c>
      <c r="C25">
        <v>99</v>
      </c>
      <c r="D25" t="str">
        <f>VLOOKUP(B25,Products!$A:$E,2,FALSE)</f>
        <v>Product_65</v>
      </c>
      <c r="E25" t="str">
        <f>VLOOKUP(B25,Products!$A:$E,3,FALSE)</f>
        <v>Office Supplies</v>
      </c>
    </row>
    <row r="26" spans="1:5" x14ac:dyDescent="0.3">
      <c r="A26" t="s">
        <v>1036</v>
      </c>
      <c r="B26" t="s">
        <v>440</v>
      </c>
      <c r="C26">
        <v>72</v>
      </c>
      <c r="D26" t="str">
        <f>VLOOKUP(B26,Products!$A:$E,2,FALSE)</f>
        <v>Product_216</v>
      </c>
      <c r="E26" t="str">
        <f>VLOOKUP(B26,Products!$A:$E,3,FALSE)</f>
        <v>Accessories</v>
      </c>
    </row>
    <row r="27" spans="1:5" x14ac:dyDescent="0.3">
      <c r="A27" t="s">
        <v>1037</v>
      </c>
      <c r="B27" t="s">
        <v>126</v>
      </c>
      <c r="C27">
        <v>100</v>
      </c>
      <c r="D27" t="str">
        <f>VLOOKUP(B27,Products!$A:$E,2,FALSE)</f>
        <v>Product_59</v>
      </c>
      <c r="E27" t="str">
        <f>VLOOKUP(B27,Products!$A:$E,3,FALSE)</f>
        <v>Accessories</v>
      </c>
    </row>
    <row r="28" spans="1:5" x14ac:dyDescent="0.3">
      <c r="A28" t="s">
        <v>1038</v>
      </c>
      <c r="B28" t="s">
        <v>74</v>
      </c>
      <c r="C28">
        <v>65</v>
      </c>
      <c r="D28" t="str">
        <f>VLOOKUP(B28,Products!$A:$E,2,FALSE)</f>
        <v>Product_33</v>
      </c>
      <c r="E28" t="str">
        <f>VLOOKUP(B28,Products!$A:$E,3,FALSE)</f>
        <v>Storage</v>
      </c>
    </row>
    <row r="29" spans="1:5" x14ac:dyDescent="0.3">
      <c r="A29" t="s">
        <v>1039</v>
      </c>
      <c r="B29" t="s">
        <v>468</v>
      </c>
      <c r="C29">
        <v>51</v>
      </c>
      <c r="D29" t="str">
        <f>VLOOKUP(B29,Products!$A:$E,2,FALSE)</f>
        <v>Product_230</v>
      </c>
      <c r="E29" t="str">
        <f>VLOOKUP(B29,Products!$A:$E,3,FALSE)</f>
        <v>Electronics</v>
      </c>
    </row>
    <row r="30" spans="1:5" x14ac:dyDescent="0.3">
      <c r="A30" t="s">
        <v>1040</v>
      </c>
      <c r="B30" t="s">
        <v>534</v>
      </c>
      <c r="C30">
        <v>80</v>
      </c>
      <c r="D30" t="str">
        <f>VLOOKUP(B30,Products!$A:$E,2,FALSE)</f>
        <v>Product_263</v>
      </c>
      <c r="E30" t="str">
        <f>VLOOKUP(B30,Products!$A:$E,3,FALSE)</f>
        <v>Accessories</v>
      </c>
    </row>
    <row r="31" spans="1:5" x14ac:dyDescent="0.3">
      <c r="A31" t="s">
        <v>1041</v>
      </c>
      <c r="B31" t="s">
        <v>120</v>
      </c>
      <c r="C31">
        <v>62</v>
      </c>
      <c r="D31" t="str">
        <f>VLOOKUP(B31,Products!$A:$E,2,FALSE)</f>
        <v>Product_56</v>
      </c>
      <c r="E31" t="str">
        <f>VLOOKUP(B31,Products!$A:$E,3,FALSE)</f>
        <v>Networking</v>
      </c>
    </row>
    <row r="32" spans="1:5" x14ac:dyDescent="0.3">
      <c r="A32" t="s">
        <v>1042</v>
      </c>
      <c r="B32" t="s">
        <v>524</v>
      </c>
      <c r="C32">
        <v>33</v>
      </c>
      <c r="D32" t="str">
        <f>VLOOKUP(B32,Products!$A:$E,2,FALSE)</f>
        <v>Product_258</v>
      </c>
      <c r="E32" t="str">
        <f>VLOOKUP(B32,Products!$A:$E,3,FALSE)</f>
        <v>Networking</v>
      </c>
    </row>
    <row r="33" spans="1:5" x14ac:dyDescent="0.3">
      <c r="A33" t="s">
        <v>1043</v>
      </c>
      <c r="B33" t="s">
        <v>978</v>
      </c>
      <c r="C33">
        <v>83</v>
      </c>
      <c r="D33" t="str">
        <f>VLOOKUP(B33,Products!$A:$E,2,FALSE)</f>
        <v>Product_485</v>
      </c>
      <c r="E33" t="str">
        <f>VLOOKUP(B33,Products!$A:$E,3,FALSE)</f>
        <v>Networking</v>
      </c>
    </row>
    <row r="34" spans="1:5" x14ac:dyDescent="0.3">
      <c r="A34" t="s">
        <v>1044</v>
      </c>
      <c r="B34" t="s">
        <v>54</v>
      </c>
      <c r="C34">
        <v>98</v>
      </c>
      <c r="D34" t="str">
        <f>VLOOKUP(B34,Products!$A:$E,2,FALSE)</f>
        <v>Product_23</v>
      </c>
      <c r="E34" t="str">
        <f>VLOOKUP(B34,Products!$A:$E,3,FALSE)</f>
        <v>Accessories</v>
      </c>
    </row>
    <row r="35" spans="1:5" x14ac:dyDescent="0.3">
      <c r="A35" t="s">
        <v>1045</v>
      </c>
      <c r="B35" t="s">
        <v>812</v>
      </c>
      <c r="C35">
        <v>89</v>
      </c>
      <c r="D35" t="str">
        <f>VLOOKUP(B35,Products!$A:$E,2,FALSE)</f>
        <v>Product_402</v>
      </c>
      <c r="E35" t="str">
        <f>VLOOKUP(B35,Products!$A:$E,3,FALSE)</f>
        <v>Accessories</v>
      </c>
    </row>
    <row r="36" spans="1:5" x14ac:dyDescent="0.3">
      <c r="A36" t="s">
        <v>1046</v>
      </c>
      <c r="B36" t="s">
        <v>542</v>
      </c>
      <c r="C36">
        <v>43</v>
      </c>
      <c r="D36" t="str">
        <f>VLOOKUP(B36,Products!$A:$E,2,FALSE)</f>
        <v>Product_267</v>
      </c>
      <c r="E36" t="str">
        <f>VLOOKUP(B36,Products!$A:$E,3,FALSE)</f>
        <v>Networking</v>
      </c>
    </row>
    <row r="37" spans="1:5" x14ac:dyDescent="0.3">
      <c r="A37" t="s">
        <v>1047</v>
      </c>
      <c r="B37" t="s">
        <v>478</v>
      </c>
      <c r="C37">
        <v>87</v>
      </c>
      <c r="D37" t="str">
        <f>VLOOKUP(B37,Products!$A:$E,2,FALSE)</f>
        <v>Product_235</v>
      </c>
      <c r="E37" t="str">
        <f>VLOOKUP(B37,Products!$A:$E,3,FALSE)</f>
        <v>Accessories</v>
      </c>
    </row>
    <row r="38" spans="1:5" x14ac:dyDescent="0.3">
      <c r="A38" t="s">
        <v>1048</v>
      </c>
      <c r="B38" t="s">
        <v>996</v>
      </c>
      <c r="C38">
        <v>8</v>
      </c>
      <c r="D38" t="str">
        <f>VLOOKUP(B38,Products!$A:$E,2,FALSE)</f>
        <v>Product_494</v>
      </c>
      <c r="E38" t="str">
        <f>VLOOKUP(B38,Products!$A:$E,3,FALSE)</f>
        <v>Office Supplies</v>
      </c>
    </row>
    <row r="39" spans="1:5" x14ac:dyDescent="0.3">
      <c r="A39" t="s">
        <v>1049</v>
      </c>
      <c r="B39" t="s">
        <v>72</v>
      </c>
      <c r="C39">
        <v>66</v>
      </c>
      <c r="D39" t="str">
        <f>VLOOKUP(B39,Products!$A:$E,2,FALSE)</f>
        <v>Product_32</v>
      </c>
      <c r="E39" t="str">
        <f>VLOOKUP(B39,Products!$A:$E,3,FALSE)</f>
        <v>Networking</v>
      </c>
    </row>
    <row r="40" spans="1:5" x14ac:dyDescent="0.3">
      <c r="A40" t="s">
        <v>1050</v>
      </c>
      <c r="B40" t="s">
        <v>876</v>
      </c>
      <c r="C40">
        <v>56</v>
      </c>
      <c r="D40" t="str">
        <f>VLOOKUP(B40,Products!$A:$E,2,FALSE)</f>
        <v>Product_434</v>
      </c>
      <c r="E40" t="str">
        <f>VLOOKUP(B40,Products!$A:$E,3,FALSE)</f>
        <v>Office Supplies</v>
      </c>
    </row>
    <row r="41" spans="1:5" x14ac:dyDescent="0.3">
      <c r="A41" t="s">
        <v>1051</v>
      </c>
      <c r="B41" t="s">
        <v>446</v>
      </c>
      <c r="C41">
        <v>92</v>
      </c>
      <c r="D41" t="str">
        <f>VLOOKUP(B41,Products!$A:$E,2,FALSE)</f>
        <v>Product_219</v>
      </c>
      <c r="E41" t="str">
        <f>VLOOKUP(B41,Products!$A:$E,3,FALSE)</f>
        <v>Accessories</v>
      </c>
    </row>
    <row r="42" spans="1:5" x14ac:dyDescent="0.3">
      <c r="A42" t="s">
        <v>1052</v>
      </c>
      <c r="B42" t="s">
        <v>120</v>
      </c>
      <c r="C42">
        <v>67</v>
      </c>
      <c r="D42" t="str">
        <f>VLOOKUP(B42,Products!$A:$E,2,FALSE)</f>
        <v>Product_56</v>
      </c>
      <c r="E42" t="str">
        <f>VLOOKUP(B42,Products!$A:$E,3,FALSE)</f>
        <v>Networking</v>
      </c>
    </row>
    <row r="43" spans="1:5" x14ac:dyDescent="0.3">
      <c r="A43" t="s">
        <v>1053</v>
      </c>
      <c r="B43" t="s">
        <v>738</v>
      </c>
      <c r="C43">
        <v>61</v>
      </c>
      <c r="D43" t="str">
        <f>VLOOKUP(B43,Products!$A:$E,2,FALSE)</f>
        <v>Product_365</v>
      </c>
      <c r="E43" t="str">
        <f>VLOOKUP(B43,Products!$A:$E,3,FALSE)</f>
        <v>Storage</v>
      </c>
    </row>
    <row r="44" spans="1:5" x14ac:dyDescent="0.3">
      <c r="A44" t="s">
        <v>1054</v>
      </c>
      <c r="B44" t="s">
        <v>84</v>
      </c>
      <c r="C44">
        <v>15</v>
      </c>
      <c r="D44" t="str">
        <f>VLOOKUP(B44,Products!$A:$E,2,FALSE)</f>
        <v>Product_38</v>
      </c>
      <c r="E44" t="str">
        <f>VLOOKUP(B44,Products!$A:$E,3,FALSE)</f>
        <v>Accessories</v>
      </c>
    </row>
    <row r="45" spans="1:5" x14ac:dyDescent="0.3">
      <c r="A45" t="s">
        <v>1055</v>
      </c>
      <c r="B45" t="s">
        <v>338</v>
      </c>
      <c r="C45">
        <v>82</v>
      </c>
      <c r="D45" t="str">
        <f>VLOOKUP(B45,Products!$A:$E,2,FALSE)</f>
        <v>Product_165</v>
      </c>
      <c r="E45" t="str">
        <f>VLOOKUP(B45,Products!$A:$E,3,FALSE)</f>
        <v>Office Supplies</v>
      </c>
    </row>
    <row r="46" spans="1:5" x14ac:dyDescent="0.3">
      <c r="A46" t="s">
        <v>1056</v>
      </c>
      <c r="B46" t="s">
        <v>160</v>
      </c>
      <c r="C46">
        <v>13</v>
      </c>
      <c r="D46" t="str">
        <f>VLOOKUP(B46,Products!$A:$E,2,FALSE)</f>
        <v>Product_76</v>
      </c>
      <c r="E46" t="str">
        <f>VLOOKUP(B46,Products!$A:$E,3,FALSE)</f>
        <v>Accessories</v>
      </c>
    </row>
    <row r="47" spans="1:5" x14ac:dyDescent="0.3">
      <c r="A47" t="s">
        <v>1057</v>
      </c>
      <c r="B47" t="s">
        <v>138</v>
      </c>
      <c r="C47">
        <v>40</v>
      </c>
      <c r="D47" t="str">
        <f>VLOOKUP(B47,Products!$A:$E,2,FALSE)</f>
        <v>Product_65</v>
      </c>
      <c r="E47" t="str">
        <f>VLOOKUP(B47,Products!$A:$E,3,FALSE)</f>
        <v>Office Supplies</v>
      </c>
    </row>
    <row r="48" spans="1:5" x14ac:dyDescent="0.3">
      <c r="A48" t="s">
        <v>1058</v>
      </c>
      <c r="B48" t="s">
        <v>648</v>
      </c>
      <c r="C48">
        <v>86</v>
      </c>
      <c r="D48" t="str">
        <f>VLOOKUP(B48,Products!$A:$E,2,FALSE)</f>
        <v>Product_320</v>
      </c>
      <c r="E48" t="str">
        <f>VLOOKUP(B48,Products!$A:$E,3,FALSE)</f>
        <v>Office Supplies</v>
      </c>
    </row>
    <row r="49" spans="1:5" x14ac:dyDescent="0.3">
      <c r="A49" t="s">
        <v>1059</v>
      </c>
      <c r="B49" t="s">
        <v>608</v>
      </c>
      <c r="C49">
        <v>75</v>
      </c>
      <c r="D49" t="str">
        <f>VLOOKUP(B49,Products!$A:$E,2,FALSE)</f>
        <v>Product_300</v>
      </c>
      <c r="E49" t="str">
        <f>VLOOKUP(B49,Products!$A:$E,3,FALSE)</f>
        <v>Accessories</v>
      </c>
    </row>
    <row r="50" spans="1:5" x14ac:dyDescent="0.3">
      <c r="A50" t="s">
        <v>1060</v>
      </c>
      <c r="B50" t="s">
        <v>738</v>
      </c>
      <c r="C50">
        <v>46</v>
      </c>
      <c r="D50" t="str">
        <f>VLOOKUP(B50,Products!$A:$E,2,FALSE)</f>
        <v>Product_365</v>
      </c>
      <c r="E50" t="str">
        <f>VLOOKUP(B50,Products!$A:$E,3,FALSE)</f>
        <v>Storage</v>
      </c>
    </row>
    <row r="51" spans="1:5" x14ac:dyDescent="0.3">
      <c r="A51" t="s">
        <v>1061</v>
      </c>
      <c r="B51" t="s">
        <v>400</v>
      </c>
      <c r="C51">
        <v>81</v>
      </c>
      <c r="D51" t="str">
        <f>VLOOKUP(B51,Products!$A:$E,2,FALSE)</f>
        <v>Product_196</v>
      </c>
      <c r="E51" t="str">
        <f>VLOOKUP(B51,Products!$A:$E,3,FALSE)</f>
        <v>Office Supplies</v>
      </c>
    </row>
    <row r="52" spans="1:5" x14ac:dyDescent="0.3">
      <c r="A52" t="s">
        <v>1062</v>
      </c>
      <c r="B52" t="s">
        <v>552</v>
      </c>
      <c r="C52">
        <v>42</v>
      </c>
      <c r="D52" t="str">
        <f>VLOOKUP(B52,Products!$A:$E,2,FALSE)</f>
        <v>Product_272</v>
      </c>
      <c r="E52" t="str">
        <f>VLOOKUP(B52,Products!$A:$E,3,FALSE)</f>
        <v>Office Supplies</v>
      </c>
    </row>
    <row r="53" spans="1:5" x14ac:dyDescent="0.3">
      <c r="A53" t="s">
        <v>1063</v>
      </c>
      <c r="B53" t="s">
        <v>474</v>
      </c>
      <c r="C53">
        <v>69</v>
      </c>
      <c r="D53" t="str">
        <f>VLOOKUP(B53,Products!$A:$E,2,FALSE)</f>
        <v>Product_233</v>
      </c>
      <c r="E53" t="str">
        <f>VLOOKUP(B53,Products!$A:$E,3,FALSE)</f>
        <v>Accessories</v>
      </c>
    </row>
    <row r="54" spans="1:5" x14ac:dyDescent="0.3">
      <c r="A54" t="s">
        <v>1064</v>
      </c>
      <c r="B54" t="s">
        <v>628</v>
      </c>
      <c r="C54">
        <v>60</v>
      </c>
      <c r="D54" t="str">
        <f>VLOOKUP(B54,Products!$A:$E,2,FALSE)</f>
        <v>Product_310</v>
      </c>
      <c r="E54" t="str">
        <f>VLOOKUP(B54,Products!$A:$E,3,FALSE)</f>
        <v>Office Supplies</v>
      </c>
    </row>
    <row r="55" spans="1:5" x14ac:dyDescent="0.3">
      <c r="A55" t="s">
        <v>1065</v>
      </c>
      <c r="B55" t="s">
        <v>110</v>
      </c>
      <c r="C55">
        <v>94</v>
      </c>
      <c r="D55" t="str">
        <f>VLOOKUP(B55,Products!$A:$E,2,FALSE)</f>
        <v>Product_51</v>
      </c>
      <c r="E55" t="str">
        <f>VLOOKUP(B55,Products!$A:$E,3,FALSE)</f>
        <v>Storage</v>
      </c>
    </row>
    <row r="56" spans="1:5" x14ac:dyDescent="0.3">
      <c r="A56" t="s">
        <v>1066</v>
      </c>
      <c r="B56" t="s">
        <v>126</v>
      </c>
      <c r="C56">
        <v>88</v>
      </c>
      <c r="D56" t="str">
        <f>VLOOKUP(B56,Products!$A:$E,2,FALSE)</f>
        <v>Product_59</v>
      </c>
      <c r="E56" t="str">
        <f>VLOOKUP(B56,Products!$A:$E,3,FALSE)</f>
        <v>Accessories</v>
      </c>
    </row>
    <row r="57" spans="1:5" x14ac:dyDescent="0.3">
      <c r="A57" t="s">
        <v>1067</v>
      </c>
      <c r="B57" t="s">
        <v>676</v>
      </c>
      <c r="C57">
        <v>75</v>
      </c>
      <c r="D57" t="str">
        <f>VLOOKUP(B57,Products!$A:$E,2,FALSE)</f>
        <v>Product_334</v>
      </c>
      <c r="E57" t="str">
        <f>VLOOKUP(B57,Products!$A:$E,3,FALSE)</f>
        <v>Accessories</v>
      </c>
    </row>
    <row r="58" spans="1:5" x14ac:dyDescent="0.3">
      <c r="A58" t="s">
        <v>1068</v>
      </c>
      <c r="B58" t="s">
        <v>748</v>
      </c>
      <c r="C58">
        <v>32</v>
      </c>
      <c r="D58" t="str">
        <f>VLOOKUP(B58,Products!$A:$E,2,FALSE)</f>
        <v>Product_370</v>
      </c>
      <c r="E58" t="str">
        <f>VLOOKUP(B58,Products!$A:$E,3,FALSE)</f>
        <v>Networking</v>
      </c>
    </row>
    <row r="59" spans="1:5" x14ac:dyDescent="0.3">
      <c r="A59" t="s">
        <v>1069</v>
      </c>
      <c r="B59" t="s">
        <v>450</v>
      </c>
      <c r="C59">
        <v>62</v>
      </c>
      <c r="D59" t="str">
        <f>VLOOKUP(B59,Products!$A:$E,2,FALSE)</f>
        <v>Product_221</v>
      </c>
      <c r="E59" t="str">
        <f>VLOOKUP(B59,Products!$A:$E,3,FALSE)</f>
        <v>Office Supplies</v>
      </c>
    </row>
    <row r="60" spans="1:5" x14ac:dyDescent="0.3">
      <c r="A60" t="s">
        <v>1070</v>
      </c>
      <c r="B60" t="s">
        <v>918</v>
      </c>
      <c r="C60">
        <v>34</v>
      </c>
      <c r="D60" t="str">
        <f>VLOOKUP(B60,Products!$A:$E,2,FALSE)</f>
        <v>Product_455</v>
      </c>
      <c r="E60" t="str">
        <f>VLOOKUP(B60,Products!$A:$E,3,FALSE)</f>
        <v>Storage</v>
      </c>
    </row>
    <row r="61" spans="1:5" x14ac:dyDescent="0.3">
      <c r="A61" t="s">
        <v>1071</v>
      </c>
      <c r="B61" t="s">
        <v>432</v>
      </c>
      <c r="C61">
        <v>48</v>
      </c>
      <c r="D61" t="str">
        <f>VLOOKUP(B61,Products!$A:$E,2,FALSE)</f>
        <v>Product_212</v>
      </c>
      <c r="E61" t="str">
        <f>VLOOKUP(B61,Products!$A:$E,3,FALSE)</f>
        <v>Networking</v>
      </c>
    </row>
    <row r="62" spans="1:5" x14ac:dyDescent="0.3">
      <c r="A62" t="s">
        <v>1072</v>
      </c>
      <c r="B62" t="s">
        <v>856</v>
      </c>
      <c r="C62">
        <v>63</v>
      </c>
      <c r="D62" t="str">
        <f>VLOOKUP(B62,Products!$A:$E,2,FALSE)</f>
        <v>Product_424</v>
      </c>
      <c r="E62" t="str">
        <f>VLOOKUP(B62,Products!$A:$E,3,FALSE)</f>
        <v>Networking</v>
      </c>
    </row>
    <row r="63" spans="1:5" x14ac:dyDescent="0.3">
      <c r="A63" t="s">
        <v>1073</v>
      </c>
      <c r="B63" t="s">
        <v>418</v>
      </c>
      <c r="C63">
        <v>58</v>
      </c>
      <c r="D63" t="str">
        <f>VLOOKUP(B63,Products!$A:$E,2,FALSE)</f>
        <v>Product_205</v>
      </c>
      <c r="E63" t="str">
        <f>VLOOKUP(B63,Products!$A:$E,3,FALSE)</f>
        <v>Storage</v>
      </c>
    </row>
    <row r="64" spans="1:5" x14ac:dyDescent="0.3">
      <c r="A64" t="s">
        <v>1074</v>
      </c>
      <c r="B64" t="s">
        <v>756</v>
      </c>
      <c r="C64">
        <v>17</v>
      </c>
      <c r="D64" t="str">
        <f>VLOOKUP(B64,Products!$A:$E,2,FALSE)</f>
        <v>Product_374</v>
      </c>
      <c r="E64" t="str">
        <f>VLOOKUP(B64,Products!$A:$E,3,FALSE)</f>
        <v>Office Supplies</v>
      </c>
    </row>
    <row r="65" spans="1:5" x14ac:dyDescent="0.3">
      <c r="A65" t="s">
        <v>1075</v>
      </c>
      <c r="B65" t="s">
        <v>330</v>
      </c>
      <c r="C65">
        <v>59</v>
      </c>
      <c r="D65" t="str">
        <f>VLOOKUP(B65,Products!$A:$E,2,FALSE)</f>
        <v>Product_161</v>
      </c>
      <c r="E65" t="str">
        <f>VLOOKUP(B65,Products!$A:$E,3,FALSE)</f>
        <v>Networking</v>
      </c>
    </row>
    <row r="66" spans="1:5" x14ac:dyDescent="0.3">
      <c r="A66" t="s">
        <v>1076</v>
      </c>
      <c r="B66" t="s">
        <v>330</v>
      </c>
      <c r="C66">
        <v>90</v>
      </c>
      <c r="D66" t="str">
        <f>VLOOKUP(B66,Products!$A:$E,2,FALSE)</f>
        <v>Product_161</v>
      </c>
      <c r="E66" t="str">
        <f>VLOOKUP(B66,Products!$A:$E,3,FALSE)</f>
        <v>Networking</v>
      </c>
    </row>
    <row r="67" spans="1:5" x14ac:dyDescent="0.3">
      <c r="A67" t="s">
        <v>1077</v>
      </c>
      <c r="B67" t="s">
        <v>270</v>
      </c>
      <c r="C67">
        <v>52</v>
      </c>
      <c r="D67" t="str">
        <f>VLOOKUP(B67,Products!$A:$E,2,FALSE)</f>
        <v>Product_131</v>
      </c>
      <c r="E67" t="str">
        <f>VLOOKUP(B67,Products!$A:$E,3,FALSE)</f>
        <v>Electronics</v>
      </c>
    </row>
    <row r="68" spans="1:5" x14ac:dyDescent="0.3">
      <c r="A68" t="s">
        <v>1078</v>
      </c>
      <c r="B68" t="s">
        <v>986</v>
      </c>
      <c r="C68">
        <v>24</v>
      </c>
      <c r="D68" t="str">
        <f>VLOOKUP(B68,Products!$A:$E,2,FALSE)</f>
        <v>Product_489</v>
      </c>
      <c r="E68" t="str">
        <f>VLOOKUP(B68,Products!$A:$E,3,FALSE)</f>
        <v>Networking</v>
      </c>
    </row>
    <row r="69" spans="1:5" x14ac:dyDescent="0.3">
      <c r="A69" t="s">
        <v>1079</v>
      </c>
      <c r="B69" t="s">
        <v>712</v>
      </c>
      <c r="C69">
        <v>65</v>
      </c>
      <c r="D69" t="str">
        <f>VLOOKUP(B69,Products!$A:$E,2,FALSE)</f>
        <v>Product_352</v>
      </c>
      <c r="E69" t="str">
        <f>VLOOKUP(B69,Products!$A:$E,3,FALSE)</f>
        <v>Storage</v>
      </c>
    </row>
    <row r="70" spans="1:5" x14ac:dyDescent="0.3">
      <c r="A70" t="s">
        <v>1080</v>
      </c>
      <c r="B70" t="s">
        <v>78</v>
      </c>
      <c r="C70">
        <v>16</v>
      </c>
      <c r="D70" t="str">
        <f>VLOOKUP(B70,Products!$A:$E,2,FALSE)</f>
        <v>Product_35</v>
      </c>
      <c r="E70" t="str">
        <f>VLOOKUP(B70,Products!$A:$E,3,FALSE)</f>
        <v>Electronics</v>
      </c>
    </row>
    <row r="71" spans="1:5" x14ac:dyDescent="0.3">
      <c r="A71" t="s">
        <v>1081</v>
      </c>
      <c r="B71" t="s">
        <v>860</v>
      </c>
      <c r="C71">
        <v>15</v>
      </c>
      <c r="D71" t="str">
        <f>VLOOKUP(B71,Products!$A:$E,2,FALSE)</f>
        <v>Product_426</v>
      </c>
      <c r="E71" t="str">
        <f>VLOOKUP(B71,Products!$A:$E,3,FALSE)</f>
        <v>Storage</v>
      </c>
    </row>
    <row r="72" spans="1:5" x14ac:dyDescent="0.3">
      <c r="A72" t="s">
        <v>1082</v>
      </c>
      <c r="B72" t="s">
        <v>104</v>
      </c>
      <c r="C72">
        <v>60</v>
      </c>
      <c r="D72" t="str">
        <f>VLOOKUP(B72,Products!$A:$E,2,FALSE)</f>
        <v>Product_48</v>
      </c>
      <c r="E72" t="str">
        <f>VLOOKUP(B72,Products!$A:$E,3,FALSE)</f>
        <v>Accessories</v>
      </c>
    </row>
    <row r="73" spans="1:5" x14ac:dyDescent="0.3">
      <c r="A73" t="s">
        <v>1083</v>
      </c>
      <c r="B73" t="s">
        <v>108</v>
      </c>
      <c r="C73">
        <v>100</v>
      </c>
      <c r="D73" t="str">
        <f>VLOOKUP(B73,Products!$A:$E,2,FALSE)</f>
        <v>Product_50</v>
      </c>
      <c r="E73" t="str">
        <f>VLOOKUP(B73,Products!$A:$E,3,FALSE)</f>
        <v>Networking</v>
      </c>
    </row>
    <row r="74" spans="1:5" x14ac:dyDescent="0.3">
      <c r="A74" t="s">
        <v>1084</v>
      </c>
      <c r="B74" t="s">
        <v>766</v>
      </c>
      <c r="C74">
        <v>52</v>
      </c>
      <c r="D74" t="str">
        <f>VLOOKUP(B74,Products!$A:$E,2,FALSE)</f>
        <v>Product_379</v>
      </c>
      <c r="E74" t="str">
        <f>VLOOKUP(B74,Products!$A:$E,3,FALSE)</f>
        <v>Office Supplies</v>
      </c>
    </row>
    <row r="75" spans="1:5" x14ac:dyDescent="0.3">
      <c r="A75" t="s">
        <v>1085</v>
      </c>
      <c r="B75" t="s">
        <v>840</v>
      </c>
      <c r="C75">
        <v>21</v>
      </c>
      <c r="D75" t="str">
        <f>VLOOKUP(B75,Products!$A:$E,2,FALSE)</f>
        <v>Product_416</v>
      </c>
      <c r="E75" t="str">
        <f>VLOOKUP(B75,Products!$A:$E,3,FALSE)</f>
        <v>Accessories</v>
      </c>
    </row>
    <row r="76" spans="1:5" x14ac:dyDescent="0.3">
      <c r="A76" t="s">
        <v>1086</v>
      </c>
      <c r="B76" t="s">
        <v>578</v>
      </c>
      <c r="C76">
        <v>12</v>
      </c>
      <c r="D76" t="str">
        <f>VLOOKUP(B76,Products!$A:$E,2,FALSE)</f>
        <v>Product_285</v>
      </c>
      <c r="E76" t="str">
        <f>VLOOKUP(B76,Products!$A:$E,3,FALSE)</f>
        <v>Networking</v>
      </c>
    </row>
    <row r="77" spans="1:5" x14ac:dyDescent="0.3">
      <c r="A77" t="s">
        <v>1087</v>
      </c>
      <c r="B77" t="s">
        <v>610</v>
      </c>
      <c r="C77">
        <v>76</v>
      </c>
      <c r="D77" t="str">
        <f>VLOOKUP(B77,Products!$A:$E,2,FALSE)</f>
        <v>Product_301</v>
      </c>
      <c r="E77" t="str">
        <f>VLOOKUP(B77,Products!$A:$E,3,FALSE)</f>
        <v>Networking</v>
      </c>
    </row>
    <row r="78" spans="1:5" x14ac:dyDescent="0.3">
      <c r="A78" t="s">
        <v>1088</v>
      </c>
      <c r="B78" t="s">
        <v>584</v>
      </c>
      <c r="C78">
        <v>47</v>
      </c>
      <c r="D78" t="str">
        <f>VLOOKUP(B78,Products!$A:$E,2,FALSE)</f>
        <v>Product_288</v>
      </c>
      <c r="E78" t="str">
        <f>VLOOKUP(B78,Products!$A:$E,3,FALSE)</f>
        <v>Networking</v>
      </c>
    </row>
    <row r="79" spans="1:5" x14ac:dyDescent="0.3">
      <c r="A79" t="s">
        <v>1089</v>
      </c>
      <c r="B79" t="s">
        <v>696</v>
      </c>
      <c r="C79">
        <v>20</v>
      </c>
      <c r="D79" t="str">
        <f>VLOOKUP(B79,Products!$A:$E,2,FALSE)</f>
        <v>Product_344</v>
      </c>
      <c r="E79" t="str">
        <f>VLOOKUP(B79,Products!$A:$E,3,FALSE)</f>
        <v>Accessories</v>
      </c>
    </row>
    <row r="80" spans="1:5" x14ac:dyDescent="0.3">
      <c r="A80" t="s">
        <v>1090</v>
      </c>
      <c r="B80" t="s">
        <v>430</v>
      </c>
      <c r="C80">
        <v>50</v>
      </c>
      <c r="D80" t="str">
        <f>VLOOKUP(B80,Products!$A:$E,2,FALSE)</f>
        <v>Product_211</v>
      </c>
      <c r="E80" t="str">
        <f>VLOOKUP(B80,Products!$A:$E,3,FALSE)</f>
        <v>Storage</v>
      </c>
    </row>
    <row r="81" spans="1:5" x14ac:dyDescent="0.3">
      <c r="A81" t="s">
        <v>1091</v>
      </c>
      <c r="B81" t="s">
        <v>904</v>
      </c>
      <c r="C81">
        <v>90</v>
      </c>
      <c r="D81" t="str">
        <f>VLOOKUP(B81,Products!$A:$E,2,FALSE)</f>
        <v>Product_448</v>
      </c>
      <c r="E81" t="str">
        <f>VLOOKUP(B81,Products!$A:$E,3,FALSE)</f>
        <v>Networking</v>
      </c>
    </row>
    <row r="82" spans="1:5" x14ac:dyDescent="0.3">
      <c r="A82" t="s">
        <v>1092</v>
      </c>
      <c r="B82" t="s">
        <v>972</v>
      </c>
      <c r="C82">
        <v>59</v>
      </c>
      <c r="D82" t="str">
        <f>VLOOKUP(B82,Products!$A:$E,2,FALSE)</f>
        <v>Product_482</v>
      </c>
      <c r="E82" t="str">
        <f>VLOOKUP(B82,Products!$A:$E,3,FALSE)</f>
        <v>Storage</v>
      </c>
    </row>
    <row r="83" spans="1:5" x14ac:dyDescent="0.3">
      <c r="A83" t="s">
        <v>1093</v>
      </c>
      <c r="B83" t="s">
        <v>898</v>
      </c>
      <c r="C83">
        <v>97</v>
      </c>
      <c r="D83" t="str">
        <f>VLOOKUP(B83,Products!$A:$E,2,FALSE)</f>
        <v>Product_445</v>
      </c>
      <c r="E83" t="str">
        <f>VLOOKUP(B83,Products!$A:$E,3,FALSE)</f>
        <v>Office Supplies</v>
      </c>
    </row>
    <row r="84" spans="1:5" x14ac:dyDescent="0.3">
      <c r="A84" t="s">
        <v>1094</v>
      </c>
      <c r="B84" t="s">
        <v>62</v>
      </c>
      <c r="C84">
        <v>41</v>
      </c>
      <c r="D84" t="str">
        <f>VLOOKUP(B84,Products!$A:$E,2,FALSE)</f>
        <v>Product_27</v>
      </c>
      <c r="E84" t="str">
        <f>VLOOKUP(B84,Products!$A:$E,3,FALSE)</f>
        <v>Office Supplies</v>
      </c>
    </row>
    <row r="85" spans="1:5" x14ac:dyDescent="0.3">
      <c r="A85" t="s">
        <v>1095</v>
      </c>
      <c r="B85" t="s">
        <v>624</v>
      </c>
      <c r="C85">
        <v>44</v>
      </c>
      <c r="D85" t="str">
        <f>VLOOKUP(B85,Products!$A:$E,2,FALSE)</f>
        <v>Product_308</v>
      </c>
      <c r="E85" t="str">
        <f>VLOOKUP(B85,Products!$A:$E,3,FALSE)</f>
        <v>Storage</v>
      </c>
    </row>
    <row r="86" spans="1:5" x14ac:dyDescent="0.3">
      <c r="A86" t="s">
        <v>1096</v>
      </c>
      <c r="B86" t="s">
        <v>370</v>
      </c>
      <c r="C86">
        <v>18</v>
      </c>
      <c r="D86" t="str">
        <f>VLOOKUP(B86,Products!$A:$E,2,FALSE)</f>
        <v>Product_181</v>
      </c>
      <c r="E86" t="str">
        <f>VLOOKUP(B86,Products!$A:$E,3,FALSE)</f>
        <v>Storage</v>
      </c>
    </row>
    <row r="87" spans="1:5" x14ac:dyDescent="0.3">
      <c r="A87" t="s">
        <v>1097</v>
      </c>
      <c r="B87" t="s">
        <v>600</v>
      </c>
      <c r="C87">
        <v>69</v>
      </c>
      <c r="D87" t="str">
        <f>VLOOKUP(B87,Products!$A:$E,2,FALSE)</f>
        <v>Product_296</v>
      </c>
      <c r="E87" t="str">
        <f>VLOOKUP(B87,Products!$A:$E,3,FALSE)</f>
        <v>Office Supplies</v>
      </c>
    </row>
    <row r="88" spans="1:5" x14ac:dyDescent="0.3">
      <c r="A88" t="s">
        <v>1098</v>
      </c>
      <c r="B88" t="s">
        <v>226</v>
      </c>
      <c r="C88">
        <v>24</v>
      </c>
      <c r="D88" t="str">
        <f>VLOOKUP(B88,Products!$A:$E,2,FALSE)</f>
        <v>Product_109</v>
      </c>
      <c r="E88" t="str">
        <f>VLOOKUP(B88,Products!$A:$E,3,FALSE)</f>
        <v>Storage</v>
      </c>
    </row>
    <row r="89" spans="1:5" x14ac:dyDescent="0.3">
      <c r="A89" t="s">
        <v>1099</v>
      </c>
      <c r="B89" t="s">
        <v>682</v>
      </c>
      <c r="C89">
        <v>66</v>
      </c>
      <c r="D89" t="str">
        <f>VLOOKUP(B89,Products!$A:$E,2,FALSE)</f>
        <v>Product_337</v>
      </c>
      <c r="E89" t="str">
        <f>VLOOKUP(B89,Products!$A:$E,3,FALSE)</f>
        <v>Storage</v>
      </c>
    </row>
    <row r="90" spans="1:5" x14ac:dyDescent="0.3">
      <c r="A90" t="s">
        <v>1100</v>
      </c>
      <c r="B90" t="s">
        <v>238</v>
      </c>
      <c r="C90">
        <v>18</v>
      </c>
      <c r="D90" t="str">
        <f>VLOOKUP(B90,Products!$A:$E,2,FALSE)</f>
        <v>Product_115</v>
      </c>
      <c r="E90" t="str">
        <f>VLOOKUP(B90,Products!$A:$E,3,FALSE)</f>
        <v>Networking</v>
      </c>
    </row>
    <row r="91" spans="1:5" x14ac:dyDescent="0.3">
      <c r="A91" t="s">
        <v>1101</v>
      </c>
      <c r="B91" t="s">
        <v>368</v>
      </c>
      <c r="C91">
        <v>76</v>
      </c>
      <c r="D91" t="str">
        <f>VLOOKUP(B91,Products!$A:$E,2,FALSE)</f>
        <v>Product_180</v>
      </c>
      <c r="E91" t="str">
        <f>VLOOKUP(B91,Products!$A:$E,3,FALSE)</f>
        <v>Office Supplies</v>
      </c>
    </row>
    <row r="92" spans="1:5" x14ac:dyDescent="0.3">
      <c r="A92" t="s">
        <v>1102</v>
      </c>
      <c r="B92" t="s">
        <v>386</v>
      </c>
      <c r="C92">
        <v>19</v>
      </c>
      <c r="D92" t="str">
        <f>VLOOKUP(B92,Products!$A:$E,2,FALSE)</f>
        <v>Product_189</v>
      </c>
      <c r="E92" t="str">
        <f>VLOOKUP(B92,Products!$A:$E,3,FALSE)</f>
        <v>Electronics</v>
      </c>
    </row>
    <row r="93" spans="1:5" x14ac:dyDescent="0.3">
      <c r="A93" t="s">
        <v>1103</v>
      </c>
      <c r="B93" t="s">
        <v>790</v>
      </c>
      <c r="C93">
        <v>40</v>
      </c>
      <c r="D93" t="str">
        <f>VLOOKUP(B93,Products!$A:$E,2,FALSE)</f>
        <v>Product_391</v>
      </c>
      <c r="E93" t="str">
        <f>VLOOKUP(B93,Products!$A:$E,3,FALSE)</f>
        <v>Accessories</v>
      </c>
    </row>
    <row r="94" spans="1:5" x14ac:dyDescent="0.3">
      <c r="A94" t="s">
        <v>1104</v>
      </c>
      <c r="B94" t="s">
        <v>596</v>
      </c>
      <c r="C94">
        <v>33</v>
      </c>
      <c r="D94" t="str">
        <f>VLOOKUP(B94,Products!$A:$E,2,FALSE)</f>
        <v>Product_294</v>
      </c>
      <c r="E94" t="str">
        <f>VLOOKUP(B94,Products!$A:$E,3,FALSE)</f>
        <v>Networking</v>
      </c>
    </row>
    <row r="95" spans="1:5" x14ac:dyDescent="0.3">
      <c r="A95" t="s">
        <v>1105</v>
      </c>
      <c r="B95" t="s">
        <v>836</v>
      </c>
      <c r="C95">
        <v>59</v>
      </c>
      <c r="D95" t="str">
        <f>VLOOKUP(B95,Products!$A:$E,2,FALSE)</f>
        <v>Product_414</v>
      </c>
      <c r="E95" t="str">
        <f>VLOOKUP(B95,Products!$A:$E,3,FALSE)</f>
        <v>Office Supplies</v>
      </c>
    </row>
    <row r="96" spans="1:5" x14ac:dyDescent="0.3">
      <c r="A96" t="s">
        <v>1106</v>
      </c>
      <c r="B96" t="s">
        <v>874</v>
      </c>
      <c r="C96">
        <v>76</v>
      </c>
      <c r="D96" t="str">
        <f>VLOOKUP(B96,Products!$A:$E,2,FALSE)</f>
        <v>Product_433</v>
      </c>
      <c r="E96" t="str">
        <f>VLOOKUP(B96,Products!$A:$E,3,FALSE)</f>
        <v>Office Supplies</v>
      </c>
    </row>
    <row r="97" spans="1:5" x14ac:dyDescent="0.3">
      <c r="A97" t="s">
        <v>1107</v>
      </c>
      <c r="B97" t="s">
        <v>1006</v>
      </c>
      <c r="C97">
        <v>84</v>
      </c>
      <c r="D97" t="str">
        <f>VLOOKUP(B97,Products!$A:$E,2,FALSE)</f>
        <v>Product_499</v>
      </c>
      <c r="E97" t="str">
        <f>VLOOKUP(B97,Products!$A:$E,3,FALSE)</f>
        <v>Office Supplies</v>
      </c>
    </row>
    <row r="98" spans="1:5" x14ac:dyDescent="0.3">
      <c r="A98" t="s">
        <v>1108</v>
      </c>
      <c r="B98" t="s">
        <v>638</v>
      </c>
      <c r="C98">
        <v>91</v>
      </c>
      <c r="D98" t="str">
        <f>VLOOKUP(B98,Products!$A:$E,2,FALSE)</f>
        <v>Product_315</v>
      </c>
      <c r="E98" t="str">
        <f>VLOOKUP(B98,Products!$A:$E,3,FALSE)</f>
        <v>Accessories</v>
      </c>
    </row>
    <row r="99" spans="1:5" x14ac:dyDescent="0.3">
      <c r="A99" t="s">
        <v>1109</v>
      </c>
      <c r="B99" t="s">
        <v>668</v>
      </c>
      <c r="C99">
        <v>76</v>
      </c>
      <c r="D99" t="str">
        <f>VLOOKUP(B99,Products!$A:$E,2,FALSE)</f>
        <v>Product_330</v>
      </c>
      <c r="E99" t="str">
        <f>VLOOKUP(B99,Products!$A:$E,3,FALSE)</f>
        <v>Electronics</v>
      </c>
    </row>
    <row r="100" spans="1:5" x14ac:dyDescent="0.3">
      <c r="A100" t="s">
        <v>1110</v>
      </c>
      <c r="B100" t="s">
        <v>36</v>
      </c>
      <c r="C100">
        <v>82</v>
      </c>
      <c r="D100" t="str">
        <f>VLOOKUP(B100,Products!$A:$E,2,FALSE)</f>
        <v>Product_14</v>
      </c>
      <c r="E100" t="str">
        <f>VLOOKUP(B100,Products!$A:$E,3,FALSE)</f>
        <v>Accessories</v>
      </c>
    </row>
    <row r="101" spans="1:5" x14ac:dyDescent="0.3">
      <c r="A101" t="s">
        <v>1111</v>
      </c>
      <c r="B101" t="s">
        <v>960</v>
      </c>
      <c r="C101">
        <v>89</v>
      </c>
      <c r="D101" t="str">
        <f>VLOOKUP(B101,Products!$A:$E,2,FALSE)</f>
        <v>Product_476</v>
      </c>
      <c r="E101" t="str">
        <f>VLOOKUP(B101,Products!$A:$E,3,FALSE)</f>
        <v>Office Supplies</v>
      </c>
    </row>
    <row r="102" spans="1:5" x14ac:dyDescent="0.3">
      <c r="A102" t="s">
        <v>1112</v>
      </c>
      <c r="B102" t="s">
        <v>858</v>
      </c>
      <c r="C102">
        <v>93</v>
      </c>
      <c r="D102" t="str">
        <f>VLOOKUP(B102,Products!$A:$E,2,FALSE)</f>
        <v>Product_425</v>
      </c>
      <c r="E102" t="str">
        <f>VLOOKUP(B102,Products!$A:$E,3,FALSE)</f>
        <v>Office Supplies</v>
      </c>
    </row>
    <row r="103" spans="1:5" x14ac:dyDescent="0.3">
      <c r="A103" t="s">
        <v>1113</v>
      </c>
      <c r="B103" t="s">
        <v>282</v>
      </c>
      <c r="C103">
        <v>8</v>
      </c>
      <c r="D103" t="str">
        <f>VLOOKUP(B103,Products!$A:$E,2,FALSE)</f>
        <v>Product_137</v>
      </c>
      <c r="E103" t="str">
        <f>VLOOKUP(B103,Products!$A:$E,3,FALSE)</f>
        <v>Storage</v>
      </c>
    </row>
    <row r="104" spans="1:5" x14ac:dyDescent="0.3">
      <c r="A104" t="s">
        <v>1114</v>
      </c>
      <c r="B104" t="s">
        <v>194</v>
      </c>
      <c r="C104">
        <v>39</v>
      </c>
      <c r="D104" t="str">
        <f>VLOOKUP(B104,Products!$A:$E,2,FALSE)</f>
        <v>Product_93</v>
      </c>
      <c r="E104" t="str">
        <f>VLOOKUP(B104,Products!$A:$E,3,FALSE)</f>
        <v>Office Supplies</v>
      </c>
    </row>
    <row r="105" spans="1:5" x14ac:dyDescent="0.3">
      <c r="A105" t="s">
        <v>1115</v>
      </c>
      <c r="B105" t="s">
        <v>728</v>
      </c>
      <c r="C105">
        <v>44</v>
      </c>
      <c r="D105" t="str">
        <f>VLOOKUP(B105,Products!$A:$E,2,FALSE)</f>
        <v>Product_360</v>
      </c>
      <c r="E105" t="str">
        <f>VLOOKUP(B105,Products!$A:$E,3,FALSE)</f>
        <v>Office Supplies</v>
      </c>
    </row>
    <row r="106" spans="1:5" x14ac:dyDescent="0.3">
      <c r="A106" t="s">
        <v>1116</v>
      </c>
      <c r="B106" t="s">
        <v>952</v>
      </c>
      <c r="C106">
        <v>48</v>
      </c>
      <c r="D106" t="str">
        <f>VLOOKUP(B106,Products!$A:$E,2,FALSE)</f>
        <v>Product_472</v>
      </c>
      <c r="E106" t="str">
        <f>VLOOKUP(B106,Products!$A:$E,3,FALSE)</f>
        <v>Electronics</v>
      </c>
    </row>
    <row r="107" spans="1:5" x14ac:dyDescent="0.3">
      <c r="A107" t="s">
        <v>1117</v>
      </c>
      <c r="B107" t="s">
        <v>368</v>
      </c>
      <c r="C107">
        <v>5</v>
      </c>
      <c r="D107" t="str">
        <f>VLOOKUP(B107,Products!$A:$E,2,FALSE)</f>
        <v>Product_180</v>
      </c>
      <c r="E107" t="str">
        <f>VLOOKUP(B107,Products!$A:$E,3,FALSE)</f>
        <v>Office Supplies</v>
      </c>
    </row>
    <row r="108" spans="1:5" x14ac:dyDescent="0.3">
      <c r="A108" t="s">
        <v>1118</v>
      </c>
      <c r="B108" t="s">
        <v>194</v>
      </c>
      <c r="C108">
        <v>23</v>
      </c>
      <c r="D108" t="str">
        <f>VLOOKUP(B108,Products!$A:$E,2,FALSE)</f>
        <v>Product_93</v>
      </c>
      <c r="E108" t="str">
        <f>VLOOKUP(B108,Products!$A:$E,3,FALSE)</f>
        <v>Office Supplies</v>
      </c>
    </row>
    <row r="109" spans="1:5" x14ac:dyDescent="0.3">
      <c r="A109" t="s">
        <v>1119</v>
      </c>
      <c r="B109" t="s">
        <v>588</v>
      </c>
      <c r="C109">
        <v>89</v>
      </c>
      <c r="D109" t="str">
        <f>VLOOKUP(B109,Products!$A:$E,2,FALSE)</f>
        <v>Product_290</v>
      </c>
      <c r="E109" t="str">
        <f>VLOOKUP(B109,Products!$A:$E,3,FALSE)</f>
        <v>Accessories</v>
      </c>
    </row>
    <row r="110" spans="1:5" x14ac:dyDescent="0.3">
      <c r="A110" t="s">
        <v>1120</v>
      </c>
      <c r="B110" t="s">
        <v>420</v>
      </c>
      <c r="C110">
        <v>13</v>
      </c>
      <c r="D110" t="str">
        <f>VLOOKUP(B110,Products!$A:$E,2,FALSE)</f>
        <v>Product_206</v>
      </c>
      <c r="E110" t="str">
        <f>VLOOKUP(B110,Products!$A:$E,3,FALSE)</f>
        <v>Accessories</v>
      </c>
    </row>
    <row r="111" spans="1:5" x14ac:dyDescent="0.3">
      <c r="A111" t="s">
        <v>1121</v>
      </c>
      <c r="B111" t="s">
        <v>154</v>
      </c>
      <c r="C111">
        <v>99</v>
      </c>
      <c r="D111" t="str">
        <f>VLOOKUP(B111,Products!$A:$E,2,FALSE)</f>
        <v>Product_73</v>
      </c>
      <c r="E111" t="str">
        <f>VLOOKUP(B111,Products!$A:$E,3,FALSE)</f>
        <v>Office Supplies</v>
      </c>
    </row>
    <row r="112" spans="1:5" x14ac:dyDescent="0.3">
      <c r="A112" t="s">
        <v>1122</v>
      </c>
      <c r="B112" t="s">
        <v>658</v>
      </c>
      <c r="C112">
        <v>8</v>
      </c>
      <c r="D112" t="str">
        <f>VLOOKUP(B112,Products!$A:$E,2,FALSE)</f>
        <v>Product_325</v>
      </c>
      <c r="E112" t="str">
        <f>VLOOKUP(B112,Products!$A:$E,3,FALSE)</f>
        <v>Networking</v>
      </c>
    </row>
    <row r="113" spans="1:5" x14ac:dyDescent="0.3">
      <c r="A113" t="s">
        <v>1123</v>
      </c>
      <c r="B113" t="s">
        <v>102</v>
      </c>
      <c r="C113">
        <v>100</v>
      </c>
      <c r="D113" t="str">
        <f>VLOOKUP(B113,Products!$A:$E,2,FALSE)</f>
        <v>Product_47</v>
      </c>
      <c r="E113" t="str">
        <f>VLOOKUP(B113,Products!$A:$E,3,FALSE)</f>
        <v>Electronics</v>
      </c>
    </row>
    <row r="114" spans="1:5" x14ac:dyDescent="0.3">
      <c r="A114" t="s">
        <v>1124</v>
      </c>
      <c r="B114" t="s">
        <v>552</v>
      </c>
      <c r="C114">
        <v>32</v>
      </c>
      <c r="D114" t="str">
        <f>VLOOKUP(B114,Products!$A:$E,2,FALSE)</f>
        <v>Product_272</v>
      </c>
      <c r="E114" t="str">
        <f>VLOOKUP(B114,Products!$A:$E,3,FALSE)</f>
        <v>Office Supplies</v>
      </c>
    </row>
    <row r="115" spans="1:5" x14ac:dyDescent="0.3">
      <c r="A115" t="s">
        <v>1125</v>
      </c>
      <c r="B115" t="s">
        <v>394</v>
      </c>
      <c r="C115">
        <v>58</v>
      </c>
      <c r="D115" t="str">
        <f>VLOOKUP(B115,Products!$A:$E,2,FALSE)</f>
        <v>Product_193</v>
      </c>
      <c r="E115" t="str">
        <f>VLOOKUP(B115,Products!$A:$E,3,FALSE)</f>
        <v>Accessories</v>
      </c>
    </row>
    <row r="116" spans="1:5" x14ac:dyDescent="0.3">
      <c r="A116" t="s">
        <v>1126</v>
      </c>
      <c r="B116" t="s">
        <v>474</v>
      </c>
      <c r="C116">
        <v>48</v>
      </c>
      <c r="D116" t="str">
        <f>VLOOKUP(B116,Products!$A:$E,2,FALSE)</f>
        <v>Product_233</v>
      </c>
      <c r="E116" t="str">
        <f>VLOOKUP(B116,Products!$A:$E,3,FALSE)</f>
        <v>Accessories</v>
      </c>
    </row>
    <row r="117" spans="1:5" x14ac:dyDescent="0.3">
      <c r="A117" t="s">
        <v>1127</v>
      </c>
      <c r="B117" t="s">
        <v>170</v>
      </c>
      <c r="C117">
        <v>52</v>
      </c>
      <c r="D117" t="str">
        <f>VLOOKUP(B117,Products!$A:$E,2,FALSE)</f>
        <v>Product_81</v>
      </c>
      <c r="E117" t="str">
        <f>VLOOKUP(B117,Products!$A:$E,3,FALSE)</f>
        <v>Office Supplies</v>
      </c>
    </row>
    <row r="118" spans="1:5" x14ac:dyDescent="0.3">
      <c r="A118" t="s">
        <v>1128</v>
      </c>
      <c r="B118" t="s">
        <v>328</v>
      </c>
      <c r="C118">
        <v>97</v>
      </c>
      <c r="D118" t="str">
        <f>VLOOKUP(B118,Products!$A:$E,2,FALSE)</f>
        <v>Product_160</v>
      </c>
      <c r="E118" t="str">
        <f>VLOOKUP(B118,Products!$A:$E,3,FALSE)</f>
        <v>Office Supplies</v>
      </c>
    </row>
    <row r="119" spans="1:5" x14ac:dyDescent="0.3">
      <c r="A119" t="s">
        <v>1129</v>
      </c>
      <c r="B119" t="s">
        <v>342</v>
      </c>
      <c r="C119">
        <v>77</v>
      </c>
      <c r="D119" t="str">
        <f>VLOOKUP(B119,Products!$A:$E,2,FALSE)</f>
        <v>Product_167</v>
      </c>
      <c r="E119" t="str">
        <f>VLOOKUP(B119,Products!$A:$E,3,FALSE)</f>
        <v>Electronics</v>
      </c>
    </row>
    <row r="120" spans="1:5" x14ac:dyDescent="0.3">
      <c r="A120" t="s">
        <v>1130</v>
      </c>
      <c r="B120" t="s">
        <v>620</v>
      </c>
      <c r="C120">
        <v>15</v>
      </c>
      <c r="D120" t="str">
        <f>VLOOKUP(B120,Products!$A:$E,2,FALSE)</f>
        <v>Product_306</v>
      </c>
      <c r="E120" t="str">
        <f>VLOOKUP(B120,Products!$A:$E,3,FALSE)</f>
        <v>Accessories</v>
      </c>
    </row>
    <row r="121" spans="1:5" x14ac:dyDescent="0.3">
      <c r="A121" t="s">
        <v>1131</v>
      </c>
      <c r="B121" t="s">
        <v>914</v>
      </c>
      <c r="C121">
        <v>11</v>
      </c>
      <c r="D121" t="str">
        <f>VLOOKUP(B121,Products!$A:$E,2,FALSE)</f>
        <v>Product_453</v>
      </c>
      <c r="E121" t="str">
        <f>VLOOKUP(B121,Products!$A:$E,3,FALSE)</f>
        <v>Office Supplies</v>
      </c>
    </row>
    <row r="122" spans="1:5" x14ac:dyDescent="0.3">
      <c r="A122" t="s">
        <v>1132</v>
      </c>
      <c r="B122" t="s">
        <v>168</v>
      </c>
      <c r="C122">
        <v>25</v>
      </c>
      <c r="D122" t="str">
        <f>VLOOKUP(B122,Products!$A:$E,2,FALSE)</f>
        <v>Product_80</v>
      </c>
      <c r="E122" t="str">
        <f>VLOOKUP(B122,Products!$A:$E,3,FALSE)</f>
        <v>Accessories</v>
      </c>
    </row>
    <row r="123" spans="1:5" x14ac:dyDescent="0.3">
      <c r="A123" t="s">
        <v>1133</v>
      </c>
      <c r="B123" t="s">
        <v>782</v>
      </c>
      <c r="C123">
        <v>84</v>
      </c>
      <c r="D123" t="str">
        <f>VLOOKUP(B123,Products!$A:$E,2,FALSE)</f>
        <v>Product_387</v>
      </c>
      <c r="E123" t="str">
        <f>VLOOKUP(B123,Products!$A:$E,3,FALSE)</f>
        <v>Storage</v>
      </c>
    </row>
    <row r="124" spans="1:5" x14ac:dyDescent="0.3">
      <c r="A124" t="s">
        <v>1134</v>
      </c>
      <c r="B124" t="s">
        <v>60</v>
      </c>
      <c r="C124">
        <v>91</v>
      </c>
      <c r="D124" t="str">
        <f>VLOOKUP(B124,Products!$A:$E,2,FALSE)</f>
        <v>Product_26</v>
      </c>
      <c r="E124" t="str">
        <f>VLOOKUP(B124,Products!$A:$E,3,FALSE)</f>
        <v>Office Supplies</v>
      </c>
    </row>
    <row r="125" spans="1:5" x14ac:dyDescent="0.3">
      <c r="A125" t="s">
        <v>1135</v>
      </c>
      <c r="B125" t="s">
        <v>92</v>
      </c>
      <c r="C125">
        <v>39</v>
      </c>
      <c r="D125" t="str">
        <f>VLOOKUP(B125,Products!$A:$E,2,FALSE)</f>
        <v>Product_42</v>
      </c>
      <c r="E125" t="str">
        <f>VLOOKUP(B125,Products!$A:$E,3,FALSE)</f>
        <v>Storage</v>
      </c>
    </row>
    <row r="126" spans="1:5" x14ac:dyDescent="0.3">
      <c r="A126" t="s">
        <v>1136</v>
      </c>
      <c r="B126" t="s">
        <v>462</v>
      </c>
      <c r="C126">
        <v>89</v>
      </c>
      <c r="D126" t="str">
        <f>VLOOKUP(B126,Products!$A:$E,2,FALSE)</f>
        <v>Product_227</v>
      </c>
      <c r="E126" t="str">
        <f>VLOOKUP(B126,Products!$A:$E,3,FALSE)</f>
        <v>Accessories</v>
      </c>
    </row>
    <row r="127" spans="1:5" x14ac:dyDescent="0.3">
      <c r="A127" t="s">
        <v>1137</v>
      </c>
      <c r="B127" t="s">
        <v>444</v>
      </c>
      <c r="C127">
        <v>67</v>
      </c>
      <c r="D127" t="str">
        <f>VLOOKUP(B127,Products!$A:$E,2,FALSE)</f>
        <v>Product_218</v>
      </c>
      <c r="E127" t="str">
        <f>VLOOKUP(B127,Products!$A:$E,3,FALSE)</f>
        <v>Accessories</v>
      </c>
    </row>
    <row r="128" spans="1:5" x14ac:dyDescent="0.3">
      <c r="A128" t="s">
        <v>1138</v>
      </c>
      <c r="B128" t="s">
        <v>630</v>
      </c>
      <c r="C128">
        <v>61</v>
      </c>
      <c r="D128" t="str">
        <f>VLOOKUP(B128,Products!$A:$E,2,FALSE)</f>
        <v>Product_311</v>
      </c>
      <c r="E128" t="str">
        <f>VLOOKUP(B128,Products!$A:$E,3,FALSE)</f>
        <v>Networking</v>
      </c>
    </row>
    <row r="129" spans="1:5" x14ac:dyDescent="0.3">
      <c r="A129" t="s">
        <v>1139</v>
      </c>
      <c r="B129" t="s">
        <v>434</v>
      </c>
      <c r="C129">
        <v>39</v>
      </c>
      <c r="D129" t="str">
        <f>VLOOKUP(B129,Products!$A:$E,2,FALSE)</f>
        <v>Product_213</v>
      </c>
      <c r="E129" t="str">
        <f>VLOOKUP(B129,Products!$A:$E,3,FALSE)</f>
        <v>Accessories</v>
      </c>
    </row>
    <row r="130" spans="1:5" x14ac:dyDescent="0.3">
      <c r="A130" t="s">
        <v>1140</v>
      </c>
      <c r="B130" t="s">
        <v>230</v>
      </c>
      <c r="C130">
        <v>70</v>
      </c>
      <c r="D130" t="str">
        <f>VLOOKUP(B130,Products!$A:$E,2,FALSE)</f>
        <v>Product_111</v>
      </c>
      <c r="E130" t="str">
        <f>VLOOKUP(B130,Products!$A:$E,3,FALSE)</f>
        <v>Office Supplies</v>
      </c>
    </row>
    <row r="131" spans="1:5" x14ac:dyDescent="0.3">
      <c r="A131" t="s">
        <v>1141</v>
      </c>
      <c r="B131" t="s">
        <v>126</v>
      </c>
      <c r="C131">
        <v>49</v>
      </c>
      <c r="D131" t="str">
        <f>VLOOKUP(B131,Products!$A:$E,2,FALSE)</f>
        <v>Product_59</v>
      </c>
      <c r="E131" t="str">
        <f>VLOOKUP(B131,Products!$A:$E,3,FALSE)</f>
        <v>Accessories</v>
      </c>
    </row>
    <row r="132" spans="1:5" x14ac:dyDescent="0.3">
      <c r="A132" t="s">
        <v>1142</v>
      </c>
      <c r="B132" t="s">
        <v>450</v>
      </c>
      <c r="C132">
        <v>19</v>
      </c>
      <c r="D132" t="str">
        <f>VLOOKUP(B132,Products!$A:$E,2,FALSE)</f>
        <v>Product_221</v>
      </c>
      <c r="E132" t="str">
        <f>VLOOKUP(B132,Products!$A:$E,3,FALSE)</f>
        <v>Office Supplies</v>
      </c>
    </row>
    <row r="133" spans="1:5" x14ac:dyDescent="0.3">
      <c r="A133" t="s">
        <v>1143</v>
      </c>
      <c r="B133" t="s">
        <v>300</v>
      </c>
      <c r="C133">
        <v>91</v>
      </c>
      <c r="D133" t="str">
        <f>VLOOKUP(B133,Products!$A:$E,2,FALSE)</f>
        <v>Product_146</v>
      </c>
      <c r="E133" t="str">
        <f>VLOOKUP(B133,Products!$A:$E,3,FALSE)</f>
        <v>Office Supplies</v>
      </c>
    </row>
    <row r="134" spans="1:5" x14ac:dyDescent="0.3">
      <c r="A134" t="s">
        <v>1144</v>
      </c>
      <c r="B134" t="s">
        <v>704</v>
      </c>
      <c r="C134">
        <v>80</v>
      </c>
      <c r="D134" t="str">
        <f>VLOOKUP(B134,Products!$A:$E,2,FALSE)</f>
        <v>Product_348</v>
      </c>
      <c r="E134" t="str">
        <f>VLOOKUP(B134,Products!$A:$E,3,FALSE)</f>
        <v>Electronics</v>
      </c>
    </row>
    <row r="135" spans="1:5" x14ac:dyDescent="0.3">
      <c r="A135" t="s">
        <v>1145</v>
      </c>
      <c r="B135" t="s">
        <v>508</v>
      </c>
      <c r="C135">
        <v>72</v>
      </c>
      <c r="D135" t="str">
        <f>VLOOKUP(B135,Products!$A:$E,2,FALSE)</f>
        <v>Product_250</v>
      </c>
      <c r="E135" t="str">
        <f>VLOOKUP(B135,Products!$A:$E,3,FALSE)</f>
        <v>Networking</v>
      </c>
    </row>
    <row r="136" spans="1:5" x14ac:dyDescent="0.3">
      <c r="A136" t="s">
        <v>1146</v>
      </c>
      <c r="B136" t="s">
        <v>692</v>
      </c>
      <c r="C136">
        <v>44</v>
      </c>
      <c r="D136" t="str">
        <f>VLOOKUP(B136,Products!$A:$E,2,FALSE)</f>
        <v>Product_342</v>
      </c>
      <c r="E136" t="str">
        <f>VLOOKUP(B136,Products!$A:$E,3,FALSE)</f>
        <v>Accessories</v>
      </c>
    </row>
    <row r="137" spans="1:5" x14ac:dyDescent="0.3">
      <c r="A137" t="s">
        <v>1147</v>
      </c>
      <c r="B137" t="s">
        <v>56</v>
      </c>
      <c r="C137">
        <v>33</v>
      </c>
      <c r="D137" t="str">
        <f>VLOOKUP(B137,Products!$A:$E,2,FALSE)</f>
        <v>Product_24</v>
      </c>
      <c r="E137" t="str">
        <f>VLOOKUP(B137,Products!$A:$E,3,FALSE)</f>
        <v>Accessories</v>
      </c>
    </row>
    <row r="138" spans="1:5" x14ac:dyDescent="0.3">
      <c r="A138" t="s">
        <v>1148</v>
      </c>
      <c r="B138" t="s">
        <v>414</v>
      </c>
      <c r="C138">
        <v>81</v>
      </c>
      <c r="D138" t="str">
        <f>VLOOKUP(B138,Products!$A:$E,2,FALSE)</f>
        <v>Product_203</v>
      </c>
      <c r="E138" t="str">
        <f>VLOOKUP(B138,Products!$A:$E,3,FALSE)</f>
        <v>Accessories</v>
      </c>
    </row>
    <row r="139" spans="1:5" x14ac:dyDescent="0.3">
      <c r="A139" t="s">
        <v>1149</v>
      </c>
      <c r="B139" t="s">
        <v>66</v>
      </c>
      <c r="C139">
        <v>5</v>
      </c>
      <c r="D139" t="str">
        <f>VLOOKUP(B139,Products!$A:$E,2,FALSE)</f>
        <v>Product_29</v>
      </c>
      <c r="E139" t="str">
        <f>VLOOKUP(B139,Products!$A:$E,3,FALSE)</f>
        <v>Electronics</v>
      </c>
    </row>
    <row r="140" spans="1:5" x14ac:dyDescent="0.3">
      <c r="A140" t="s">
        <v>1150</v>
      </c>
      <c r="B140" t="s">
        <v>218</v>
      </c>
      <c r="C140">
        <v>43</v>
      </c>
      <c r="D140" t="str">
        <f>VLOOKUP(B140,Products!$A:$E,2,FALSE)</f>
        <v>Product_105</v>
      </c>
      <c r="E140" t="str">
        <f>VLOOKUP(B140,Products!$A:$E,3,FALSE)</f>
        <v>Networking</v>
      </c>
    </row>
    <row r="141" spans="1:5" x14ac:dyDescent="0.3">
      <c r="A141" t="s">
        <v>1151</v>
      </c>
      <c r="B141" t="s">
        <v>978</v>
      </c>
      <c r="C141">
        <v>32</v>
      </c>
      <c r="D141" t="str">
        <f>VLOOKUP(B141,Products!$A:$E,2,FALSE)</f>
        <v>Product_485</v>
      </c>
      <c r="E141" t="str">
        <f>VLOOKUP(B141,Products!$A:$E,3,FALSE)</f>
        <v>Networking</v>
      </c>
    </row>
    <row r="142" spans="1:5" x14ac:dyDescent="0.3">
      <c r="A142" t="s">
        <v>1152</v>
      </c>
      <c r="B142" t="s">
        <v>794</v>
      </c>
      <c r="C142">
        <v>22</v>
      </c>
      <c r="D142" t="str">
        <f>VLOOKUP(B142,Products!$A:$E,2,FALSE)</f>
        <v>Product_393</v>
      </c>
      <c r="E142" t="str">
        <f>VLOOKUP(B142,Products!$A:$E,3,FALSE)</f>
        <v>Electronics</v>
      </c>
    </row>
    <row r="143" spans="1:5" x14ac:dyDescent="0.3">
      <c r="A143" t="s">
        <v>1153</v>
      </c>
      <c r="B143" t="s">
        <v>792</v>
      </c>
      <c r="C143">
        <v>37</v>
      </c>
      <c r="D143" t="str">
        <f>VLOOKUP(B143,Products!$A:$E,2,FALSE)</f>
        <v>Product_392</v>
      </c>
      <c r="E143" t="str">
        <f>VLOOKUP(B143,Products!$A:$E,3,FALSE)</f>
        <v>Electronics</v>
      </c>
    </row>
    <row r="144" spans="1:5" x14ac:dyDescent="0.3">
      <c r="A144" t="s">
        <v>1154</v>
      </c>
      <c r="B144" t="s">
        <v>306</v>
      </c>
      <c r="C144">
        <v>46</v>
      </c>
      <c r="D144" t="str">
        <f>VLOOKUP(B144,Products!$A:$E,2,FALSE)</f>
        <v>Product_149</v>
      </c>
      <c r="E144" t="str">
        <f>VLOOKUP(B144,Products!$A:$E,3,FALSE)</f>
        <v>Accessories</v>
      </c>
    </row>
    <row r="145" spans="1:5" x14ac:dyDescent="0.3">
      <c r="A145" t="s">
        <v>1155</v>
      </c>
      <c r="B145" t="s">
        <v>132</v>
      </c>
      <c r="C145">
        <v>5</v>
      </c>
      <c r="D145" t="str">
        <f>VLOOKUP(B145,Products!$A:$E,2,FALSE)</f>
        <v>Product_62</v>
      </c>
      <c r="E145" t="str">
        <f>VLOOKUP(B145,Products!$A:$E,3,FALSE)</f>
        <v>Accessories</v>
      </c>
    </row>
    <row r="146" spans="1:5" x14ac:dyDescent="0.3">
      <c r="A146" t="s">
        <v>1156</v>
      </c>
      <c r="B146" t="s">
        <v>518</v>
      </c>
      <c r="C146">
        <v>100</v>
      </c>
      <c r="D146" t="str">
        <f>VLOOKUP(B146,Products!$A:$E,2,FALSE)</f>
        <v>Product_255</v>
      </c>
      <c r="E146" t="str">
        <f>VLOOKUP(B146,Products!$A:$E,3,FALSE)</f>
        <v>Accessories</v>
      </c>
    </row>
    <row r="147" spans="1:5" x14ac:dyDescent="0.3">
      <c r="A147" t="s">
        <v>1157</v>
      </c>
      <c r="B147" t="s">
        <v>450</v>
      </c>
      <c r="C147">
        <v>27</v>
      </c>
      <c r="D147" t="str">
        <f>VLOOKUP(B147,Products!$A:$E,2,FALSE)</f>
        <v>Product_221</v>
      </c>
      <c r="E147" t="str">
        <f>VLOOKUP(B147,Products!$A:$E,3,FALSE)</f>
        <v>Office Supplies</v>
      </c>
    </row>
    <row r="148" spans="1:5" x14ac:dyDescent="0.3">
      <c r="A148" t="s">
        <v>1158</v>
      </c>
      <c r="B148" t="s">
        <v>142</v>
      </c>
      <c r="C148">
        <v>53</v>
      </c>
      <c r="D148" t="str">
        <f>VLOOKUP(B148,Products!$A:$E,2,FALSE)</f>
        <v>Product_67</v>
      </c>
      <c r="E148" t="str">
        <f>VLOOKUP(B148,Products!$A:$E,3,FALSE)</f>
        <v>Office Supplies</v>
      </c>
    </row>
    <row r="149" spans="1:5" x14ac:dyDescent="0.3">
      <c r="A149" t="s">
        <v>1159</v>
      </c>
      <c r="B149" t="s">
        <v>554</v>
      </c>
      <c r="C149">
        <v>95</v>
      </c>
      <c r="D149" t="str">
        <f>VLOOKUP(B149,Products!$A:$E,2,FALSE)</f>
        <v>Product_273</v>
      </c>
      <c r="E149" t="str">
        <f>VLOOKUP(B149,Products!$A:$E,3,FALSE)</f>
        <v>Networking</v>
      </c>
    </row>
    <row r="150" spans="1:5" x14ac:dyDescent="0.3">
      <c r="A150" t="s">
        <v>1160</v>
      </c>
      <c r="B150" t="s">
        <v>244</v>
      </c>
      <c r="C150">
        <v>69</v>
      </c>
      <c r="D150" t="str">
        <f>VLOOKUP(B150,Products!$A:$E,2,FALSE)</f>
        <v>Product_118</v>
      </c>
      <c r="E150" t="str">
        <f>VLOOKUP(B150,Products!$A:$E,3,FALSE)</f>
        <v>Accessories</v>
      </c>
    </row>
    <row r="151" spans="1:5" x14ac:dyDescent="0.3">
      <c r="A151" t="s">
        <v>1161</v>
      </c>
      <c r="B151" t="s">
        <v>582</v>
      </c>
      <c r="C151">
        <v>90</v>
      </c>
      <c r="D151" t="str">
        <f>VLOOKUP(B151,Products!$A:$E,2,FALSE)</f>
        <v>Product_287</v>
      </c>
      <c r="E151" t="str">
        <f>VLOOKUP(B151,Products!$A:$E,3,FALSE)</f>
        <v>Storage</v>
      </c>
    </row>
    <row r="152" spans="1:5" x14ac:dyDescent="0.3">
      <c r="A152" t="s">
        <v>1162</v>
      </c>
      <c r="B152" t="s">
        <v>834</v>
      </c>
      <c r="C152">
        <v>50</v>
      </c>
      <c r="D152" t="str">
        <f>VLOOKUP(B152,Products!$A:$E,2,FALSE)</f>
        <v>Product_413</v>
      </c>
      <c r="E152" t="str">
        <f>VLOOKUP(B152,Products!$A:$E,3,FALSE)</f>
        <v>Accessories</v>
      </c>
    </row>
    <row r="153" spans="1:5" x14ac:dyDescent="0.3">
      <c r="A153" t="s">
        <v>1163</v>
      </c>
      <c r="B153" t="s">
        <v>82</v>
      </c>
      <c r="C153">
        <v>55</v>
      </c>
      <c r="D153" t="str">
        <f>VLOOKUP(B153,Products!$A:$E,2,FALSE)</f>
        <v>Product_37</v>
      </c>
      <c r="E153" t="str">
        <f>VLOOKUP(B153,Products!$A:$E,3,FALSE)</f>
        <v>Storage</v>
      </c>
    </row>
    <row r="154" spans="1:5" x14ac:dyDescent="0.3">
      <c r="A154" t="s">
        <v>1164</v>
      </c>
      <c r="B154" t="s">
        <v>892</v>
      </c>
      <c r="C154">
        <v>99</v>
      </c>
      <c r="D154" t="str">
        <f>VLOOKUP(B154,Products!$A:$E,2,FALSE)</f>
        <v>Product_442</v>
      </c>
      <c r="E154" t="str">
        <f>VLOOKUP(B154,Products!$A:$E,3,FALSE)</f>
        <v>Networking</v>
      </c>
    </row>
    <row r="155" spans="1:5" x14ac:dyDescent="0.3">
      <c r="A155" t="s">
        <v>1165</v>
      </c>
      <c r="B155" t="s">
        <v>52</v>
      </c>
      <c r="C155">
        <v>60</v>
      </c>
      <c r="D155" t="str">
        <f>VLOOKUP(B155,Products!$A:$E,2,FALSE)</f>
        <v>Product_22</v>
      </c>
      <c r="E155" t="str">
        <f>VLOOKUP(B155,Products!$A:$E,3,FALSE)</f>
        <v>Electronics</v>
      </c>
    </row>
    <row r="156" spans="1:5" x14ac:dyDescent="0.3">
      <c r="A156" t="s">
        <v>1166</v>
      </c>
      <c r="B156" t="s">
        <v>28</v>
      </c>
      <c r="C156">
        <v>63</v>
      </c>
      <c r="D156" t="str">
        <f>VLOOKUP(B156,Products!$A:$E,2,FALSE)</f>
        <v>Product_10</v>
      </c>
      <c r="E156" t="str">
        <f>VLOOKUP(B156,Products!$A:$E,3,FALSE)</f>
        <v>Networking</v>
      </c>
    </row>
    <row r="157" spans="1:5" x14ac:dyDescent="0.3">
      <c r="A157" t="s">
        <v>1167</v>
      </c>
      <c r="B157" t="s">
        <v>952</v>
      </c>
      <c r="C157">
        <v>14</v>
      </c>
      <c r="D157" t="str">
        <f>VLOOKUP(B157,Products!$A:$E,2,FALSE)</f>
        <v>Product_472</v>
      </c>
      <c r="E157" t="str">
        <f>VLOOKUP(B157,Products!$A:$E,3,FALSE)</f>
        <v>Electronics</v>
      </c>
    </row>
    <row r="158" spans="1:5" x14ac:dyDescent="0.3">
      <c r="A158" t="s">
        <v>1168</v>
      </c>
      <c r="B158" t="s">
        <v>892</v>
      </c>
      <c r="C158">
        <v>45</v>
      </c>
      <c r="D158" t="str">
        <f>VLOOKUP(B158,Products!$A:$E,2,FALSE)</f>
        <v>Product_442</v>
      </c>
      <c r="E158" t="str">
        <f>VLOOKUP(B158,Products!$A:$E,3,FALSE)</f>
        <v>Networking</v>
      </c>
    </row>
    <row r="159" spans="1:5" x14ac:dyDescent="0.3">
      <c r="A159" t="s">
        <v>1169</v>
      </c>
      <c r="B159" t="s">
        <v>598</v>
      </c>
      <c r="C159">
        <v>59</v>
      </c>
      <c r="D159" t="str">
        <f>VLOOKUP(B159,Products!$A:$E,2,FALSE)</f>
        <v>Product_295</v>
      </c>
      <c r="E159" t="str">
        <f>VLOOKUP(B159,Products!$A:$E,3,FALSE)</f>
        <v>Networking</v>
      </c>
    </row>
    <row r="160" spans="1:5" x14ac:dyDescent="0.3">
      <c r="A160" t="s">
        <v>1170</v>
      </c>
      <c r="B160" t="s">
        <v>596</v>
      </c>
      <c r="C160">
        <v>56</v>
      </c>
      <c r="D160" t="str">
        <f>VLOOKUP(B160,Products!$A:$E,2,FALSE)</f>
        <v>Product_294</v>
      </c>
      <c r="E160" t="str">
        <f>VLOOKUP(B160,Products!$A:$E,3,FALSE)</f>
        <v>Networking</v>
      </c>
    </row>
    <row r="161" spans="1:5" x14ac:dyDescent="0.3">
      <c r="A161" t="s">
        <v>1171</v>
      </c>
      <c r="B161" t="s">
        <v>736</v>
      </c>
      <c r="C161">
        <v>86</v>
      </c>
      <c r="D161" t="str">
        <f>VLOOKUP(B161,Products!$A:$E,2,FALSE)</f>
        <v>Product_364</v>
      </c>
      <c r="E161" t="str">
        <f>VLOOKUP(B161,Products!$A:$E,3,FALSE)</f>
        <v>Networking</v>
      </c>
    </row>
    <row r="162" spans="1:5" x14ac:dyDescent="0.3">
      <c r="A162" t="s">
        <v>1172</v>
      </c>
      <c r="B162" t="s">
        <v>436</v>
      </c>
      <c r="C162">
        <v>42</v>
      </c>
      <c r="D162" t="str">
        <f>VLOOKUP(B162,Products!$A:$E,2,FALSE)</f>
        <v>Product_214</v>
      </c>
      <c r="E162" t="str">
        <f>VLOOKUP(B162,Products!$A:$E,3,FALSE)</f>
        <v>Electronics</v>
      </c>
    </row>
    <row r="163" spans="1:5" x14ac:dyDescent="0.3">
      <c r="A163" t="s">
        <v>1173</v>
      </c>
      <c r="B163" t="s">
        <v>126</v>
      </c>
      <c r="C163">
        <v>56</v>
      </c>
      <c r="D163" t="str">
        <f>VLOOKUP(B163,Products!$A:$E,2,FALSE)</f>
        <v>Product_59</v>
      </c>
      <c r="E163" t="str">
        <f>VLOOKUP(B163,Products!$A:$E,3,FALSE)</f>
        <v>Accessories</v>
      </c>
    </row>
    <row r="164" spans="1:5" x14ac:dyDescent="0.3">
      <c r="A164" t="s">
        <v>1174</v>
      </c>
      <c r="B164" t="s">
        <v>30</v>
      </c>
      <c r="C164">
        <v>46</v>
      </c>
      <c r="D164" t="str">
        <f>VLOOKUP(B164,Products!$A:$E,2,FALSE)</f>
        <v>Product_11</v>
      </c>
      <c r="E164" t="str">
        <f>VLOOKUP(B164,Products!$A:$E,3,FALSE)</f>
        <v>Electronics</v>
      </c>
    </row>
    <row r="165" spans="1:5" x14ac:dyDescent="0.3">
      <c r="A165" t="s">
        <v>1175</v>
      </c>
      <c r="B165" t="s">
        <v>184</v>
      </c>
      <c r="C165">
        <v>84</v>
      </c>
      <c r="D165" t="str">
        <f>VLOOKUP(B165,Products!$A:$E,2,FALSE)</f>
        <v>Product_88</v>
      </c>
      <c r="E165" t="str">
        <f>VLOOKUP(B165,Products!$A:$E,3,FALSE)</f>
        <v>Accessories</v>
      </c>
    </row>
    <row r="166" spans="1:5" x14ac:dyDescent="0.3">
      <c r="A166" t="s">
        <v>1176</v>
      </c>
      <c r="B166" t="s">
        <v>480</v>
      </c>
      <c r="C166">
        <v>93</v>
      </c>
      <c r="D166" t="str">
        <f>VLOOKUP(B166,Products!$A:$E,2,FALSE)</f>
        <v>Product_236</v>
      </c>
      <c r="E166" t="str">
        <f>VLOOKUP(B166,Products!$A:$E,3,FALSE)</f>
        <v>Networking</v>
      </c>
    </row>
    <row r="167" spans="1:5" x14ac:dyDescent="0.3">
      <c r="A167" t="s">
        <v>1177</v>
      </c>
      <c r="B167" t="s">
        <v>950</v>
      </c>
      <c r="C167">
        <v>51</v>
      </c>
      <c r="D167" t="str">
        <f>VLOOKUP(B167,Products!$A:$E,2,FALSE)</f>
        <v>Product_471</v>
      </c>
      <c r="E167" t="str">
        <f>VLOOKUP(B167,Products!$A:$E,3,FALSE)</f>
        <v>Office Supplies</v>
      </c>
    </row>
    <row r="168" spans="1:5" x14ac:dyDescent="0.3">
      <c r="A168" t="s">
        <v>1178</v>
      </c>
      <c r="B168" t="s">
        <v>100</v>
      </c>
      <c r="C168">
        <v>60</v>
      </c>
      <c r="D168" t="str">
        <f>VLOOKUP(B168,Products!$A:$E,2,FALSE)</f>
        <v>Product_46</v>
      </c>
      <c r="E168" t="str">
        <f>VLOOKUP(B168,Products!$A:$E,3,FALSE)</f>
        <v>Networking</v>
      </c>
    </row>
    <row r="169" spans="1:5" x14ac:dyDescent="0.3">
      <c r="A169" t="s">
        <v>1179</v>
      </c>
      <c r="B169" t="s">
        <v>874</v>
      </c>
      <c r="C169">
        <v>18</v>
      </c>
      <c r="D169" t="str">
        <f>VLOOKUP(B169,Products!$A:$E,2,FALSE)</f>
        <v>Product_433</v>
      </c>
      <c r="E169" t="str">
        <f>VLOOKUP(B169,Products!$A:$E,3,FALSE)</f>
        <v>Office Supplies</v>
      </c>
    </row>
    <row r="170" spans="1:5" x14ac:dyDescent="0.3">
      <c r="A170" t="s">
        <v>1180</v>
      </c>
      <c r="B170" t="s">
        <v>258</v>
      </c>
      <c r="C170">
        <v>60</v>
      </c>
      <c r="D170" t="str">
        <f>VLOOKUP(B170,Products!$A:$E,2,FALSE)</f>
        <v>Product_125</v>
      </c>
      <c r="E170" t="str">
        <f>VLOOKUP(B170,Products!$A:$E,3,FALSE)</f>
        <v>Office Supplies</v>
      </c>
    </row>
    <row r="171" spans="1:5" x14ac:dyDescent="0.3">
      <c r="A171" t="s">
        <v>1181</v>
      </c>
      <c r="B171" t="s">
        <v>612</v>
      </c>
      <c r="C171">
        <v>56</v>
      </c>
      <c r="D171" t="str">
        <f>VLOOKUP(B171,Products!$A:$E,2,FALSE)</f>
        <v>Product_302</v>
      </c>
      <c r="E171" t="str">
        <f>VLOOKUP(B171,Products!$A:$E,3,FALSE)</f>
        <v>Accessories</v>
      </c>
    </row>
    <row r="172" spans="1:5" x14ac:dyDescent="0.3">
      <c r="A172" t="s">
        <v>1182</v>
      </c>
      <c r="B172" t="s">
        <v>546</v>
      </c>
      <c r="C172">
        <v>15</v>
      </c>
      <c r="D172" t="str">
        <f>VLOOKUP(B172,Products!$A:$E,2,FALSE)</f>
        <v>Product_269</v>
      </c>
      <c r="E172" t="str">
        <f>VLOOKUP(B172,Products!$A:$E,3,FALSE)</f>
        <v>Storage</v>
      </c>
    </row>
    <row r="173" spans="1:5" x14ac:dyDescent="0.3">
      <c r="A173" t="s">
        <v>1183</v>
      </c>
      <c r="B173" t="s">
        <v>414</v>
      </c>
      <c r="C173">
        <v>44</v>
      </c>
      <c r="D173" t="str">
        <f>VLOOKUP(B173,Products!$A:$E,2,FALSE)</f>
        <v>Product_203</v>
      </c>
      <c r="E173" t="str">
        <f>VLOOKUP(B173,Products!$A:$E,3,FALSE)</f>
        <v>Accessories</v>
      </c>
    </row>
    <row r="174" spans="1:5" x14ac:dyDescent="0.3">
      <c r="A174" t="s">
        <v>1184</v>
      </c>
      <c r="B174" t="s">
        <v>772</v>
      </c>
      <c r="C174">
        <v>48</v>
      </c>
      <c r="D174" t="str">
        <f>VLOOKUP(B174,Products!$A:$E,2,FALSE)</f>
        <v>Product_382</v>
      </c>
      <c r="E174" t="str">
        <f>VLOOKUP(B174,Products!$A:$E,3,FALSE)</f>
        <v>Storage</v>
      </c>
    </row>
    <row r="175" spans="1:5" x14ac:dyDescent="0.3">
      <c r="A175" t="s">
        <v>1185</v>
      </c>
      <c r="B175" t="s">
        <v>236</v>
      </c>
      <c r="C175">
        <v>47</v>
      </c>
      <c r="D175" t="str">
        <f>VLOOKUP(B175,Products!$A:$E,2,FALSE)</f>
        <v>Product_114</v>
      </c>
      <c r="E175" t="str">
        <f>VLOOKUP(B175,Products!$A:$E,3,FALSE)</f>
        <v>Electronics</v>
      </c>
    </row>
    <row r="176" spans="1:5" x14ac:dyDescent="0.3">
      <c r="A176" t="s">
        <v>1186</v>
      </c>
      <c r="B176" t="s">
        <v>806</v>
      </c>
      <c r="C176">
        <v>26</v>
      </c>
      <c r="D176" t="str">
        <f>VLOOKUP(B176,Products!$A:$E,2,FALSE)</f>
        <v>Product_399</v>
      </c>
      <c r="E176" t="str">
        <f>VLOOKUP(B176,Products!$A:$E,3,FALSE)</f>
        <v>Networking</v>
      </c>
    </row>
    <row r="177" spans="1:5" x14ac:dyDescent="0.3">
      <c r="A177" t="s">
        <v>1187</v>
      </c>
      <c r="B177" t="s">
        <v>88</v>
      </c>
      <c r="C177">
        <v>70</v>
      </c>
      <c r="D177" t="str">
        <f>VLOOKUP(B177,Products!$A:$E,2,FALSE)</f>
        <v>Product_40</v>
      </c>
      <c r="E177" t="str">
        <f>VLOOKUP(B177,Products!$A:$E,3,FALSE)</f>
        <v>Accessories</v>
      </c>
    </row>
    <row r="178" spans="1:5" x14ac:dyDescent="0.3">
      <c r="A178" t="s">
        <v>1188</v>
      </c>
      <c r="B178" t="s">
        <v>658</v>
      </c>
      <c r="C178">
        <v>19</v>
      </c>
      <c r="D178" t="str">
        <f>VLOOKUP(B178,Products!$A:$E,2,FALSE)</f>
        <v>Product_325</v>
      </c>
      <c r="E178" t="str">
        <f>VLOOKUP(B178,Products!$A:$E,3,FALSE)</f>
        <v>Networking</v>
      </c>
    </row>
    <row r="179" spans="1:5" x14ac:dyDescent="0.3">
      <c r="A179" t="s">
        <v>1189</v>
      </c>
      <c r="B179" t="s">
        <v>552</v>
      </c>
      <c r="C179">
        <v>70</v>
      </c>
      <c r="D179" t="str">
        <f>VLOOKUP(B179,Products!$A:$E,2,FALSE)</f>
        <v>Product_272</v>
      </c>
      <c r="E179" t="str">
        <f>VLOOKUP(B179,Products!$A:$E,3,FALSE)</f>
        <v>Office Supplies</v>
      </c>
    </row>
    <row r="180" spans="1:5" x14ac:dyDescent="0.3">
      <c r="A180" t="s">
        <v>1190</v>
      </c>
      <c r="B180" t="s">
        <v>208</v>
      </c>
      <c r="C180">
        <v>49</v>
      </c>
      <c r="D180" t="str">
        <f>VLOOKUP(B180,Products!$A:$E,2,FALSE)</f>
        <v>Product_100</v>
      </c>
      <c r="E180" t="str">
        <f>VLOOKUP(B180,Products!$A:$E,3,FALSE)</f>
        <v>Accessories</v>
      </c>
    </row>
    <row r="181" spans="1:5" x14ac:dyDescent="0.3">
      <c r="A181" t="s">
        <v>1191</v>
      </c>
      <c r="B181" t="s">
        <v>368</v>
      </c>
      <c r="C181">
        <v>98</v>
      </c>
      <c r="D181" t="str">
        <f>VLOOKUP(B181,Products!$A:$E,2,FALSE)</f>
        <v>Product_180</v>
      </c>
      <c r="E181" t="str">
        <f>VLOOKUP(B181,Products!$A:$E,3,FALSE)</f>
        <v>Office Supplies</v>
      </c>
    </row>
    <row r="182" spans="1:5" x14ac:dyDescent="0.3">
      <c r="A182" t="s">
        <v>1192</v>
      </c>
      <c r="B182" t="s">
        <v>990</v>
      </c>
      <c r="C182">
        <v>87</v>
      </c>
      <c r="D182" t="str">
        <f>VLOOKUP(B182,Products!$A:$E,2,FALSE)</f>
        <v>Product_491</v>
      </c>
      <c r="E182" t="str">
        <f>VLOOKUP(B182,Products!$A:$E,3,FALSE)</f>
        <v>Accessories</v>
      </c>
    </row>
    <row r="183" spans="1:5" x14ac:dyDescent="0.3">
      <c r="A183" t="s">
        <v>1193</v>
      </c>
      <c r="B183" t="s">
        <v>844</v>
      </c>
      <c r="C183">
        <v>23</v>
      </c>
      <c r="D183" t="str">
        <f>VLOOKUP(B183,Products!$A:$E,2,FALSE)</f>
        <v>Product_418</v>
      </c>
      <c r="E183" t="str">
        <f>VLOOKUP(B183,Products!$A:$E,3,FALSE)</f>
        <v>Office Supplies</v>
      </c>
    </row>
    <row r="184" spans="1:5" x14ac:dyDescent="0.3">
      <c r="A184" t="s">
        <v>1194</v>
      </c>
      <c r="B184" t="s">
        <v>250</v>
      </c>
      <c r="C184">
        <v>18</v>
      </c>
      <c r="D184" t="str">
        <f>VLOOKUP(B184,Products!$A:$E,2,FALSE)</f>
        <v>Product_121</v>
      </c>
      <c r="E184" t="str">
        <f>VLOOKUP(B184,Products!$A:$E,3,FALSE)</f>
        <v>Storage</v>
      </c>
    </row>
    <row r="185" spans="1:5" x14ac:dyDescent="0.3">
      <c r="A185" t="s">
        <v>1195</v>
      </c>
      <c r="B185" t="s">
        <v>158</v>
      </c>
      <c r="C185">
        <v>37</v>
      </c>
      <c r="D185" t="str">
        <f>VLOOKUP(B185,Products!$A:$E,2,FALSE)</f>
        <v>Product_75</v>
      </c>
      <c r="E185" t="str">
        <f>VLOOKUP(B185,Products!$A:$E,3,FALSE)</f>
        <v>Storage</v>
      </c>
    </row>
    <row r="186" spans="1:5" x14ac:dyDescent="0.3">
      <c r="A186" t="s">
        <v>1196</v>
      </c>
      <c r="B186" t="s">
        <v>212</v>
      </c>
      <c r="C186">
        <v>27</v>
      </c>
      <c r="D186" t="str">
        <f>VLOOKUP(B186,Products!$A:$E,2,FALSE)</f>
        <v>Product_102</v>
      </c>
      <c r="E186" t="str">
        <f>VLOOKUP(B186,Products!$A:$E,3,FALSE)</f>
        <v>Storage</v>
      </c>
    </row>
    <row r="187" spans="1:5" x14ac:dyDescent="0.3">
      <c r="A187" t="s">
        <v>1197</v>
      </c>
      <c r="B187" t="s">
        <v>626</v>
      </c>
      <c r="C187">
        <v>24</v>
      </c>
      <c r="D187" t="str">
        <f>VLOOKUP(B187,Products!$A:$E,2,FALSE)</f>
        <v>Product_309</v>
      </c>
      <c r="E187" t="str">
        <f>VLOOKUP(B187,Products!$A:$E,3,FALSE)</f>
        <v>Networking</v>
      </c>
    </row>
    <row r="188" spans="1:5" x14ac:dyDescent="0.3">
      <c r="A188" t="s">
        <v>1198</v>
      </c>
      <c r="B188" t="s">
        <v>788</v>
      </c>
      <c r="C188">
        <v>88</v>
      </c>
      <c r="D188" t="str">
        <f>VLOOKUP(B188,Products!$A:$E,2,FALSE)</f>
        <v>Product_390</v>
      </c>
      <c r="E188" t="str">
        <f>VLOOKUP(B188,Products!$A:$E,3,FALSE)</f>
        <v>Storage</v>
      </c>
    </row>
    <row r="189" spans="1:5" x14ac:dyDescent="0.3">
      <c r="A189" t="s">
        <v>1199</v>
      </c>
      <c r="B189" t="s">
        <v>86</v>
      </c>
      <c r="C189">
        <v>27</v>
      </c>
      <c r="D189" t="str">
        <f>VLOOKUP(B189,Products!$A:$E,2,FALSE)</f>
        <v>Product_39</v>
      </c>
      <c r="E189" t="str">
        <f>VLOOKUP(B189,Products!$A:$E,3,FALSE)</f>
        <v>Networking</v>
      </c>
    </row>
    <row r="190" spans="1:5" x14ac:dyDescent="0.3">
      <c r="A190" t="s">
        <v>1200</v>
      </c>
      <c r="B190" t="s">
        <v>984</v>
      </c>
      <c r="C190">
        <v>85</v>
      </c>
      <c r="D190" t="str">
        <f>VLOOKUP(B190,Products!$A:$E,2,FALSE)</f>
        <v>Product_488</v>
      </c>
      <c r="E190" t="str">
        <f>VLOOKUP(B190,Products!$A:$E,3,FALSE)</f>
        <v>Accessories</v>
      </c>
    </row>
    <row r="191" spans="1:5" x14ac:dyDescent="0.3">
      <c r="A191" t="s">
        <v>1201</v>
      </c>
      <c r="B191" t="s">
        <v>514</v>
      </c>
      <c r="C191">
        <v>64</v>
      </c>
      <c r="D191" t="str">
        <f>VLOOKUP(B191,Products!$A:$E,2,FALSE)</f>
        <v>Product_253</v>
      </c>
      <c r="E191" t="str">
        <f>VLOOKUP(B191,Products!$A:$E,3,FALSE)</f>
        <v>Networking</v>
      </c>
    </row>
    <row r="192" spans="1:5" x14ac:dyDescent="0.3">
      <c r="A192" t="s">
        <v>1202</v>
      </c>
      <c r="B192" t="s">
        <v>782</v>
      </c>
      <c r="C192">
        <v>77</v>
      </c>
      <c r="D192" t="str">
        <f>VLOOKUP(B192,Products!$A:$E,2,FALSE)</f>
        <v>Product_387</v>
      </c>
      <c r="E192" t="str">
        <f>VLOOKUP(B192,Products!$A:$E,3,FALSE)</f>
        <v>Storage</v>
      </c>
    </row>
    <row r="193" spans="1:5" x14ac:dyDescent="0.3">
      <c r="A193" t="s">
        <v>1203</v>
      </c>
      <c r="B193" t="s">
        <v>788</v>
      </c>
      <c r="C193">
        <v>79</v>
      </c>
      <c r="D193" t="str">
        <f>VLOOKUP(B193,Products!$A:$E,2,FALSE)</f>
        <v>Product_390</v>
      </c>
      <c r="E193" t="str">
        <f>VLOOKUP(B193,Products!$A:$E,3,FALSE)</f>
        <v>Storage</v>
      </c>
    </row>
    <row r="194" spans="1:5" x14ac:dyDescent="0.3">
      <c r="A194" t="s">
        <v>1204</v>
      </c>
      <c r="B194" t="s">
        <v>468</v>
      </c>
      <c r="C194">
        <v>92</v>
      </c>
      <c r="D194" t="str">
        <f>VLOOKUP(B194,Products!$A:$E,2,FALSE)</f>
        <v>Product_230</v>
      </c>
      <c r="E194" t="str">
        <f>VLOOKUP(B194,Products!$A:$E,3,FALSE)</f>
        <v>Electronics</v>
      </c>
    </row>
    <row r="195" spans="1:5" x14ac:dyDescent="0.3">
      <c r="A195" t="s">
        <v>1205</v>
      </c>
      <c r="B195" t="s">
        <v>956</v>
      </c>
      <c r="C195">
        <v>77</v>
      </c>
      <c r="D195" t="str">
        <f>VLOOKUP(B195,Products!$A:$E,2,FALSE)</f>
        <v>Product_474</v>
      </c>
      <c r="E195" t="str">
        <f>VLOOKUP(B195,Products!$A:$E,3,FALSE)</f>
        <v>Networking</v>
      </c>
    </row>
    <row r="196" spans="1:5" x14ac:dyDescent="0.3">
      <c r="A196" t="s">
        <v>1206</v>
      </c>
      <c r="B196" t="s">
        <v>668</v>
      </c>
      <c r="C196">
        <v>86</v>
      </c>
      <c r="D196" t="str">
        <f>VLOOKUP(B196,Products!$A:$E,2,FALSE)</f>
        <v>Product_330</v>
      </c>
      <c r="E196" t="str">
        <f>VLOOKUP(B196,Products!$A:$E,3,FALSE)</f>
        <v>Electronics</v>
      </c>
    </row>
    <row r="197" spans="1:5" x14ac:dyDescent="0.3">
      <c r="A197" t="s">
        <v>1207</v>
      </c>
      <c r="B197" t="s">
        <v>648</v>
      </c>
      <c r="C197">
        <v>46</v>
      </c>
      <c r="D197" t="str">
        <f>VLOOKUP(B197,Products!$A:$E,2,FALSE)</f>
        <v>Product_320</v>
      </c>
      <c r="E197" t="str">
        <f>VLOOKUP(B197,Products!$A:$E,3,FALSE)</f>
        <v>Office Supplies</v>
      </c>
    </row>
    <row r="198" spans="1:5" x14ac:dyDescent="0.3">
      <c r="A198" t="s">
        <v>1208</v>
      </c>
      <c r="B198" t="s">
        <v>894</v>
      </c>
      <c r="C198">
        <v>85</v>
      </c>
      <c r="D198" t="str">
        <f>VLOOKUP(B198,Products!$A:$E,2,FALSE)</f>
        <v>Product_443</v>
      </c>
      <c r="E198" t="str">
        <f>VLOOKUP(B198,Products!$A:$E,3,FALSE)</f>
        <v>Networking</v>
      </c>
    </row>
    <row r="199" spans="1:5" x14ac:dyDescent="0.3">
      <c r="A199" t="s">
        <v>1209</v>
      </c>
      <c r="B199" t="s">
        <v>332</v>
      </c>
      <c r="C199">
        <v>24</v>
      </c>
      <c r="D199" t="str">
        <f>VLOOKUP(B199,Products!$A:$E,2,FALSE)</f>
        <v>Product_162</v>
      </c>
      <c r="E199" t="str">
        <f>VLOOKUP(B199,Products!$A:$E,3,FALSE)</f>
        <v>Accessories</v>
      </c>
    </row>
    <row r="200" spans="1:5" x14ac:dyDescent="0.3">
      <c r="A200" t="s">
        <v>1210</v>
      </c>
      <c r="B200" t="s">
        <v>460</v>
      </c>
      <c r="C200">
        <v>13</v>
      </c>
      <c r="D200" t="str">
        <f>VLOOKUP(B200,Products!$A:$E,2,FALSE)</f>
        <v>Product_226</v>
      </c>
      <c r="E200" t="str">
        <f>VLOOKUP(B200,Products!$A:$E,3,FALSE)</f>
        <v>Networking</v>
      </c>
    </row>
    <row r="201" spans="1:5" x14ac:dyDescent="0.3">
      <c r="A201" t="s">
        <v>1211</v>
      </c>
      <c r="B201" t="s">
        <v>490</v>
      </c>
      <c r="C201">
        <v>61</v>
      </c>
      <c r="D201" t="str">
        <f>VLOOKUP(B201,Products!$A:$E,2,FALSE)</f>
        <v>Product_241</v>
      </c>
      <c r="E201" t="str">
        <f>VLOOKUP(B201,Products!$A:$E,3,FALSE)</f>
        <v>Electronics</v>
      </c>
    </row>
    <row r="202" spans="1:5" x14ac:dyDescent="0.3">
      <c r="A202" t="s">
        <v>1212</v>
      </c>
      <c r="B202" t="s">
        <v>656</v>
      </c>
      <c r="C202">
        <v>43</v>
      </c>
      <c r="D202" t="str">
        <f>VLOOKUP(B202,Products!$A:$E,2,FALSE)</f>
        <v>Product_324</v>
      </c>
      <c r="E202" t="str">
        <f>VLOOKUP(B202,Products!$A:$E,3,FALSE)</f>
        <v>Accessories</v>
      </c>
    </row>
    <row r="203" spans="1:5" x14ac:dyDescent="0.3">
      <c r="A203" t="s">
        <v>1213</v>
      </c>
      <c r="B203" t="s">
        <v>824</v>
      </c>
      <c r="C203">
        <v>40</v>
      </c>
      <c r="D203" t="str">
        <f>VLOOKUP(B203,Products!$A:$E,2,FALSE)</f>
        <v>Product_408</v>
      </c>
      <c r="E203" t="str">
        <f>VLOOKUP(B203,Products!$A:$E,3,FALSE)</f>
        <v>Storage</v>
      </c>
    </row>
    <row r="204" spans="1:5" x14ac:dyDescent="0.3">
      <c r="A204" t="s">
        <v>1214</v>
      </c>
      <c r="B204" t="s">
        <v>614</v>
      </c>
      <c r="C204">
        <v>12</v>
      </c>
      <c r="D204" t="str">
        <f>VLOOKUP(B204,Products!$A:$E,2,FALSE)</f>
        <v>Product_303</v>
      </c>
      <c r="E204" t="str">
        <f>VLOOKUP(B204,Products!$A:$E,3,FALSE)</f>
        <v>Networking</v>
      </c>
    </row>
    <row r="205" spans="1:5" x14ac:dyDescent="0.3">
      <c r="A205" t="s">
        <v>1215</v>
      </c>
      <c r="B205" t="s">
        <v>370</v>
      </c>
      <c r="C205">
        <v>69</v>
      </c>
      <c r="D205" t="str">
        <f>VLOOKUP(B205,Products!$A:$E,2,FALSE)</f>
        <v>Product_181</v>
      </c>
      <c r="E205" t="str">
        <f>VLOOKUP(B205,Products!$A:$E,3,FALSE)</f>
        <v>Storage</v>
      </c>
    </row>
    <row r="206" spans="1:5" x14ac:dyDescent="0.3">
      <c r="A206" t="s">
        <v>1216</v>
      </c>
      <c r="B206" t="s">
        <v>84</v>
      </c>
      <c r="C206">
        <v>44</v>
      </c>
      <c r="D206" t="str">
        <f>VLOOKUP(B206,Products!$A:$E,2,FALSE)</f>
        <v>Product_38</v>
      </c>
      <c r="E206" t="str">
        <f>VLOOKUP(B206,Products!$A:$E,3,FALSE)</f>
        <v>Accessories</v>
      </c>
    </row>
    <row r="207" spans="1:5" x14ac:dyDescent="0.3">
      <c r="A207" t="s">
        <v>1217</v>
      </c>
      <c r="B207" t="s">
        <v>482</v>
      </c>
      <c r="C207">
        <v>62</v>
      </c>
      <c r="D207" t="str">
        <f>VLOOKUP(B207,Products!$A:$E,2,FALSE)</f>
        <v>Product_237</v>
      </c>
      <c r="E207" t="str">
        <f>VLOOKUP(B207,Products!$A:$E,3,FALSE)</f>
        <v>Networking</v>
      </c>
    </row>
    <row r="208" spans="1:5" x14ac:dyDescent="0.3">
      <c r="A208" t="s">
        <v>1218</v>
      </c>
      <c r="B208" t="s">
        <v>48</v>
      </c>
      <c r="C208">
        <v>12</v>
      </c>
      <c r="D208" t="str">
        <f>VLOOKUP(B208,Products!$A:$E,2,FALSE)</f>
        <v>Product_20</v>
      </c>
      <c r="E208" t="str">
        <f>VLOOKUP(B208,Products!$A:$E,3,FALSE)</f>
        <v>Office Supplies</v>
      </c>
    </row>
    <row r="209" spans="1:5" x14ac:dyDescent="0.3">
      <c r="A209" t="s">
        <v>1219</v>
      </c>
      <c r="B209" t="s">
        <v>386</v>
      </c>
      <c r="C209">
        <v>41</v>
      </c>
      <c r="D209" t="str">
        <f>VLOOKUP(B209,Products!$A:$E,2,FALSE)</f>
        <v>Product_189</v>
      </c>
      <c r="E209" t="str">
        <f>VLOOKUP(B209,Products!$A:$E,3,FALSE)</f>
        <v>Electronics</v>
      </c>
    </row>
    <row r="210" spans="1:5" x14ac:dyDescent="0.3">
      <c r="A210" t="s">
        <v>1220</v>
      </c>
      <c r="B210" t="s">
        <v>88</v>
      </c>
      <c r="C210">
        <v>87</v>
      </c>
      <c r="D210" t="str">
        <f>VLOOKUP(B210,Products!$A:$E,2,FALSE)</f>
        <v>Product_40</v>
      </c>
      <c r="E210" t="str">
        <f>VLOOKUP(B210,Products!$A:$E,3,FALSE)</f>
        <v>Accessories</v>
      </c>
    </row>
    <row r="211" spans="1:5" x14ac:dyDescent="0.3">
      <c r="A211" t="s">
        <v>1221</v>
      </c>
      <c r="B211" t="s">
        <v>894</v>
      </c>
      <c r="C211">
        <v>16</v>
      </c>
      <c r="D211" t="str">
        <f>VLOOKUP(B211,Products!$A:$E,2,FALSE)</f>
        <v>Product_443</v>
      </c>
      <c r="E211" t="str">
        <f>VLOOKUP(B211,Products!$A:$E,3,FALSE)</f>
        <v>Networking</v>
      </c>
    </row>
    <row r="212" spans="1:5" x14ac:dyDescent="0.3">
      <c r="A212" t="s">
        <v>1222</v>
      </c>
      <c r="B212" t="s">
        <v>638</v>
      </c>
      <c r="C212">
        <v>81</v>
      </c>
      <c r="D212" t="str">
        <f>VLOOKUP(B212,Products!$A:$E,2,FALSE)</f>
        <v>Product_315</v>
      </c>
      <c r="E212" t="str">
        <f>VLOOKUP(B212,Products!$A:$E,3,FALSE)</f>
        <v>Accessories</v>
      </c>
    </row>
    <row r="213" spans="1:5" x14ac:dyDescent="0.3">
      <c r="A213" t="s">
        <v>1223</v>
      </c>
      <c r="B213" t="s">
        <v>528</v>
      </c>
      <c r="C213">
        <v>54</v>
      </c>
      <c r="D213" t="str">
        <f>VLOOKUP(B213,Products!$A:$E,2,FALSE)</f>
        <v>Product_260</v>
      </c>
      <c r="E213" t="str">
        <f>VLOOKUP(B213,Products!$A:$E,3,FALSE)</f>
        <v>Storage</v>
      </c>
    </row>
    <row r="214" spans="1:5" x14ac:dyDescent="0.3">
      <c r="A214" t="s">
        <v>1224</v>
      </c>
      <c r="B214" t="s">
        <v>482</v>
      </c>
      <c r="C214">
        <v>79</v>
      </c>
      <c r="D214" t="str">
        <f>VLOOKUP(B214,Products!$A:$E,2,FALSE)</f>
        <v>Product_237</v>
      </c>
      <c r="E214" t="str">
        <f>VLOOKUP(B214,Products!$A:$E,3,FALSE)</f>
        <v>Networking</v>
      </c>
    </row>
    <row r="215" spans="1:5" x14ac:dyDescent="0.3">
      <c r="A215" t="s">
        <v>1225</v>
      </c>
      <c r="B215" t="s">
        <v>576</v>
      </c>
      <c r="C215">
        <v>99</v>
      </c>
      <c r="D215" t="str">
        <f>VLOOKUP(B215,Products!$A:$E,2,FALSE)</f>
        <v>Product_284</v>
      </c>
      <c r="E215" t="str">
        <f>VLOOKUP(B215,Products!$A:$E,3,FALSE)</f>
        <v>Networking</v>
      </c>
    </row>
    <row r="216" spans="1:5" x14ac:dyDescent="0.3">
      <c r="A216" t="s">
        <v>1226</v>
      </c>
      <c r="B216" t="s">
        <v>926</v>
      </c>
      <c r="C216">
        <v>10</v>
      </c>
      <c r="D216" t="str">
        <f>VLOOKUP(B216,Products!$A:$E,2,FALSE)</f>
        <v>Product_459</v>
      </c>
      <c r="E216" t="str">
        <f>VLOOKUP(B216,Products!$A:$E,3,FALSE)</f>
        <v>Office Supplies</v>
      </c>
    </row>
    <row r="217" spans="1:5" x14ac:dyDescent="0.3">
      <c r="A217" t="s">
        <v>1227</v>
      </c>
      <c r="B217" t="s">
        <v>470</v>
      </c>
      <c r="C217">
        <v>78</v>
      </c>
      <c r="D217" t="str">
        <f>VLOOKUP(B217,Products!$A:$E,2,FALSE)</f>
        <v>Product_231</v>
      </c>
      <c r="E217" t="str">
        <f>VLOOKUP(B217,Products!$A:$E,3,FALSE)</f>
        <v>Accessories</v>
      </c>
    </row>
    <row r="218" spans="1:5" x14ac:dyDescent="0.3">
      <c r="A218" t="s">
        <v>1228</v>
      </c>
      <c r="B218" t="s">
        <v>676</v>
      </c>
      <c r="C218">
        <v>29</v>
      </c>
      <c r="D218" t="str">
        <f>VLOOKUP(B218,Products!$A:$E,2,FALSE)</f>
        <v>Product_334</v>
      </c>
      <c r="E218" t="str">
        <f>VLOOKUP(B218,Products!$A:$E,3,FALSE)</f>
        <v>Accessories</v>
      </c>
    </row>
    <row r="219" spans="1:5" x14ac:dyDescent="0.3">
      <c r="A219" t="s">
        <v>1229</v>
      </c>
      <c r="B219" t="s">
        <v>338</v>
      </c>
      <c r="C219">
        <v>82</v>
      </c>
      <c r="D219" t="str">
        <f>VLOOKUP(B219,Products!$A:$E,2,FALSE)</f>
        <v>Product_165</v>
      </c>
      <c r="E219" t="str">
        <f>VLOOKUP(B219,Products!$A:$E,3,FALSE)</f>
        <v>Office Supplies</v>
      </c>
    </row>
    <row r="220" spans="1:5" x14ac:dyDescent="0.3">
      <c r="A220" t="s">
        <v>1230</v>
      </c>
      <c r="B220" t="s">
        <v>496</v>
      </c>
      <c r="C220">
        <v>69</v>
      </c>
      <c r="D220" t="str">
        <f>VLOOKUP(B220,Products!$A:$E,2,FALSE)</f>
        <v>Product_244</v>
      </c>
      <c r="E220" t="str">
        <f>VLOOKUP(B220,Products!$A:$E,3,FALSE)</f>
        <v>Accessories</v>
      </c>
    </row>
    <row r="221" spans="1:5" x14ac:dyDescent="0.3">
      <c r="A221" t="s">
        <v>1231</v>
      </c>
      <c r="B221" t="s">
        <v>164</v>
      </c>
      <c r="C221">
        <v>12</v>
      </c>
      <c r="D221" t="str">
        <f>VLOOKUP(B221,Products!$A:$E,2,FALSE)</f>
        <v>Product_78</v>
      </c>
      <c r="E221" t="str">
        <f>VLOOKUP(B221,Products!$A:$E,3,FALSE)</f>
        <v>Office Supplies</v>
      </c>
    </row>
    <row r="222" spans="1:5" x14ac:dyDescent="0.3">
      <c r="A222" t="s">
        <v>1232</v>
      </c>
      <c r="B222" t="s">
        <v>470</v>
      </c>
      <c r="C222">
        <v>18</v>
      </c>
      <c r="D222" t="str">
        <f>VLOOKUP(B222,Products!$A:$E,2,FALSE)</f>
        <v>Product_231</v>
      </c>
      <c r="E222" t="str">
        <f>VLOOKUP(B222,Products!$A:$E,3,FALSE)</f>
        <v>Accessories</v>
      </c>
    </row>
    <row r="223" spans="1:5" x14ac:dyDescent="0.3">
      <c r="A223" t="s">
        <v>1233</v>
      </c>
      <c r="B223" t="s">
        <v>840</v>
      </c>
      <c r="C223">
        <v>48</v>
      </c>
      <c r="D223" t="str">
        <f>VLOOKUP(B223,Products!$A:$E,2,FALSE)</f>
        <v>Product_416</v>
      </c>
      <c r="E223" t="str">
        <f>VLOOKUP(B223,Products!$A:$E,3,FALSE)</f>
        <v>Accessories</v>
      </c>
    </row>
    <row r="224" spans="1:5" x14ac:dyDescent="0.3">
      <c r="A224" t="s">
        <v>1234</v>
      </c>
      <c r="B224" t="s">
        <v>740</v>
      </c>
      <c r="C224">
        <v>15</v>
      </c>
      <c r="D224" t="str">
        <f>VLOOKUP(B224,Products!$A:$E,2,FALSE)</f>
        <v>Product_366</v>
      </c>
      <c r="E224" t="str">
        <f>VLOOKUP(B224,Products!$A:$E,3,FALSE)</f>
        <v>Electronics</v>
      </c>
    </row>
    <row r="225" spans="1:5" x14ac:dyDescent="0.3">
      <c r="A225" t="s">
        <v>1235</v>
      </c>
      <c r="B225" t="s">
        <v>526</v>
      </c>
      <c r="C225">
        <v>87</v>
      </c>
      <c r="D225" t="str">
        <f>VLOOKUP(B225,Products!$A:$E,2,FALSE)</f>
        <v>Product_259</v>
      </c>
      <c r="E225" t="str">
        <f>VLOOKUP(B225,Products!$A:$E,3,FALSE)</f>
        <v>Electronics</v>
      </c>
    </row>
    <row r="226" spans="1:5" x14ac:dyDescent="0.3">
      <c r="A226" t="s">
        <v>1236</v>
      </c>
      <c r="B226" t="s">
        <v>186</v>
      </c>
      <c r="C226">
        <v>10</v>
      </c>
      <c r="D226" t="str">
        <f>VLOOKUP(B226,Products!$A:$E,2,FALSE)</f>
        <v>Product_89</v>
      </c>
      <c r="E226" t="str">
        <f>VLOOKUP(B226,Products!$A:$E,3,FALSE)</f>
        <v>Storage</v>
      </c>
    </row>
    <row r="227" spans="1:5" x14ac:dyDescent="0.3">
      <c r="A227" t="s">
        <v>1237</v>
      </c>
      <c r="B227" t="s">
        <v>262</v>
      </c>
      <c r="C227">
        <v>95</v>
      </c>
      <c r="D227" t="str">
        <f>VLOOKUP(B227,Products!$A:$E,2,FALSE)</f>
        <v>Product_127</v>
      </c>
      <c r="E227" t="str">
        <f>VLOOKUP(B227,Products!$A:$E,3,FALSE)</f>
        <v>Networking</v>
      </c>
    </row>
    <row r="228" spans="1:5" x14ac:dyDescent="0.3">
      <c r="A228" t="s">
        <v>1238</v>
      </c>
      <c r="B228" t="s">
        <v>458</v>
      </c>
      <c r="C228">
        <v>61</v>
      </c>
      <c r="D228" t="str">
        <f>VLOOKUP(B228,Products!$A:$E,2,FALSE)</f>
        <v>Product_225</v>
      </c>
      <c r="E228" t="str">
        <f>VLOOKUP(B228,Products!$A:$E,3,FALSE)</f>
        <v>Accessories</v>
      </c>
    </row>
    <row r="229" spans="1:5" x14ac:dyDescent="0.3">
      <c r="A229" t="s">
        <v>1239</v>
      </c>
      <c r="B229" t="s">
        <v>546</v>
      </c>
      <c r="C229">
        <v>71</v>
      </c>
      <c r="D229" t="str">
        <f>VLOOKUP(B229,Products!$A:$E,2,FALSE)</f>
        <v>Product_269</v>
      </c>
      <c r="E229" t="str">
        <f>VLOOKUP(B229,Products!$A:$E,3,FALSE)</f>
        <v>Storage</v>
      </c>
    </row>
    <row r="230" spans="1:5" x14ac:dyDescent="0.3">
      <c r="A230" t="s">
        <v>1240</v>
      </c>
      <c r="B230" t="s">
        <v>634</v>
      </c>
      <c r="C230">
        <v>25</v>
      </c>
      <c r="D230" t="str">
        <f>VLOOKUP(B230,Products!$A:$E,2,FALSE)</f>
        <v>Product_313</v>
      </c>
      <c r="E230" t="str">
        <f>VLOOKUP(B230,Products!$A:$E,3,FALSE)</f>
        <v>Accessories</v>
      </c>
    </row>
    <row r="231" spans="1:5" x14ac:dyDescent="0.3">
      <c r="A231" t="s">
        <v>1241</v>
      </c>
      <c r="B231" t="s">
        <v>382</v>
      </c>
      <c r="C231">
        <v>52</v>
      </c>
      <c r="D231" t="str">
        <f>VLOOKUP(B231,Products!$A:$E,2,FALSE)</f>
        <v>Product_187</v>
      </c>
      <c r="E231" t="str">
        <f>VLOOKUP(B231,Products!$A:$E,3,FALSE)</f>
        <v>Electronics</v>
      </c>
    </row>
    <row r="232" spans="1:5" x14ac:dyDescent="0.3">
      <c r="A232" t="s">
        <v>1242</v>
      </c>
      <c r="B232" t="s">
        <v>948</v>
      </c>
      <c r="C232">
        <v>41</v>
      </c>
      <c r="D232" t="str">
        <f>VLOOKUP(B232,Products!$A:$E,2,FALSE)</f>
        <v>Product_470</v>
      </c>
      <c r="E232" t="str">
        <f>VLOOKUP(B232,Products!$A:$E,3,FALSE)</f>
        <v>Networking</v>
      </c>
    </row>
    <row r="233" spans="1:5" x14ac:dyDescent="0.3">
      <c r="A233" t="s">
        <v>1243</v>
      </c>
      <c r="B233" t="s">
        <v>406</v>
      </c>
      <c r="C233">
        <v>57</v>
      </c>
      <c r="D233" t="str">
        <f>VLOOKUP(B233,Products!$A:$E,2,FALSE)</f>
        <v>Product_199</v>
      </c>
      <c r="E233" t="str">
        <f>VLOOKUP(B233,Products!$A:$E,3,FALSE)</f>
        <v>Storage</v>
      </c>
    </row>
    <row r="234" spans="1:5" x14ac:dyDescent="0.3">
      <c r="A234" t="s">
        <v>1244</v>
      </c>
      <c r="B234" t="s">
        <v>802</v>
      </c>
      <c r="C234">
        <v>48</v>
      </c>
      <c r="D234" t="str">
        <f>VLOOKUP(B234,Products!$A:$E,2,FALSE)</f>
        <v>Product_397</v>
      </c>
      <c r="E234" t="str">
        <f>VLOOKUP(B234,Products!$A:$E,3,FALSE)</f>
        <v>Office Supplies</v>
      </c>
    </row>
    <row r="235" spans="1:5" x14ac:dyDescent="0.3">
      <c r="A235" t="s">
        <v>1245</v>
      </c>
      <c r="B235" t="s">
        <v>704</v>
      </c>
      <c r="C235">
        <v>81</v>
      </c>
      <c r="D235" t="str">
        <f>VLOOKUP(B235,Products!$A:$E,2,FALSE)</f>
        <v>Product_348</v>
      </c>
      <c r="E235" t="str">
        <f>VLOOKUP(B235,Products!$A:$E,3,FALSE)</f>
        <v>Electronics</v>
      </c>
    </row>
    <row r="236" spans="1:5" x14ac:dyDescent="0.3">
      <c r="A236" t="s">
        <v>1246</v>
      </c>
      <c r="B236" t="s">
        <v>62</v>
      </c>
      <c r="C236">
        <v>85</v>
      </c>
      <c r="D236" t="str">
        <f>VLOOKUP(B236,Products!$A:$E,2,FALSE)</f>
        <v>Product_27</v>
      </c>
      <c r="E236" t="str">
        <f>VLOOKUP(B236,Products!$A:$E,3,FALSE)</f>
        <v>Office Supplies</v>
      </c>
    </row>
    <row r="237" spans="1:5" x14ac:dyDescent="0.3">
      <c r="A237" t="s">
        <v>1247</v>
      </c>
      <c r="B237" t="s">
        <v>672</v>
      </c>
      <c r="C237">
        <v>47</v>
      </c>
      <c r="D237" t="str">
        <f>VLOOKUP(B237,Products!$A:$E,2,FALSE)</f>
        <v>Product_332</v>
      </c>
      <c r="E237" t="str">
        <f>VLOOKUP(B237,Products!$A:$E,3,FALSE)</f>
        <v>Electronics</v>
      </c>
    </row>
    <row r="238" spans="1:5" x14ac:dyDescent="0.3">
      <c r="A238" t="s">
        <v>1248</v>
      </c>
      <c r="B238" t="s">
        <v>76</v>
      </c>
      <c r="C238">
        <v>47</v>
      </c>
      <c r="D238" t="str">
        <f>VLOOKUP(B238,Products!$A:$E,2,FALSE)</f>
        <v>Product_34</v>
      </c>
      <c r="E238" t="str">
        <f>VLOOKUP(B238,Products!$A:$E,3,FALSE)</f>
        <v>Office Supplies</v>
      </c>
    </row>
    <row r="239" spans="1:5" x14ac:dyDescent="0.3">
      <c r="A239" t="s">
        <v>1249</v>
      </c>
      <c r="B239" t="s">
        <v>106</v>
      </c>
      <c r="C239">
        <v>76</v>
      </c>
      <c r="D239" t="str">
        <f>VLOOKUP(B239,Products!$A:$E,2,FALSE)</f>
        <v>Product_49</v>
      </c>
      <c r="E239" t="str">
        <f>VLOOKUP(B239,Products!$A:$E,3,FALSE)</f>
        <v>Storage</v>
      </c>
    </row>
    <row r="240" spans="1:5" x14ac:dyDescent="0.3">
      <c r="A240" t="s">
        <v>1250</v>
      </c>
      <c r="B240" t="s">
        <v>704</v>
      </c>
      <c r="C240">
        <v>54</v>
      </c>
      <c r="D240" t="str">
        <f>VLOOKUP(B240,Products!$A:$E,2,FALSE)</f>
        <v>Product_348</v>
      </c>
      <c r="E240" t="str">
        <f>VLOOKUP(B240,Products!$A:$E,3,FALSE)</f>
        <v>Electronics</v>
      </c>
    </row>
    <row r="241" spans="1:5" x14ac:dyDescent="0.3">
      <c r="A241" t="s">
        <v>1251</v>
      </c>
      <c r="B241" t="s">
        <v>300</v>
      </c>
      <c r="C241">
        <v>37</v>
      </c>
      <c r="D241" t="str">
        <f>VLOOKUP(B241,Products!$A:$E,2,FALSE)</f>
        <v>Product_146</v>
      </c>
      <c r="E241" t="str">
        <f>VLOOKUP(B241,Products!$A:$E,3,FALSE)</f>
        <v>Office Supplies</v>
      </c>
    </row>
    <row r="242" spans="1:5" x14ac:dyDescent="0.3">
      <c r="A242" t="s">
        <v>1252</v>
      </c>
      <c r="B242" t="s">
        <v>750</v>
      </c>
      <c r="C242">
        <v>89</v>
      </c>
      <c r="D242" t="str">
        <f>VLOOKUP(B242,Products!$A:$E,2,FALSE)</f>
        <v>Product_371</v>
      </c>
      <c r="E242" t="str">
        <f>VLOOKUP(B242,Products!$A:$E,3,FALSE)</f>
        <v>Storage</v>
      </c>
    </row>
    <row r="243" spans="1:5" x14ac:dyDescent="0.3">
      <c r="A243" t="s">
        <v>1253</v>
      </c>
      <c r="B243" t="s">
        <v>996</v>
      </c>
      <c r="C243">
        <v>82</v>
      </c>
      <c r="D243" t="str">
        <f>VLOOKUP(B243,Products!$A:$E,2,FALSE)</f>
        <v>Product_494</v>
      </c>
      <c r="E243" t="str">
        <f>VLOOKUP(B243,Products!$A:$E,3,FALSE)</f>
        <v>Office Supplies</v>
      </c>
    </row>
    <row r="244" spans="1:5" x14ac:dyDescent="0.3">
      <c r="A244" t="s">
        <v>1254</v>
      </c>
      <c r="B244" t="s">
        <v>904</v>
      </c>
      <c r="C244">
        <v>24</v>
      </c>
      <c r="D244" t="str">
        <f>VLOOKUP(B244,Products!$A:$E,2,FALSE)</f>
        <v>Product_448</v>
      </c>
      <c r="E244" t="str">
        <f>VLOOKUP(B244,Products!$A:$E,3,FALSE)</f>
        <v>Networking</v>
      </c>
    </row>
    <row r="245" spans="1:5" x14ac:dyDescent="0.3">
      <c r="A245" t="s">
        <v>1255</v>
      </c>
      <c r="B245" t="s">
        <v>350</v>
      </c>
      <c r="C245">
        <v>15</v>
      </c>
      <c r="D245" t="str">
        <f>VLOOKUP(B245,Products!$A:$E,2,FALSE)</f>
        <v>Product_171</v>
      </c>
      <c r="E245" t="str">
        <f>VLOOKUP(B245,Products!$A:$E,3,FALSE)</f>
        <v>Electronics</v>
      </c>
    </row>
    <row r="246" spans="1:5" x14ac:dyDescent="0.3">
      <c r="A246" t="s">
        <v>1256</v>
      </c>
      <c r="B246" t="s">
        <v>606</v>
      </c>
      <c r="C246">
        <v>89</v>
      </c>
      <c r="D246" t="str">
        <f>VLOOKUP(B246,Products!$A:$E,2,FALSE)</f>
        <v>Product_299</v>
      </c>
      <c r="E246" t="str">
        <f>VLOOKUP(B246,Products!$A:$E,3,FALSE)</f>
        <v>Storage</v>
      </c>
    </row>
    <row r="247" spans="1:5" x14ac:dyDescent="0.3">
      <c r="A247" t="s">
        <v>1257</v>
      </c>
      <c r="B247" t="s">
        <v>154</v>
      </c>
      <c r="C247">
        <v>49</v>
      </c>
      <c r="D247" t="str">
        <f>VLOOKUP(B247,Products!$A:$E,2,FALSE)</f>
        <v>Product_73</v>
      </c>
      <c r="E247" t="str">
        <f>VLOOKUP(B247,Products!$A:$E,3,FALSE)</f>
        <v>Office Supplies</v>
      </c>
    </row>
    <row r="248" spans="1:5" x14ac:dyDescent="0.3">
      <c r="A248" t="s">
        <v>1258</v>
      </c>
      <c r="B248" t="s">
        <v>326</v>
      </c>
      <c r="C248">
        <v>88</v>
      </c>
      <c r="D248" t="str">
        <f>VLOOKUP(B248,Products!$A:$E,2,FALSE)</f>
        <v>Product_159</v>
      </c>
      <c r="E248" t="str">
        <f>VLOOKUP(B248,Products!$A:$E,3,FALSE)</f>
        <v>Accessories</v>
      </c>
    </row>
    <row r="249" spans="1:5" x14ac:dyDescent="0.3">
      <c r="A249" t="s">
        <v>1259</v>
      </c>
      <c r="B249" t="s">
        <v>724</v>
      </c>
      <c r="C249">
        <v>89</v>
      </c>
      <c r="D249" t="str">
        <f>VLOOKUP(B249,Products!$A:$E,2,FALSE)</f>
        <v>Product_358</v>
      </c>
      <c r="E249" t="str">
        <f>VLOOKUP(B249,Products!$A:$E,3,FALSE)</f>
        <v>Storage</v>
      </c>
    </row>
    <row r="250" spans="1:5" x14ac:dyDescent="0.3">
      <c r="A250" t="s">
        <v>1260</v>
      </c>
      <c r="B250" t="s">
        <v>410</v>
      </c>
      <c r="C250">
        <v>21</v>
      </c>
      <c r="D250" t="str">
        <f>VLOOKUP(B250,Products!$A:$E,2,FALSE)</f>
        <v>Product_201</v>
      </c>
      <c r="E250" t="str">
        <f>VLOOKUP(B250,Products!$A:$E,3,FALSE)</f>
        <v>Networking</v>
      </c>
    </row>
    <row r="251" spans="1:5" x14ac:dyDescent="0.3">
      <c r="A251" t="s">
        <v>1261</v>
      </c>
      <c r="B251" t="s">
        <v>618</v>
      </c>
      <c r="C251">
        <v>95</v>
      </c>
      <c r="D251" t="str">
        <f>VLOOKUP(B251,Products!$A:$E,2,FALSE)</f>
        <v>Product_305</v>
      </c>
      <c r="E251" t="str">
        <f>VLOOKUP(B251,Products!$A:$E,3,FALSE)</f>
        <v>Accessories</v>
      </c>
    </row>
    <row r="252" spans="1:5" x14ac:dyDescent="0.3">
      <c r="A252" t="s">
        <v>1262</v>
      </c>
      <c r="B252" t="s">
        <v>970</v>
      </c>
      <c r="C252">
        <v>15</v>
      </c>
      <c r="D252" t="str">
        <f>VLOOKUP(B252,Products!$A:$E,2,FALSE)</f>
        <v>Product_481</v>
      </c>
      <c r="E252" t="str">
        <f>VLOOKUP(B252,Products!$A:$E,3,FALSE)</f>
        <v>Storage</v>
      </c>
    </row>
    <row r="253" spans="1:5" x14ac:dyDescent="0.3">
      <c r="A253" t="s">
        <v>1263</v>
      </c>
      <c r="B253" t="s">
        <v>326</v>
      </c>
      <c r="C253">
        <v>76</v>
      </c>
      <c r="D253" t="str">
        <f>VLOOKUP(B253,Products!$A:$E,2,FALSE)</f>
        <v>Product_159</v>
      </c>
      <c r="E253" t="str">
        <f>VLOOKUP(B253,Products!$A:$E,3,FALSE)</f>
        <v>Accessories</v>
      </c>
    </row>
    <row r="254" spans="1:5" x14ac:dyDescent="0.3">
      <c r="A254" t="s">
        <v>1264</v>
      </c>
      <c r="B254" t="s">
        <v>394</v>
      </c>
      <c r="C254">
        <v>87</v>
      </c>
      <c r="D254" t="str">
        <f>VLOOKUP(B254,Products!$A:$E,2,FALSE)</f>
        <v>Product_193</v>
      </c>
      <c r="E254" t="str">
        <f>VLOOKUP(B254,Products!$A:$E,3,FALSE)</f>
        <v>Accessories</v>
      </c>
    </row>
    <row r="255" spans="1:5" x14ac:dyDescent="0.3">
      <c r="A255" t="s">
        <v>1265</v>
      </c>
      <c r="B255" t="s">
        <v>820</v>
      </c>
      <c r="C255">
        <v>47</v>
      </c>
      <c r="D255" t="str">
        <f>VLOOKUP(B255,Products!$A:$E,2,FALSE)</f>
        <v>Product_406</v>
      </c>
      <c r="E255" t="str">
        <f>VLOOKUP(B255,Products!$A:$E,3,FALSE)</f>
        <v>Office Supplies</v>
      </c>
    </row>
    <row r="256" spans="1:5" x14ac:dyDescent="0.3">
      <c r="A256" t="s">
        <v>1266</v>
      </c>
      <c r="B256" t="s">
        <v>842</v>
      </c>
      <c r="C256">
        <v>21</v>
      </c>
      <c r="D256" t="str">
        <f>VLOOKUP(B256,Products!$A:$E,2,FALSE)</f>
        <v>Product_417</v>
      </c>
      <c r="E256" t="str">
        <f>VLOOKUP(B256,Products!$A:$E,3,FALSE)</f>
        <v>Accessories</v>
      </c>
    </row>
    <row r="257" spans="1:5" x14ac:dyDescent="0.3">
      <c r="A257" t="s">
        <v>1267</v>
      </c>
      <c r="B257" t="s">
        <v>696</v>
      </c>
      <c r="C257">
        <v>94</v>
      </c>
      <c r="D257" t="str">
        <f>VLOOKUP(B257,Products!$A:$E,2,FALSE)</f>
        <v>Product_344</v>
      </c>
      <c r="E257" t="str">
        <f>VLOOKUP(B257,Products!$A:$E,3,FALSE)</f>
        <v>Accessories</v>
      </c>
    </row>
    <row r="258" spans="1:5" x14ac:dyDescent="0.3">
      <c r="A258" t="s">
        <v>1268</v>
      </c>
      <c r="B258" t="s">
        <v>858</v>
      </c>
      <c r="C258">
        <v>99</v>
      </c>
      <c r="D258" t="str">
        <f>VLOOKUP(B258,Products!$A:$E,2,FALSE)</f>
        <v>Product_425</v>
      </c>
      <c r="E258" t="str">
        <f>VLOOKUP(B258,Products!$A:$E,3,FALSE)</f>
        <v>Office Supplies</v>
      </c>
    </row>
    <row r="259" spans="1:5" x14ac:dyDescent="0.3">
      <c r="A259" t="s">
        <v>1269</v>
      </c>
      <c r="B259" t="s">
        <v>710</v>
      </c>
      <c r="C259">
        <v>72</v>
      </c>
      <c r="D259" t="str">
        <f>VLOOKUP(B259,Products!$A:$E,2,FALSE)</f>
        <v>Product_351</v>
      </c>
      <c r="E259" t="str">
        <f>VLOOKUP(B259,Products!$A:$E,3,FALSE)</f>
        <v>Accessories</v>
      </c>
    </row>
    <row r="260" spans="1:5" x14ac:dyDescent="0.3">
      <c r="A260" t="s">
        <v>1270</v>
      </c>
      <c r="B260" t="s">
        <v>104</v>
      </c>
      <c r="C260">
        <v>87</v>
      </c>
      <c r="D260" t="str">
        <f>VLOOKUP(B260,Products!$A:$E,2,FALSE)</f>
        <v>Product_48</v>
      </c>
      <c r="E260" t="str">
        <f>VLOOKUP(B260,Products!$A:$E,3,FALSE)</f>
        <v>Accessories</v>
      </c>
    </row>
    <row r="261" spans="1:5" x14ac:dyDescent="0.3">
      <c r="A261" t="s">
        <v>1271</v>
      </c>
      <c r="B261" t="s">
        <v>696</v>
      </c>
      <c r="C261">
        <v>59</v>
      </c>
      <c r="D261" t="str">
        <f>VLOOKUP(B261,Products!$A:$E,2,FALSE)</f>
        <v>Product_344</v>
      </c>
      <c r="E261" t="str">
        <f>VLOOKUP(B261,Products!$A:$E,3,FALSE)</f>
        <v>Accessories</v>
      </c>
    </row>
    <row r="262" spans="1:5" x14ac:dyDescent="0.3">
      <c r="A262" t="s">
        <v>1272</v>
      </c>
      <c r="B262" t="s">
        <v>530</v>
      </c>
      <c r="C262">
        <v>51</v>
      </c>
      <c r="D262" t="str">
        <f>VLOOKUP(B262,Products!$A:$E,2,FALSE)</f>
        <v>Product_261</v>
      </c>
      <c r="E262" t="str">
        <f>VLOOKUP(B262,Products!$A:$E,3,FALSE)</f>
        <v>Accessories</v>
      </c>
    </row>
    <row r="263" spans="1:5" x14ac:dyDescent="0.3">
      <c r="A263" t="s">
        <v>1273</v>
      </c>
      <c r="B263" t="s">
        <v>28</v>
      </c>
      <c r="C263">
        <v>51</v>
      </c>
      <c r="D263" t="str">
        <f>VLOOKUP(B263,Products!$A:$E,2,FALSE)</f>
        <v>Product_10</v>
      </c>
      <c r="E263" t="str">
        <f>VLOOKUP(B263,Products!$A:$E,3,FALSE)</f>
        <v>Networking</v>
      </c>
    </row>
    <row r="264" spans="1:5" x14ac:dyDescent="0.3">
      <c r="A264" t="s">
        <v>1274</v>
      </c>
      <c r="B264" t="s">
        <v>326</v>
      </c>
      <c r="C264">
        <v>28</v>
      </c>
      <c r="D264" t="str">
        <f>VLOOKUP(B264,Products!$A:$E,2,FALSE)</f>
        <v>Product_159</v>
      </c>
      <c r="E264" t="str">
        <f>VLOOKUP(B264,Products!$A:$E,3,FALSE)</f>
        <v>Accessories</v>
      </c>
    </row>
    <row r="265" spans="1:5" x14ac:dyDescent="0.3">
      <c r="A265" t="s">
        <v>1275</v>
      </c>
      <c r="B265" t="s">
        <v>982</v>
      </c>
      <c r="C265">
        <v>32</v>
      </c>
      <c r="D265" t="str">
        <f>VLOOKUP(B265,Products!$A:$E,2,FALSE)</f>
        <v>Product_487</v>
      </c>
      <c r="E265" t="str">
        <f>VLOOKUP(B265,Products!$A:$E,3,FALSE)</f>
        <v>Networking</v>
      </c>
    </row>
    <row r="266" spans="1:5" x14ac:dyDescent="0.3">
      <c r="A266" t="s">
        <v>1276</v>
      </c>
      <c r="B266" t="s">
        <v>358</v>
      </c>
      <c r="C266">
        <v>67</v>
      </c>
      <c r="D266" t="str">
        <f>VLOOKUP(B266,Products!$A:$E,2,FALSE)</f>
        <v>Product_175</v>
      </c>
      <c r="E266" t="str">
        <f>VLOOKUP(B266,Products!$A:$E,3,FALSE)</f>
        <v>Storage</v>
      </c>
    </row>
    <row r="267" spans="1:5" x14ac:dyDescent="0.3">
      <c r="A267" t="s">
        <v>1277</v>
      </c>
      <c r="B267" t="s">
        <v>206</v>
      </c>
      <c r="C267">
        <v>33</v>
      </c>
      <c r="D267" t="str">
        <f>VLOOKUP(B267,Products!$A:$E,2,FALSE)</f>
        <v>Product_99</v>
      </c>
      <c r="E267" t="str">
        <f>VLOOKUP(B267,Products!$A:$E,3,FALSE)</f>
        <v>Accessories</v>
      </c>
    </row>
    <row r="268" spans="1:5" x14ac:dyDescent="0.3">
      <c r="A268" t="s">
        <v>1278</v>
      </c>
      <c r="B268" t="s">
        <v>150</v>
      </c>
      <c r="C268">
        <v>24</v>
      </c>
      <c r="D268" t="str">
        <f>VLOOKUP(B268,Products!$A:$E,2,FALSE)</f>
        <v>Product_71</v>
      </c>
      <c r="E268" t="str">
        <f>VLOOKUP(B268,Products!$A:$E,3,FALSE)</f>
        <v>Accessories</v>
      </c>
    </row>
    <row r="269" spans="1:5" x14ac:dyDescent="0.3">
      <c r="A269" t="s">
        <v>1279</v>
      </c>
      <c r="B269" t="s">
        <v>88</v>
      </c>
      <c r="C269">
        <v>42</v>
      </c>
      <c r="D269" t="str">
        <f>VLOOKUP(B269,Products!$A:$E,2,FALSE)</f>
        <v>Product_40</v>
      </c>
      <c r="E269" t="str">
        <f>VLOOKUP(B269,Products!$A:$E,3,FALSE)</f>
        <v>Accessories</v>
      </c>
    </row>
    <row r="270" spans="1:5" x14ac:dyDescent="0.3">
      <c r="A270" t="s">
        <v>1280</v>
      </c>
      <c r="B270" t="s">
        <v>874</v>
      </c>
      <c r="C270">
        <v>17</v>
      </c>
      <c r="D270" t="str">
        <f>VLOOKUP(B270,Products!$A:$E,2,FALSE)</f>
        <v>Product_433</v>
      </c>
      <c r="E270" t="str">
        <f>VLOOKUP(B270,Products!$A:$E,3,FALSE)</f>
        <v>Office Supplies</v>
      </c>
    </row>
    <row r="271" spans="1:5" x14ac:dyDescent="0.3">
      <c r="A271" t="s">
        <v>1281</v>
      </c>
      <c r="B271" t="s">
        <v>528</v>
      </c>
      <c r="C271">
        <v>74</v>
      </c>
      <c r="D271" t="str">
        <f>VLOOKUP(B271,Products!$A:$E,2,FALSE)</f>
        <v>Product_260</v>
      </c>
      <c r="E271" t="str">
        <f>VLOOKUP(B271,Products!$A:$E,3,FALSE)</f>
        <v>Storage</v>
      </c>
    </row>
    <row r="272" spans="1:5" x14ac:dyDescent="0.3">
      <c r="A272" t="s">
        <v>1282</v>
      </c>
      <c r="B272" t="s">
        <v>864</v>
      </c>
      <c r="C272">
        <v>99</v>
      </c>
      <c r="D272" t="str">
        <f>VLOOKUP(B272,Products!$A:$E,2,FALSE)</f>
        <v>Product_428</v>
      </c>
      <c r="E272" t="str">
        <f>VLOOKUP(B272,Products!$A:$E,3,FALSE)</f>
        <v>Storage</v>
      </c>
    </row>
    <row r="273" spans="1:5" x14ac:dyDescent="0.3">
      <c r="A273" t="s">
        <v>1283</v>
      </c>
      <c r="B273" t="s">
        <v>914</v>
      </c>
      <c r="C273">
        <v>72</v>
      </c>
      <c r="D273" t="str">
        <f>VLOOKUP(B273,Products!$A:$E,2,FALSE)</f>
        <v>Product_453</v>
      </c>
      <c r="E273" t="str">
        <f>VLOOKUP(B273,Products!$A:$E,3,FALSE)</f>
        <v>Office Supplies</v>
      </c>
    </row>
    <row r="274" spans="1:5" x14ac:dyDescent="0.3">
      <c r="A274" t="s">
        <v>1284</v>
      </c>
      <c r="B274" t="s">
        <v>48</v>
      </c>
      <c r="C274">
        <v>89</v>
      </c>
      <c r="D274" t="str">
        <f>VLOOKUP(B274,Products!$A:$E,2,FALSE)</f>
        <v>Product_20</v>
      </c>
      <c r="E274" t="str">
        <f>VLOOKUP(B274,Products!$A:$E,3,FALSE)</f>
        <v>Office Supplies</v>
      </c>
    </row>
    <row r="275" spans="1:5" x14ac:dyDescent="0.3">
      <c r="A275" t="s">
        <v>1285</v>
      </c>
      <c r="B275" t="s">
        <v>354</v>
      </c>
      <c r="C275">
        <v>84</v>
      </c>
      <c r="D275" t="str">
        <f>VLOOKUP(B275,Products!$A:$E,2,FALSE)</f>
        <v>Product_173</v>
      </c>
      <c r="E275" t="str">
        <f>VLOOKUP(B275,Products!$A:$E,3,FALSE)</f>
        <v>Electronics</v>
      </c>
    </row>
    <row r="276" spans="1:5" x14ac:dyDescent="0.3">
      <c r="A276" t="s">
        <v>1286</v>
      </c>
      <c r="B276" t="s">
        <v>144</v>
      </c>
      <c r="C276">
        <v>81</v>
      </c>
      <c r="D276" t="str">
        <f>VLOOKUP(B276,Products!$A:$E,2,FALSE)</f>
        <v>Product_68</v>
      </c>
      <c r="E276" t="str">
        <f>VLOOKUP(B276,Products!$A:$E,3,FALSE)</f>
        <v>Accessories</v>
      </c>
    </row>
    <row r="277" spans="1:5" x14ac:dyDescent="0.3">
      <c r="A277" t="s">
        <v>1287</v>
      </c>
      <c r="B277" t="s">
        <v>394</v>
      </c>
      <c r="C277">
        <v>24</v>
      </c>
      <c r="D277" t="str">
        <f>VLOOKUP(B277,Products!$A:$E,2,FALSE)</f>
        <v>Product_193</v>
      </c>
      <c r="E277" t="str">
        <f>VLOOKUP(B277,Products!$A:$E,3,FALSE)</f>
        <v>Accessories</v>
      </c>
    </row>
    <row r="278" spans="1:5" x14ac:dyDescent="0.3">
      <c r="A278" t="s">
        <v>1288</v>
      </c>
      <c r="B278" t="s">
        <v>176</v>
      </c>
      <c r="C278">
        <v>28</v>
      </c>
      <c r="D278" t="str">
        <f>VLOOKUP(B278,Products!$A:$E,2,FALSE)</f>
        <v>Product_84</v>
      </c>
      <c r="E278" t="str">
        <f>VLOOKUP(B278,Products!$A:$E,3,FALSE)</f>
        <v>Electronics</v>
      </c>
    </row>
    <row r="279" spans="1:5" x14ac:dyDescent="0.3">
      <c r="A279" t="s">
        <v>1289</v>
      </c>
      <c r="B279" t="s">
        <v>860</v>
      </c>
      <c r="C279">
        <v>93</v>
      </c>
      <c r="D279" t="str">
        <f>VLOOKUP(B279,Products!$A:$E,2,FALSE)</f>
        <v>Product_426</v>
      </c>
      <c r="E279" t="str">
        <f>VLOOKUP(B279,Products!$A:$E,3,FALSE)</f>
        <v>Storage</v>
      </c>
    </row>
    <row r="280" spans="1:5" x14ac:dyDescent="0.3">
      <c r="A280" t="s">
        <v>1290</v>
      </c>
      <c r="B280" t="s">
        <v>798</v>
      </c>
      <c r="C280">
        <v>84</v>
      </c>
      <c r="D280" t="str">
        <f>VLOOKUP(B280,Products!$A:$E,2,FALSE)</f>
        <v>Product_395</v>
      </c>
      <c r="E280" t="str">
        <f>VLOOKUP(B280,Products!$A:$E,3,FALSE)</f>
        <v>Accessories</v>
      </c>
    </row>
    <row r="281" spans="1:5" x14ac:dyDescent="0.3">
      <c r="A281" t="s">
        <v>1291</v>
      </c>
      <c r="B281" t="s">
        <v>838</v>
      </c>
      <c r="C281">
        <v>26</v>
      </c>
      <c r="D281" t="str">
        <f>VLOOKUP(B281,Products!$A:$E,2,FALSE)</f>
        <v>Product_415</v>
      </c>
      <c r="E281" t="str">
        <f>VLOOKUP(B281,Products!$A:$E,3,FALSE)</f>
        <v>Networking</v>
      </c>
    </row>
    <row r="282" spans="1:5" x14ac:dyDescent="0.3">
      <c r="A282" t="s">
        <v>1292</v>
      </c>
      <c r="B282" t="s">
        <v>748</v>
      </c>
      <c r="C282">
        <v>61</v>
      </c>
      <c r="D282" t="str">
        <f>VLOOKUP(B282,Products!$A:$E,2,FALSE)</f>
        <v>Product_370</v>
      </c>
      <c r="E282" t="str">
        <f>VLOOKUP(B282,Products!$A:$E,3,FALSE)</f>
        <v>Networking</v>
      </c>
    </row>
    <row r="283" spans="1:5" x14ac:dyDescent="0.3">
      <c r="A283" t="s">
        <v>1293</v>
      </c>
      <c r="B283" t="s">
        <v>54</v>
      </c>
      <c r="C283">
        <v>57</v>
      </c>
      <c r="D283" t="str">
        <f>VLOOKUP(B283,Products!$A:$E,2,FALSE)</f>
        <v>Product_23</v>
      </c>
      <c r="E283" t="str">
        <f>VLOOKUP(B283,Products!$A:$E,3,FALSE)</f>
        <v>Accessories</v>
      </c>
    </row>
    <row r="284" spans="1:5" x14ac:dyDescent="0.3">
      <c r="A284" t="s">
        <v>1294</v>
      </c>
      <c r="B284" t="s">
        <v>382</v>
      </c>
      <c r="C284">
        <v>91</v>
      </c>
      <c r="D284" t="str">
        <f>VLOOKUP(B284,Products!$A:$E,2,FALSE)</f>
        <v>Product_187</v>
      </c>
      <c r="E284" t="str">
        <f>VLOOKUP(B284,Products!$A:$E,3,FALSE)</f>
        <v>Electronics</v>
      </c>
    </row>
    <row r="285" spans="1:5" x14ac:dyDescent="0.3">
      <c r="A285" t="s">
        <v>1295</v>
      </c>
      <c r="B285" t="s">
        <v>746</v>
      </c>
      <c r="C285">
        <v>35</v>
      </c>
      <c r="D285" t="str">
        <f>VLOOKUP(B285,Products!$A:$E,2,FALSE)</f>
        <v>Product_369</v>
      </c>
      <c r="E285" t="str">
        <f>VLOOKUP(B285,Products!$A:$E,3,FALSE)</f>
        <v>Accessories</v>
      </c>
    </row>
    <row r="286" spans="1:5" x14ac:dyDescent="0.3">
      <c r="A286" t="s">
        <v>1296</v>
      </c>
      <c r="B286" t="s">
        <v>1002</v>
      </c>
      <c r="C286">
        <v>61</v>
      </c>
      <c r="D286" t="str">
        <f>VLOOKUP(B286,Products!$A:$E,2,FALSE)</f>
        <v>Product_497</v>
      </c>
      <c r="E286" t="str">
        <f>VLOOKUP(B286,Products!$A:$E,3,FALSE)</f>
        <v>Office Supplies</v>
      </c>
    </row>
    <row r="287" spans="1:5" x14ac:dyDescent="0.3">
      <c r="A287" t="s">
        <v>1297</v>
      </c>
      <c r="B287" t="s">
        <v>634</v>
      </c>
      <c r="C287">
        <v>41</v>
      </c>
      <c r="D287" t="str">
        <f>VLOOKUP(B287,Products!$A:$E,2,FALSE)</f>
        <v>Product_313</v>
      </c>
      <c r="E287" t="str">
        <f>VLOOKUP(B287,Products!$A:$E,3,FALSE)</f>
        <v>Accessories</v>
      </c>
    </row>
    <row r="288" spans="1:5" x14ac:dyDescent="0.3">
      <c r="A288" t="s">
        <v>1298</v>
      </c>
      <c r="B288" t="s">
        <v>780</v>
      </c>
      <c r="C288">
        <v>100</v>
      </c>
      <c r="D288" t="str">
        <f>VLOOKUP(B288,Products!$A:$E,2,FALSE)</f>
        <v>Product_386</v>
      </c>
      <c r="E288" t="str">
        <f>VLOOKUP(B288,Products!$A:$E,3,FALSE)</f>
        <v>Electronics</v>
      </c>
    </row>
    <row r="289" spans="1:5" x14ac:dyDescent="0.3">
      <c r="A289" t="s">
        <v>1299</v>
      </c>
      <c r="B289" t="s">
        <v>812</v>
      </c>
      <c r="C289">
        <v>62</v>
      </c>
      <c r="D289" t="str">
        <f>VLOOKUP(B289,Products!$A:$E,2,FALSE)</f>
        <v>Product_402</v>
      </c>
      <c r="E289" t="str">
        <f>VLOOKUP(B289,Products!$A:$E,3,FALSE)</f>
        <v>Accessories</v>
      </c>
    </row>
    <row r="290" spans="1:5" x14ac:dyDescent="0.3">
      <c r="A290" t="s">
        <v>1300</v>
      </c>
      <c r="B290" t="s">
        <v>248</v>
      </c>
      <c r="C290">
        <v>73</v>
      </c>
      <c r="D290" t="str">
        <f>VLOOKUP(B290,Products!$A:$E,2,FALSE)</f>
        <v>Product_120</v>
      </c>
      <c r="E290" t="str">
        <f>VLOOKUP(B290,Products!$A:$E,3,FALSE)</f>
        <v>Accessories</v>
      </c>
    </row>
    <row r="291" spans="1:5" x14ac:dyDescent="0.3">
      <c r="A291" t="s">
        <v>1301</v>
      </c>
      <c r="B291" t="s">
        <v>254</v>
      </c>
      <c r="C291">
        <v>44</v>
      </c>
      <c r="D291" t="str">
        <f>VLOOKUP(B291,Products!$A:$E,2,FALSE)</f>
        <v>Product_123</v>
      </c>
      <c r="E291" t="str">
        <f>VLOOKUP(B291,Products!$A:$E,3,FALSE)</f>
        <v>Electronics</v>
      </c>
    </row>
    <row r="292" spans="1:5" x14ac:dyDescent="0.3">
      <c r="A292" t="s">
        <v>1302</v>
      </c>
      <c r="B292" t="s">
        <v>998</v>
      </c>
      <c r="C292">
        <v>65</v>
      </c>
      <c r="D292" t="str">
        <f>VLOOKUP(B292,Products!$A:$E,2,FALSE)</f>
        <v>Product_495</v>
      </c>
      <c r="E292" t="str">
        <f>VLOOKUP(B292,Products!$A:$E,3,FALSE)</f>
        <v>Networking</v>
      </c>
    </row>
    <row r="293" spans="1:5" x14ac:dyDescent="0.3">
      <c r="A293" t="s">
        <v>1303</v>
      </c>
      <c r="B293" t="s">
        <v>934</v>
      </c>
      <c r="C293">
        <v>29</v>
      </c>
      <c r="D293" t="str">
        <f>VLOOKUP(B293,Products!$A:$E,2,FALSE)</f>
        <v>Product_463</v>
      </c>
      <c r="E293" t="str">
        <f>VLOOKUP(B293,Products!$A:$E,3,FALSE)</f>
        <v>Networking</v>
      </c>
    </row>
    <row r="294" spans="1:5" x14ac:dyDescent="0.3">
      <c r="A294" t="s">
        <v>1304</v>
      </c>
      <c r="B294" t="s">
        <v>386</v>
      </c>
      <c r="C294">
        <v>91</v>
      </c>
      <c r="D294" t="str">
        <f>VLOOKUP(B294,Products!$A:$E,2,FALSE)</f>
        <v>Product_189</v>
      </c>
      <c r="E294" t="str">
        <f>VLOOKUP(B294,Products!$A:$E,3,FALSE)</f>
        <v>Electronics</v>
      </c>
    </row>
    <row r="295" spans="1:5" x14ac:dyDescent="0.3">
      <c r="A295" t="s">
        <v>1305</v>
      </c>
      <c r="B295" t="s">
        <v>978</v>
      </c>
      <c r="C295">
        <v>78</v>
      </c>
      <c r="D295" t="str">
        <f>VLOOKUP(B295,Products!$A:$E,2,FALSE)</f>
        <v>Product_485</v>
      </c>
      <c r="E295" t="str">
        <f>VLOOKUP(B295,Products!$A:$E,3,FALSE)</f>
        <v>Networking</v>
      </c>
    </row>
    <row r="296" spans="1:5" x14ac:dyDescent="0.3">
      <c r="A296" t="s">
        <v>1306</v>
      </c>
      <c r="B296" t="s">
        <v>460</v>
      </c>
      <c r="C296">
        <v>64</v>
      </c>
      <c r="D296" t="str">
        <f>VLOOKUP(B296,Products!$A:$E,2,FALSE)</f>
        <v>Product_226</v>
      </c>
      <c r="E296" t="str">
        <f>VLOOKUP(B296,Products!$A:$E,3,FALSE)</f>
        <v>Networking</v>
      </c>
    </row>
    <row r="297" spans="1:5" x14ac:dyDescent="0.3">
      <c r="A297" t="s">
        <v>1307</v>
      </c>
      <c r="B297" t="s">
        <v>796</v>
      </c>
      <c r="C297">
        <v>41</v>
      </c>
      <c r="D297" t="str">
        <f>VLOOKUP(B297,Products!$A:$E,2,FALSE)</f>
        <v>Product_394</v>
      </c>
      <c r="E297" t="str">
        <f>VLOOKUP(B297,Products!$A:$E,3,FALSE)</f>
        <v>Electronics</v>
      </c>
    </row>
    <row r="298" spans="1:5" x14ac:dyDescent="0.3">
      <c r="A298" t="s">
        <v>1308</v>
      </c>
      <c r="B298" t="s">
        <v>806</v>
      </c>
      <c r="C298">
        <v>53</v>
      </c>
      <c r="D298" t="str">
        <f>VLOOKUP(B298,Products!$A:$E,2,FALSE)</f>
        <v>Product_399</v>
      </c>
      <c r="E298" t="str">
        <f>VLOOKUP(B298,Products!$A:$E,3,FALSE)</f>
        <v>Networking</v>
      </c>
    </row>
    <row r="299" spans="1:5" x14ac:dyDescent="0.3">
      <c r="A299" t="s">
        <v>1309</v>
      </c>
      <c r="B299" t="s">
        <v>524</v>
      </c>
      <c r="C299">
        <v>72</v>
      </c>
      <c r="D299" t="str">
        <f>VLOOKUP(B299,Products!$A:$E,2,FALSE)</f>
        <v>Product_258</v>
      </c>
      <c r="E299" t="str">
        <f>VLOOKUP(B299,Products!$A:$E,3,FALSE)</f>
        <v>Networking</v>
      </c>
    </row>
    <row r="300" spans="1:5" x14ac:dyDescent="0.3">
      <c r="A300" t="s">
        <v>1310</v>
      </c>
      <c r="B300" t="s">
        <v>438</v>
      </c>
      <c r="C300">
        <v>25</v>
      </c>
      <c r="D300" t="str">
        <f>VLOOKUP(B300,Products!$A:$E,2,FALSE)</f>
        <v>Product_215</v>
      </c>
      <c r="E300" t="str">
        <f>VLOOKUP(B300,Products!$A:$E,3,FALSE)</f>
        <v>Electronics</v>
      </c>
    </row>
    <row r="301" spans="1:5" x14ac:dyDescent="0.3">
      <c r="A301" t="s">
        <v>1311</v>
      </c>
      <c r="B301" t="s">
        <v>846</v>
      </c>
      <c r="C301">
        <v>30</v>
      </c>
      <c r="D301" t="str">
        <f>VLOOKUP(B301,Products!$A:$E,2,FALSE)</f>
        <v>Product_419</v>
      </c>
      <c r="E301" t="str">
        <f>VLOOKUP(B301,Products!$A:$E,3,FALSE)</f>
        <v>Networking</v>
      </c>
    </row>
    <row r="302" spans="1:5" x14ac:dyDescent="0.3">
      <c r="A302" t="s">
        <v>1312</v>
      </c>
      <c r="B302" t="s">
        <v>830</v>
      </c>
      <c r="C302">
        <v>82</v>
      </c>
      <c r="D302" t="str">
        <f>VLOOKUP(B302,Products!$A:$E,2,FALSE)</f>
        <v>Product_411</v>
      </c>
      <c r="E302" t="str">
        <f>VLOOKUP(B302,Products!$A:$E,3,FALSE)</f>
        <v>Office Supplies</v>
      </c>
    </row>
    <row r="303" spans="1:5" x14ac:dyDescent="0.3">
      <c r="A303" t="s">
        <v>1313</v>
      </c>
      <c r="B303" t="s">
        <v>150</v>
      </c>
      <c r="C303">
        <v>37</v>
      </c>
      <c r="D303" t="str">
        <f>VLOOKUP(B303,Products!$A:$E,2,FALSE)</f>
        <v>Product_71</v>
      </c>
      <c r="E303" t="str">
        <f>VLOOKUP(B303,Products!$A:$E,3,FALSE)</f>
        <v>Accessories</v>
      </c>
    </row>
    <row r="304" spans="1:5" x14ac:dyDescent="0.3">
      <c r="A304" t="s">
        <v>1314</v>
      </c>
      <c r="B304" t="s">
        <v>62</v>
      </c>
      <c r="C304">
        <v>87</v>
      </c>
      <c r="D304" t="str">
        <f>VLOOKUP(B304,Products!$A:$E,2,FALSE)</f>
        <v>Product_27</v>
      </c>
      <c r="E304" t="str">
        <f>VLOOKUP(B304,Products!$A:$E,3,FALSE)</f>
        <v>Office Supplies</v>
      </c>
    </row>
    <row r="305" spans="1:5" x14ac:dyDescent="0.3">
      <c r="A305" t="s">
        <v>1315</v>
      </c>
      <c r="B305" t="s">
        <v>502</v>
      </c>
      <c r="C305">
        <v>52</v>
      </c>
      <c r="D305" t="str">
        <f>VLOOKUP(B305,Products!$A:$E,2,FALSE)</f>
        <v>Product_247</v>
      </c>
      <c r="E305" t="str">
        <f>VLOOKUP(B305,Products!$A:$E,3,FALSE)</f>
        <v>Networking</v>
      </c>
    </row>
    <row r="306" spans="1:5" x14ac:dyDescent="0.3">
      <c r="A306" t="s">
        <v>1316</v>
      </c>
      <c r="B306" t="s">
        <v>576</v>
      </c>
      <c r="C306">
        <v>18</v>
      </c>
      <c r="D306" t="str">
        <f>VLOOKUP(B306,Products!$A:$E,2,FALSE)</f>
        <v>Product_284</v>
      </c>
      <c r="E306" t="str">
        <f>VLOOKUP(B306,Products!$A:$E,3,FALSE)</f>
        <v>Networking</v>
      </c>
    </row>
    <row r="307" spans="1:5" x14ac:dyDescent="0.3">
      <c r="A307" t="s">
        <v>1317</v>
      </c>
      <c r="B307" t="s">
        <v>738</v>
      </c>
      <c r="C307">
        <v>71</v>
      </c>
      <c r="D307" t="str">
        <f>VLOOKUP(B307,Products!$A:$E,2,FALSE)</f>
        <v>Product_365</v>
      </c>
      <c r="E307" t="str">
        <f>VLOOKUP(B307,Products!$A:$E,3,FALSE)</f>
        <v>Storage</v>
      </c>
    </row>
    <row r="308" spans="1:5" x14ac:dyDescent="0.3">
      <c r="A308" t="s">
        <v>1318</v>
      </c>
      <c r="B308" t="s">
        <v>880</v>
      </c>
      <c r="C308">
        <v>20</v>
      </c>
      <c r="D308" t="str">
        <f>VLOOKUP(B308,Products!$A:$E,2,FALSE)</f>
        <v>Product_436</v>
      </c>
      <c r="E308" t="str">
        <f>VLOOKUP(B308,Products!$A:$E,3,FALSE)</f>
        <v>Networking</v>
      </c>
    </row>
    <row r="309" spans="1:5" x14ac:dyDescent="0.3">
      <c r="A309" t="s">
        <v>1319</v>
      </c>
      <c r="B309" t="s">
        <v>300</v>
      </c>
      <c r="C309">
        <v>15</v>
      </c>
      <c r="D309" t="str">
        <f>VLOOKUP(B309,Products!$A:$E,2,FALSE)</f>
        <v>Product_146</v>
      </c>
      <c r="E309" t="str">
        <f>VLOOKUP(B309,Products!$A:$E,3,FALSE)</f>
        <v>Office Supplies</v>
      </c>
    </row>
    <row r="310" spans="1:5" x14ac:dyDescent="0.3">
      <c r="A310" t="s">
        <v>1320</v>
      </c>
      <c r="B310" t="s">
        <v>790</v>
      </c>
      <c r="C310">
        <v>25</v>
      </c>
      <c r="D310" t="str">
        <f>VLOOKUP(B310,Products!$A:$E,2,FALSE)</f>
        <v>Product_391</v>
      </c>
      <c r="E310" t="str">
        <f>VLOOKUP(B310,Products!$A:$E,3,FALSE)</f>
        <v>Accessories</v>
      </c>
    </row>
    <row r="311" spans="1:5" x14ac:dyDescent="0.3">
      <c r="A311" t="s">
        <v>1321</v>
      </c>
      <c r="B311" t="s">
        <v>288</v>
      </c>
      <c r="C311">
        <v>62</v>
      </c>
      <c r="D311" t="str">
        <f>VLOOKUP(B311,Products!$A:$E,2,FALSE)</f>
        <v>Product_140</v>
      </c>
      <c r="E311" t="str">
        <f>VLOOKUP(B311,Products!$A:$E,3,FALSE)</f>
        <v>Electronics</v>
      </c>
    </row>
    <row r="312" spans="1:5" x14ac:dyDescent="0.3">
      <c r="A312" t="s">
        <v>1322</v>
      </c>
      <c r="B312" t="s">
        <v>936</v>
      </c>
      <c r="C312">
        <v>70</v>
      </c>
      <c r="D312" t="str">
        <f>VLOOKUP(B312,Products!$A:$E,2,FALSE)</f>
        <v>Product_464</v>
      </c>
      <c r="E312" t="str">
        <f>VLOOKUP(B312,Products!$A:$E,3,FALSE)</f>
        <v>Office Supplies</v>
      </c>
    </row>
    <row r="313" spans="1:5" x14ac:dyDescent="0.3">
      <c r="A313" t="s">
        <v>1323</v>
      </c>
      <c r="B313" t="s">
        <v>160</v>
      </c>
      <c r="C313">
        <v>60</v>
      </c>
      <c r="D313" t="str">
        <f>VLOOKUP(B313,Products!$A:$E,2,FALSE)</f>
        <v>Product_76</v>
      </c>
      <c r="E313" t="str">
        <f>VLOOKUP(B313,Products!$A:$E,3,FALSE)</f>
        <v>Accessories</v>
      </c>
    </row>
    <row r="314" spans="1:5" x14ac:dyDescent="0.3">
      <c r="A314" t="s">
        <v>1324</v>
      </c>
      <c r="B314" t="s">
        <v>102</v>
      </c>
      <c r="C314">
        <v>33</v>
      </c>
      <c r="D314" t="str">
        <f>VLOOKUP(B314,Products!$A:$E,2,FALSE)</f>
        <v>Product_47</v>
      </c>
      <c r="E314" t="str">
        <f>VLOOKUP(B314,Products!$A:$E,3,FALSE)</f>
        <v>Electronics</v>
      </c>
    </row>
    <row r="315" spans="1:5" x14ac:dyDescent="0.3">
      <c r="A315" t="s">
        <v>1325</v>
      </c>
      <c r="B315" t="s">
        <v>846</v>
      </c>
      <c r="C315">
        <v>62</v>
      </c>
      <c r="D315" t="str">
        <f>VLOOKUP(B315,Products!$A:$E,2,FALSE)</f>
        <v>Product_419</v>
      </c>
      <c r="E315" t="str">
        <f>VLOOKUP(B315,Products!$A:$E,3,FALSE)</f>
        <v>Networking</v>
      </c>
    </row>
    <row r="316" spans="1:5" x14ac:dyDescent="0.3">
      <c r="A316" t="s">
        <v>1326</v>
      </c>
      <c r="B316" t="s">
        <v>914</v>
      </c>
      <c r="C316">
        <v>49</v>
      </c>
      <c r="D316" t="str">
        <f>VLOOKUP(B316,Products!$A:$E,2,FALSE)</f>
        <v>Product_453</v>
      </c>
      <c r="E316" t="str">
        <f>VLOOKUP(B316,Products!$A:$E,3,FALSE)</f>
        <v>Office Supplies</v>
      </c>
    </row>
    <row r="317" spans="1:5" x14ac:dyDescent="0.3">
      <c r="A317" t="s">
        <v>1327</v>
      </c>
      <c r="B317" t="s">
        <v>962</v>
      </c>
      <c r="C317">
        <v>8</v>
      </c>
      <c r="D317" t="str">
        <f>VLOOKUP(B317,Products!$A:$E,2,FALSE)</f>
        <v>Product_477</v>
      </c>
      <c r="E317" t="str">
        <f>VLOOKUP(B317,Products!$A:$E,3,FALSE)</f>
        <v>Networking</v>
      </c>
    </row>
    <row r="318" spans="1:5" x14ac:dyDescent="0.3">
      <c r="A318" t="s">
        <v>1328</v>
      </c>
      <c r="B318" t="s">
        <v>434</v>
      </c>
      <c r="C318">
        <v>11</v>
      </c>
      <c r="D318" t="str">
        <f>VLOOKUP(B318,Products!$A:$E,2,FALSE)</f>
        <v>Product_213</v>
      </c>
      <c r="E318" t="str">
        <f>VLOOKUP(B318,Products!$A:$E,3,FALSE)</f>
        <v>Accessories</v>
      </c>
    </row>
    <row r="319" spans="1:5" x14ac:dyDescent="0.3">
      <c r="A319" t="s">
        <v>1329</v>
      </c>
      <c r="B319" t="s">
        <v>414</v>
      </c>
      <c r="C319">
        <v>69</v>
      </c>
      <c r="D319" t="str">
        <f>VLOOKUP(B319,Products!$A:$E,2,FALSE)</f>
        <v>Product_203</v>
      </c>
      <c r="E319" t="str">
        <f>VLOOKUP(B319,Products!$A:$E,3,FALSE)</f>
        <v>Accessories</v>
      </c>
    </row>
    <row r="320" spans="1:5" x14ac:dyDescent="0.3">
      <c r="A320" t="s">
        <v>1330</v>
      </c>
      <c r="B320" t="s">
        <v>392</v>
      </c>
      <c r="C320">
        <v>35</v>
      </c>
      <c r="D320" t="str">
        <f>VLOOKUP(B320,Products!$A:$E,2,FALSE)</f>
        <v>Product_192</v>
      </c>
      <c r="E320" t="str">
        <f>VLOOKUP(B320,Products!$A:$E,3,FALSE)</f>
        <v>Office Supplies</v>
      </c>
    </row>
    <row r="321" spans="1:5" x14ac:dyDescent="0.3">
      <c r="A321" t="s">
        <v>1331</v>
      </c>
      <c r="B321" t="s">
        <v>404</v>
      </c>
      <c r="C321">
        <v>15</v>
      </c>
      <c r="D321" t="str">
        <f>VLOOKUP(B321,Products!$A:$E,2,FALSE)</f>
        <v>Product_198</v>
      </c>
      <c r="E321" t="str">
        <f>VLOOKUP(B321,Products!$A:$E,3,FALSE)</f>
        <v>Accessories</v>
      </c>
    </row>
    <row r="322" spans="1:5" x14ac:dyDescent="0.3">
      <c r="A322" t="s">
        <v>1332</v>
      </c>
      <c r="B322" t="s">
        <v>392</v>
      </c>
      <c r="C322">
        <v>33</v>
      </c>
      <c r="D322" t="str">
        <f>VLOOKUP(B322,Products!$A:$E,2,FALSE)</f>
        <v>Product_192</v>
      </c>
      <c r="E322" t="str">
        <f>VLOOKUP(B322,Products!$A:$E,3,FALSE)</f>
        <v>Office Supplies</v>
      </c>
    </row>
    <row r="323" spans="1:5" x14ac:dyDescent="0.3">
      <c r="A323" t="s">
        <v>1333</v>
      </c>
      <c r="B323" t="s">
        <v>38</v>
      </c>
      <c r="C323">
        <v>45</v>
      </c>
      <c r="D323" t="str">
        <f>VLOOKUP(B323,Products!$A:$E,2,FALSE)</f>
        <v>Product_15</v>
      </c>
      <c r="E323" t="str">
        <f>VLOOKUP(B323,Products!$A:$E,3,FALSE)</f>
        <v>Electronics</v>
      </c>
    </row>
    <row r="324" spans="1:5" x14ac:dyDescent="0.3">
      <c r="A324" t="s">
        <v>1334</v>
      </c>
      <c r="B324" t="s">
        <v>962</v>
      </c>
      <c r="C324">
        <v>17</v>
      </c>
      <c r="D324" t="str">
        <f>VLOOKUP(B324,Products!$A:$E,2,FALSE)</f>
        <v>Product_477</v>
      </c>
      <c r="E324" t="str">
        <f>VLOOKUP(B324,Products!$A:$E,3,FALSE)</f>
        <v>Networking</v>
      </c>
    </row>
    <row r="325" spans="1:5" x14ac:dyDescent="0.3">
      <c r="A325" t="s">
        <v>1335</v>
      </c>
      <c r="B325" t="s">
        <v>868</v>
      </c>
      <c r="C325">
        <v>96</v>
      </c>
      <c r="D325" t="str">
        <f>VLOOKUP(B325,Products!$A:$E,2,FALSE)</f>
        <v>Product_430</v>
      </c>
      <c r="E325" t="str">
        <f>VLOOKUP(B325,Products!$A:$E,3,FALSE)</f>
        <v>Electronics</v>
      </c>
    </row>
    <row r="326" spans="1:5" x14ac:dyDescent="0.3">
      <c r="A326" t="s">
        <v>1336</v>
      </c>
      <c r="B326" t="s">
        <v>674</v>
      </c>
      <c r="C326">
        <v>47</v>
      </c>
      <c r="D326" t="str">
        <f>VLOOKUP(B326,Products!$A:$E,2,FALSE)</f>
        <v>Product_333</v>
      </c>
      <c r="E326" t="str">
        <f>VLOOKUP(B326,Products!$A:$E,3,FALSE)</f>
        <v>Storage</v>
      </c>
    </row>
    <row r="327" spans="1:5" x14ac:dyDescent="0.3">
      <c r="A327" t="s">
        <v>1337</v>
      </c>
      <c r="B327" t="s">
        <v>820</v>
      </c>
      <c r="C327">
        <v>23</v>
      </c>
      <c r="D327" t="str">
        <f>VLOOKUP(B327,Products!$A:$E,2,FALSE)</f>
        <v>Product_406</v>
      </c>
      <c r="E327" t="str">
        <f>VLOOKUP(B327,Products!$A:$E,3,FALSE)</f>
        <v>Office Supplies</v>
      </c>
    </row>
    <row r="328" spans="1:5" x14ac:dyDescent="0.3">
      <c r="A328" t="s">
        <v>1338</v>
      </c>
      <c r="B328" t="s">
        <v>150</v>
      </c>
      <c r="C328">
        <v>9</v>
      </c>
      <c r="D328" t="str">
        <f>VLOOKUP(B328,Products!$A:$E,2,FALSE)</f>
        <v>Product_71</v>
      </c>
      <c r="E328" t="str">
        <f>VLOOKUP(B328,Products!$A:$E,3,FALSE)</f>
        <v>Accessories</v>
      </c>
    </row>
    <row r="329" spans="1:5" x14ac:dyDescent="0.3">
      <c r="A329" t="s">
        <v>1339</v>
      </c>
      <c r="B329" t="s">
        <v>302</v>
      </c>
      <c r="C329">
        <v>65</v>
      </c>
      <c r="D329" t="str">
        <f>VLOOKUP(B329,Products!$A:$E,2,FALSE)</f>
        <v>Product_147</v>
      </c>
      <c r="E329" t="str">
        <f>VLOOKUP(B329,Products!$A:$E,3,FALSE)</f>
        <v>Networking</v>
      </c>
    </row>
    <row r="330" spans="1:5" x14ac:dyDescent="0.3">
      <c r="A330" t="s">
        <v>1340</v>
      </c>
      <c r="B330" t="s">
        <v>722</v>
      </c>
      <c r="C330">
        <v>22</v>
      </c>
      <c r="D330" t="str">
        <f>VLOOKUP(B330,Products!$A:$E,2,FALSE)</f>
        <v>Product_357</v>
      </c>
      <c r="E330" t="str">
        <f>VLOOKUP(B330,Products!$A:$E,3,FALSE)</f>
        <v>Accessories</v>
      </c>
    </row>
    <row r="331" spans="1:5" x14ac:dyDescent="0.3">
      <c r="A331" t="s">
        <v>1341</v>
      </c>
      <c r="B331" t="s">
        <v>786</v>
      </c>
      <c r="C331">
        <v>95</v>
      </c>
      <c r="D331" t="str">
        <f>VLOOKUP(B331,Products!$A:$E,2,FALSE)</f>
        <v>Product_389</v>
      </c>
      <c r="E331" t="str">
        <f>VLOOKUP(B331,Products!$A:$E,3,FALSE)</f>
        <v>Networking</v>
      </c>
    </row>
    <row r="332" spans="1:5" x14ac:dyDescent="0.3">
      <c r="A332" t="s">
        <v>1342</v>
      </c>
      <c r="B332" t="s">
        <v>490</v>
      </c>
      <c r="C332">
        <v>62</v>
      </c>
      <c r="D332" t="str">
        <f>VLOOKUP(B332,Products!$A:$E,2,FALSE)</f>
        <v>Product_241</v>
      </c>
      <c r="E332" t="str">
        <f>VLOOKUP(B332,Products!$A:$E,3,FALSE)</f>
        <v>Electronics</v>
      </c>
    </row>
    <row r="333" spans="1:5" x14ac:dyDescent="0.3">
      <c r="A333" t="s">
        <v>1343</v>
      </c>
      <c r="B333" t="s">
        <v>640</v>
      </c>
      <c r="C333">
        <v>5</v>
      </c>
      <c r="D333" t="str">
        <f>VLOOKUP(B333,Products!$A:$E,2,FALSE)</f>
        <v>Product_316</v>
      </c>
      <c r="E333" t="str">
        <f>VLOOKUP(B333,Products!$A:$E,3,FALSE)</f>
        <v>Networking</v>
      </c>
    </row>
    <row r="334" spans="1:5" x14ac:dyDescent="0.3">
      <c r="A334" t="s">
        <v>1344</v>
      </c>
      <c r="B334" t="s">
        <v>936</v>
      </c>
      <c r="C334">
        <v>15</v>
      </c>
      <c r="D334" t="str">
        <f>VLOOKUP(B334,Products!$A:$E,2,FALSE)</f>
        <v>Product_464</v>
      </c>
      <c r="E334" t="str">
        <f>VLOOKUP(B334,Products!$A:$E,3,FALSE)</f>
        <v>Office Supplies</v>
      </c>
    </row>
    <row r="335" spans="1:5" x14ac:dyDescent="0.3">
      <c r="A335" t="s">
        <v>1345</v>
      </c>
      <c r="B335" t="s">
        <v>28</v>
      </c>
      <c r="C335">
        <v>37</v>
      </c>
      <c r="D335" t="str">
        <f>VLOOKUP(B335,Products!$A:$E,2,FALSE)</f>
        <v>Product_10</v>
      </c>
      <c r="E335" t="str">
        <f>VLOOKUP(B335,Products!$A:$E,3,FALSE)</f>
        <v>Networking</v>
      </c>
    </row>
    <row r="336" spans="1:5" x14ac:dyDescent="0.3">
      <c r="A336" t="s">
        <v>1346</v>
      </c>
      <c r="B336" t="s">
        <v>230</v>
      </c>
      <c r="C336">
        <v>24</v>
      </c>
      <c r="D336" t="str">
        <f>VLOOKUP(B336,Products!$A:$E,2,FALSE)</f>
        <v>Product_111</v>
      </c>
      <c r="E336" t="str">
        <f>VLOOKUP(B336,Products!$A:$E,3,FALSE)</f>
        <v>Office Supplies</v>
      </c>
    </row>
    <row r="337" spans="1:5" x14ac:dyDescent="0.3">
      <c r="A337" t="s">
        <v>1347</v>
      </c>
      <c r="B337" t="s">
        <v>570</v>
      </c>
      <c r="C337">
        <v>98</v>
      </c>
      <c r="D337" t="str">
        <f>VLOOKUP(B337,Products!$A:$E,2,FALSE)</f>
        <v>Product_281</v>
      </c>
      <c r="E337" t="str">
        <f>VLOOKUP(B337,Products!$A:$E,3,FALSE)</f>
        <v>Office Supplies</v>
      </c>
    </row>
    <row r="338" spans="1:5" x14ac:dyDescent="0.3">
      <c r="A338" t="s">
        <v>1348</v>
      </c>
      <c r="B338" t="s">
        <v>632</v>
      </c>
      <c r="C338">
        <v>72</v>
      </c>
      <c r="D338" t="str">
        <f>VLOOKUP(B338,Products!$A:$E,2,FALSE)</f>
        <v>Product_312</v>
      </c>
      <c r="E338" t="str">
        <f>VLOOKUP(B338,Products!$A:$E,3,FALSE)</f>
        <v>Office Supplies</v>
      </c>
    </row>
    <row r="339" spans="1:5" x14ac:dyDescent="0.3">
      <c r="A339" t="s">
        <v>1349</v>
      </c>
      <c r="B339" t="s">
        <v>442</v>
      </c>
      <c r="C339">
        <v>19</v>
      </c>
      <c r="D339" t="str">
        <f>VLOOKUP(B339,Products!$A:$E,2,FALSE)</f>
        <v>Product_217</v>
      </c>
      <c r="E339" t="str">
        <f>VLOOKUP(B339,Products!$A:$E,3,FALSE)</f>
        <v>Networking</v>
      </c>
    </row>
    <row r="340" spans="1:5" x14ac:dyDescent="0.3">
      <c r="A340" t="s">
        <v>1350</v>
      </c>
      <c r="B340" t="s">
        <v>804</v>
      </c>
      <c r="C340">
        <v>41</v>
      </c>
      <c r="D340" t="str">
        <f>VLOOKUP(B340,Products!$A:$E,2,FALSE)</f>
        <v>Product_398</v>
      </c>
      <c r="E340" t="str">
        <f>VLOOKUP(B340,Products!$A:$E,3,FALSE)</f>
        <v>Networking</v>
      </c>
    </row>
    <row r="341" spans="1:5" x14ac:dyDescent="0.3">
      <c r="A341" t="s">
        <v>1351</v>
      </c>
      <c r="B341" t="s">
        <v>252</v>
      </c>
      <c r="C341">
        <v>43</v>
      </c>
      <c r="D341" t="str">
        <f>VLOOKUP(B341,Products!$A:$E,2,FALSE)</f>
        <v>Product_122</v>
      </c>
      <c r="E341" t="str">
        <f>VLOOKUP(B341,Products!$A:$E,3,FALSE)</f>
        <v>Storage</v>
      </c>
    </row>
    <row r="342" spans="1:5" x14ac:dyDescent="0.3">
      <c r="A342" t="s">
        <v>1352</v>
      </c>
      <c r="B342" t="s">
        <v>134</v>
      </c>
      <c r="C342">
        <v>11</v>
      </c>
      <c r="D342" t="str">
        <f>VLOOKUP(B342,Products!$A:$E,2,FALSE)</f>
        <v>Product_63</v>
      </c>
      <c r="E342" t="str">
        <f>VLOOKUP(B342,Products!$A:$E,3,FALSE)</f>
        <v>Accessories</v>
      </c>
    </row>
    <row r="343" spans="1:5" x14ac:dyDescent="0.3">
      <c r="A343" t="s">
        <v>1353</v>
      </c>
      <c r="B343" t="s">
        <v>254</v>
      </c>
      <c r="C343">
        <v>58</v>
      </c>
      <c r="D343" t="str">
        <f>VLOOKUP(B343,Products!$A:$E,2,FALSE)</f>
        <v>Product_123</v>
      </c>
      <c r="E343" t="str">
        <f>VLOOKUP(B343,Products!$A:$E,3,FALSE)</f>
        <v>Electronics</v>
      </c>
    </row>
    <row r="344" spans="1:5" x14ac:dyDescent="0.3">
      <c r="A344" t="s">
        <v>1354</v>
      </c>
      <c r="B344" t="s">
        <v>664</v>
      </c>
      <c r="C344">
        <v>84</v>
      </c>
      <c r="D344" t="str">
        <f>VLOOKUP(B344,Products!$A:$E,2,FALSE)</f>
        <v>Product_328</v>
      </c>
      <c r="E344" t="str">
        <f>VLOOKUP(B344,Products!$A:$E,3,FALSE)</f>
        <v>Office Supplies</v>
      </c>
    </row>
    <row r="345" spans="1:5" x14ac:dyDescent="0.3">
      <c r="A345" t="s">
        <v>1355</v>
      </c>
      <c r="B345" t="s">
        <v>478</v>
      </c>
      <c r="C345">
        <v>13</v>
      </c>
      <c r="D345" t="str">
        <f>VLOOKUP(B345,Products!$A:$E,2,FALSE)</f>
        <v>Product_235</v>
      </c>
      <c r="E345" t="str">
        <f>VLOOKUP(B345,Products!$A:$E,3,FALSE)</f>
        <v>Accessories</v>
      </c>
    </row>
    <row r="346" spans="1:5" x14ac:dyDescent="0.3">
      <c r="A346" t="s">
        <v>1356</v>
      </c>
      <c r="B346" t="s">
        <v>122</v>
      </c>
      <c r="C346">
        <v>68</v>
      </c>
      <c r="D346" t="str">
        <f>VLOOKUP(B346,Products!$A:$E,2,FALSE)</f>
        <v>Product_57</v>
      </c>
      <c r="E346" t="str">
        <f>VLOOKUP(B346,Products!$A:$E,3,FALSE)</f>
        <v>Electronics</v>
      </c>
    </row>
    <row r="347" spans="1:5" x14ac:dyDescent="0.3">
      <c r="A347" t="s">
        <v>1357</v>
      </c>
      <c r="B347" t="s">
        <v>620</v>
      </c>
      <c r="C347">
        <v>73</v>
      </c>
      <c r="D347" t="str">
        <f>VLOOKUP(B347,Products!$A:$E,2,FALSE)</f>
        <v>Product_306</v>
      </c>
      <c r="E347" t="str">
        <f>VLOOKUP(B347,Products!$A:$E,3,FALSE)</f>
        <v>Accessories</v>
      </c>
    </row>
    <row r="348" spans="1:5" x14ac:dyDescent="0.3">
      <c r="A348" t="s">
        <v>1358</v>
      </c>
      <c r="B348" t="s">
        <v>26</v>
      </c>
      <c r="C348">
        <v>85</v>
      </c>
      <c r="D348" t="str">
        <f>VLOOKUP(B348,Products!$A:$E,2,FALSE)</f>
        <v>Product_9</v>
      </c>
      <c r="E348" t="str">
        <f>VLOOKUP(B348,Products!$A:$E,3,FALSE)</f>
        <v>Storage</v>
      </c>
    </row>
    <row r="349" spans="1:5" x14ac:dyDescent="0.3">
      <c r="A349" t="s">
        <v>1359</v>
      </c>
      <c r="B349" t="s">
        <v>536</v>
      </c>
      <c r="C349">
        <v>78</v>
      </c>
      <c r="D349" t="str">
        <f>VLOOKUP(B349,Products!$A:$E,2,FALSE)</f>
        <v>Product_264</v>
      </c>
      <c r="E349" t="str">
        <f>VLOOKUP(B349,Products!$A:$E,3,FALSE)</f>
        <v>Electronics</v>
      </c>
    </row>
    <row r="350" spans="1:5" x14ac:dyDescent="0.3">
      <c r="A350" t="s">
        <v>1360</v>
      </c>
      <c r="B350" t="s">
        <v>256</v>
      </c>
      <c r="C350">
        <v>96</v>
      </c>
      <c r="D350" t="str">
        <f>VLOOKUP(B350,Products!$A:$E,2,FALSE)</f>
        <v>Product_124</v>
      </c>
      <c r="E350" t="str">
        <f>VLOOKUP(B350,Products!$A:$E,3,FALSE)</f>
        <v>Storage</v>
      </c>
    </row>
    <row r="351" spans="1:5" x14ac:dyDescent="0.3">
      <c r="A351" t="s">
        <v>1361</v>
      </c>
      <c r="B351" t="s">
        <v>156</v>
      </c>
      <c r="C351">
        <v>42</v>
      </c>
      <c r="D351" t="str">
        <f>VLOOKUP(B351,Products!$A:$E,2,FALSE)</f>
        <v>Product_74</v>
      </c>
      <c r="E351" t="str">
        <f>VLOOKUP(B351,Products!$A:$E,3,FALSE)</f>
        <v>Storage</v>
      </c>
    </row>
    <row r="352" spans="1:5" x14ac:dyDescent="0.3">
      <c r="A352" t="s">
        <v>1362</v>
      </c>
      <c r="B352" t="s">
        <v>448</v>
      </c>
      <c r="C352">
        <v>5</v>
      </c>
      <c r="D352" t="str">
        <f>VLOOKUP(B352,Products!$A:$E,2,FALSE)</f>
        <v>Product_220</v>
      </c>
      <c r="E352" t="str">
        <f>VLOOKUP(B352,Products!$A:$E,3,FALSE)</f>
        <v>Storage</v>
      </c>
    </row>
    <row r="353" spans="1:5" x14ac:dyDescent="0.3">
      <c r="A353" t="s">
        <v>1363</v>
      </c>
      <c r="B353" t="s">
        <v>638</v>
      </c>
      <c r="C353">
        <v>50</v>
      </c>
      <c r="D353" t="str">
        <f>VLOOKUP(B353,Products!$A:$E,2,FALSE)</f>
        <v>Product_315</v>
      </c>
      <c r="E353" t="str">
        <f>VLOOKUP(B353,Products!$A:$E,3,FALSE)</f>
        <v>Accessories</v>
      </c>
    </row>
    <row r="354" spans="1:5" x14ac:dyDescent="0.3">
      <c r="A354" t="s">
        <v>1364</v>
      </c>
      <c r="B354" t="s">
        <v>256</v>
      </c>
      <c r="C354">
        <v>78</v>
      </c>
      <c r="D354" t="str">
        <f>VLOOKUP(B354,Products!$A:$E,2,FALSE)</f>
        <v>Product_124</v>
      </c>
      <c r="E354" t="str">
        <f>VLOOKUP(B354,Products!$A:$E,3,FALSE)</f>
        <v>Storage</v>
      </c>
    </row>
    <row r="355" spans="1:5" x14ac:dyDescent="0.3">
      <c r="A355" t="s">
        <v>1365</v>
      </c>
      <c r="B355" t="s">
        <v>436</v>
      </c>
      <c r="C355">
        <v>28</v>
      </c>
      <c r="D355" t="str">
        <f>VLOOKUP(B355,Products!$A:$E,2,FALSE)</f>
        <v>Product_214</v>
      </c>
      <c r="E355" t="str">
        <f>VLOOKUP(B355,Products!$A:$E,3,FALSE)</f>
        <v>Electronics</v>
      </c>
    </row>
    <row r="356" spans="1:5" x14ac:dyDescent="0.3">
      <c r="A356" t="s">
        <v>1366</v>
      </c>
      <c r="B356" t="s">
        <v>690</v>
      </c>
      <c r="C356">
        <v>90</v>
      </c>
      <c r="D356" t="str">
        <f>VLOOKUP(B356,Products!$A:$E,2,FALSE)</f>
        <v>Product_341</v>
      </c>
      <c r="E356" t="str">
        <f>VLOOKUP(B356,Products!$A:$E,3,FALSE)</f>
        <v>Storage</v>
      </c>
    </row>
    <row r="357" spans="1:5" x14ac:dyDescent="0.3">
      <c r="A357" t="s">
        <v>1367</v>
      </c>
      <c r="B357" t="s">
        <v>96</v>
      </c>
      <c r="C357">
        <v>72</v>
      </c>
      <c r="D357" t="str">
        <f>VLOOKUP(B357,Products!$A:$E,2,FALSE)</f>
        <v>Product_44</v>
      </c>
      <c r="E357" t="str">
        <f>VLOOKUP(B357,Products!$A:$E,3,FALSE)</f>
        <v>Storage</v>
      </c>
    </row>
    <row r="358" spans="1:5" x14ac:dyDescent="0.3">
      <c r="A358" t="s">
        <v>1368</v>
      </c>
      <c r="B358" t="s">
        <v>1008</v>
      </c>
      <c r="C358">
        <v>51</v>
      </c>
      <c r="D358" t="str">
        <f>VLOOKUP(B358,Products!$A:$E,2,FALSE)</f>
        <v>Product_500</v>
      </c>
      <c r="E358" t="str">
        <f>VLOOKUP(B358,Products!$A:$E,3,FALSE)</f>
        <v>Networking</v>
      </c>
    </row>
    <row r="359" spans="1:5" x14ac:dyDescent="0.3">
      <c r="A359" t="s">
        <v>1369</v>
      </c>
      <c r="B359" t="s">
        <v>78</v>
      </c>
      <c r="C359">
        <v>72</v>
      </c>
      <c r="D359" t="str">
        <f>VLOOKUP(B359,Products!$A:$E,2,FALSE)</f>
        <v>Product_35</v>
      </c>
      <c r="E359" t="str">
        <f>VLOOKUP(B359,Products!$A:$E,3,FALSE)</f>
        <v>Electronics</v>
      </c>
    </row>
    <row r="360" spans="1:5" x14ac:dyDescent="0.3">
      <c r="A360" t="s">
        <v>1370</v>
      </c>
      <c r="B360" t="s">
        <v>566</v>
      </c>
      <c r="C360">
        <v>69</v>
      </c>
      <c r="D360" t="str">
        <f>VLOOKUP(B360,Products!$A:$E,2,FALSE)</f>
        <v>Product_279</v>
      </c>
      <c r="E360" t="str">
        <f>VLOOKUP(B360,Products!$A:$E,3,FALSE)</f>
        <v>Networking</v>
      </c>
    </row>
    <row r="361" spans="1:5" x14ac:dyDescent="0.3">
      <c r="A361" t="s">
        <v>1371</v>
      </c>
      <c r="B361" t="s">
        <v>814</v>
      </c>
      <c r="C361">
        <v>69</v>
      </c>
      <c r="D361" t="str">
        <f>VLOOKUP(B361,Products!$A:$E,2,FALSE)</f>
        <v>Product_403</v>
      </c>
      <c r="E361" t="str">
        <f>VLOOKUP(B361,Products!$A:$E,3,FALSE)</f>
        <v>Networking</v>
      </c>
    </row>
    <row r="362" spans="1:5" x14ac:dyDescent="0.3">
      <c r="A362" t="s">
        <v>1372</v>
      </c>
      <c r="B362" t="s">
        <v>576</v>
      </c>
      <c r="C362">
        <v>7</v>
      </c>
      <c r="D362" t="str">
        <f>VLOOKUP(B362,Products!$A:$E,2,FALSE)</f>
        <v>Product_284</v>
      </c>
      <c r="E362" t="str">
        <f>VLOOKUP(B362,Products!$A:$E,3,FALSE)</f>
        <v>Networking</v>
      </c>
    </row>
    <row r="363" spans="1:5" x14ac:dyDescent="0.3">
      <c r="A363" t="s">
        <v>1373</v>
      </c>
      <c r="B363" t="s">
        <v>408</v>
      </c>
      <c r="C363">
        <v>65</v>
      </c>
      <c r="D363" t="str">
        <f>VLOOKUP(B363,Products!$A:$E,2,FALSE)</f>
        <v>Product_200</v>
      </c>
      <c r="E363" t="str">
        <f>VLOOKUP(B363,Products!$A:$E,3,FALSE)</f>
        <v>Office Supplies</v>
      </c>
    </row>
    <row r="364" spans="1:5" x14ac:dyDescent="0.3">
      <c r="A364" t="s">
        <v>1374</v>
      </c>
      <c r="B364" t="s">
        <v>54</v>
      </c>
      <c r="C364">
        <v>86</v>
      </c>
      <c r="D364" t="str">
        <f>VLOOKUP(B364,Products!$A:$E,2,FALSE)</f>
        <v>Product_23</v>
      </c>
      <c r="E364" t="str">
        <f>VLOOKUP(B364,Products!$A:$E,3,FALSE)</f>
        <v>Accessories</v>
      </c>
    </row>
    <row r="365" spans="1:5" x14ac:dyDescent="0.3">
      <c r="A365" t="s">
        <v>1375</v>
      </c>
      <c r="B365" t="s">
        <v>406</v>
      </c>
      <c r="C365">
        <v>52</v>
      </c>
      <c r="D365" t="str">
        <f>VLOOKUP(B365,Products!$A:$E,2,FALSE)</f>
        <v>Product_199</v>
      </c>
      <c r="E365" t="str">
        <f>VLOOKUP(B365,Products!$A:$E,3,FALSE)</f>
        <v>Storage</v>
      </c>
    </row>
    <row r="366" spans="1:5" x14ac:dyDescent="0.3">
      <c r="A366" t="s">
        <v>1376</v>
      </c>
      <c r="B366" t="s">
        <v>268</v>
      </c>
      <c r="C366">
        <v>100</v>
      </c>
      <c r="D366" t="str">
        <f>VLOOKUP(B366,Products!$A:$E,2,FALSE)</f>
        <v>Product_130</v>
      </c>
      <c r="E366" t="str">
        <f>VLOOKUP(B366,Products!$A:$E,3,FALSE)</f>
        <v>Storage</v>
      </c>
    </row>
    <row r="367" spans="1:5" x14ac:dyDescent="0.3">
      <c r="A367" t="s">
        <v>1377</v>
      </c>
      <c r="B367" t="s">
        <v>26</v>
      </c>
      <c r="C367">
        <v>50</v>
      </c>
      <c r="D367" t="str">
        <f>VLOOKUP(B367,Products!$A:$E,2,FALSE)</f>
        <v>Product_9</v>
      </c>
      <c r="E367" t="str">
        <f>VLOOKUP(B367,Products!$A:$E,3,FALSE)</f>
        <v>Storage</v>
      </c>
    </row>
    <row r="368" spans="1:5" x14ac:dyDescent="0.3">
      <c r="A368" t="s">
        <v>1378</v>
      </c>
      <c r="B368" t="s">
        <v>816</v>
      </c>
      <c r="C368">
        <v>13</v>
      </c>
      <c r="D368" t="str">
        <f>VLOOKUP(B368,Products!$A:$E,2,FALSE)</f>
        <v>Product_404</v>
      </c>
      <c r="E368" t="str">
        <f>VLOOKUP(B368,Products!$A:$E,3,FALSE)</f>
        <v>Storage</v>
      </c>
    </row>
    <row r="369" spans="1:5" x14ac:dyDescent="0.3">
      <c r="A369" t="s">
        <v>1379</v>
      </c>
      <c r="B369" t="s">
        <v>362</v>
      </c>
      <c r="C369">
        <v>35</v>
      </c>
      <c r="D369" t="str">
        <f>VLOOKUP(B369,Products!$A:$E,2,FALSE)</f>
        <v>Product_177</v>
      </c>
      <c r="E369" t="str">
        <f>VLOOKUP(B369,Products!$A:$E,3,FALSE)</f>
        <v>Office Supplies</v>
      </c>
    </row>
    <row r="370" spans="1:5" x14ac:dyDescent="0.3">
      <c r="A370" t="s">
        <v>1380</v>
      </c>
      <c r="B370" t="s">
        <v>760</v>
      </c>
      <c r="C370">
        <v>89</v>
      </c>
      <c r="D370" t="str">
        <f>VLOOKUP(B370,Products!$A:$E,2,FALSE)</f>
        <v>Product_376</v>
      </c>
      <c r="E370" t="str">
        <f>VLOOKUP(B370,Products!$A:$E,3,FALSE)</f>
        <v>Networking</v>
      </c>
    </row>
    <row r="371" spans="1:5" x14ac:dyDescent="0.3">
      <c r="A371" t="s">
        <v>1381</v>
      </c>
      <c r="B371" t="s">
        <v>652</v>
      </c>
      <c r="C371">
        <v>18</v>
      </c>
      <c r="D371" t="str">
        <f>VLOOKUP(B371,Products!$A:$E,2,FALSE)</f>
        <v>Product_322</v>
      </c>
      <c r="E371" t="str">
        <f>VLOOKUP(B371,Products!$A:$E,3,FALSE)</f>
        <v>Accessories</v>
      </c>
    </row>
    <row r="372" spans="1:5" x14ac:dyDescent="0.3">
      <c r="A372" t="s">
        <v>1382</v>
      </c>
      <c r="B372" t="s">
        <v>800</v>
      </c>
      <c r="C372">
        <v>79</v>
      </c>
      <c r="D372" t="str">
        <f>VLOOKUP(B372,Products!$A:$E,2,FALSE)</f>
        <v>Product_396</v>
      </c>
      <c r="E372" t="str">
        <f>VLOOKUP(B372,Products!$A:$E,3,FALSE)</f>
        <v>Office Supplies</v>
      </c>
    </row>
    <row r="373" spans="1:5" x14ac:dyDescent="0.3">
      <c r="A373" t="s">
        <v>1383</v>
      </c>
      <c r="B373" t="s">
        <v>762</v>
      </c>
      <c r="C373">
        <v>47</v>
      </c>
      <c r="D373" t="str">
        <f>VLOOKUP(B373,Products!$A:$E,2,FALSE)</f>
        <v>Product_377</v>
      </c>
      <c r="E373" t="str">
        <f>VLOOKUP(B373,Products!$A:$E,3,FALSE)</f>
        <v>Networking</v>
      </c>
    </row>
    <row r="374" spans="1:5" x14ac:dyDescent="0.3">
      <c r="A374" t="s">
        <v>1384</v>
      </c>
      <c r="B374" t="s">
        <v>146</v>
      </c>
      <c r="C374">
        <v>10</v>
      </c>
      <c r="D374" t="str">
        <f>VLOOKUP(B374,Products!$A:$E,2,FALSE)</f>
        <v>Product_69</v>
      </c>
      <c r="E374" t="str">
        <f>VLOOKUP(B374,Products!$A:$E,3,FALSE)</f>
        <v>Electronics</v>
      </c>
    </row>
    <row r="375" spans="1:5" x14ac:dyDescent="0.3">
      <c r="A375" t="s">
        <v>1385</v>
      </c>
      <c r="B375" t="s">
        <v>370</v>
      </c>
      <c r="C375">
        <v>74</v>
      </c>
      <c r="D375" t="str">
        <f>VLOOKUP(B375,Products!$A:$E,2,FALSE)</f>
        <v>Product_181</v>
      </c>
      <c r="E375" t="str">
        <f>VLOOKUP(B375,Products!$A:$E,3,FALSE)</f>
        <v>Storage</v>
      </c>
    </row>
    <row r="376" spans="1:5" x14ac:dyDescent="0.3">
      <c r="A376" t="s">
        <v>1386</v>
      </c>
      <c r="B376" t="s">
        <v>356</v>
      </c>
      <c r="C376">
        <v>87</v>
      </c>
      <c r="D376" t="str">
        <f>VLOOKUP(B376,Products!$A:$E,2,FALSE)</f>
        <v>Product_174</v>
      </c>
      <c r="E376" t="str">
        <f>VLOOKUP(B376,Products!$A:$E,3,FALSE)</f>
        <v>Storage</v>
      </c>
    </row>
    <row r="377" spans="1:5" x14ac:dyDescent="0.3">
      <c r="A377" t="s">
        <v>1387</v>
      </c>
      <c r="B377" t="s">
        <v>188</v>
      </c>
      <c r="C377">
        <v>92</v>
      </c>
      <c r="D377" t="str">
        <f>VLOOKUP(B377,Products!$A:$E,2,FALSE)</f>
        <v>Product_90</v>
      </c>
      <c r="E377" t="str">
        <f>VLOOKUP(B377,Products!$A:$E,3,FALSE)</f>
        <v>Accessories</v>
      </c>
    </row>
    <row r="378" spans="1:5" x14ac:dyDescent="0.3">
      <c r="A378" t="s">
        <v>1388</v>
      </c>
      <c r="B378" t="s">
        <v>484</v>
      </c>
      <c r="C378">
        <v>94</v>
      </c>
      <c r="D378" t="str">
        <f>VLOOKUP(B378,Products!$A:$E,2,FALSE)</f>
        <v>Product_238</v>
      </c>
      <c r="E378" t="str">
        <f>VLOOKUP(B378,Products!$A:$E,3,FALSE)</f>
        <v>Accessories</v>
      </c>
    </row>
    <row r="379" spans="1:5" x14ac:dyDescent="0.3">
      <c r="A379" t="s">
        <v>1389</v>
      </c>
      <c r="B379" t="s">
        <v>500</v>
      </c>
      <c r="C379">
        <v>85</v>
      </c>
      <c r="D379" t="str">
        <f>VLOOKUP(B379,Products!$A:$E,2,FALSE)</f>
        <v>Product_246</v>
      </c>
      <c r="E379" t="str">
        <f>VLOOKUP(B379,Products!$A:$E,3,FALSE)</f>
        <v>Electronics</v>
      </c>
    </row>
    <row r="380" spans="1:5" x14ac:dyDescent="0.3">
      <c r="A380" t="s">
        <v>1390</v>
      </c>
      <c r="B380" t="s">
        <v>196</v>
      </c>
      <c r="C380">
        <v>22</v>
      </c>
      <c r="D380" t="str">
        <f>VLOOKUP(B380,Products!$A:$E,2,FALSE)</f>
        <v>Product_94</v>
      </c>
      <c r="E380" t="str">
        <f>VLOOKUP(B380,Products!$A:$E,3,FALSE)</f>
        <v>Networking</v>
      </c>
    </row>
    <row r="381" spans="1:5" x14ac:dyDescent="0.3">
      <c r="A381" t="s">
        <v>1391</v>
      </c>
      <c r="B381" t="s">
        <v>74</v>
      </c>
      <c r="C381">
        <v>96</v>
      </c>
      <c r="D381" t="str">
        <f>VLOOKUP(B381,Products!$A:$E,2,FALSE)</f>
        <v>Product_33</v>
      </c>
      <c r="E381" t="str">
        <f>VLOOKUP(B381,Products!$A:$E,3,FALSE)</f>
        <v>Storage</v>
      </c>
    </row>
    <row r="382" spans="1:5" x14ac:dyDescent="0.3">
      <c r="A382" t="s">
        <v>1392</v>
      </c>
      <c r="B382" t="s">
        <v>804</v>
      </c>
      <c r="C382">
        <v>63</v>
      </c>
      <c r="D382" t="str">
        <f>VLOOKUP(B382,Products!$A:$E,2,FALSE)</f>
        <v>Product_398</v>
      </c>
      <c r="E382" t="str">
        <f>VLOOKUP(B382,Products!$A:$E,3,FALSE)</f>
        <v>Networking</v>
      </c>
    </row>
    <row r="383" spans="1:5" x14ac:dyDescent="0.3">
      <c r="A383" t="s">
        <v>1393</v>
      </c>
      <c r="B383" t="s">
        <v>46</v>
      </c>
      <c r="C383">
        <v>42</v>
      </c>
      <c r="D383" t="str">
        <f>VLOOKUP(B383,Products!$A:$E,2,FALSE)</f>
        <v>Product_19</v>
      </c>
      <c r="E383" t="str">
        <f>VLOOKUP(B383,Products!$A:$E,3,FALSE)</f>
        <v>Networking</v>
      </c>
    </row>
    <row r="384" spans="1:5" x14ac:dyDescent="0.3">
      <c r="A384" t="s">
        <v>1394</v>
      </c>
      <c r="B384" t="s">
        <v>216</v>
      </c>
      <c r="C384">
        <v>10</v>
      </c>
      <c r="D384" t="str">
        <f>VLOOKUP(B384,Products!$A:$E,2,FALSE)</f>
        <v>Product_104</v>
      </c>
      <c r="E384" t="str">
        <f>VLOOKUP(B384,Products!$A:$E,3,FALSE)</f>
        <v>Networking</v>
      </c>
    </row>
    <row r="385" spans="1:5" x14ac:dyDescent="0.3">
      <c r="A385" t="s">
        <v>1395</v>
      </c>
      <c r="B385" t="s">
        <v>820</v>
      </c>
      <c r="C385">
        <v>30</v>
      </c>
      <c r="D385" t="str">
        <f>VLOOKUP(B385,Products!$A:$E,2,FALSE)</f>
        <v>Product_406</v>
      </c>
      <c r="E385" t="str">
        <f>VLOOKUP(B385,Products!$A:$E,3,FALSE)</f>
        <v>Office Supplies</v>
      </c>
    </row>
    <row r="386" spans="1:5" x14ac:dyDescent="0.3">
      <c r="A386" t="s">
        <v>1396</v>
      </c>
      <c r="B386" t="s">
        <v>916</v>
      </c>
      <c r="C386">
        <v>10</v>
      </c>
      <c r="D386" t="str">
        <f>VLOOKUP(B386,Products!$A:$E,2,FALSE)</f>
        <v>Product_454</v>
      </c>
      <c r="E386" t="str">
        <f>VLOOKUP(B386,Products!$A:$E,3,FALSE)</f>
        <v>Networking</v>
      </c>
    </row>
    <row r="387" spans="1:5" x14ac:dyDescent="0.3">
      <c r="A387" t="s">
        <v>1397</v>
      </c>
      <c r="B387" t="s">
        <v>332</v>
      </c>
      <c r="C387">
        <v>44</v>
      </c>
      <c r="D387" t="str">
        <f>VLOOKUP(B387,Products!$A:$E,2,FALSE)</f>
        <v>Product_162</v>
      </c>
      <c r="E387" t="str">
        <f>VLOOKUP(B387,Products!$A:$E,3,FALSE)</f>
        <v>Accessories</v>
      </c>
    </row>
    <row r="388" spans="1:5" x14ac:dyDescent="0.3">
      <c r="A388" t="s">
        <v>1398</v>
      </c>
      <c r="B388" t="s">
        <v>536</v>
      </c>
      <c r="C388">
        <v>55</v>
      </c>
      <c r="D388" t="str">
        <f>VLOOKUP(B388,Products!$A:$E,2,FALSE)</f>
        <v>Product_264</v>
      </c>
      <c r="E388" t="str">
        <f>VLOOKUP(B388,Products!$A:$E,3,FALSE)</f>
        <v>Electronics</v>
      </c>
    </row>
    <row r="389" spans="1:5" x14ac:dyDescent="0.3">
      <c r="A389" t="s">
        <v>1399</v>
      </c>
      <c r="B389" t="s">
        <v>844</v>
      </c>
      <c r="C389">
        <v>74</v>
      </c>
      <c r="D389" t="str">
        <f>VLOOKUP(B389,Products!$A:$E,2,FALSE)</f>
        <v>Product_418</v>
      </c>
      <c r="E389" t="str">
        <f>VLOOKUP(B389,Products!$A:$E,3,FALSE)</f>
        <v>Office Supplies</v>
      </c>
    </row>
    <row r="390" spans="1:5" x14ac:dyDescent="0.3">
      <c r="A390" t="s">
        <v>1400</v>
      </c>
      <c r="B390" t="s">
        <v>494</v>
      </c>
      <c r="C390">
        <v>37</v>
      </c>
      <c r="D390" t="str">
        <f>VLOOKUP(B390,Products!$A:$E,2,FALSE)</f>
        <v>Product_243</v>
      </c>
      <c r="E390" t="str">
        <f>VLOOKUP(B390,Products!$A:$E,3,FALSE)</f>
        <v>Storage</v>
      </c>
    </row>
    <row r="391" spans="1:5" x14ac:dyDescent="0.3">
      <c r="A391" t="s">
        <v>1401</v>
      </c>
      <c r="B391" t="s">
        <v>46</v>
      </c>
      <c r="C391">
        <v>87</v>
      </c>
      <c r="D391" t="str">
        <f>VLOOKUP(B391,Products!$A:$E,2,FALSE)</f>
        <v>Product_19</v>
      </c>
      <c r="E391" t="str">
        <f>VLOOKUP(B391,Products!$A:$E,3,FALSE)</f>
        <v>Networking</v>
      </c>
    </row>
    <row r="392" spans="1:5" x14ac:dyDescent="0.3">
      <c r="A392" t="s">
        <v>1402</v>
      </c>
      <c r="B392" t="s">
        <v>204</v>
      </c>
      <c r="C392">
        <v>41</v>
      </c>
      <c r="D392" t="str">
        <f>VLOOKUP(B392,Products!$A:$E,2,FALSE)</f>
        <v>Product_98</v>
      </c>
      <c r="E392" t="str">
        <f>VLOOKUP(B392,Products!$A:$E,3,FALSE)</f>
        <v>Networking</v>
      </c>
    </row>
    <row r="393" spans="1:5" x14ac:dyDescent="0.3">
      <c r="A393" t="s">
        <v>1403</v>
      </c>
      <c r="B393" t="s">
        <v>374</v>
      </c>
      <c r="C393">
        <v>11</v>
      </c>
      <c r="D393" t="str">
        <f>VLOOKUP(B393,Products!$A:$E,2,FALSE)</f>
        <v>Product_183</v>
      </c>
      <c r="E393" t="str">
        <f>VLOOKUP(B393,Products!$A:$E,3,FALSE)</f>
        <v>Electronics</v>
      </c>
    </row>
    <row r="394" spans="1:5" x14ac:dyDescent="0.3">
      <c r="A394" t="s">
        <v>1404</v>
      </c>
      <c r="B394" t="s">
        <v>896</v>
      </c>
      <c r="C394">
        <v>88</v>
      </c>
      <c r="D394" t="str">
        <f>VLOOKUP(B394,Products!$A:$E,2,FALSE)</f>
        <v>Product_444</v>
      </c>
      <c r="E394" t="str">
        <f>VLOOKUP(B394,Products!$A:$E,3,FALSE)</f>
        <v>Electronics</v>
      </c>
    </row>
    <row r="395" spans="1:5" x14ac:dyDescent="0.3">
      <c r="A395" t="s">
        <v>1405</v>
      </c>
      <c r="B395" t="s">
        <v>348</v>
      </c>
      <c r="C395">
        <v>39</v>
      </c>
      <c r="D395" t="str">
        <f>VLOOKUP(B395,Products!$A:$E,2,FALSE)</f>
        <v>Product_170</v>
      </c>
      <c r="E395" t="str">
        <f>VLOOKUP(B395,Products!$A:$E,3,FALSE)</f>
        <v>Office Supplies</v>
      </c>
    </row>
    <row r="396" spans="1:5" x14ac:dyDescent="0.3">
      <c r="A396" t="s">
        <v>1406</v>
      </c>
      <c r="B396" t="s">
        <v>136</v>
      </c>
      <c r="C396">
        <v>52</v>
      </c>
      <c r="D396" t="str">
        <f>VLOOKUP(B396,Products!$A:$E,2,FALSE)</f>
        <v>Product_64</v>
      </c>
      <c r="E396" t="str">
        <f>VLOOKUP(B396,Products!$A:$E,3,FALSE)</f>
        <v>Storage</v>
      </c>
    </row>
    <row r="397" spans="1:5" x14ac:dyDescent="0.3">
      <c r="A397" t="s">
        <v>1407</v>
      </c>
      <c r="B397" t="s">
        <v>456</v>
      </c>
      <c r="C397">
        <v>56</v>
      </c>
      <c r="D397" t="str">
        <f>VLOOKUP(B397,Products!$A:$E,2,FALSE)</f>
        <v>Product_224</v>
      </c>
      <c r="E397" t="str">
        <f>VLOOKUP(B397,Products!$A:$E,3,FALSE)</f>
        <v>Storage</v>
      </c>
    </row>
    <row r="398" spans="1:5" x14ac:dyDescent="0.3">
      <c r="A398" t="s">
        <v>1408</v>
      </c>
      <c r="B398" t="s">
        <v>770</v>
      </c>
      <c r="C398">
        <v>61</v>
      </c>
      <c r="D398" t="str">
        <f>VLOOKUP(B398,Products!$A:$E,2,FALSE)</f>
        <v>Product_381</v>
      </c>
      <c r="E398" t="str">
        <f>VLOOKUP(B398,Products!$A:$E,3,FALSE)</f>
        <v>Storage</v>
      </c>
    </row>
    <row r="399" spans="1:5" x14ac:dyDescent="0.3">
      <c r="A399" t="s">
        <v>1409</v>
      </c>
      <c r="B399" t="s">
        <v>926</v>
      </c>
      <c r="C399">
        <v>54</v>
      </c>
      <c r="D399" t="str">
        <f>VLOOKUP(B399,Products!$A:$E,2,FALSE)</f>
        <v>Product_459</v>
      </c>
      <c r="E399" t="str">
        <f>VLOOKUP(B399,Products!$A:$E,3,FALSE)</f>
        <v>Office Supplies</v>
      </c>
    </row>
    <row r="400" spans="1:5" x14ac:dyDescent="0.3">
      <c r="A400" t="s">
        <v>1410</v>
      </c>
      <c r="B400" t="s">
        <v>356</v>
      </c>
      <c r="C400">
        <v>28</v>
      </c>
      <c r="D400" t="str">
        <f>VLOOKUP(B400,Products!$A:$E,2,FALSE)</f>
        <v>Product_174</v>
      </c>
      <c r="E400" t="str">
        <f>VLOOKUP(B400,Products!$A:$E,3,FALSE)</f>
        <v>Storage</v>
      </c>
    </row>
    <row r="401" spans="1:5" x14ac:dyDescent="0.3">
      <c r="A401" t="s">
        <v>1411</v>
      </c>
      <c r="B401" t="s">
        <v>518</v>
      </c>
      <c r="C401">
        <v>93</v>
      </c>
      <c r="D401" t="str">
        <f>VLOOKUP(B401,Products!$A:$E,2,FALSE)</f>
        <v>Product_255</v>
      </c>
      <c r="E401" t="str">
        <f>VLOOKUP(B401,Products!$A:$E,3,FALSE)</f>
        <v>Accessories</v>
      </c>
    </row>
    <row r="402" spans="1:5" x14ac:dyDescent="0.3">
      <c r="A402" t="s">
        <v>1412</v>
      </c>
      <c r="B402" t="s">
        <v>518</v>
      </c>
      <c r="C402">
        <v>52</v>
      </c>
      <c r="D402" t="str">
        <f>VLOOKUP(B402,Products!$A:$E,2,FALSE)</f>
        <v>Product_255</v>
      </c>
      <c r="E402" t="str">
        <f>VLOOKUP(B402,Products!$A:$E,3,FALSE)</f>
        <v>Accessories</v>
      </c>
    </row>
    <row r="403" spans="1:5" x14ac:dyDescent="0.3">
      <c r="A403" t="s">
        <v>1413</v>
      </c>
      <c r="B403" t="s">
        <v>956</v>
      </c>
      <c r="C403">
        <v>71</v>
      </c>
      <c r="D403" t="str">
        <f>VLOOKUP(B403,Products!$A:$E,2,FALSE)</f>
        <v>Product_474</v>
      </c>
      <c r="E403" t="str">
        <f>VLOOKUP(B403,Products!$A:$E,3,FALSE)</f>
        <v>Networking</v>
      </c>
    </row>
    <row r="404" spans="1:5" x14ac:dyDescent="0.3">
      <c r="A404" t="s">
        <v>1414</v>
      </c>
      <c r="B404" t="s">
        <v>282</v>
      </c>
      <c r="C404">
        <v>15</v>
      </c>
      <c r="D404" t="str">
        <f>VLOOKUP(B404,Products!$A:$E,2,FALSE)</f>
        <v>Product_137</v>
      </c>
      <c r="E404" t="str">
        <f>VLOOKUP(B404,Products!$A:$E,3,FALSE)</f>
        <v>Storage</v>
      </c>
    </row>
    <row r="405" spans="1:5" x14ac:dyDescent="0.3">
      <c r="A405" t="s">
        <v>1415</v>
      </c>
      <c r="B405" t="s">
        <v>754</v>
      </c>
      <c r="C405">
        <v>59</v>
      </c>
      <c r="D405" t="str">
        <f>VLOOKUP(B405,Products!$A:$E,2,FALSE)</f>
        <v>Product_373</v>
      </c>
      <c r="E405" t="str">
        <f>VLOOKUP(B405,Products!$A:$E,3,FALSE)</f>
        <v>Office Supplies</v>
      </c>
    </row>
    <row r="406" spans="1:5" x14ac:dyDescent="0.3">
      <c r="A406" t="s">
        <v>1416</v>
      </c>
      <c r="B406" t="s">
        <v>90</v>
      </c>
      <c r="C406">
        <v>60</v>
      </c>
      <c r="D406" t="str">
        <f>VLOOKUP(B406,Products!$A:$E,2,FALSE)</f>
        <v>Product_41</v>
      </c>
      <c r="E406" t="str">
        <f>VLOOKUP(B406,Products!$A:$E,3,FALSE)</f>
        <v>Accessories</v>
      </c>
    </row>
    <row r="407" spans="1:5" x14ac:dyDescent="0.3">
      <c r="A407" t="s">
        <v>1417</v>
      </c>
      <c r="B407" t="s">
        <v>626</v>
      </c>
      <c r="C407">
        <v>28</v>
      </c>
      <c r="D407" t="str">
        <f>VLOOKUP(B407,Products!$A:$E,2,FALSE)</f>
        <v>Product_309</v>
      </c>
      <c r="E407" t="str">
        <f>VLOOKUP(B407,Products!$A:$E,3,FALSE)</f>
        <v>Networking</v>
      </c>
    </row>
    <row r="408" spans="1:5" x14ac:dyDescent="0.3">
      <c r="A408" t="s">
        <v>1418</v>
      </c>
      <c r="B408" t="s">
        <v>568</v>
      </c>
      <c r="C408">
        <v>42</v>
      </c>
      <c r="D408" t="str">
        <f>VLOOKUP(B408,Products!$A:$E,2,FALSE)</f>
        <v>Product_280</v>
      </c>
      <c r="E408" t="str">
        <f>VLOOKUP(B408,Products!$A:$E,3,FALSE)</f>
        <v>Electronics</v>
      </c>
    </row>
    <row r="409" spans="1:5" x14ac:dyDescent="0.3">
      <c r="A409" t="s">
        <v>1419</v>
      </c>
      <c r="B409" t="s">
        <v>338</v>
      </c>
      <c r="C409">
        <v>18</v>
      </c>
      <c r="D409" t="str">
        <f>VLOOKUP(B409,Products!$A:$E,2,FALSE)</f>
        <v>Product_165</v>
      </c>
      <c r="E409" t="str">
        <f>VLOOKUP(B409,Products!$A:$E,3,FALSE)</f>
        <v>Office Supplies</v>
      </c>
    </row>
    <row r="410" spans="1:5" x14ac:dyDescent="0.3">
      <c r="A410" t="s">
        <v>1420</v>
      </c>
      <c r="B410" t="s">
        <v>90</v>
      </c>
      <c r="C410">
        <v>46</v>
      </c>
      <c r="D410" t="str">
        <f>VLOOKUP(B410,Products!$A:$E,2,FALSE)</f>
        <v>Product_41</v>
      </c>
      <c r="E410" t="str">
        <f>VLOOKUP(B410,Products!$A:$E,3,FALSE)</f>
        <v>Accessories</v>
      </c>
    </row>
    <row r="411" spans="1:5" x14ac:dyDescent="0.3">
      <c r="A411" t="s">
        <v>1421</v>
      </c>
      <c r="B411" t="s">
        <v>686</v>
      </c>
      <c r="C411">
        <v>42</v>
      </c>
      <c r="D411" t="str">
        <f>VLOOKUP(B411,Products!$A:$E,2,FALSE)</f>
        <v>Product_339</v>
      </c>
      <c r="E411" t="str">
        <f>VLOOKUP(B411,Products!$A:$E,3,FALSE)</f>
        <v>Storage</v>
      </c>
    </row>
    <row r="412" spans="1:5" x14ac:dyDescent="0.3">
      <c r="A412" t="s">
        <v>1422</v>
      </c>
      <c r="B412" t="s">
        <v>322</v>
      </c>
      <c r="C412">
        <v>62</v>
      </c>
      <c r="D412" t="str">
        <f>VLOOKUP(B412,Products!$A:$E,2,FALSE)</f>
        <v>Product_157</v>
      </c>
      <c r="E412" t="str">
        <f>VLOOKUP(B412,Products!$A:$E,3,FALSE)</f>
        <v>Electronics</v>
      </c>
    </row>
    <row r="413" spans="1:5" x14ac:dyDescent="0.3">
      <c r="A413" t="s">
        <v>1423</v>
      </c>
      <c r="B413" t="s">
        <v>626</v>
      </c>
      <c r="C413">
        <v>96</v>
      </c>
      <c r="D413" t="str">
        <f>VLOOKUP(B413,Products!$A:$E,2,FALSE)</f>
        <v>Product_309</v>
      </c>
      <c r="E413" t="str">
        <f>VLOOKUP(B413,Products!$A:$E,3,FALSE)</f>
        <v>Networking</v>
      </c>
    </row>
    <row r="414" spans="1:5" x14ac:dyDescent="0.3">
      <c r="A414" t="s">
        <v>1424</v>
      </c>
      <c r="B414" t="s">
        <v>446</v>
      </c>
      <c r="C414">
        <v>26</v>
      </c>
      <c r="D414" t="str">
        <f>VLOOKUP(B414,Products!$A:$E,2,FALSE)</f>
        <v>Product_219</v>
      </c>
      <c r="E414" t="str">
        <f>VLOOKUP(B414,Products!$A:$E,3,FALSE)</f>
        <v>Accessories</v>
      </c>
    </row>
    <row r="415" spans="1:5" x14ac:dyDescent="0.3">
      <c r="A415" t="s">
        <v>1425</v>
      </c>
      <c r="B415" t="s">
        <v>716</v>
      </c>
      <c r="C415">
        <v>61</v>
      </c>
      <c r="D415" t="str">
        <f>VLOOKUP(B415,Products!$A:$E,2,FALSE)</f>
        <v>Product_354</v>
      </c>
      <c r="E415" t="str">
        <f>VLOOKUP(B415,Products!$A:$E,3,FALSE)</f>
        <v>Storage</v>
      </c>
    </row>
    <row r="416" spans="1:5" x14ac:dyDescent="0.3">
      <c r="A416" t="s">
        <v>1426</v>
      </c>
      <c r="B416" t="s">
        <v>368</v>
      </c>
      <c r="C416">
        <v>62</v>
      </c>
      <c r="D416" t="str">
        <f>VLOOKUP(B416,Products!$A:$E,2,FALSE)</f>
        <v>Product_180</v>
      </c>
      <c r="E416" t="str">
        <f>VLOOKUP(B416,Products!$A:$E,3,FALSE)</f>
        <v>Office Supplies</v>
      </c>
    </row>
    <row r="417" spans="1:5" x14ac:dyDescent="0.3">
      <c r="A417" t="s">
        <v>1427</v>
      </c>
      <c r="B417" t="s">
        <v>52</v>
      </c>
      <c r="C417">
        <v>98</v>
      </c>
      <c r="D417" t="str">
        <f>VLOOKUP(B417,Products!$A:$E,2,FALSE)</f>
        <v>Product_22</v>
      </c>
      <c r="E417" t="str">
        <f>VLOOKUP(B417,Products!$A:$E,3,FALSE)</f>
        <v>Electronics</v>
      </c>
    </row>
    <row r="418" spans="1:5" x14ac:dyDescent="0.3">
      <c r="A418" t="s">
        <v>1428</v>
      </c>
      <c r="B418" t="s">
        <v>900</v>
      </c>
      <c r="C418">
        <v>50</v>
      </c>
      <c r="D418" t="str">
        <f>VLOOKUP(B418,Products!$A:$E,2,FALSE)</f>
        <v>Product_446</v>
      </c>
      <c r="E418" t="str">
        <f>VLOOKUP(B418,Products!$A:$E,3,FALSE)</f>
        <v>Accessories</v>
      </c>
    </row>
    <row r="419" spans="1:5" x14ac:dyDescent="0.3">
      <c r="A419" t="s">
        <v>1429</v>
      </c>
      <c r="B419" t="s">
        <v>638</v>
      </c>
      <c r="C419">
        <v>60</v>
      </c>
      <c r="D419" t="str">
        <f>VLOOKUP(B419,Products!$A:$E,2,FALSE)</f>
        <v>Product_315</v>
      </c>
      <c r="E419" t="str">
        <f>VLOOKUP(B419,Products!$A:$E,3,FALSE)</f>
        <v>Accessories</v>
      </c>
    </row>
    <row r="420" spans="1:5" x14ac:dyDescent="0.3">
      <c r="A420" t="s">
        <v>1430</v>
      </c>
      <c r="B420" t="s">
        <v>290</v>
      </c>
      <c r="C420">
        <v>86</v>
      </c>
      <c r="D420" t="str">
        <f>VLOOKUP(B420,Products!$A:$E,2,FALSE)</f>
        <v>Product_141</v>
      </c>
      <c r="E420" t="str">
        <f>VLOOKUP(B420,Products!$A:$E,3,FALSE)</f>
        <v>Electronics</v>
      </c>
    </row>
    <row r="421" spans="1:5" x14ac:dyDescent="0.3">
      <c r="A421" t="s">
        <v>1431</v>
      </c>
      <c r="B421" t="s">
        <v>820</v>
      </c>
      <c r="C421">
        <v>12</v>
      </c>
      <c r="D421" t="str">
        <f>VLOOKUP(B421,Products!$A:$E,2,FALSE)</f>
        <v>Product_406</v>
      </c>
      <c r="E421" t="str">
        <f>VLOOKUP(B421,Products!$A:$E,3,FALSE)</f>
        <v>Office Supplies</v>
      </c>
    </row>
    <row r="422" spans="1:5" x14ac:dyDescent="0.3">
      <c r="A422" t="s">
        <v>1432</v>
      </c>
      <c r="B422" t="s">
        <v>86</v>
      </c>
      <c r="C422">
        <v>90</v>
      </c>
      <c r="D422" t="str">
        <f>VLOOKUP(B422,Products!$A:$E,2,FALSE)</f>
        <v>Product_39</v>
      </c>
      <c r="E422" t="str">
        <f>VLOOKUP(B422,Products!$A:$E,3,FALSE)</f>
        <v>Networking</v>
      </c>
    </row>
    <row r="423" spans="1:5" x14ac:dyDescent="0.3">
      <c r="A423" t="s">
        <v>1433</v>
      </c>
      <c r="B423" t="s">
        <v>662</v>
      </c>
      <c r="C423">
        <v>56</v>
      </c>
      <c r="D423" t="str">
        <f>VLOOKUP(B423,Products!$A:$E,2,FALSE)</f>
        <v>Product_327</v>
      </c>
      <c r="E423" t="str">
        <f>VLOOKUP(B423,Products!$A:$E,3,FALSE)</f>
        <v>Networking</v>
      </c>
    </row>
    <row r="424" spans="1:5" x14ac:dyDescent="0.3">
      <c r="A424" t="s">
        <v>1434</v>
      </c>
      <c r="B424" t="s">
        <v>382</v>
      </c>
      <c r="C424">
        <v>70</v>
      </c>
      <c r="D424" t="str">
        <f>VLOOKUP(B424,Products!$A:$E,2,FALSE)</f>
        <v>Product_187</v>
      </c>
      <c r="E424" t="str">
        <f>VLOOKUP(B424,Products!$A:$E,3,FALSE)</f>
        <v>Electronics</v>
      </c>
    </row>
    <row r="425" spans="1:5" x14ac:dyDescent="0.3">
      <c r="A425" t="s">
        <v>1435</v>
      </c>
      <c r="B425" t="s">
        <v>830</v>
      </c>
      <c r="C425">
        <v>100</v>
      </c>
      <c r="D425" t="str">
        <f>VLOOKUP(B425,Products!$A:$E,2,FALSE)</f>
        <v>Product_411</v>
      </c>
      <c r="E425" t="str">
        <f>VLOOKUP(B425,Products!$A:$E,3,FALSE)</f>
        <v>Office Supplies</v>
      </c>
    </row>
    <row r="426" spans="1:5" x14ac:dyDescent="0.3">
      <c r="A426" t="s">
        <v>1436</v>
      </c>
      <c r="B426" t="s">
        <v>704</v>
      </c>
      <c r="C426">
        <v>25</v>
      </c>
      <c r="D426" t="str">
        <f>VLOOKUP(B426,Products!$A:$E,2,FALSE)</f>
        <v>Product_348</v>
      </c>
      <c r="E426" t="str">
        <f>VLOOKUP(B426,Products!$A:$E,3,FALSE)</f>
        <v>Electronics</v>
      </c>
    </row>
    <row r="427" spans="1:5" x14ac:dyDescent="0.3">
      <c r="A427" t="s">
        <v>1437</v>
      </c>
      <c r="B427" t="s">
        <v>984</v>
      </c>
      <c r="C427">
        <v>8</v>
      </c>
      <c r="D427" t="str">
        <f>VLOOKUP(B427,Products!$A:$E,2,FALSE)</f>
        <v>Product_488</v>
      </c>
      <c r="E427" t="str">
        <f>VLOOKUP(B427,Products!$A:$E,3,FALSE)</f>
        <v>Accessories</v>
      </c>
    </row>
    <row r="428" spans="1:5" x14ac:dyDescent="0.3">
      <c r="A428" t="s">
        <v>1438</v>
      </c>
      <c r="B428" t="s">
        <v>156</v>
      </c>
      <c r="C428">
        <v>82</v>
      </c>
      <c r="D428" t="str">
        <f>VLOOKUP(B428,Products!$A:$E,2,FALSE)</f>
        <v>Product_74</v>
      </c>
      <c r="E428" t="str">
        <f>VLOOKUP(B428,Products!$A:$E,3,FALSE)</f>
        <v>Storage</v>
      </c>
    </row>
    <row r="429" spans="1:5" x14ac:dyDescent="0.3">
      <c r="A429" t="s">
        <v>1439</v>
      </c>
      <c r="B429" t="s">
        <v>704</v>
      </c>
      <c r="C429">
        <v>61</v>
      </c>
      <c r="D429" t="str">
        <f>VLOOKUP(B429,Products!$A:$E,2,FALSE)</f>
        <v>Product_348</v>
      </c>
      <c r="E429" t="str">
        <f>VLOOKUP(B429,Products!$A:$E,3,FALSE)</f>
        <v>Electronics</v>
      </c>
    </row>
    <row r="430" spans="1:5" x14ac:dyDescent="0.3">
      <c r="A430" t="s">
        <v>1440</v>
      </c>
      <c r="B430" t="s">
        <v>44</v>
      </c>
      <c r="C430">
        <v>21</v>
      </c>
      <c r="D430" t="str">
        <f>VLOOKUP(B430,Products!$A:$E,2,FALSE)</f>
        <v>Product_18</v>
      </c>
      <c r="E430" t="str">
        <f>VLOOKUP(B430,Products!$A:$E,3,FALSE)</f>
        <v>Networking</v>
      </c>
    </row>
    <row r="431" spans="1:5" x14ac:dyDescent="0.3">
      <c r="A431" t="s">
        <v>1441</v>
      </c>
      <c r="B431" t="s">
        <v>78</v>
      </c>
      <c r="C431">
        <v>35</v>
      </c>
      <c r="D431" t="str">
        <f>VLOOKUP(B431,Products!$A:$E,2,FALSE)</f>
        <v>Product_35</v>
      </c>
      <c r="E431" t="str">
        <f>VLOOKUP(B431,Products!$A:$E,3,FALSE)</f>
        <v>Electronics</v>
      </c>
    </row>
    <row r="432" spans="1:5" x14ac:dyDescent="0.3">
      <c r="A432" t="s">
        <v>1442</v>
      </c>
      <c r="B432" t="s">
        <v>806</v>
      </c>
      <c r="C432">
        <v>87</v>
      </c>
      <c r="D432" t="str">
        <f>VLOOKUP(B432,Products!$A:$E,2,FALSE)</f>
        <v>Product_399</v>
      </c>
      <c r="E432" t="str">
        <f>VLOOKUP(B432,Products!$A:$E,3,FALSE)</f>
        <v>Networking</v>
      </c>
    </row>
    <row r="433" spans="1:5" x14ac:dyDescent="0.3">
      <c r="A433" t="s">
        <v>1443</v>
      </c>
      <c r="B433" t="s">
        <v>384</v>
      </c>
      <c r="C433">
        <v>51</v>
      </c>
      <c r="D433" t="str">
        <f>VLOOKUP(B433,Products!$A:$E,2,FALSE)</f>
        <v>Product_188</v>
      </c>
      <c r="E433" t="str">
        <f>VLOOKUP(B433,Products!$A:$E,3,FALSE)</f>
        <v>Office Supplies</v>
      </c>
    </row>
    <row r="434" spans="1:5" x14ac:dyDescent="0.3">
      <c r="A434" t="s">
        <v>1444</v>
      </c>
      <c r="B434" t="s">
        <v>402</v>
      </c>
      <c r="C434">
        <v>77</v>
      </c>
      <c r="D434" t="str">
        <f>VLOOKUP(B434,Products!$A:$E,2,FALSE)</f>
        <v>Product_197</v>
      </c>
      <c r="E434" t="str">
        <f>VLOOKUP(B434,Products!$A:$E,3,FALSE)</f>
        <v>Electronics</v>
      </c>
    </row>
    <row r="435" spans="1:5" x14ac:dyDescent="0.3">
      <c r="A435" t="s">
        <v>1445</v>
      </c>
      <c r="B435" t="s">
        <v>42</v>
      </c>
      <c r="C435">
        <v>82</v>
      </c>
      <c r="D435" t="str">
        <f>VLOOKUP(B435,Products!$A:$E,2,FALSE)</f>
        <v>Product_17</v>
      </c>
      <c r="E435" t="str">
        <f>VLOOKUP(B435,Products!$A:$E,3,FALSE)</f>
        <v>Office Supplies</v>
      </c>
    </row>
    <row r="436" spans="1:5" x14ac:dyDescent="0.3">
      <c r="A436" t="s">
        <v>1446</v>
      </c>
      <c r="B436" t="s">
        <v>166</v>
      </c>
      <c r="C436">
        <v>91</v>
      </c>
      <c r="D436" t="str">
        <f>VLOOKUP(B436,Products!$A:$E,2,FALSE)</f>
        <v>Product_79</v>
      </c>
      <c r="E436" t="str">
        <f>VLOOKUP(B436,Products!$A:$E,3,FALSE)</f>
        <v>Storage</v>
      </c>
    </row>
    <row r="437" spans="1:5" x14ac:dyDescent="0.3">
      <c r="A437" t="s">
        <v>1447</v>
      </c>
      <c r="B437" t="s">
        <v>470</v>
      </c>
      <c r="C437">
        <v>52</v>
      </c>
      <c r="D437" t="str">
        <f>VLOOKUP(B437,Products!$A:$E,2,FALSE)</f>
        <v>Product_231</v>
      </c>
      <c r="E437" t="str">
        <f>VLOOKUP(B437,Products!$A:$E,3,FALSE)</f>
        <v>Accessories</v>
      </c>
    </row>
    <row r="438" spans="1:5" x14ac:dyDescent="0.3">
      <c r="A438" t="s">
        <v>1448</v>
      </c>
      <c r="B438" t="s">
        <v>390</v>
      </c>
      <c r="C438">
        <v>61</v>
      </c>
      <c r="D438" t="str">
        <f>VLOOKUP(B438,Products!$A:$E,2,FALSE)</f>
        <v>Product_191</v>
      </c>
      <c r="E438" t="str">
        <f>VLOOKUP(B438,Products!$A:$E,3,FALSE)</f>
        <v>Networking</v>
      </c>
    </row>
    <row r="439" spans="1:5" x14ac:dyDescent="0.3">
      <c r="A439" t="s">
        <v>1449</v>
      </c>
      <c r="B439" t="s">
        <v>790</v>
      </c>
      <c r="C439">
        <v>14</v>
      </c>
      <c r="D439" t="str">
        <f>VLOOKUP(B439,Products!$A:$E,2,FALSE)</f>
        <v>Product_391</v>
      </c>
      <c r="E439" t="str">
        <f>VLOOKUP(B439,Products!$A:$E,3,FALSE)</f>
        <v>Accessories</v>
      </c>
    </row>
    <row r="440" spans="1:5" x14ac:dyDescent="0.3">
      <c r="A440" t="s">
        <v>1450</v>
      </c>
      <c r="B440" t="s">
        <v>596</v>
      </c>
      <c r="C440">
        <v>22</v>
      </c>
      <c r="D440" t="str">
        <f>VLOOKUP(B440,Products!$A:$E,2,FALSE)</f>
        <v>Product_294</v>
      </c>
      <c r="E440" t="str">
        <f>VLOOKUP(B440,Products!$A:$E,3,FALSE)</f>
        <v>Networking</v>
      </c>
    </row>
    <row r="441" spans="1:5" x14ac:dyDescent="0.3">
      <c r="A441" t="s">
        <v>1451</v>
      </c>
      <c r="B441" t="s">
        <v>552</v>
      </c>
      <c r="C441">
        <v>51</v>
      </c>
      <c r="D441" t="str">
        <f>VLOOKUP(B441,Products!$A:$E,2,FALSE)</f>
        <v>Product_272</v>
      </c>
      <c r="E441" t="str">
        <f>VLOOKUP(B441,Products!$A:$E,3,FALSE)</f>
        <v>Office Supplies</v>
      </c>
    </row>
    <row r="442" spans="1:5" x14ac:dyDescent="0.3">
      <c r="A442" t="s">
        <v>1452</v>
      </c>
      <c r="B442" t="s">
        <v>416</v>
      </c>
      <c r="C442">
        <v>45</v>
      </c>
      <c r="D442" t="str">
        <f>VLOOKUP(B442,Products!$A:$E,2,FALSE)</f>
        <v>Product_204</v>
      </c>
      <c r="E442" t="str">
        <f>VLOOKUP(B442,Products!$A:$E,3,FALSE)</f>
        <v>Office Supplies</v>
      </c>
    </row>
    <row r="443" spans="1:5" x14ac:dyDescent="0.3">
      <c r="A443" t="s">
        <v>1453</v>
      </c>
      <c r="B443" t="s">
        <v>674</v>
      </c>
      <c r="C443">
        <v>40</v>
      </c>
      <c r="D443" t="str">
        <f>VLOOKUP(B443,Products!$A:$E,2,FALSE)</f>
        <v>Product_333</v>
      </c>
      <c r="E443" t="str">
        <f>VLOOKUP(B443,Products!$A:$E,3,FALSE)</f>
        <v>Storage</v>
      </c>
    </row>
    <row r="444" spans="1:5" x14ac:dyDescent="0.3">
      <c r="A444" t="s">
        <v>1454</v>
      </c>
      <c r="B444" t="s">
        <v>264</v>
      </c>
      <c r="C444">
        <v>19</v>
      </c>
      <c r="D444" t="str">
        <f>VLOOKUP(B444,Products!$A:$E,2,FALSE)</f>
        <v>Product_128</v>
      </c>
      <c r="E444" t="str">
        <f>VLOOKUP(B444,Products!$A:$E,3,FALSE)</f>
        <v>Office Supplies</v>
      </c>
    </row>
    <row r="445" spans="1:5" x14ac:dyDescent="0.3">
      <c r="A445" t="s">
        <v>1455</v>
      </c>
      <c r="B445" t="s">
        <v>36</v>
      </c>
      <c r="C445">
        <v>99</v>
      </c>
      <c r="D445" t="str">
        <f>VLOOKUP(B445,Products!$A:$E,2,FALSE)</f>
        <v>Product_14</v>
      </c>
      <c r="E445" t="str">
        <f>VLOOKUP(B445,Products!$A:$E,3,FALSE)</f>
        <v>Accessories</v>
      </c>
    </row>
    <row r="446" spans="1:5" x14ac:dyDescent="0.3">
      <c r="A446" t="s">
        <v>1456</v>
      </c>
      <c r="B446" t="s">
        <v>200</v>
      </c>
      <c r="C446">
        <v>68</v>
      </c>
      <c r="D446" t="str">
        <f>VLOOKUP(B446,Products!$A:$E,2,FALSE)</f>
        <v>Product_96</v>
      </c>
      <c r="E446" t="str">
        <f>VLOOKUP(B446,Products!$A:$E,3,FALSE)</f>
        <v>Office Supplies</v>
      </c>
    </row>
    <row r="447" spans="1:5" x14ac:dyDescent="0.3">
      <c r="A447" t="s">
        <v>1457</v>
      </c>
      <c r="B447" t="s">
        <v>540</v>
      </c>
      <c r="C447">
        <v>54</v>
      </c>
      <c r="D447" t="str">
        <f>VLOOKUP(B447,Products!$A:$E,2,FALSE)</f>
        <v>Product_266</v>
      </c>
      <c r="E447" t="str">
        <f>VLOOKUP(B447,Products!$A:$E,3,FALSE)</f>
        <v>Electronics</v>
      </c>
    </row>
    <row r="448" spans="1:5" x14ac:dyDescent="0.3">
      <c r="A448" t="s">
        <v>1458</v>
      </c>
      <c r="B448" t="s">
        <v>944</v>
      </c>
      <c r="C448">
        <v>76</v>
      </c>
      <c r="D448" t="str">
        <f>VLOOKUP(B448,Products!$A:$E,2,FALSE)</f>
        <v>Product_468</v>
      </c>
      <c r="E448" t="str">
        <f>VLOOKUP(B448,Products!$A:$E,3,FALSE)</f>
        <v>Office Supplies</v>
      </c>
    </row>
    <row r="449" spans="1:5" x14ac:dyDescent="0.3">
      <c r="A449" t="s">
        <v>1459</v>
      </c>
      <c r="B449" t="s">
        <v>130</v>
      </c>
      <c r="C449">
        <v>38</v>
      </c>
      <c r="D449" t="str">
        <f>VLOOKUP(B449,Products!$A:$E,2,FALSE)</f>
        <v>Product_61</v>
      </c>
      <c r="E449" t="str">
        <f>VLOOKUP(B449,Products!$A:$E,3,FALSE)</f>
        <v>Storage</v>
      </c>
    </row>
    <row r="450" spans="1:5" x14ac:dyDescent="0.3">
      <c r="A450" t="s">
        <v>1460</v>
      </c>
      <c r="B450" t="s">
        <v>802</v>
      </c>
      <c r="C450">
        <v>38</v>
      </c>
      <c r="D450" t="str">
        <f>VLOOKUP(B450,Products!$A:$E,2,FALSE)</f>
        <v>Product_397</v>
      </c>
      <c r="E450" t="str">
        <f>VLOOKUP(B450,Products!$A:$E,3,FALSE)</f>
        <v>Office Supplies</v>
      </c>
    </row>
    <row r="451" spans="1:5" x14ac:dyDescent="0.3">
      <c r="A451" t="s">
        <v>1461</v>
      </c>
      <c r="B451" t="s">
        <v>730</v>
      </c>
      <c r="C451">
        <v>62</v>
      </c>
      <c r="D451" t="str">
        <f>VLOOKUP(B451,Products!$A:$E,2,FALSE)</f>
        <v>Product_361</v>
      </c>
      <c r="E451" t="str">
        <f>VLOOKUP(B451,Products!$A:$E,3,FALSE)</f>
        <v>Office Supplies</v>
      </c>
    </row>
    <row r="452" spans="1:5" x14ac:dyDescent="0.3">
      <c r="A452" t="s">
        <v>1462</v>
      </c>
      <c r="B452" t="s">
        <v>228</v>
      </c>
      <c r="C452">
        <v>83</v>
      </c>
      <c r="D452" t="str">
        <f>VLOOKUP(B452,Products!$A:$E,2,FALSE)</f>
        <v>Product_110</v>
      </c>
      <c r="E452" t="str">
        <f>VLOOKUP(B452,Products!$A:$E,3,FALSE)</f>
        <v>Networking</v>
      </c>
    </row>
    <row r="453" spans="1:5" x14ac:dyDescent="0.3">
      <c r="A453" t="s">
        <v>1463</v>
      </c>
      <c r="B453" t="s">
        <v>302</v>
      </c>
      <c r="C453">
        <v>93</v>
      </c>
      <c r="D453" t="str">
        <f>VLOOKUP(B453,Products!$A:$E,2,FALSE)</f>
        <v>Product_147</v>
      </c>
      <c r="E453" t="str">
        <f>VLOOKUP(B453,Products!$A:$E,3,FALSE)</f>
        <v>Networking</v>
      </c>
    </row>
    <row r="454" spans="1:5" x14ac:dyDescent="0.3">
      <c r="A454" t="s">
        <v>1464</v>
      </c>
      <c r="B454" t="s">
        <v>948</v>
      </c>
      <c r="C454">
        <v>67</v>
      </c>
      <c r="D454" t="str">
        <f>VLOOKUP(B454,Products!$A:$E,2,FALSE)</f>
        <v>Product_470</v>
      </c>
      <c r="E454" t="str">
        <f>VLOOKUP(B454,Products!$A:$E,3,FALSE)</f>
        <v>Networking</v>
      </c>
    </row>
    <row r="455" spans="1:5" x14ac:dyDescent="0.3">
      <c r="A455" t="s">
        <v>1465</v>
      </c>
      <c r="B455" t="s">
        <v>214</v>
      </c>
      <c r="C455">
        <v>20</v>
      </c>
      <c r="D455" t="str">
        <f>VLOOKUP(B455,Products!$A:$E,2,FALSE)</f>
        <v>Product_103</v>
      </c>
      <c r="E455" t="str">
        <f>VLOOKUP(B455,Products!$A:$E,3,FALSE)</f>
        <v>Accessories</v>
      </c>
    </row>
    <row r="456" spans="1:5" x14ac:dyDescent="0.3">
      <c r="A456" t="s">
        <v>1466</v>
      </c>
      <c r="B456" t="s">
        <v>148</v>
      </c>
      <c r="C456">
        <v>14</v>
      </c>
      <c r="D456" t="str">
        <f>VLOOKUP(B456,Products!$A:$E,2,FALSE)</f>
        <v>Product_70</v>
      </c>
      <c r="E456" t="str">
        <f>VLOOKUP(B456,Products!$A:$E,3,FALSE)</f>
        <v>Electronics</v>
      </c>
    </row>
    <row r="457" spans="1:5" x14ac:dyDescent="0.3">
      <c r="A457" t="s">
        <v>1467</v>
      </c>
      <c r="B457" t="s">
        <v>472</v>
      </c>
      <c r="C457">
        <v>27</v>
      </c>
      <c r="D457" t="str">
        <f>VLOOKUP(B457,Products!$A:$E,2,FALSE)</f>
        <v>Product_232</v>
      </c>
      <c r="E457" t="str">
        <f>VLOOKUP(B457,Products!$A:$E,3,FALSE)</f>
        <v>Office Supplies</v>
      </c>
    </row>
    <row r="458" spans="1:5" x14ac:dyDescent="0.3">
      <c r="A458" t="s">
        <v>1468</v>
      </c>
      <c r="B458" t="s">
        <v>930</v>
      </c>
      <c r="C458">
        <v>96</v>
      </c>
      <c r="D458" t="str">
        <f>VLOOKUP(B458,Products!$A:$E,2,FALSE)</f>
        <v>Product_461</v>
      </c>
      <c r="E458" t="str">
        <f>VLOOKUP(B458,Products!$A:$E,3,FALSE)</f>
        <v>Accessories</v>
      </c>
    </row>
    <row r="459" spans="1:5" x14ac:dyDescent="0.3">
      <c r="A459" t="s">
        <v>1469</v>
      </c>
      <c r="B459" t="s">
        <v>464</v>
      </c>
      <c r="C459">
        <v>16</v>
      </c>
      <c r="D459" t="str">
        <f>VLOOKUP(B459,Products!$A:$E,2,FALSE)</f>
        <v>Product_228</v>
      </c>
      <c r="E459" t="str">
        <f>VLOOKUP(B459,Products!$A:$E,3,FALSE)</f>
        <v>Storage</v>
      </c>
    </row>
    <row r="460" spans="1:5" x14ac:dyDescent="0.3">
      <c r="A460" t="s">
        <v>1470</v>
      </c>
      <c r="B460" t="s">
        <v>838</v>
      </c>
      <c r="C460">
        <v>92</v>
      </c>
      <c r="D460" t="str">
        <f>VLOOKUP(B460,Products!$A:$E,2,FALSE)</f>
        <v>Product_415</v>
      </c>
      <c r="E460" t="str">
        <f>VLOOKUP(B460,Products!$A:$E,3,FALSE)</f>
        <v>Networking</v>
      </c>
    </row>
    <row r="461" spans="1:5" x14ac:dyDescent="0.3">
      <c r="A461" t="s">
        <v>1471</v>
      </c>
      <c r="B461" t="s">
        <v>1000</v>
      </c>
      <c r="C461">
        <v>45</v>
      </c>
      <c r="D461" t="str">
        <f>VLOOKUP(B461,Products!$A:$E,2,FALSE)</f>
        <v>Product_496</v>
      </c>
      <c r="E461" t="str">
        <f>VLOOKUP(B461,Products!$A:$E,3,FALSE)</f>
        <v>Office Supplies</v>
      </c>
    </row>
    <row r="462" spans="1:5" x14ac:dyDescent="0.3">
      <c r="A462" t="s">
        <v>1472</v>
      </c>
      <c r="B462" t="s">
        <v>692</v>
      </c>
      <c r="C462">
        <v>49</v>
      </c>
      <c r="D462" t="str">
        <f>VLOOKUP(B462,Products!$A:$E,2,FALSE)</f>
        <v>Product_342</v>
      </c>
      <c r="E462" t="str">
        <f>VLOOKUP(B462,Products!$A:$E,3,FALSE)</f>
        <v>Accessories</v>
      </c>
    </row>
    <row r="463" spans="1:5" x14ac:dyDescent="0.3">
      <c r="A463" t="s">
        <v>1473</v>
      </c>
      <c r="B463" t="s">
        <v>736</v>
      </c>
      <c r="C463">
        <v>13</v>
      </c>
      <c r="D463" t="str">
        <f>VLOOKUP(B463,Products!$A:$E,2,FALSE)</f>
        <v>Product_364</v>
      </c>
      <c r="E463" t="str">
        <f>VLOOKUP(B463,Products!$A:$E,3,FALSE)</f>
        <v>Networking</v>
      </c>
    </row>
    <row r="464" spans="1:5" x14ac:dyDescent="0.3">
      <c r="A464" t="s">
        <v>1474</v>
      </c>
      <c r="B464" t="s">
        <v>572</v>
      </c>
      <c r="C464">
        <v>74</v>
      </c>
      <c r="D464" t="str">
        <f>VLOOKUP(B464,Products!$A:$E,2,FALSE)</f>
        <v>Product_282</v>
      </c>
      <c r="E464" t="str">
        <f>VLOOKUP(B464,Products!$A:$E,3,FALSE)</f>
        <v>Networking</v>
      </c>
    </row>
    <row r="465" spans="1:5" x14ac:dyDescent="0.3">
      <c r="A465" t="s">
        <v>1475</v>
      </c>
      <c r="B465" t="s">
        <v>306</v>
      </c>
      <c r="C465">
        <v>43</v>
      </c>
      <c r="D465" t="str">
        <f>VLOOKUP(B465,Products!$A:$E,2,FALSE)</f>
        <v>Product_149</v>
      </c>
      <c r="E465" t="str">
        <f>VLOOKUP(B465,Products!$A:$E,3,FALSE)</f>
        <v>Accessories</v>
      </c>
    </row>
    <row r="466" spans="1:5" x14ac:dyDescent="0.3">
      <c r="A466" t="s">
        <v>1476</v>
      </c>
      <c r="B466" t="s">
        <v>880</v>
      </c>
      <c r="C466">
        <v>25</v>
      </c>
      <c r="D466" t="str">
        <f>VLOOKUP(B466,Products!$A:$E,2,FALSE)</f>
        <v>Product_436</v>
      </c>
      <c r="E466" t="str">
        <f>VLOOKUP(B466,Products!$A:$E,3,FALSE)</f>
        <v>Networking</v>
      </c>
    </row>
    <row r="467" spans="1:5" x14ac:dyDescent="0.3">
      <c r="A467" t="s">
        <v>1477</v>
      </c>
      <c r="B467" t="s">
        <v>738</v>
      </c>
      <c r="C467">
        <v>95</v>
      </c>
      <c r="D467" t="str">
        <f>VLOOKUP(B467,Products!$A:$E,2,FALSE)</f>
        <v>Product_365</v>
      </c>
      <c r="E467" t="str">
        <f>VLOOKUP(B467,Products!$A:$E,3,FALSE)</f>
        <v>Storage</v>
      </c>
    </row>
    <row r="468" spans="1:5" x14ac:dyDescent="0.3">
      <c r="A468" t="s">
        <v>1478</v>
      </c>
      <c r="B468" t="s">
        <v>958</v>
      </c>
      <c r="C468">
        <v>94</v>
      </c>
      <c r="D468" t="str">
        <f>VLOOKUP(B468,Products!$A:$E,2,FALSE)</f>
        <v>Product_475</v>
      </c>
      <c r="E468" t="str">
        <f>VLOOKUP(B468,Products!$A:$E,3,FALSE)</f>
        <v>Electronics</v>
      </c>
    </row>
    <row r="469" spans="1:5" x14ac:dyDescent="0.3">
      <c r="A469" t="s">
        <v>1479</v>
      </c>
      <c r="B469" t="s">
        <v>662</v>
      </c>
      <c r="C469">
        <v>27</v>
      </c>
      <c r="D469" t="str">
        <f>VLOOKUP(B469,Products!$A:$E,2,FALSE)</f>
        <v>Product_327</v>
      </c>
      <c r="E469" t="str">
        <f>VLOOKUP(B469,Products!$A:$E,3,FALSE)</f>
        <v>Networking</v>
      </c>
    </row>
    <row r="470" spans="1:5" x14ac:dyDescent="0.3">
      <c r="A470" t="s">
        <v>1480</v>
      </c>
      <c r="B470" t="s">
        <v>822</v>
      </c>
      <c r="C470">
        <v>51</v>
      </c>
      <c r="D470" t="str">
        <f>VLOOKUP(B470,Products!$A:$E,2,FALSE)</f>
        <v>Product_407</v>
      </c>
      <c r="E470" t="str">
        <f>VLOOKUP(B470,Products!$A:$E,3,FALSE)</f>
        <v>Networking</v>
      </c>
    </row>
    <row r="471" spans="1:5" x14ac:dyDescent="0.3">
      <c r="A471" t="s">
        <v>1481</v>
      </c>
      <c r="B471" t="s">
        <v>530</v>
      </c>
      <c r="C471">
        <v>33</v>
      </c>
      <c r="D471" t="str">
        <f>VLOOKUP(B471,Products!$A:$E,2,FALSE)</f>
        <v>Product_261</v>
      </c>
      <c r="E471" t="str">
        <f>VLOOKUP(B471,Products!$A:$E,3,FALSE)</f>
        <v>Accessories</v>
      </c>
    </row>
    <row r="472" spans="1:5" x14ac:dyDescent="0.3">
      <c r="A472" t="s">
        <v>1482</v>
      </c>
      <c r="B472" t="s">
        <v>134</v>
      </c>
      <c r="C472">
        <v>30</v>
      </c>
      <c r="D472" t="str">
        <f>VLOOKUP(B472,Products!$A:$E,2,FALSE)</f>
        <v>Product_63</v>
      </c>
      <c r="E472" t="str">
        <f>VLOOKUP(B472,Products!$A:$E,3,FALSE)</f>
        <v>Accessories</v>
      </c>
    </row>
    <row r="473" spans="1:5" x14ac:dyDescent="0.3">
      <c r="A473" t="s">
        <v>1483</v>
      </c>
      <c r="B473" t="s">
        <v>820</v>
      </c>
      <c r="C473">
        <v>22</v>
      </c>
      <c r="D473" t="str">
        <f>VLOOKUP(B473,Products!$A:$E,2,FALSE)</f>
        <v>Product_406</v>
      </c>
      <c r="E473" t="str">
        <f>VLOOKUP(B473,Products!$A:$E,3,FALSE)</f>
        <v>Office Supplies</v>
      </c>
    </row>
    <row r="474" spans="1:5" x14ac:dyDescent="0.3">
      <c r="A474" t="s">
        <v>1484</v>
      </c>
      <c r="B474" t="s">
        <v>252</v>
      </c>
      <c r="C474">
        <v>68</v>
      </c>
      <c r="D474" t="str">
        <f>VLOOKUP(B474,Products!$A:$E,2,FALSE)</f>
        <v>Product_122</v>
      </c>
      <c r="E474" t="str">
        <f>VLOOKUP(B474,Products!$A:$E,3,FALSE)</f>
        <v>Storage</v>
      </c>
    </row>
    <row r="475" spans="1:5" x14ac:dyDescent="0.3">
      <c r="A475" t="s">
        <v>1485</v>
      </c>
      <c r="B475" t="s">
        <v>36</v>
      </c>
      <c r="C475">
        <v>51</v>
      </c>
      <c r="D475" t="str">
        <f>VLOOKUP(B475,Products!$A:$E,2,FALSE)</f>
        <v>Product_14</v>
      </c>
      <c r="E475" t="str">
        <f>VLOOKUP(B475,Products!$A:$E,3,FALSE)</f>
        <v>Accessories</v>
      </c>
    </row>
    <row r="476" spans="1:5" x14ac:dyDescent="0.3">
      <c r="A476" t="s">
        <v>1486</v>
      </c>
      <c r="B476" t="s">
        <v>576</v>
      </c>
      <c r="C476">
        <v>78</v>
      </c>
      <c r="D476" t="str">
        <f>VLOOKUP(B476,Products!$A:$E,2,FALSE)</f>
        <v>Product_284</v>
      </c>
      <c r="E476" t="str">
        <f>VLOOKUP(B476,Products!$A:$E,3,FALSE)</f>
        <v>Networking</v>
      </c>
    </row>
    <row r="477" spans="1:5" x14ac:dyDescent="0.3">
      <c r="A477" t="s">
        <v>1487</v>
      </c>
      <c r="B477" t="s">
        <v>386</v>
      </c>
      <c r="C477">
        <v>64</v>
      </c>
      <c r="D477" t="str">
        <f>VLOOKUP(B477,Products!$A:$E,2,FALSE)</f>
        <v>Product_189</v>
      </c>
      <c r="E477" t="str">
        <f>VLOOKUP(B477,Products!$A:$E,3,FALSE)</f>
        <v>Electronics</v>
      </c>
    </row>
    <row r="478" spans="1:5" x14ac:dyDescent="0.3">
      <c r="A478" t="s">
        <v>1488</v>
      </c>
      <c r="B478" t="s">
        <v>832</v>
      </c>
      <c r="C478">
        <v>75</v>
      </c>
      <c r="D478" t="str">
        <f>VLOOKUP(B478,Products!$A:$E,2,FALSE)</f>
        <v>Product_412</v>
      </c>
      <c r="E478" t="str">
        <f>VLOOKUP(B478,Products!$A:$E,3,FALSE)</f>
        <v>Accessories</v>
      </c>
    </row>
    <row r="479" spans="1:5" x14ac:dyDescent="0.3">
      <c r="A479" t="s">
        <v>1489</v>
      </c>
      <c r="B479" t="s">
        <v>142</v>
      </c>
      <c r="C479">
        <v>83</v>
      </c>
      <c r="D479" t="str">
        <f>VLOOKUP(B479,Products!$A:$E,2,FALSE)</f>
        <v>Product_67</v>
      </c>
      <c r="E479" t="str">
        <f>VLOOKUP(B479,Products!$A:$E,3,FALSE)</f>
        <v>Office Supplies</v>
      </c>
    </row>
    <row r="480" spans="1:5" x14ac:dyDescent="0.3">
      <c r="A480" t="s">
        <v>1490</v>
      </c>
      <c r="B480" t="s">
        <v>914</v>
      </c>
      <c r="C480">
        <v>16</v>
      </c>
      <c r="D480" t="str">
        <f>VLOOKUP(B480,Products!$A:$E,2,FALSE)</f>
        <v>Product_453</v>
      </c>
      <c r="E480" t="str">
        <f>VLOOKUP(B480,Products!$A:$E,3,FALSE)</f>
        <v>Office Supplies</v>
      </c>
    </row>
    <row r="481" spans="1:5" x14ac:dyDescent="0.3">
      <c r="A481" t="s">
        <v>1491</v>
      </c>
      <c r="B481" t="s">
        <v>76</v>
      </c>
      <c r="C481">
        <v>44</v>
      </c>
      <c r="D481" t="str">
        <f>VLOOKUP(B481,Products!$A:$E,2,FALSE)</f>
        <v>Product_34</v>
      </c>
      <c r="E481" t="str">
        <f>VLOOKUP(B481,Products!$A:$E,3,FALSE)</f>
        <v>Office Supplies</v>
      </c>
    </row>
    <row r="482" spans="1:5" x14ac:dyDescent="0.3">
      <c r="A482" t="s">
        <v>1492</v>
      </c>
      <c r="B482" t="s">
        <v>416</v>
      </c>
      <c r="C482">
        <v>96</v>
      </c>
      <c r="D482" t="str">
        <f>VLOOKUP(B482,Products!$A:$E,2,FALSE)</f>
        <v>Product_204</v>
      </c>
      <c r="E482" t="str">
        <f>VLOOKUP(B482,Products!$A:$E,3,FALSE)</f>
        <v>Office Supplies</v>
      </c>
    </row>
    <row r="483" spans="1:5" x14ac:dyDescent="0.3">
      <c r="A483" t="s">
        <v>1493</v>
      </c>
      <c r="B483" t="s">
        <v>746</v>
      </c>
      <c r="C483">
        <v>66</v>
      </c>
      <c r="D483" t="str">
        <f>VLOOKUP(B483,Products!$A:$E,2,FALSE)</f>
        <v>Product_369</v>
      </c>
      <c r="E483" t="str">
        <f>VLOOKUP(B483,Products!$A:$E,3,FALSE)</f>
        <v>Accessories</v>
      </c>
    </row>
    <row r="484" spans="1:5" x14ac:dyDescent="0.3">
      <c r="A484" t="s">
        <v>1494</v>
      </c>
      <c r="B484" t="s">
        <v>548</v>
      </c>
      <c r="C484">
        <v>57</v>
      </c>
      <c r="D484" t="str">
        <f>VLOOKUP(B484,Products!$A:$E,2,FALSE)</f>
        <v>Product_270</v>
      </c>
      <c r="E484" t="str">
        <f>VLOOKUP(B484,Products!$A:$E,3,FALSE)</f>
        <v>Electronics</v>
      </c>
    </row>
    <row r="485" spans="1:5" x14ac:dyDescent="0.3">
      <c r="A485" t="s">
        <v>1495</v>
      </c>
      <c r="B485" t="s">
        <v>796</v>
      </c>
      <c r="C485">
        <v>57</v>
      </c>
      <c r="D485" t="str">
        <f>VLOOKUP(B485,Products!$A:$E,2,FALSE)</f>
        <v>Product_394</v>
      </c>
      <c r="E485" t="str">
        <f>VLOOKUP(B485,Products!$A:$E,3,FALSE)</f>
        <v>Electronics</v>
      </c>
    </row>
    <row r="486" spans="1:5" x14ac:dyDescent="0.3">
      <c r="A486" t="s">
        <v>1496</v>
      </c>
      <c r="B486" t="s">
        <v>852</v>
      </c>
      <c r="C486">
        <v>78</v>
      </c>
      <c r="D486" t="str">
        <f>VLOOKUP(B486,Products!$A:$E,2,FALSE)</f>
        <v>Product_422</v>
      </c>
      <c r="E486" t="str">
        <f>VLOOKUP(B486,Products!$A:$E,3,FALSE)</f>
        <v>Accessories</v>
      </c>
    </row>
    <row r="487" spans="1:5" x14ac:dyDescent="0.3">
      <c r="A487" t="s">
        <v>1497</v>
      </c>
      <c r="B487" t="s">
        <v>84</v>
      </c>
      <c r="C487">
        <v>21</v>
      </c>
      <c r="D487" t="str">
        <f>VLOOKUP(B487,Products!$A:$E,2,FALSE)</f>
        <v>Product_38</v>
      </c>
      <c r="E487" t="str">
        <f>VLOOKUP(B487,Products!$A:$E,3,FALSE)</f>
        <v>Accessories</v>
      </c>
    </row>
    <row r="488" spans="1:5" x14ac:dyDescent="0.3">
      <c r="A488" t="s">
        <v>1498</v>
      </c>
      <c r="B488" t="s">
        <v>1004</v>
      </c>
      <c r="C488">
        <v>45</v>
      </c>
      <c r="D488" t="str">
        <f>VLOOKUP(B488,Products!$A:$E,2,FALSE)</f>
        <v>Product_498</v>
      </c>
      <c r="E488" t="str">
        <f>VLOOKUP(B488,Products!$A:$E,3,FALSE)</f>
        <v>Office Supplies</v>
      </c>
    </row>
    <row r="489" spans="1:5" x14ac:dyDescent="0.3">
      <c r="A489" t="s">
        <v>1499</v>
      </c>
      <c r="B489" t="s">
        <v>666</v>
      </c>
      <c r="C489">
        <v>14</v>
      </c>
      <c r="D489" t="str">
        <f>VLOOKUP(B489,Products!$A:$E,2,FALSE)</f>
        <v>Product_329</v>
      </c>
      <c r="E489" t="str">
        <f>VLOOKUP(B489,Products!$A:$E,3,FALSE)</f>
        <v>Office Supplies</v>
      </c>
    </row>
    <row r="490" spans="1:5" x14ac:dyDescent="0.3">
      <c r="A490" t="s">
        <v>1500</v>
      </c>
      <c r="B490" t="s">
        <v>470</v>
      </c>
      <c r="C490">
        <v>64</v>
      </c>
      <c r="D490" t="str">
        <f>VLOOKUP(B490,Products!$A:$E,2,FALSE)</f>
        <v>Product_231</v>
      </c>
      <c r="E490" t="str">
        <f>VLOOKUP(B490,Products!$A:$E,3,FALSE)</f>
        <v>Accessories</v>
      </c>
    </row>
    <row r="491" spans="1:5" x14ac:dyDescent="0.3">
      <c r="A491" t="s">
        <v>1501</v>
      </c>
      <c r="B491" t="s">
        <v>706</v>
      </c>
      <c r="C491">
        <v>71</v>
      </c>
      <c r="D491" t="str">
        <f>VLOOKUP(B491,Products!$A:$E,2,FALSE)</f>
        <v>Product_349</v>
      </c>
      <c r="E491" t="str">
        <f>VLOOKUP(B491,Products!$A:$E,3,FALSE)</f>
        <v>Office Supplies</v>
      </c>
    </row>
    <row r="492" spans="1:5" x14ac:dyDescent="0.3">
      <c r="A492" t="s">
        <v>1502</v>
      </c>
      <c r="B492" t="s">
        <v>362</v>
      </c>
      <c r="C492">
        <v>21</v>
      </c>
      <c r="D492" t="str">
        <f>VLOOKUP(B492,Products!$A:$E,2,FALSE)</f>
        <v>Product_177</v>
      </c>
      <c r="E492" t="str">
        <f>VLOOKUP(B492,Products!$A:$E,3,FALSE)</f>
        <v>Office Supplies</v>
      </c>
    </row>
    <row r="493" spans="1:5" x14ac:dyDescent="0.3">
      <c r="A493" t="s">
        <v>1503</v>
      </c>
      <c r="B493" t="s">
        <v>908</v>
      </c>
      <c r="C493">
        <v>75</v>
      </c>
      <c r="D493" t="str">
        <f>VLOOKUP(B493,Products!$A:$E,2,FALSE)</f>
        <v>Product_450</v>
      </c>
      <c r="E493" t="str">
        <f>VLOOKUP(B493,Products!$A:$E,3,FALSE)</f>
        <v>Networking</v>
      </c>
    </row>
    <row r="494" spans="1:5" x14ac:dyDescent="0.3">
      <c r="A494" t="s">
        <v>1504</v>
      </c>
      <c r="B494" t="s">
        <v>664</v>
      </c>
      <c r="C494">
        <v>80</v>
      </c>
      <c r="D494" t="str">
        <f>VLOOKUP(B494,Products!$A:$E,2,FALSE)</f>
        <v>Product_328</v>
      </c>
      <c r="E494" t="str">
        <f>VLOOKUP(B494,Products!$A:$E,3,FALSE)</f>
        <v>Office Supplies</v>
      </c>
    </row>
    <row r="495" spans="1:5" x14ac:dyDescent="0.3">
      <c r="A495" t="s">
        <v>1505</v>
      </c>
      <c r="B495" t="s">
        <v>196</v>
      </c>
      <c r="C495">
        <v>21</v>
      </c>
      <c r="D495" t="str">
        <f>VLOOKUP(B495,Products!$A:$E,2,FALSE)</f>
        <v>Product_94</v>
      </c>
      <c r="E495" t="str">
        <f>VLOOKUP(B495,Products!$A:$E,3,FALSE)</f>
        <v>Networking</v>
      </c>
    </row>
    <row r="496" spans="1:5" x14ac:dyDescent="0.3">
      <c r="A496" t="s">
        <v>1506</v>
      </c>
      <c r="B496" t="s">
        <v>452</v>
      </c>
      <c r="C496">
        <v>69</v>
      </c>
      <c r="D496" t="str">
        <f>VLOOKUP(B496,Products!$A:$E,2,FALSE)</f>
        <v>Product_222</v>
      </c>
      <c r="E496" t="str">
        <f>VLOOKUP(B496,Products!$A:$E,3,FALSE)</f>
        <v>Networking</v>
      </c>
    </row>
    <row r="497" spans="1:5" x14ac:dyDescent="0.3">
      <c r="A497" t="s">
        <v>1507</v>
      </c>
      <c r="B497" t="s">
        <v>942</v>
      </c>
      <c r="C497">
        <v>12</v>
      </c>
      <c r="D497" t="str">
        <f>VLOOKUP(B497,Products!$A:$E,2,FALSE)</f>
        <v>Product_467</v>
      </c>
      <c r="E497" t="str">
        <f>VLOOKUP(B497,Products!$A:$E,3,FALSE)</f>
        <v>Accessories</v>
      </c>
    </row>
    <row r="498" spans="1:5" x14ac:dyDescent="0.3">
      <c r="A498" t="s">
        <v>1508</v>
      </c>
      <c r="B498" t="s">
        <v>860</v>
      </c>
      <c r="C498">
        <v>20</v>
      </c>
      <c r="D498" t="str">
        <f>VLOOKUP(B498,Products!$A:$E,2,FALSE)</f>
        <v>Product_426</v>
      </c>
      <c r="E498" t="str">
        <f>VLOOKUP(B498,Products!$A:$E,3,FALSE)</f>
        <v>Storage</v>
      </c>
    </row>
    <row r="499" spans="1:5" x14ac:dyDescent="0.3">
      <c r="A499" t="s">
        <v>1509</v>
      </c>
      <c r="B499" t="s">
        <v>540</v>
      </c>
      <c r="C499">
        <v>24</v>
      </c>
      <c r="D499" t="str">
        <f>VLOOKUP(B499,Products!$A:$E,2,FALSE)</f>
        <v>Product_266</v>
      </c>
      <c r="E499" t="str">
        <f>VLOOKUP(B499,Products!$A:$E,3,FALSE)</f>
        <v>Electronics</v>
      </c>
    </row>
    <row r="500" spans="1:5" x14ac:dyDescent="0.3">
      <c r="A500" t="s">
        <v>1510</v>
      </c>
      <c r="B500" t="s">
        <v>320</v>
      </c>
      <c r="C500">
        <v>26</v>
      </c>
      <c r="D500" t="str">
        <f>VLOOKUP(B500,Products!$A:$E,2,FALSE)</f>
        <v>Product_156</v>
      </c>
      <c r="E500" t="str">
        <f>VLOOKUP(B500,Products!$A:$E,3,FALSE)</f>
        <v>Accessories</v>
      </c>
    </row>
    <row r="501" spans="1:5" x14ac:dyDescent="0.3">
      <c r="A501" t="s">
        <v>1511</v>
      </c>
      <c r="B501" t="s">
        <v>174</v>
      </c>
      <c r="C501">
        <v>46</v>
      </c>
      <c r="D501" t="str">
        <f>VLOOKUP(B501,Products!$A:$E,2,FALSE)</f>
        <v>Product_83</v>
      </c>
      <c r="E501" t="str">
        <f>VLOOKUP(B501,Products!$A:$E,3,FALSE)</f>
        <v>Accessories</v>
      </c>
    </row>
    <row r="502" spans="1:5" x14ac:dyDescent="0.3">
      <c r="A502" t="s">
        <v>1512</v>
      </c>
      <c r="B502" t="s">
        <v>966</v>
      </c>
      <c r="C502">
        <v>95</v>
      </c>
      <c r="D502" t="str">
        <f>VLOOKUP(B502,Products!$A:$E,2,FALSE)</f>
        <v>Product_479</v>
      </c>
      <c r="E502" t="str">
        <f>VLOOKUP(B502,Products!$A:$E,3,FALSE)</f>
        <v>Office Supplies</v>
      </c>
    </row>
    <row r="503" spans="1:5" x14ac:dyDescent="0.3">
      <c r="A503" t="s">
        <v>1513</v>
      </c>
      <c r="B503" t="s">
        <v>240</v>
      </c>
      <c r="C503">
        <v>49</v>
      </c>
      <c r="D503" t="str">
        <f>VLOOKUP(B503,Products!$A:$E,2,FALSE)</f>
        <v>Product_116</v>
      </c>
      <c r="E503" t="str">
        <f>VLOOKUP(B503,Products!$A:$E,3,FALSE)</f>
        <v>Storage</v>
      </c>
    </row>
    <row r="504" spans="1:5" x14ac:dyDescent="0.3">
      <c r="A504" t="s">
        <v>1514</v>
      </c>
      <c r="B504" t="s">
        <v>980</v>
      </c>
      <c r="C504">
        <v>71</v>
      </c>
      <c r="D504" t="str">
        <f>VLOOKUP(B504,Products!$A:$E,2,FALSE)</f>
        <v>Product_486</v>
      </c>
      <c r="E504" t="str">
        <f>VLOOKUP(B504,Products!$A:$E,3,FALSE)</f>
        <v>Electronics</v>
      </c>
    </row>
    <row r="505" spans="1:5" x14ac:dyDescent="0.3">
      <c r="A505" t="s">
        <v>1515</v>
      </c>
      <c r="B505" t="s">
        <v>926</v>
      </c>
      <c r="C505">
        <v>41</v>
      </c>
      <c r="D505" t="str">
        <f>VLOOKUP(B505,Products!$A:$E,2,FALSE)</f>
        <v>Product_459</v>
      </c>
      <c r="E505" t="str">
        <f>VLOOKUP(B505,Products!$A:$E,3,FALSE)</f>
        <v>Office Supplies</v>
      </c>
    </row>
    <row r="506" spans="1:5" x14ac:dyDescent="0.3">
      <c r="A506" t="s">
        <v>1516</v>
      </c>
      <c r="B506" t="s">
        <v>876</v>
      </c>
      <c r="C506">
        <v>15</v>
      </c>
      <c r="D506" t="str">
        <f>VLOOKUP(B506,Products!$A:$E,2,FALSE)</f>
        <v>Product_434</v>
      </c>
      <c r="E506" t="str">
        <f>VLOOKUP(B506,Products!$A:$E,3,FALSE)</f>
        <v>Office Supplies</v>
      </c>
    </row>
    <row r="507" spans="1:5" x14ac:dyDescent="0.3">
      <c r="A507" t="s">
        <v>1517</v>
      </c>
      <c r="B507" t="s">
        <v>266</v>
      </c>
      <c r="C507">
        <v>30</v>
      </c>
      <c r="D507" t="str">
        <f>VLOOKUP(B507,Products!$A:$E,2,FALSE)</f>
        <v>Product_129</v>
      </c>
      <c r="E507" t="str">
        <f>VLOOKUP(B507,Products!$A:$E,3,FALSE)</f>
        <v>Electronics</v>
      </c>
    </row>
    <row r="508" spans="1:5" x14ac:dyDescent="0.3">
      <c r="A508" t="s">
        <v>1518</v>
      </c>
      <c r="B508" t="s">
        <v>660</v>
      </c>
      <c r="C508">
        <v>75</v>
      </c>
      <c r="D508" t="str">
        <f>VLOOKUP(B508,Products!$A:$E,2,FALSE)</f>
        <v>Product_326</v>
      </c>
      <c r="E508" t="str">
        <f>VLOOKUP(B508,Products!$A:$E,3,FALSE)</f>
        <v>Electronics</v>
      </c>
    </row>
    <row r="509" spans="1:5" x14ac:dyDescent="0.3">
      <c r="A509" t="s">
        <v>1519</v>
      </c>
      <c r="B509" t="s">
        <v>290</v>
      </c>
      <c r="C509">
        <v>21</v>
      </c>
      <c r="D509" t="str">
        <f>VLOOKUP(B509,Products!$A:$E,2,FALSE)</f>
        <v>Product_141</v>
      </c>
      <c r="E509" t="str">
        <f>VLOOKUP(B509,Products!$A:$E,3,FALSE)</f>
        <v>Electronics</v>
      </c>
    </row>
    <row r="510" spans="1:5" x14ac:dyDescent="0.3">
      <c r="A510" t="s">
        <v>1520</v>
      </c>
      <c r="B510" t="s">
        <v>650</v>
      </c>
      <c r="C510">
        <v>43</v>
      </c>
      <c r="D510" t="str">
        <f>VLOOKUP(B510,Products!$A:$E,2,FALSE)</f>
        <v>Product_321</v>
      </c>
      <c r="E510" t="str">
        <f>VLOOKUP(B510,Products!$A:$E,3,FALSE)</f>
        <v>Electronics</v>
      </c>
    </row>
    <row r="511" spans="1:5" x14ac:dyDescent="0.3">
      <c r="A511" t="s">
        <v>1521</v>
      </c>
      <c r="B511" t="s">
        <v>638</v>
      </c>
      <c r="C511">
        <v>73</v>
      </c>
      <c r="D511" t="str">
        <f>VLOOKUP(B511,Products!$A:$E,2,FALSE)</f>
        <v>Product_315</v>
      </c>
      <c r="E511" t="str">
        <f>VLOOKUP(B511,Products!$A:$E,3,FALSE)</f>
        <v>Accessories</v>
      </c>
    </row>
    <row r="512" spans="1:5" x14ac:dyDescent="0.3">
      <c r="A512" t="s">
        <v>1522</v>
      </c>
      <c r="B512" t="s">
        <v>104</v>
      </c>
      <c r="C512">
        <v>69</v>
      </c>
      <c r="D512" t="str">
        <f>VLOOKUP(B512,Products!$A:$E,2,FALSE)</f>
        <v>Product_48</v>
      </c>
      <c r="E512" t="str">
        <f>VLOOKUP(B512,Products!$A:$E,3,FALSE)</f>
        <v>Accessories</v>
      </c>
    </row>
    <row r="513" spans="1:5" x14ac:dyDescent="0.3">
      <c r="A513" t="s">
        <v>1523</v>
      </c>
      <c r="B513" t="s">
        <v>666</v>
      </c>
      <c r="C513">
        <v>26</v>
      </c>
      <c r="D513" t="str">
        <f>VLOOKUP(B513,Products!$A:$E,2,FALSE)</f>
        <v>Product_329</v>
      </c>
      <c r="E513" t="str">
        <f>VLOOKUP(B513,Products!$A:$E,3,FALSE)</f>
        <v>Office Supplies</v>
      </c>
    </row>
    <row r="514" spans="1:5" x14ac:dyDescent="0.3">
      <c r="A514" t="s">
        <v>1524</v>
      </c>
      <c r="B514" t="s">
        <v>616</v>
      </c>
      <c r="C514">
        <v>79</v>
      </c>
      <c r="D514" t="str">
        <f>VLOOKUP(B514,Products!$A:$E,2,FALSE)</f>
        <v>Product_304</v>
      </c>
      <c r="E514" t="str">
        <f>VLOOKUP(B514,Products!$A:$E,3,FALSE)</f>
        <v>Electronics</v>
      </c>
    </row>
    <row r="515" spans="1:5" x14ac:dyDescent="0.3">
      <c r="A515" t="s">
        <v>1525</v>
      </c>
      <c r="B515" t="s">
        <v>166</v>
      </c>
      <c r="C515">
        <v>26</v>
      </c>
      <c r="D515" t="str">
        <f>VLOOKUP(B515,Products!$A:$E,2,FALSE)</f>
        <v>Product_79</v>
      </c>
      <c r="E515" t="str">
        <f>VLOOKUP(B515,Products!$A:$E,3,FALSE)</f>
        <v>Storage</v>
      </c>
    </row>
    <row r="516" spans="1:5" x14ac:dyDescent="0.3">
      <c r="A516" t="s">
        <v>1526</v>
      </c>
      <c r="B516" t="s">
        <v>684</v>
      </c>
      <c r="C516">
        <v>84</v>
      </c>
      <c r="D516" t="str">
        <f>VLOOKUP(B516,Products!$A:$E,2,FALSE)</f>
        <v>Product_338</v>
      </c>
      <c r="E516" t="str">
        <f>VLOOKUP(B516,Products!$A:$E,3,FALSE)</f>
        <v>Networking</v>
      </c>
    </row>
    <row r="517" spans="1:5" x14ac:dyDescent="0.3">
      <c r="A517" t="s">
        <v>1527</v>
      </c>
      <c r="B517" t="s">
        <v>746</v>
      </c>
      <c r="C517">
        <v>82</v>
      </c>
      <c r="D517" t="str">
        <f>VLOOKUP(B517,Products!$A:$E,2,FALSE)</f>
        <v>Product_369</v>
      </c>
      <c r="E517" t="str">
        <f>VLOOKUP(B517,Products!$A:$E,3,FALSE)</f>
        <v>Accessories</v>
      </c>
    </row>
    <row r="518" spans="1:5" x14ac:dyDescent="0.3">
      <c r="A518" t="s">
        <v>1528</v>
      </c>
      <c r="B518" t="s">
        <v>354</v>
      </c>
      <c r="C518">
        <v>77</v>
      </c>
      <c r="D518" t="str">
        <f>VLOOKUP(B518,Products!$A:$E,2,FALSE)</f>
        <v>Product_173</v>
      </c>
      <c r="E518" t="str">
        <f>VLOOKUP(B518,Products!$A:$E,3,FALSE)</f>
        <v>Electronics</v>
      </c>
    </row>
    <row r="519" spans="1:5" x14ac:dyDescent="0.3">
      <c r="A519" t="s">
        <v>1529</v>
      </c>
      <c r="B519" t="s">
        <v>52</v>
      </c>
      <c r="C519">
        <v>8</v>
      </c>
      <c r="D519" t="str">
        <f>VLOOKUP(B519,Products!$A:$E,2,FALSE)</f>
        <v>Product_22</v>
      </c>
      <c r="E519" t="str">
        <f>VLOOKUP(B519,Products!$A:$E,3,FALSE)</f>
        <v>Electronics</v>
      </c>
    </row>
    <row r="520" spans="1:5" x14ac:dyDescent="0.3">
      <c r="A520" t="s">
        <v>1530</v>
      </c>
      <c r="B520" t="s">
        <v>92</v>
      </c>
      <c r="C520">
        <v>10</v>
      </c>
      <c r="D520" t="str">
        <f>VLOOKUP(B520,Products!$A:$E,2,FALSE)</f>
        <v>Product_42</v>
      </c>
      <c r="E520" t="str">
        <f>VLOOKUP(B520,Products!$A:$E,3,FALSE)</f>
        <v>Storage</v>
      </c>
    </row>
    <row r="521" spans="1:5" x14ac:dyDescent="0.3">
      <c r="A521" t="s">
        <v>1531</v>
      </c>
      <c r="B521" t="s">
        <v>980</v>
      </c>
      <c r="C521">
        <v>87</v>
      </c>
      <c r="D521" t="str">
        <f>VLOOKUP(B521,Products!$A:$E,2,FALSE)</f>
        <v>Product_486</v>
      </c>
      <c r="E521" t="str">
        <f>VLOOKUP(B521,Products!$A:$E,3,FALSE)</f>
        <v>Electronics</v>
      </c>
    </row>
    <row r="522" spans="1:5" x14ac:dyDescent="0.3">
      <c r="A522" t="s">
        <v>1532</v>
      </c>
      <c r="B522" t="s">
        <v>798</v>
      </c>
      <c r="C522">
        <v>78</v>
      </c>
      <c r="D522" t="str">
        <f>VLOOKUP(B522,Products!$A:$E,2,FALSE)</f>
        <v>Product_395</v>
      </c>
      <c r="E522" t="str">
        <f>VLOOKUP(B522,Products!$A:$E,3,FALSE)</f>
        <v>Accessories</v>
      </c>
    </row>
    <row r="523" spans="1:5" x14ac:dyDescent="0.3">
      <c r="A523" t="s">
        <v>1533</v>
      </c>
      <c r="B523" t="s">
        <v>280</v>
      </c>
      <c r="C523">
        <v>88</v>
      </c>
      <c r="D523" t="str">
        <f>VLOOKUP(B523,Products!$A:$E,2,FALSE)</f>
        <v>Product_136</v>
      </c>
      <c r="E523" t="str">
        <f>VLOOKUP(B523,Products!$A:$E,3,FALSE)</f>
        <v>Storage</v>
      </c>
    </row>
    <row r="524" spans="1:5" x14ac:dyDescent="0.3">
      <c r="A524" t="s">
        <v>1534</v>
      </c>
      <c r="B524" t="s">
        <v>224</v>
      </c>
      <c r="C524">
        <v>78</v>
      </c>
      <c r="D524" t="str">
        <f>VLOOKUP(B524,Products!$A:$E,2,FALSE)</f>
        <v>Product_108</v>
      </c>
      <c r="E524" t="str">
        <f>VLOOKUP(B524,Products!$A:$E,3,FALSE)</f>
        <v>Networking</v>
      </c>
    </row>
    <row r="525" spans="1:5" x14ac:dyDescent="0.3">
      <c r="A525" t="s">
        <v>1535</v>
      </c>
      <c r="B525" t="s">
        <v>436</v>
      </c>
      <c r="C525">
        <v>84</v>
      </c>
      <c r="D525" t="str">
        <f>VLOOKUP(B525,Products!$A:$E,2,FALSE)</f>
        <v>Product_214</v>
      </c>
      <c r="E525" t="str">
        <f>VLOOKUP(B525,Products!$A:$E,3,FALSE)</f>
        <v>Electronics</v>
      </c>
    </row>
    <row r="526" spans="1:5" x14ac:dyDescent="0.3">
      <c r="A526" t="s">
        <v>1536</v>
      </c>
      <c r="B526" t="s">
        <v>664</v>
      </c>
      <c r="C526">
        <v>8</v>
      </c>
      <c r="D526" t="str">
        <f>VLOOKUP(B526,Products!$A:$E,2,FALSE)</f>
        <v>Product_328</v>
      </c>
      <c r="E526" t="str">
        <f>VLOOKUP(B526,Products!$A:$E,3,FALSE)</f>
        <v>Office Supplies</v>
      </c>
    </row>
    <row r="527" spans="1:5" x14ac:dyDescent="0.3">
      <c r="A527" t="s">
        <v>1537</v>
      </c>
      <c r="B527" t="s">
        <v>518</v>
      </c>
      <c r="C527">
        <v>85</v>
      </c>
      <c r="D527" t="str">
        <f>VLOOKUP(B527,Products!$A:$E,2,FALSE)</f>
        <v>Product_255</v>
      </c>
      <c r="E527" t="str">
        <f>VLOOKUP(B527,Products!$A:$E,3,FALSE)</f>
        <v>Accessories</v>
      </c>
    </row>
    <row r="528" spans="1:5" x14ac:dyDescent="0.3">
      <c r="A528" t="s">
        <v>1538</v>
      </c>
      <c r="B528" t="s">
        <v>568</v>
      </c>
      <c r="C528">
        <v>42</v>
      </c>
      <c r="D528" t="str">
        <f>VLOOKUP(B528,Products!$A:$E,2,FALSE)</f>
        <v>Product_280</v>
      </c>
      <c r="E528" t="str">
        <f>VLOOKUP(B528,Products!$A:$E,3,FALSE)</f>
        <v>Electronics</v>
      </c>
    </row>
    <row r="529" spans="1:5" x14ac:dyDescent="0.3">
      <c r="A529" t="s">
        <v>1539</v>
      </c>
      <c r="B529" t="s">
        <v>666</v>
      </c>
      <c r="C529">
        <v>43</v>
      </c>
      <c r="D529" t="str">
        <f>VLOOKUP(B529,Products!$A:$E,2,FALSE)</f>
        <v>Product_329</v>
      </c>
      <c r="E529" t="str">
        <f>VLOOKUP(B529,Products!$A:$E,3,FALSE)</f>
        <v>Office Supplies</v>
      </c>
    </row>
    <row r="530" spans="1:5" x14ac:dyDescent="0.3">
      <c r="A530" t="s">
        <v>1540</v>
      </c>
      <c r="B530" t="s">
        <v>504</v>
      </c>
      <c r="C530">
        <v>36</v>
      </c>
      <c r="D530" t="str">
        <f>VLOOKUP(B530,Products!$A:$E,2,FALSE)</f>
        <v>Product_248</v>
      </c>
      <c r="E530" t="str">
        <f>VLOOKUP(B530,Products!$A:$E,3,FALSE)</f>
        <v>Networking</v>
      </c>
    </row>
    <row r="531" spans="1:5" x14ac:dyDescent="0.3">
      <c r="A531" t="s">
        <v>1541</v>
      </c>
      <c r="B531" t="s">
        <v>834</v>
      </c>
      <c r="C531">
        <v>92</v>
      </c>
      <c r="D531" t="str">
        <f>VLOOKUP(B531,Products!$A:$E,2,FALSE)</f>
        <v>Product_413</v>
      </c>
      <c r="E531" t="str">
        <f>VLOOKUP(B531,Products!$A:$E,3,FALSE)</f>
        <v>Accessories</v>
      </c>
    </row>
    <row r="532" spans="1:5" x14ac:dyDescent="0.3">
      <c r="A532" t="s">
        <v>1542</v>
      </c>
      <c r="B532" t="s">
        <v>424</v>
      </c>
      <c r="C532">
        <v>43</v>
      </c>
      <c r="D532" t="str">
        <f>VLOOKUP(B532,Products!$A:$E,2,FALSE)</f>
        <v>Product_208</v>
      </c>
      <c r="E532" t="str">
        <f>VLOOKUP(B532,Products!$A:$E,3,FALSE)</f>
        <v>Electronics</v>
      </c>
    </row>
    <row r="533" spans="1:5" x14ac:dyDescent="0.3">
      <c r="A533" t="s">
        <v>1543</v>
      </c>
      <c r="B533" t="s">
        <v>474</v>
      </c>
      <c r="C533">
        <v>14</v>
      </c>
      <c r="D533" t="str">
        <f>VLOOKUP(B533,Products!$A:$E,2,FALSE)</f>
        <v>Product_233</v>
      </c>
      <c r="E533" t="str">
        <f>VLOOKUP(B533,Products!$A:$E,3,FALSE)</f>
        <v>Accessories</v>
      </c>
    </row>
    <row r="534" spans="1:5" x14ac:dyDescent="0.3">
      <c r="A534" t="s">
        <v>1544</v>
      </c>
      <c r="B534" t="s">
        <v>714</v>
      </c>
      <c r="C534">
        <v>12</v>
      </c>
      <c r="D534" t="str">
        <f>VLOOKUP(B534,Products!$A:$E,2,FALSE)</f>
        <v>Product_353</v>
      </c>
      <c r="E534" t="str">
        <f>VLOOKUP(B534,Products!$A:$E,3,FALSE)</f>
        <v>Accessories</v>
      </c>
    </row>
    <row r="535" spans="1:5" x14ac:dyDescent="0.3">
      <c r="A535" t="s">
        <v>1545</v>
      </c>
      <c r="B535" t="s">
        <v>170</v>
      </c>
      <c r="C535">
        <v>61</v>
      </c>
      <c r="D535" t="str">
        <f>VLOOKUP(B535,Products!$A:$E,2,FALSE)</f>
        <v>Product_81</v>
      </c>
      <c r="E535" t="str">
        <f>VLOOKUP(B535,Products!$A:$E,3,FALSE)</f>
        <v>Office Supplies</v>
      </c>
    </row>
    <row r="536" spans="1:5" x14ac:dyDescent="0.3">
      <c r="A536" t="s">
        <v>1546</v>
      </c>
      <c r="B536" t="s">
        <v>434</v>
      </c>
      <c r="C536">
        <v>66</v>
      </c>
      <c r="D536" t="str">
        <f>VLOOKUP(B536,Products!$A:$E,2,FALSE)</f>
        <v>Product_213</v>
      </c>
      <c r="E536" t="str">
        <f>VLOOKUP(B536,Products!$A:$E,3,FALSE)</f>
        <v>Accessories</v>
      </c>
    </row>
    <row r="537" spans="1:5" x14ac:dyDescent="0.3">
      <c r="A537" t="s">
        <v>1547</v>
      </c>
      <c r="B537" t="s">
        <v>484</v>
      </c>
      <c r="C537">
        <v>31</v>
      </c>
      <c r="D537" t="str">
        <f>VLOOKUP(B537,Products!$A:$E,2,FALSE)</f>
        <v>Product_238</v>
      </c>
      <c r="E537" t="str">
        <f>VLOOKUP(B537,Products!$A:$E,3,FALSE)</f>
        <v>Accessories</v>
      </c>
    </row>
    <row r="538" spans="1:5" x14ac:dyDescent="0.3">
      <c r="A538" t="s">
        <v>1548</v>
      </c>
      <c r="B538" t="s">
        <v>358</v>
      </c>
      <c r="C538">
        <v>82</v>
      </c>
      <c r="D538" t="str">
        <f>VLOOKUP(B538,Products!$A:$E,2,FALSE)</f>
        <v>Product_175</v>
      </c>
      <c r="E538" t="str">
        <f>VLOOKUP(B538,Products!$A:$E,3,FALSE)</f>
        <v>Storage</v>
      </c>
    </row>
    <row r="539" spans="1:5" x14ac:dyDescent="0.3">
      <c r="A539" t="s">
        <v>1549</v>
      </c>
      <c r="B539" t="s">
        <v>156</v>
      </c>
      <c r="C539">
        <v>45</v>
      </c>
      <c r="D539" t="str">
        <f>VLOOKUP(B539,Products!$A:$E,2,FALSE)</f>
        <v>Product_74</v>
      </c>
      <c r="E539" t="str">
        <f>VLOOKUP(B539,Products!$A:$E,3,FALSE)</f>
        <v>Storage</v>
      </c>
    </row>
    <row r="540" spans="1:5" x14ac:dyDescent="0.3">
      <c r="A540" t="s">
        <v>1550</v>
      </c>
      <c r="B540" t="s">
        <v>892</v>
      </c>
      <c r="C540">
        <v>96</v>
      </c>
      <c r="D540" t="str">
        <f>VLOOKUP(B540,Products!$A:$E,2,FALSE)</f>
        <v>Product_442</v>
      </c>
      <c r="E540" t="str">
        <f>VLOOKUP(B540,Products!$A:$E,3,FALSE)</f>
        <v>Networking</v>
      </c>
    </row>
    <row r="541" spans="1:5" x14ac:dyDescent="0.3">
      <c r="A541" t="s">
        <v>1551</v>
      </c>
      <c r="B541" t="s">
        <v>336</v>
      </c>
      <c r="C541">
        <v>98</v>
      </c>
      <c r="D541" t="str">
        <f>VLOOKUP(B541,Products!$A:$E,2,FALSE)</f>
        <v>Product_164</v>
      </c>
      <c r="E541" t="str">
        <f>VLOOKUP(B541,Products!$A:$E,3,FALSE)</f>
        <v>Networking</v>
      </c>
    </row>
    <row r="542" spans="1:5" x14ac:dyDescent="0.3">
      <c r="A542" t="s">
        <v>1552</v>
      </c>
      <c r="B542" t="s">
        <v>890</v>
      </c>
      <c r="C542">
        <v>49</v>
      </c>
      <c r="D542" t="str">
        <f>VLOOKUP(B542,Products!$A:$E,2,FALSE)</f>
        <v>Product_441</v>
      </c>
      <c r="E542" t="str">
        <f>VLOOKUP(B542,Products!$A:$E,3,FALSE)</f>
        <v>Storage</v>
      </c>
    </row>
    <row r="543" spans="1:5" x14ac:dyDescent="0.3">
      <c r="A543" t="s">
        <v>1553</v>
      </c>
      <c r="B543" t="s">
        <v>1008</v>
      </c>
      <c r="C543">
        <v>56</v>
      </c>
      <c r="D543" t="str">
        <f>VLOOKUP(B543,Products!$A:$E,2,FALSE)</f>
        <v>Product_500</v>
      </c>
      <c r="E543" t="str">
        <f>VLOOKUP(B543,Products!$A:$E,3,FALSE)</f>
        <v>Networking</v>
      </c>
    </row>
    <row r="544" spans="1:5" x14ac:dyDescent="0.3">
      <c r="A544" t="s">
        <v>1554</v>
      </c>
      <c r="B544" t="s">
        <v>142</v>
      </c>
      <c r="C544">
        <v>52</v>
      </c>
      <c r="D544" t="str">
        <f>VLOOKUP(B544,Products!$A:$E,2,FALSE)</f>
        <v>Product_67</v>
      </c>
      <c r="E544" t="str">
        <f>VLOOKUP(B544,Products!$A:$E,3,FALSE)</f>
        <v>Office Supplies</v>
      </c>
    </row>
    <row r="545" spans="1:5" x14ac:dyDescent="0.3">
      <c r="A545" t="s">
        <v>1555</v>
      </c>
      <c r="B545" t="s">
        <v>536</v>
      </c>
      <c r="C545">
        <v>76</v>
      </c>
      <c r="D545" t="str">
        <f>VLOOKUP(B545,Products!$A:$E,2,FALSE)</f>
        <v>Product_264</v>
      </c>
      <c r="E545" t="str">
        <f>VLOOKUP(B545,Products!$A:$E,3,FALSE)</f>
        <v>Electronics</v>
      </c>
    </row>
    <row r="546" spans="1:5" x14ac:dyDescent="0.3">
      <c r="A546" t="s">
        <v>1556</v>
      </c>
      <c r="B546" t="s">
        <v>118</v>
      </c>
      <c r="C546">
        <v>45</v>
      </c>
      <c r="D546" t="str">
        <f>VLOOKUP(B546,Products!$A:$E,2,FALSE)</f>
        <v>Product_55</v>
      </c>
      <c r="E546" t="str">
        <f>VLOOKUP(B546,Products!$A:$E,3,FALSE)</f>
        <v>Office Supplies</v>
      </c>
    </row>
    <row r="547" spans="1:5" x14ac:dyDescent="0.3">
      <c r="A547" t="s">
        <v>1557</v>
      </c>
      <c r="B547" t="s">
        <v>256</v>
      </c>
      <c r="C547">
        <v>64</v>
      </c>
      <c r="D547" t="str">
        <f>VLOOKUP(B547,Products!$A:$E,2,FALSE)</f>
        <v>Product_124</v>
      </c>
      <c r="E547" t="str">
        <f>VLOOKUP(B547,Products!$A:$E,3,FALSE)</f>
        <v>Storage</v>
      </c>
    </row>
    <row r="548" spans="1:5" x14ac:dyDescent="0.3">
      <c r="A548" t="s">
        <v>1558</v>
      </c>
      <c r="B548" t="s">
        <v>134</v>
      </c>
      <c r="C548">
        <v>39</v>
      </c>
      <c r="D548" t="str">
        <f>VLOOKUP(B548,Products!$A:$E,2,FALSE)</f>
        <v>Product_63</v>
      </c>
      <c r="E548" t="str">
        <f>VLOOKUP(B548,Products!$A:$E,3,FALSE)</f>
        <v>Accessories</v>
      </c>
    </row>
    <row r="549" spans="1:5" x14ac:dyDescent="0.3">
      <c r="A549" t="s">
        <v>1559</v>
      </c>
      <c r="B549" t="s">
        <v>470</v>
      </c>
      <c r="C549">
        <v>36</v>
      </c>
      <c r="D549" t="str">
        <f>VLOOKUP(B549,Products!$A:$E,2,FALSE)</f>
        <v>Product_231</v>
      </c>
      <c r="E549" t="str">
        <f>VLOOKUP(B549,Products!$A:$E,3,FALSE)</f>
        <v>Accessories</v>
      </c>
    </row>
    <row r="550" spans="1:5" x14ac:dyDescent="0.3">
      <c r="A550" t="s">
        <v>1560</v>
      </c>
      <c r="B550" t="s">
        <v>154</v>
      </c>
      <c r="C550">
        <v>17</v>
      </c>
      <c r="D550" t="str">
        <f>VLOOKUP(B550,Products!$A:$E,2,FALSE)</f>
        <v>Product_73</v>
      </c>
      <c r="E550" t="str">
        <f>VLOOKUP(B550,Products!$A:$E,3,FALSE)</f>
        <v>Office Supplies</v>
      </c>
    </row>
    <row r="551" spans="1:5" x14ac:dyDescent="0.3">
      <c r="A551" t="s">
        <v>1561</v>
      </c>
      <c r="B551" t="s">
        <v>60</v>
      </c>
      <c r="C551">
        <v>42</v>
      </c>
      <c r="D551" t="str">
        <f>VLOOKUP(B551,Products!$A:$E,2,FALSE)</f>
        <v>Product_26</v>
      </c>
      <c r="E551" t="str">
        <f>VLOOKUP(B551,Products!$A:$E,3,FALSE)</f>
        <v>Office Supplies</v>
      </c>
    </row>
    <row r="552" spans="1:5" x14ac:dyDescent="0.3">
      <c r="A552" t="s">
        <v>1562</v>
      </c>
      <c r="B552" t="s">
        <v>978</v>
      </c>
      <c r="C552">
        <v>54</v>
      </c>
      <c r="D552" t="str">
        <f>VLOOKUP(B552,Products!$A:$E,2,FALSE)</f>
        <v>Product_485</v>
      </c>
      <c r="E552" t="str">
        <f>VLOOKUP(B552,Products!$A:$E,3,FALSE)</f>
        <v>Networking</v>
      </c>
    </row>
    <row r="553" spans="1:5" x14ac:dyDescent="0.3">
      <c r="A553" t="s">
        <v>1563</v>
      </c>
      <c r="B553" t="s">
        <v>894</v>
      </c>
      <c r="C553">
        <v>83</v>
      </c>
      <c r="D553" t="str">
        <f>VLOOKUP(B553,Products!$A:$E,2,FALSE)</f>
        <v>Product_443</v>
      </c>
      <c r="E553" t="str">
        <f>VLOOKUP(B553,Products!$A:$E,3,FALSE)</f>
        <v>Networking</v>
      </c>
    </row>
    <row r="554" spans="1:5" x14ac:dyDescent="0.3">
      <c r="A554" t="s">
        <v>1564</v>
      </c>
      <c r="B554" t="s">
        <v>438</v>
      </c>
      <c r="C554">
        <v>36</v>
      </c>
      <c r="D554" t="str">
        <f>VLOOKUP(B554,Products!$A:$E,2,FALSE)</f>
        <v>Product_215</v>
      </c>
      <c r="E554" t="str">
        <f>VLOOKUP(B554,Products!$A:$E,3,FALSE)</f>
        <v>Electronics</v>
      </c>
    </row>
    <row r="555" spans="1:5" x14ac:dyDescent="0.3">
      <c r="A555" t="s">
        <v>1565</v>
      </c>
      <c r="B555" t="s">
        <v>994</v>
      </c>
      <c r="C555">
        <v>25</v>
      </c>
      <c r="D555" t="str">
        <f>VLOOKUP(B555,Products!$A:$E,2,FALSE)</f>
        <v>Product_493</v>
      </c>
      <c r="E555" t="str">
        <f>VLOOKUP(B555,Products!$A:$E,3,FALSE)</f>
        <v>Networking</v>
      </c>
    </row>
    <row r="556" spans="1:5" x14ac:dyDescent="0.3">
      <c r="A556" t="s">
        <v>1566</v>
      </c>
      <c r="B556" t="s">
        <v>842</v>
      </c>
      <c r="C556">
        <v>46</v>
      </c>
      <c r="D556" t="str">
        <f>VLOOKUP(B556,Products!$A:$E,2,FALSE)</f>
        <v>Product_417</v>
      </c>
      <c r="E556" t="str">
        <f>VLOOKUP(B556,Products!$A:$E,3,FALSE)</f>
        <v>Accessories</v>
      </c>
    </row>
    <row r="557" spans="1:5" x14ac:dyDescent="0.3">
      <c r="A557" t="s">
        <v>1567</v>
      </c>
      <c r="B557" t="s">
        <v>966</v>
      </c>
      <c r="C557">
        <v>78</v>
      </c>
      <c r="D557" t="str">
        <f>VLOOKUP(B557,Products!$A:$E,2,FALSE)</f>
        <v>Product_479</v>
      </c>
      <c r="E557" t="str">
        <f>VLOOKUP(B557,Products!$A:$E,3,FALSE)</f>
        <v>Office Supplies</v>
      </c>
    </row>
    <row r="558" spans="1:5" x14ac:dyDescent="0.3">
      <c r="A558" t="s">
        <v>1568</v>
      </c>
      <c r="B558" t="s">
        <v>748</v>
      </c>
      <c r="C558">
        <v>45</v>
      </c>
      <c r="D558" t="str">
        <f>VLOOKUP(B558,Products!$A:$E,2,FALSE)</f>
        <v>Product_370</v>
      </c>
      <c r="E558" t="str">
        <f>VLOOKUP(B558,Products!$A:$E,3,FALSE)</f>
        <v>Networking</v>
      </c>
    </row>
    <row r="559" spans="1:5" x14ac:dyDescent="0.3">
      <c r="A559" t="s">
        <v>1569</v>
      </c>
      <c r="B559" t="s">
        <v>204</v>
      </c>
      <c r="C559">
        <v>25</v>
      </c>
      <c r="D559" t="str">
        <f>VLOOKUP(B559,Products!$A:$E,2,FALSE)</f>
        <v>Product_98</v>
      </c>
      <c r="E559" t="str">
        <f>VLOOKUP(B559,Products!$A:$E,3,FALSE)</f>
        <v>Networking</v>
      </c>
    </row>
    <row r="560" spans="1:5" x14ac:dyDescent="0.3">
      <c r="A560" t="s">
        <v>1570</v>
      </c>
      <c r="B560" t="s">
        <v>520</v>
      </c>
      <c r="C560">
        <v>70</v>
      </c>
      <c r="D560" t="str">
        <f>VLOOKUP(B560,Products!$A:$E,2,FALSE)</f>
        <v>Product_256</v>
      </c>
      <c r="E560" t="str">
        <f>VLOOKUP(B560,Products!$A:$E,3,FALSE)</f>
        <v>Office Supplies</v>
      </c>
    </row>
    <row r="561" spans="1:5" x14ac:dyDescent="0.3">
      <c r="A561" t="s">
        <v>1571</v>
      </c>
      <c r="B561" t="s">
        <v>488</v>
      </c>
      <c r="C561">
        <v>68</v>
      </c>
      <c r="D561" t="str">
        <f>VLOOKUP(B561,Products!$A:$E,2,FALSE)</f>
        <v>Product_240</v>
      </c>
      <c r="E561" t="str">
        <f>VLOOKUP(B561,Products!$A:$E,3,FALSE)</f>
        <v>Storage</v>
      </c>
    </row>
    <row r="562" spans="1:5" x14ac:dyDescent="0.3">
      <c r="A562" t="s">
        <v>1572</v>
      </c>
      <c r="B562" t="s">
        <v>910</v>
      </c>
      <c r="C562">
        <v>44</v>
      </c>
      <c r="D562" t="str">
        <f>VLOOKUP(B562,Products!$A:$E,2,FALSE)</f>
        <v>Product_451</v>
      </c>
      <c r="E562" t="str">
        <f>VLOOKUP(B562,Products!$A:$E,3,FALSE)</f>
        <v>Accessories</v>
      </c>
    </row>
    <row r="563" spans="1:5" x14ac:dyDescent="0.3">
      <c r="A563" t="s">
        <v>1573</v>
      </c>
      <c r="B563" t="s">
        <v>518</v>
      </c>
      <c r="C563">
        <v>7</v>
      </c>
      <c r="D563" t="str">
        <f>VLOOKUP(B563,Products!$A:$E,2,FALSE)</f>
        <v>Product_255</v>
      </c>
      <c r="E563" t="str">
        <f>VLOOKUP(B563,Products!$A:$E,3,FALSE)</f>
        <v>Accessories</v>
      </c>
    </row>
    <row r="564" spans="1:5" x14ac:dyDescent="0.3">
      <c r="A564" t="s">
        <v>1574</v>
      </c>
      <c r="B564" t="s">
        <v>102</v>
      </c>
      <c r="C564">
        <v>55</v>
      </c>
      <c r="D564" t="str">
        <f>VLOOKUP(B564,Products!$A:$E,2,FALSE)</f>
        <v>Product_47</v>
      </c>
      <c r="E564" t="str">
        <f>VLOOKUP(B564,Products!$A:$E,3,FALSE)</f>
        <v>Electronics</v>
      </c>
    </row>
    <row r="565" spans="1:5" x14ac:dyDescent="0.3">
      <c r="A565" t="s">
        <v>1575</v>
      </c>
      <c r="B565" t="s">
        <v>526</v>
      </c>
      <c r="C565">
        <v>63</v>
      </c>
      <c r="D565" t="str">
        <f>VLOOKUP(B565,Products!$A:$E,2,FALSE)</f>
        <v>Product_259</v>
      </c>
      <c r="E565" t="str">
        <f>VLOOKUP(B565,Products!$A:$E,3,FALSE)</f>
        <v>Electronics</v>
      </c>
    </row>
    <row r="566" spans="1:5" x14ac:dyDescent="0.3">
      <c r="A566" t="s">
        <v>1576</v>
      </c>
      <c r="B566" t="s">
        <v>998</v>
      </c>
      <c r="C566">
        <v>35</v>
      </c>
      <c r="D566" t="str">
        <f>VLOOKUP(B566,Products!$A:$E,2,FALSE)</f>
        <v>Product_495</v>
      </c>
      <c r="E566" t="str">
        <f>VLOOKUP(B566,Products!$A:$E,3,FALSE)</f>
        <v>Networking</v>
      </c>
    </row>
    <row r="567" spans="1:5" x14ac:dyDescent="0.3">
      <c r="A567" t="s">
        <v>1577</v>
      </c>
      <c r="B567" t="s">
        <v>230</v>
      </c>
      <c r="C567">
        <v>79</v>
      </c>
      <c r="D567" t="str">
        <f>VLOOKUP(B567,Products!$A:$E,2,FALSE)</f>
        <v>Product_111</v>
      </c>
      <c r="E567" t="str">
        <f>VLOOKUP(B567,Products!$A:$E,3,FALSE)</f>
        <v>Office Supplies</v>
      </c>
    </row>
    <row r="568" spans="1:5" x14ac:dyDescent="0.3">
      <c r="A568" t="s">
        <v>1578</v>
      </c>
      <c r="B568" t="s">
        <v>370</v>
      </c>
      <c r="C568">
        <v>11</v>
      </c>
      <c r="D568" t="str">
        <f>VLOOKUP(B568,Products!$A:$E,2,FALSE)</f>
        <v>Product_181</v>
      </c>
      <c r="E568" t="str">
        <f>VLOOKUP(B568,Products!$A:$E,3,FALSE)</f>
        <v>Storage</v>
      </c>
    </row>
    <row r="569" spans="1:5" x14ac:dyDescent="0.3">
      <c r="A569" t="s">
        <v>1579</v>
      </c>
      <c r="B569" t="s">
        <v>60</v>
      </c>
      <c r="C569">
        <v>41</v>
      </c>
      <c r="D569" t="str">
        <f>VLOOKUP(B569,Products!$A:$E,2,FALSE)</f>
        <v>Product_26</v>
      </c>
      <c r="E569" t="str">
        <f>VLOOKUP(B569,Products!$A:$E,3,FALSE)</f>
        <v>Office Supplies</v>
      </c>
    </row>
    <row r="570" spans="1:5" x14ac:dyDescent="0.3">
      <c r="A570" t="s">
        <v>1580</v>
      </c>
      <c r="B570" t="s">
        <v>516</v>
      </c>
      <c r="C570">
        <v>81</v>
      </c>
      <c r="D570" t="str">
        <f>VLOOKUP(B570,Products!$A:$E,2,FALSE)</f>
        <v>Product_254</v>
      </c>
      <c r="E570" t="str">
        <f>VLOOKUP(B570,Products!$A:$E,3,FALSE)</f>
        <v>Office Supplies</v>
      </c>
    </row>
    <row r="571" spans="1:5" x14ac:dyDescent="0.3">
      <c r="A571" t="s">
        <v>1581</v>
      </c>
      <c r="B571" t="s">
        <v>912</v>
      </c>
      <c r="C571">
        <v>88</v>
      </c>
      <c r="D571" t="str">
        <f>VLOOKUP(B571,Products!$A:$E,2,FALSE)</f>
        <v>Product_452</v>
      </c>
      <c r="E571" t="str">
        <f>VLOOKUP(B571,Products!$A:$E,3,FALSE)</f>
        <v>Office Supplies</v>
      </c>
    </row>
    <row r="572" spans="1:5" x14ac:dyDescent="0.3">
      <c r="A572" t="s">
        <v>1582</v>
      </c>
      <c r="B572" t="s">
        <v>698</v>
      </c>
      <c r="C572">
        <v>65</v>
      </c>
      <c r="D572" t="str">
        <f>VLOOKUP(B572,Products!$A:$E,2,FALSE)</f>
        <v>Product_345</v>
      </c>
      <c r="E572" t="str">
        <f>VLOOKUP(B572,Products!$A:$E,3,FALSE)</f>
        <v>Storage</v>
      </c>
    </row>
    <row r="573" spans="1:5" x14ac:dyDescent="0.3">
      <c r="A573" t="s">
        <v>1583</v>
      </c>
      <c r="B573" t="s">
        <v>302</v>
      </c>
      <c r="C573">
        <v>73</v>
      </c>
      <c r="D573" t="str">
        <f>VLOOKUP(B573,Products!$A:$E,2,FALSE)</f>
        <v>Product_147</v>
      </c>
      <c r="E573" t="str">
        <f>VLOOKUP(B573,Products!$A:$E,3,FALSE)</f>
        <v>Networking</v>
      </c>
    </row>
    <row r="574" spans="1:5" x14ac:dyDescent="0.3">
      <c r="A574" t="s">
        <v>1584</v>
      </c>
      <c r="B574" t="s">
        <v>17</v>
      </c>
      <c r="C574">
        <v>18</v>
      </c>
      <c r="D574" t="str">
        <f>VLOOKUP(B574,Products!$A:$E,2,FALSE)</f>
        <v>Product_5</v>
      </c>
      <c r="E574" t="str">
        <f>VLOOKUP(B574,Products!$A:$E,3,FALSE)</f>
        <v>Networking</v>
      </c>
    </row>
    <row r="575" spans="1:5" x14ac:dyDescent="0.3">
      <c r="A575" t="s">
        <v>1585</v>
      </c>
      <c r="B575" t="s">
        <v>450</v>
      </c>
      <c r="C575">
        <v>22</v>
      </c>
      <c r="D575" t="str">
        <f>VLOOKUP(B575,Products!$A:$E,2,FALSE)</f>
        <v>Product_221</v>
      </c>
      <c r="E575" t="str">
        <f>VLOOKUP(B575,Products!$A:$E,3,FALSE)</f>
        <v>Office Supplies</v>
      </c>
    </row>
    <row r="576" spans="1:5" x14ac:dyDescent="0.3">
      <c r="A576" t="s">
        <v>1586</v>
      </c>
      <c r="B576" t="s">
        <v>912</v>
      </c>
      <c r="C576">
        <v>38</v>
      </c>
      <c r="D576" t="str">
        <f>VLOOKUP(B576,Products!$A:$E,2,FALSE)</f>
        <v>Product_452</v>
      </c>
      <c r="E576" t="str">
        <f>VLOOKUP(B576,Products!$A:$E,3,FALSE)</f>
        <v>Office Supplies</v>
      </c>
    </row>
    <row r="577" spans="1:5" x14ac:dyDescent="0.3">
      <c r="A577" t="s">
        <v>1587</v>
      </c>
      <c r="B577" t="s">
        <v>754</v>
      </c>
      <c r="C577">
        <v>51</v>
      </c>
      <c r="D577" t="str">
        <f>VLOOKUP(B577,Products!$A:$E,2,FALSE)</f>
        <v>Product_373</v>
      </c>
      <c r="E577" t="str">
        <f>VLOOKUP(B577,Products!$A:$E,3,FALSE)</f>
        <v>Office Supplies</v>
      </c>
    </row>
    <row r="578" spans="1:5" x14ac:dyDescent="0.3">
      <c r="A578" t="s">
        <v>1588</v>
      </c>
      <c r="B578" t="s">
        <v>792</v>
      </c>
      <c r="C578">
        <v>56</v>
      </c>
      <c r="D578" t="str">
        <f>VLOOKUP(B578,Products!$A:$E,2,FALSE)</f>
        <v>Product_392</v>
      </c>
      <c r="E578" t="str">
        <f>VLOOKUP(B578,Products!$A:$E,3,FALSE)</f>
        <v>Electronics</v>
      </c>
    </row>
    <row r="579" spans="1:5" x14ac:dyDescent="0.3">
      <c r="A579" t="s">
        <v>1589</v>
      </c>
      <c r="B579" t="s">
        <v>384</v>
      </c>
      <c r="C579">
        <v>10</v>
      </c>
      <c r="D579" t="str">
        <f>VLOOKUP(B579,Products!$A:$E,2,FALSE)</f>
        <v>Product_188</v>
      </c>
      <c r="E579" t="str">
        <f>VLOOKUP(B579,Products!$A:$E,3,FALSE)</f>
        <v>Office Supplies</v>
      </c>
    </row>
    <row r="580" spans="1:5" x14ac:dyDescent="0.3">
      <c r="A580" t="s">
        <v>1590</v>
      </c>
      <c r="B580" t="s">
        <v>420</v>
      </c>
      <c r="C580">
        <v>11</v>
      </c>
      <c r="D580" t="str">
        <f>VLOOKUP(B580,Products!$A:$E,2,FALSE)</f>
        <v>Product_206</v>
      </c>
      <c r="E580" t="str">
        <f>VLOOKUP(B580,Products!$A:$E,3,FALSE)</f>
        <v>Accessories</v>
      </c>
    </row>
    <row r="581" spans="1:5" x14ac:dyDescent="0.3">
      <c r="A581" t="s">
        <v>1591</v>
      </c>
      <c r="B581" t="s">
        <v>592</v>
      </c>
      <c r="C581">
        <v>76</v>
      </c>
      <c r="D581" t="str">
        <f>VLOOKUP(B581,Products!$A:$E,2,FALSE)</f>
        <v>Product_292</v>
      </c>
      <c r="E581" t="str">
        <f>VLOOKUP(B581,Products!$A:$E,3,FALSE)</f>
        <v>Networking</v>
      </c>
    </row>
    <row r="582" spans="1:5" x14ac:dyDescent="0.3">
      <c r="A582" t="s">
        <v>1592</v>
      </c>
      <c r="B582" t="s">
        <v>208</v>
      </c>
      <c r="C582">
        <v>51</v>
      </c>
      <c r="D582" t="str">
        <f>VLOOKUP(B582,Products!$A:$E,2,FALSE)</f>
        <v>Product_100</v>
      </c>
      <c r="E582" t="str">
        <f>VLOOKUP(B582,Products!$A:$E,3,FALSE)</f>
        <v>Accessories</v>
      </c>
    </row>
    <row r="583" spans="1:5" x14ac:dyDescent="0.3">
      <c r="A583" t="s">
        <v>1593</v>
      </c>
      <c r="B583" t="s">
        <v>576</v>
      </c>
      <c r="C583">
        <v>41</v>
      </c>
      <c r="D583" t="str">
        <f>VLOOKUP(B583,Products!$A:$E,2,FALSE)</f>
        <v>Product_284</v>
      </c>
      <c r="E583" t="str">
        <f>VLOOKUP(B583,Products!$A:$E,3,FALSE)</f>
        <v>Networking</v>
      </c>
    </row>
    <row r="584" spans="1:5" x14ac:dyDescent="0.3">
      <c r="A584" t="s">
        <v>1594</v>
      </c>
      <c r="B584" t="s">
        <v>84</v>
      </c>
      <c r="C584">
        <v>54</v>
      </c>
      <c r="D584" t="str">
        <f>VLOOKUP(B584,Products!$A:$E,2,FALSE)</f>
        <v>Product_38</v>
      </c>
      <c r="E584" t="str">
        <f>VLOOKUP(B584,Products!$A:$E,3,FALSE)</f>
        <v>Accessories</v>
      </c>
    </row>
    <row r="585" spans="1:5" x14ac:dyDescent="0.3">
      <c r="A585" t="s">
        <v>1595</v>
      </c>
      <c r="B585" t="s">
        <v>526</v>
      </c>
      <c r="C585">
        <v>62</v>
      </c>
      <c r="D585" t="str">
        <f>VLOOKUP(B585,Products!$A:$E,2,FALSE)</f>
        <v>Product_259</v>
      </c>
      <c r="E585" t="str">
        <f>VLOOKUP(B585,Products!$A:$E,3,FALSE)</f>
        <v>Electronics</v>
      </c>
    </row>
    <row r="586" spans="1:5" x14ac:dyDescent="0.3">
      <c r="A586" t="s">
        <v>1596</v>
      </c>
      <c r="B586" t="s">
        <v>792</v>
      </c>
      <c r="C586">
        <v>75</v>
      </c>
      <c r="D586" t="str">
        <f>VLOOKUP(B586,Products!$A:$E,2,FALSE)</f>
        <v>Product_392</v>
      </c>
      <c r="E586" t="str">
        <f>VLOOKUP(B586,Products!$A:$E,3,FALSE)</f>
        <v>Electronics</v>
      </c>
    </row>
    <row r="587" spans="1:5" x14ac:dyDescent="0.3">
      <c r="A587" t="s">
        <v>1597</v>
      </c>
      <c r="B587" t="s">
        <v>296</v>
      </c>
      <c r="C587">
        <v>84</v>
      </c>
      <c r="D587" t="str">
        <f>VLOOKUP(B587,Products!$A:$E,2,FALSE)</f>
        <v>Product_144</v>
      </c>
      <c r="E587" t="str">
        <f>VLOOKUP(B587,Products!$A:$E,3,FALSE)</f>
        <v>Office Supplies</v>
      </c>
    </row>
    <row r="588" spans="1:5" x14ac:dyDescent="0.3">
      <c r="A588" t="s">
        <v>1598</v>
      </c>
      <c r="B588" t="s">
        <v>706</v>
      </c>
      <c r="C588">
        <v>83</v>
      </c>
      <c r="D588" t="str">
        <f>VLOOKUP(B588,Products!$A:$E,2,FALSE)</f>
        <v>Product_349</v>
      </c>
      <c r="E588" t="str">
        <f>VLOOKUP(B588,Products!$A:$E,3,FALSE)</f>
        <v>Office Supplies</v>
      </c>
    </row>
    <row r="589" spans="1:5" x14ac:dyDescent="0.3">
      <c r="A589" t="s">
        <v>1599</v>
      </c>
      <c r="B589" t="s">
        <v>130</v>
      </c>
      <c r="C589">
        <v>21</v>
      </c>
      <c r="D589" t="str">
        <f>VLOOKUP(B589,Products!$A:$E,2,FALSE)</f>
        <v>Product_61</v>
      </c>
      <c r="E589" t="str">
        <f>VLOOKUP(B589,Products!$A:$E,3,FALSE)</f>
        <v>Storage</v>
      </c>
    </row>
    <row r="590" spans="1:5" x14ac:dyDescent="0.3">
      <c r="A590" t="s">
        <v>1600</v>
      </c>
      <c r="B590" t="s">
        <v>1008</v>
      </c>
      <c r="C590">
        <v>17</v>
      </c>
      <c r="D590" t="str">
        <f>VLOOKUP(B590,Products!$A:$E,2,FALSE)</f>
        <v>Product_500</v>
      </c>
      <c r="E590" t="str">
        <f>VLOOKUP(B590,Products!$A:$E,3,FALSE)</f>
        <v>Networking</v>
      </c>
    </row>
    <row r="591" spans="1:5" x14ac:dyDescent="0.3">
      <c r="A591" t="s">
        <v>1601</v>
      </c>
      <c r="B591" t="s">
        <v>412</v>
      </c>
      <c r="C591">
        <v>52</v>
      </c>
      <c r="D591" t="str">
        <f>VLOOKUP(B591,Products!$A:$E,2,FALSE)</f>
        <v>Product_202</v>
      </c>
      <c r="E591" t="str">
        <f>VLOOKUP(B591,Products!$A:$E,3,FALSE)</f>
        <v>Storage</v>
      </c>
    </row>
    <row r="592" spans="1:5" x14ac:dyDescent="0.3">
      <c r="A592" t="s">
        <v>1602</v>
      </c>
      <c r="B592" t="s">
        <v>822</v>
      </c>
      <c r="C592">
        <v>48</v>
      </c>
      <c r="D592" t="str">
        <f>VLOOKUP(B592,Products!$A:$E,2,FALSE)</f>
        <v>Product_407</v>
      </c>
      <c r="E592" t="str">
        <f>VLOOKUP(B592,Products!$A:$E,3,FALSE)</f>
        <v>Networking</v>
      </c>
    </row>
    <row r="593" spans="1:5" x14ac:dyDescent="0.3">
      <c r="A593" t="s">
        <v>1603</v>
      </c>
      <c r="B593" t="s">
        <v>580</v>
      </c>
      <c r="C593">
        <v>51</v>
      </c>
      <c r="D593" t="str">
        <f>VLOOKUP(B593,Products!$A:$E,2,FALSE)</f>
        <v>Product_286</v>
      </c>
      <c r="E593" t="str">
        <f>VLOOKUP(B593,Products!$A:$E,3,FALSE)</f>
        <v>Storage</v>
      </c>
    </row>
    <row r="594" spans="1:5" x14ac:dyDescent="0.3">
      <c r="A594" t="s">
        <v>1604</v>
      </c>
      <c r="B594" t="s">
        <v>782</v>
      </c>
      <c r="C594">
        <v>23</v>
      </c>
      <c r="D594" t="str">
        <f>VLOOKUP(B594,Products!$A:$E,2,FALSE)</f>
        <v>Product_387</v>
      </c>
      <c r="E594" t="str">
        <f>VLOOKUP(B594,Products!$A:$E,3,FALSE)</f>
        <v>Storage</v>
      </c>
    </row>
    <row r="595" spans="1:5" x14ac:dyDescent="0.3">
      <c r="A595" t="s">
        <v>1605</v>
      </c>
      <c r="B595" t="s">
        <v>212</v>
      </c>
      <c r="C595">
        <v>82</v>
      </c>
      <c r="D595" t="str">
        <f>VLOOKUP(B595,Products!$A:$E,2,FALSE)</f>
        <v>Product_102</v>
      </c>
      <c r="E595" t="str">
        <f>VLOOKUP(B595,Products!$A:$E,3,FALSE)</f>
        <v>Storage</v>
      </c>
    </row>
    <row r="596" spans="1:5" x14ac:dyDescent="0.3">
      <c r="A596" t="s">
        <v>1606</v>
      </c>
      <c r="B596" t="s">
        <v>530</v>
      </c>
      <c r="C596">
        <v>56</v>
      </c>
      <c r="D596" t="str">
        <f>VLOOKUP(B596,Products!$A:$E,2,FALSE)</f>
        <v>Product_261</v>
      </c>
      <c r="E596" t="str">
        <f>VLOOKUP(B596,Products!$A:$E,3,FALSE)</f>
        <v>Accessories</v>
      </c>
    </row>
    <row r="597" spans="1:5" x14ac:dyDescent="0.3">
      <c r="A597" t="s">
        <v>1607</v>
      </c>
      <c r="B597" t="s">
        <v>522</v>
      </c>
      <c r="C597">
        <v>10</v>
      </c>
      <c r="D597" t="str">
        <f>VLOOKUP(B597,Products!$A:$E,2,FALSE)</f>
        <v>Product_257</v>
      </c>
      <c r="E597" t="str">
        <f>VLOOKUP(B597,Products!$A:$E,3,FALSE)</f>
        <v>Networking</v>
      </c>
    </row>
    <row r="598" spans="1:5" x14ac:dyDescent="0.3">
      <c r="A598" t="s">
        <v>1608</v>
      </c>
      <c r="B598" t="s">
        <v>56</v>
      </c>
      <c r="C598">
        <v>9</v>
      </c>
      <c r="D598" t="str">
        <f>VLOOKUP(B598,Products!$A:$E,2,FALSE)</f>
        <v>Product_24</v>
      </c>
      <c r="E598" t="str">
        <f>VLOOKUP(B598,Products!$A:$E,3,FALSE)</f>
        <v>Accessories</v>
      </c>
    </row>
    <row r="599" spans="1:5" x14ac:dyDescent="0.3">
      <c r="A599" t="s">
        <v>1609</v>
      </c>
      <c r="B599" t="s">
        <v>150</v>
      </c>
      <c r="C599">
        <v>96</v>
      </c>
      <c r="D599" t="str">
        <f>VLOOKUP(B599,Products!$A:$E,2,FALSE)</f>
        <v>Product_71</v>
      </c>
      <c r="E599" t="str">
        <f>VLOOKUP(B599,Products!$A:$E,3,FALSE)</f>
        <v>Accessories</v>
      </c>
    </row>
    <row r="600" spans="1:5" x14ac:dyDescent="0.3">
      <c r="A600" t="s">
        <v>1610</v>
      </c>
      <c r="B600" t="s">
        <v>350</v>
      </c>
      <c r="C600">
        <v>65</v>
      </c>
      <c r="D600" t="str">
        <f>VLOOKUP(B600,Products!$A:$E,2,FALSE)</f>
        <v>Product_171</v>
      </c>
      <c r="E600" t="str">
        <f>VLOOKUP(B600,Products!$A:$E,3,FALSE)</f>
        <v>Electronics</v>
      </c>
    </row>
    <row r="601" spans="1:5" x14ac:dyDescent="0.3">
      <c r="A601" t="s">
        <v>1611</v>
      </c>
      <c r="B601" t="s">
        <v>540</v>
      </c>
      <c r="C601">
        <v>63</v>
      </c>
      <c r="D601" t="str">
        <f>VLOOKUP(B601,Products!$A:$E,2,FALSE)</f>
        <v>Product_266</v>
      </c>
      <c r="E601" t="str">
        <f>VLOOKUP(B601,Products!$A:$E,3,FALSE)</f>
        <v>Electronics</v>
      </c>
    </row>
    <row r="602" spans="1:5" x14ac:dyDescent="0.3">
      <c r="A602" t="s">
        <v>1612</v>
      </c>
      <c r="B602" t="s">
        <v>162</v>
      </c>
      <c r="C602">
        <v>82</v>
      </c>
      <c r="D602" t="str">
        <f>VLOOKUP(B602,Products!$A:$E,2,FALSE)</f>
        <v>Product_77</v>
      </c>
      <c r="E602" t="str">
        <f>VLOOKUP(B602,Products!$A:$E,3,FALSE)</f>
        <v>Networking</v>
      </c>
    </row>
    <row r="603" spans="1:5" x14ac:dyDescent="0.3">
      <c r="A603" t="s">
        <v>1613</v>
      </c>
      <c r="B603" t="s">
        <v>924</v>
      </c>
      <c r="C603">
        <v>70</v>
      </c>
      <c r="D603" t="str">
        <f>VLOOKUP(B603,Products!$A:$E,2,FALSE)</f>
        <v>Product_458</v>
      </c>
      <c r="E603" t="str">
        <f>VLOOKUP(B603,Products!$A:$E,3,FALSE)</f>
        <v>Accessories</v>
      </c>
    </row>
    <row r="604" spans="1:5" x14ac:dyDescent="0.3">
      <c r="A604" t="s">
        <v>1614</v>
      </c>
      <c r="B604" t="s">
        <v>152</v>
      </c>
      <c r="C604">
        <v>46</v>
      </c>
      <c r="D604" t="str">
        <f>VLOOKUP(B604,Products!$A:$E,2,FALSE)</f>
        <v>Product_72</v>
      </c>
      <c r="E604" t="str">
        <f>VLOOKUP(B604,Products!$A:$E,3,FALSE)</f>
        <v>Networking</v>
      </c>
    </row>
    <row r="605" spans="1:5" x14ac:dyDescent="0.3">
      <c r="A605" t="s">
        <v>1615</v>
      </c>
      <c r="B605" t="s">
        <v>962</v>
      </c>
      <c r="C605">
        <v>83</v>
      </c>
      <c r="D605" t="str">
        <f>VLOOKUP(B605,Products!$A:$E,2,FALSE)</f>
        <v>Product_477</v>
      </c>
      <c r="E605" t="str">
        <f>VLOOKUP(B605,Products!$A:$E,3,FALSE)</f>
        <v>Networking</v>
      </c>
    </row>
    <row r="606" spans="1:5" x14ac:dyDescent="0.3">
      <c r="A606" t="s">
        <v>1616</v>
      </c>
      <c r="B606" t="s">
        <v>336</v>
      </c>
      <c r="C606">
        <v>25</v>
      </c>
      <c r="D606" t="str">
        <f>VLOOKUP(B606,Products!$A:$E,2,FALSE)</f>
        <v>Product_164</v>
      </c>
      <c r="E606" t="str">
        <f>VLOOKUP(B606,Products!$A:$E,3,FALSE)</f>
        <v>Networking</v>
      </c>
    </row>
    <row r="607" spans="1:5" x14ac:dyDescent="0.3">
      <c r="A607" t="s">
        <v>1617</v>
      </c>
      <c r="B607" t="s">
        <v>412</v>
      </c>
      <c r="C607">
        <v>83</v>
      </c>
      <c r="D607" t="str">
        <f>VLOOKUP(B607,Products!$A:$E,2,FALSE)</f>
        <v>Product_202</v>
      </c>
      <c r="E607" t="str">
        <f>VLOOKUP(B607,Products!$A:$E,3,FALSE)</f>
        <v>Storage</v>
      </c>
    </row>
    <row r="608" spans="1:5" x14ac:dyDescent="0.3">
      <c r="A608" t="s">
        <v>1618</v>
      </c>
      <c r="B608" t="s">
        <v>766</v>
      </c>
      <c r="C608">
        <v>43</v>
      </c>
      <c r="D608" t="str">
        <f>VLOOKUP(B608,Products!$A:$E,2,FALSE)</f>
        <v>Product_379</v>
      </c>
      <c r="E608" t="str">
        <f>VLOOKUP(B608,Products!$A:$E,3,FALSE)</f>
        <v>Office Supplies</v>
      </c>
    </row>
    <row r="609" spans="1:5" x14ac:dyDescent="0.3">
      <c r="A609" t="s">
        <v>1619</v>
      </c>
      <c r="B609" t="s">
        <v>616</v>
      </c>
      <c r="C609">
        <v>48</v>
      </c>
      <c r="D609" t="str">
        <f>VLOOKUP(B609,Products!$A:$E,2,FALSE)</f>
        <v>Product_304</v>
      </c>
      <c r="E609" t="str">
        <f>VLOOKUP(B609,Products!$A:$E,3,FALSE)</f>
        <v>Electronics</v>
      </c>
    </row>
    <row r="610" spans="1:5" x14ac:dyDescent="0.3">
      <c r="A610" t="s">
        <v>1620</v>
      </c>
      <c r="B610" t="s">
        <v>528</v>
      </c>
      <c r="C610">
        <v>70</v>
      </c>
      <c r="D610" t="str">
        <f>VLOOKUP(B610,Products!$A:$E,2,FALSE)</f>
        <v>Product_260</v>
      </c>
      <c r="E610" t="str">
        <f>VLOOKUP(B610,Products!$A:$E,3,FALSE)</f>
        <v>Storage</v>
      </c>
    </row>
    <row r="611" spans="1:5" x14ac:dyDescent="0.3">
      <c r="A611" t="s">
        <v>1621</v>
      </c>
      <c r="B611" t="s">
        <v>554</v>
      </c>
      <c r="C611">
        <v>67</v>
      </c>
      <c r="D611" t="str">
        <f>VLOOKUP(B611,Products!$A:$E,2,FALSE)</f>
        <v>Product_273</v>
      </c>
      <c r="E611" t="str">
        <f>VLOOKUP(B611,Products!$A:$E,3,FALSE)</f>
        <v>Networking</v>
      </c>
    </row>
    <row r="612" spans="1:5" x14ac:dyDescent="0.3">
      <c r="A612" t="s">
        <v>1622</v>
      </c>
      <c r="B612" t="s">
        <v>734</v>
      </c>
      <c r="C612">
        <v>77</v>
      </c>
      <c r="D612" t="str">
        <f>VLOOKUP(B612,Products!$A:$E,2,FALSE)</f>
        <v>Product_363</v>
      </c>
      <c r="E612" t="str">
        <f>VLOOKUP(B612,Products!$A:$E,3,FALSE)</f>
        <v>Storage</v>
      </c>
    </row>
    <row r="613" spans="1:5" x14ac:dyDescent="0.3">
      <c r="A613" t="s">
        <v>1623</v>
      </c>
      <c r="B613" t="s">
        <v>316</v>
      </c>
      <c r="C613">
        <v>65</v>
      </c>
      <c r="D613" t="str">
        <f>VLOOKUP(B613,Products!$A:$E,2,FALSE)</f>
        <v>Product_154</v>
      </c>
      <c r="E613" t="str">
        <f>VLOOKUP(B613,Products!$A:$E,3,FALSE)</f>
        <v>Accessories</v>
      </c>
    </row>
    <row r="614" spans="1:5" x14ac:dyDescent="0.3">
      <c r="A614" t="s">
        <v>1624</v>
      </c>
      <c r="B614" t="s">
        <v>844</v>
      </c>
      <c r="C614">
        <v>7</v>
      </c>
      <c r="D614" t="str">
        <f>VLOOKUP(B614,Products!$A:$E,2,FALSE)</f>
        <v>Product_418</v>
      </c>
      <c r="E614" t="str">
        <f>VLOOKUP(B614,Products!$A:$E,3,FALSE)</f>
        <v>Office Supplies</v>
      </c>
    </row>
    <row r="615" spans="1:5" x14ac:dyDescent="0.3">
      <c r="A615" t="s">
        <v>1625</v>
      </c>
      <c r="B615" t="s">
        <v>386</v>
      </c>
      <c r="C615">
        <v>47</v>
      </c>
      <c r="D615" t="str">
        <f>VLOOKUP(B615,Products!$A:$E,2,FALSE)</f>
        <v>Product_189</v>
      </c>
      <c r="E615" t="str">
        <f>VLOOKUP(B615,Products!$A:$E,3,FALSE)</f>
        <v>Electronics</v>
      </c>
    </row>
    <row r="616" spans="1:5" x14ac:dyDescent="0.3">
      <c r="A616" t="s">
        <v>1626</v>
      </c>
      <c r="B616" t="s">
        <v>698</v>
      </c>
      <c r="C616">
        <v>19</v>
      </c>
      <c r="D616" t="str">
        <f>VLOOKUP(B616,Products!$A:$E,2,FALSE)</f>
        <v>Product_345</v>
      </c>
      <c r="E616" t="str">
        <f>VLOOKUP(B616,Products!$A:$E,3,FALSE)</f>
        <v>Storage</v>
      </c>
    </row>
    <row r="617" spans="1:5" x14ac:dyDescent="0.3">
      <c r="A617" t="s">
        <v>1627</v>
      </c>
      <c r="B617" t="s">
        <v>436</v>
      </c>
      <c r="C617">
        <v>79</v>
      </c>
      <c r="D617" t="str">
        <f>VLOOKUP(B617,Products!$A:$E,2,FALSE)</f>
        <v>Product_214</v>
      </c>
      <c r="E617" t="str">
        <f>VLOOKUP(B617,Products!$A:$E,3,FALSE)</f>
        <v>Electronics</v>
      </c>
    </row>
    <row r="618" spans="1:5" x14ac:dyDescent="0.3">
      <c r="A618" t="s">
        <v>1628</v>
      </c>
      <c r="B618" t="s">
        <v>324</v>
      </c>
      <c r="C618">
        <v>97</v>
      </c>
      <c r="D618" t="str">
        <f>VLOOKUP(B618,Products!$A:$E,2,FALSE)</f>
        <v>Product_158</v>
      </c>
      <c r="E618" t="str">
        <f>VLOOKUP(B618,Products!$A:$E,3,FALSE)</f>
        <v>Electronics</v>
      </c>
    </row>
    <row r="619" spans="1:5" x14ac:dyDescent="0.3">
      <c r="A619" t="s">
        <v>1629</v>
      </c>
      <c r="B619" t="s">
        <v>902</v>
      </c>
      <c r="C619">
        <v>93</v>
      </c>
      <c r="D619" t="str">
        <f>VLOOKUP(B619,Products!$A:$E,2,FALSE)</f>
        <v>Product_447</v>
      </c>
      <c r="E619" t="str">
        <f>VLOOKUP(B619,Products!$A:$E,3,FALSE)</f>
        <v>Office Supplies</v>
      </c>
    </row>
    <row r="620" spans="1:5" x14ac:dyDescent="0.3">
      <c r="A620" t="s">
        <v>1630</v>
      </c>
      <c r="B620" t="s">
        <v>654</v>
      </c>
      <c r="C620">
        <v>8</v>
      </c>
      <c r="D620" t="str">
        <f>VLOOKUP(B620,Products!$A:$E,2,FALSE)</f>
        <v>Product_323</v>
      </c>
      <c r="E620" t="str">
        <f>VLOOKUP(B620,Products!$A:$E,3,FALSE)</f>
        <v>Electronics</v>
      </c>
    </row>
    <row r="621" spans="1:5" x14ac:dyDescent="0.3">
      <c r="A621" t="s">
        <v>1631</v>
      </c>
      <c r="B621" t="s">
        <v>620</v>
      </c>
      <c r="C621">
        <v>65</v>
      </c>
      <c r="D621" t="str">
        <f>VLOOKUP(B621,Products!$A:$E,2,FALSE)</f>
        <v>Product_306</v>
      </c>
      <c r="E621" t="str">
        <f>VLOOKUP(B621,Products!$A:$E,3,FALSE)</f>
        <v>Accessories</v>
      </c>
    </row>
    <row r="622" spans="1:5" x14ac:dyDescent="0.3">
      <c r="A622" t="s">
        <v>1632</v>
      </c>
      <c r="B622" t="s">
        <v>280</v>
      </c>
      <c r="C622">
        <v>88</v>
      </c>
      <c r="D622" t="str">
        <f>VLOOKUP(B622,Products!$A:$E,2,FALSE)</f>
        <v>Product_136</v>
      </c>
      <c r="E622" t="str">
        <f>VLOOKUP(B622,Products!$A:$E,3,FALSE)</f>
        <v>Storage</v>
      </c>
    </row>
    <row r="623" spans="1:5" x14ac:dyDescent="0.3">
      <c r="A623" t="s">
        <v>1633</v>
      </c>
      <c r="B623" t="s">
        <v>810</v>
      </c>
      <c r="C623">
        <v>79</v>
      </c>
      <c r="D623" t="str">
        <f>VLOOKUP(B623,Products!$A:$E,2,FALSE)</f>
        <v>Product_401</v>
      </c>
      <c r="E623" t="str">
        <f>VLOOKUP(B623,Products!$A:$E,3,FALSE)</f>
        <v>Storage</v>
      </c>
    </row>
    <row r="624" spans="1:5" x14ac:dyDescent="0.3">
      <c r="A624" t="s">
        <v>1634</v>
      </c>
      <c r="B624" t="s">
        <v>600</v>
      </c>
      <c r="C624">
        <v>34</v>
      </c>
      <c r="D624" t="str">
        <f>VLOOKUP(B624,Products!$A:$E,2,FALSE)</f>
        <v>Product_296</v>
      </c>
      <c r="E624" t="str">
        <f>VLOOKUP(B624,Products!$A:$E,3,FALSE)</f>
        <v>Office Supplies</v>
      </c>
    </row>
    <row r="625" spans="1:5" x14ac:dyDescent="0.3">
      <c r="A625" t="s">
        <v>1635</v>
      </c>
      <c r="B625" t="s">
        <v>748</v>
      </c>
      <c r="C625">
        <v>11</v>
      </c>
      <c r="D625" t="str">
        <f>VLOOKUP(B625,Products!$A:$E,2,FALSE)</f>
        <v>Product_370</v>
      </c>
      <c r="E625" t="str">
        <f>VLOOKUP(B625,Products!$A:$E,3,FALSE)</f>
        <v>Networking</v>
      </c>
    </row>
    <row r="626" spans="1:5" x14ac:dyDescent="0.3">
      <c r="A626" t="s">
        <v>1636</v>
      </c>
      <c r="B626" t="s">
        <v>606</v>
      </c>
      <c r="C626">
        <v>66</v>
      </c>
      <c r="D626" t="str">
        <f>VLOOKUP(B626,Products!$A:$E,2,FALSE)</f>
        <v>Product_299</v>
      </c>
      <c r="E626" t="str">
        <f>VLOOKUP(B626,Products!$A:$E,3,FALSE)</f>
        <v>Storage</v>
      </c>
    </row>
    <row r="627" spans="1:5" x14ac:dyDescent="0.3">
      <c r="A627" t="s">
        <v>1637</v>
      </c>
      <c r="B627" t="s">
        <v>184</v>
      </c>
      <c r="C627">
        <v>72</v>
      </c>
      <c r="D627" t="str">
        <f>VLOOKUP(B627,Products!$A:$E,2,FALSE)</f>
        <v>Product_88</v>
      </c>
      <c r="E627" t="str">
        <f>VLOOKUP(B627,Products!$A:$E,3,FALSE)</f>
        <v>Accessories</v>
      </c>
    </row>
    <row r="628" spans="1:5" x14ac:dyDescent="0.3">
      <c r="A628" t="s">
        <v>1638</v>
      </c>
      <c r="B628" t="s">
        <v>654</v>
      </c>
      <c r="C628">
        <v>97</v>
      </c>
      <c r="D628" t="str">
        <f>VLOOKUP(B628,Products!$A:$E,2,FALSE)</f>
        <v>Product_323</v>
      </c>
      <c r="E628" t="str">
        <f>VLOOKUP(B628,Products!$A:$E,3,FALSE)</f>
        <v>Electronics</v>
      </c>
    </row>
    <row r="629" spans="1:5" x14ac:dyDescent="0.3">
      <c r="A629" t="s">
        <v>1639</v>
      </c>
      <c r="B629" t="s">
        <v>644</v>
      </c>
      <c r="C629">
        <v>53</v>
      </c>
      <c r="D629" t="str">
        <f>VLOOKUP(B629,Products!$A:$E,2,FALSE)</f>
        <v>Product_318</v>
      </c>
      <c r="E629" t="str">
        <f>VLOOKUP(B629,Products!$A:$E,3,FALSE)</f>
        <v>Storage</v>
      </c>
    </row>
    <row r="630" spans="1:5" x14ac:dyDescent="0.3">
      <c r="A630" t="s">
        <v>1640</v>
      </c>
      <c r="B630" t="s">
        <v>160</v>
      </c>
      <c r="C630">
        <v>92</v>
      </c>
      <c r="D630" t="str">
        <f>VLOOKUP(B630,Products!$A:$E,2,FALSE)</f>
        <v>Product_76</v>
      </c>
      <c r="E630" t="str">
        <f>VLOOKUP(B630,Products!$A:$E,3,FALSE)</f>
        <v>Accessories</v>
      </c>
    </row>
    <row r="631" spans="1:5" x14ac:dyDescent="0.3">
      <c r="A631" t="s">
        <v>1641</v>
      </c>
      <c r="B631" t="s">
        <v>258</v>
      </c>
      <c r="C631">
        <v>9</v>
      </c>
      <c r="D631" t="str">
        <f>VLOOKUP(B631,Products!$A:$E,2,FALSE)</f>
        <v>Product_125</v>
      </c>
      <c r="E631" t="str">
        <f>VLOOKUP(B631,Products!$A:$E,3,FALSE)</f>
        <v>Office Supplies</v>
      </c>
    </row>
    <row r="632" spans="1:5" x14ac:dyDescent="0.3">
      <c r="A632" t="s">
        <v>1642</v>
      </c>
      <c r="B632" t="s">
        <v>596</v>
      </c>
      <c r="C632">
        <v>94</v>
      </c>
      <c r="D632" t="str">
        <f>VLOOKUP(B632,Products!$A:$E,2,FALSE)</f>
        <v>Product_294</v>
      </c>
      <c r="E632" t="str">
        <f>VLOOKUP(B632,Products!$A:$E,3,FALSE)</f>
        <v>Networking</v>
      </c>
    </row>
    <row r="633" spans="1:5" x14ac:dyDescent="0.3">
      <c r="A633" t="s">
        <v>1643</v>
      </c>
      <c r="B633" t="s">
        <v>122</v>
      </c>
      <c r="C633">
        <v>29</v>
      </c>
      <c r="D633" t="str">
        <f>VLOOKUP(B633,Products!$A:$E,2,FALSE)</f>
        <v>Product_57</v>
      </c>
      <c r="E633" t="str">
        <f>VLOOKUP(B633,Products!$A:$E,3,FALSE)</f>
        <v>Electronics</v>
      </c>
    </row>
    <row r="634" spans="1:5" x14ac:dyDescent="0.3">
      <c r="A634" t="s">
        <v>1644</v>
      </c>
      <c r="B634" t="s">
        <v>28</v>
      </c>
      <c r="C634">
        <v>61</v>
      </c>
      <c r="D634" t="str">
        <f>VLOOKUP(B634,Products!$A:$E,2,FALSE)</f>
        <v>Product_10</v>
      </c>
      <c r="E634" t="str">
        <f>VLOOKUP(B634,Products!$A:$E,3,FALSE)</f>
        <v>Networking</v>
      </c>
    </row>
    <row r="635" spans="1:5" x14ac:dyDescent="0.3">
      <c r="A635" t="s">
        <v>1645</v>
      </c>
      <c r="B635" t="s">
        <v>330</v>
      </c>
      <c r="C635">
        <v>58</v>
      </c>
      <c r="D635" t="str">
        <f>VLOOKUP(B635,Products!$A:$E,2,FALSE)</f>
        <v>Product_161</v>
      </c>
      <c r="E635" t="str">
        <f>VLOOKUP(B635,Products!$A:$E,3,FALSE)</f>
        <v>Networking</v>
      </c>
    </row>
    <row r="636" spans="1:5" x14ac:dyDescent="0.3">
      <c r="A636" t="s">
        <v>1646</v>
      </c>
      <c r="B636" t="s">
        <v>164</v>
      </c>
      <c r="C636">
        <v>57</v>
      </c>
      <c r="D636" t="str">
        <f>VLOOKUP(B636,Products!$A:$E,2,FALSE)</f>
        <v>Product_78</v>
      </c>
      <c r="E636" t="str">
        <f>VLOOKUP(B636,Products!$A:$E,3,FALSE)</f>
        <v>Office Supplies</v>
      </c>
    </row>
    <row r="637" spans="1:5" x14ac:dyDescent="0.3">
      <c r="A637" t="s">
        <v>1647</v>
      </c>
      <c r="B637" t="s">
        <v>716</v>
      </c>
      <c r="C637">
        <v>31</v>
      </c>
      <c r="D637" t="str">
        <f>VLOOKUP(B637,Products!$A:$E,2,FALSE)</f>
        <v>Product_354</v>
      </c>
      <c r="E637" t="str">
        <f>VLOOKUP(B637,Products!$A:$E,3,FALSE)</f>
        <v>Storage</v>
      </c>
    </row>
    <row r="638" spans="1:5" x14ac:dyDescent="0.3">
      <c r="A638" t="s">
        <v>1648</v>
      </c>
      <c r="B638" t="s">
        <v>430</v>
      </c>
      <c r="C638">
        <v>69</v>
      </c>
      <c r="D638" t="str">
        <f>VLOOKUP(B638,Products!$A:$E,2,FALSE)</f>
        <v>Product_211</v>
      </c>
      <c r="E638" t="str">
        <f>VLOOKUP(B638,Products!$A:$E,3,FALSE)</f>
        <v>Storage</v>
      </c>
    </row>
    <row r="639" spans="1:5" x14ac:dyDescent="0.3">
      <c r="A639" t="s">
        <v>1649</v>
      </c>
      <c r="B639" t="s">
        <v>802</v>
      </c>
      <c r="C639">
        <v>83</v>
      </c>
      <c r="D639" t="str">
        <f>VLOOKUP(B639,Products!$A:$E,2,FALSE)</f>
        <v>Product_397</v>
      </c>
      <c r="E639" t="str">
        <f>VLOOKUP(B639,Products!$A:$E,3,FALSE)</f>
        <v>Office Supplies</v>
      </c>
    </row>
    <row r="640" spans="1:5" x14ac:dyDescent="0.3">
      <c r="A640" t="s">
        <v>1650</v>
      </c>
      <c r="B640" t="s">
        <v>952</v>
      </c>
      <c r="C640">
        <v>65</v>
      </c>
      <c r="D640" t="str">
        <f>VLOOKUP(B640,Products!$A:$E,2,FALSE)</f>
        <v>Product_472</v>
      </c>
      <c r="E640" t="str">
        <f>VLOOKUP(B640,Products!$A:$E,3,FALSE)</f>
        <v>Electronics</v>
      </c>
    </row>
    <row r="641" spans="1:5" x14ac:dyDescent="0.3">
      <c r="A641" t="s">
        <v>1651</v>
      </c>
      <c r="B641" t="s">
        <v>902</v>
      </c>
      <c r="C641">
        <v>99</v>
      </c>
      <c r="D641" t="str">
        <f>VLOOKUP(B641,Products!$A:$E,2,FALSE)</f>
        <v>Product_447</v>
      </c>
      <c r="E641" t="str">
        <f>VLOOKUP(B641,Products!$A:$E,3,FALSE)</f>
        <v>Office Supplies</v>
      </c>
    </row>
    <row r="642" spans="1:5" x14ac:dyDescent="0.3">
      <c r="A642" t="s">
        <v>1652</v>
      </c>
      <c r="B642" t="s">
        <v>754</v>
      </c>
      <c r="C642">
        <v>12</v>
      </c>
      <c r="D642" t="str">
        <f>VLOOKUP(B642,Products!$A:$E,2,FALSE)</f>
        <v>Product_373</v>
      </c>
      <c r="E642" t="str">
        <f>VLOOKUP(B642,Products!$A:$E,3,FALSE)</f>
        <v>Office Supplies</v>
      </c>
    </row>
    <row r="643" spans="1:5" x14ac:dyDescent="0.3">
      <c r="A643" t="s">
        <v>1653</v>
      </c>
      <c r="B643" t="s">
        <v>732</v>
      </c>
      <c r="C643">
        <v>22</v>
      </c>
      <c r="D643" t="str">
        <f>VLOOKUP(B643,Products!$A:$E,2,FALSE)</f>
        <v>Product_362</v>
      </c>
      <c r="E643" t="str">
        <f>VLOOKUP(B643,Products!$A:$E,3,FALSE)</f>
        <v>Networking</v>
      </c>
    </row>
    <row r="644" spans="1:5" x14ac:dyDescent="0.3">
      <c r="A644" t="s">
        <v>1654</v>
      </c>
      <c r="B644" t="s">
        <v>540</v>
      </c>
      <c r="C644">
        <v>31</v>
      </c>
      <c r="D644" t="str">
        <f>VLOOKUP(B644,Products!$A:$E,2,FALSE)</f>
        <v>Product_266</v>
      </c>
      <c r="E644" t="str">
        <f>VLOOKUP(B644,Products!$A:$E,3,FALSE)</f>
        <v>Electronics</v>
      </c>
    </row>
    <row r="645" spans="1:5" x14ac:dyDescent="0.3">
      <c r="A645" t="s">
        <v>1655</v>
      </c>
      <c r="B645" t="s">
        <v>584</v>
      </c>
      <c r="C645">
        <v>46</v>
      </c>
      <c r="D645" t="str">
        <f>VLOOKUP(B645,Products!$A:$E,2,FALSE)</f>
        <v>Product_288</v>
      </c>
      <c r="E645" t="str">
        <f>VLOOKUP(B645,Products!$A:$E,3,FALSE)</f>
        <v>Networking</v>
      </c>
    </row>
    <row r="646" spans="1:5" x14ac:dyDescent="0.3">
      <c r="A646" t="s">
        <v>1656</v>
      </c>
      <c r="B646" t="s">
        <v>688</v>
      </c>
      <c r="C646">
        <v>66</v>
      </c>
      <c r="D646" t="str">
        <f>VLOOKUP(B646,Products!$A:$E,2,FALSE)</f>
        <v>Product_340</v>
      </c>
      <c r="E646" t="str">
        <f>VLOOKUP(B646,Products!$A:$E,3,FALSE)</f>
        <v>Storage</v>
      </c>
    </row>
    <row r="647" spans="1:5" x14ac:dyDescent="0.3">
      <c r="A647" t="s">
        <v>1657</v>
      </c>
      <c r="B647" t="s">
        <v>548</v>
      </c>
      <c r="C647">
        <v>53</v>
      </c>
      <c r="D647" t="str">
        <f>VLOOKUP(B647,Products!$A:$E,2,FALSE)</f>
        <v>Product_270</v>
      </c>
      <c r="E647" t="str">
        <f>VLOOKUP(B647,Products!$A:$E,3,FALSE)</f>
        <v>Electronics</v>
      </c>
    </row>
    <row r="648" spans="1:5" x14ac:dyDescent="0.3">
      <c r="A648" t="s">
        <v>1658</v>
      </c>
      <c r="B648" t="s">
        <v>330</v>
      </c>
      <c r="C648">
        <v>27</v>
      </c>
      <c r="D648" t="str">
        <f>VLOOKUP(B648,Products!$A:$E,2,FALSE)</f>
        <v>Product_161</v>
      </c>
      <c r="E648" t="str">
        <f>VLOOKUP(B648,Products!$A:$E,3,FALSE)</f>
        <v>Networking</v>
      </c>
    </row>
    <row r="649" spans="1:5" x14ac:dyDescent="0.3">
      <c r="A649" t="s">
        <v>1659</v>
      </c>
      <c r="B649" t="s">
        <v>480</v>
      </c>
      <c r="C649">
        <v>73</v>
      </c>
      <c r="D649" t="str">
        <f>VLOOKUP(B649,Products!$A:$E,2,FALSE)</f>
        <v>Product_236</v>
      </c>
      <c r="E649" t="str">
        <f>VLOOKUP(B649,Products!$A:$E,3,FALSE)</f>
        <v>Networking</v>
      </c>
    </row>
    <row r="650" spans="1:5" x14ac:dyDescent="0.3">
      <c r="A650" t="s">
        <v>1660</v>
      </c>
      <c r="B650" t="s">
        <v>360</v>
      </c>
      <c r="C650">
        <v>74</v>
      </c>
      <c r="D650" t="str">
        <f>VLOOKUP(B650,Products!$A:$E,2,FALSE)</f>
        <v>Product_176</v>
      </c>
      <c r="E650" t="str">
        <f>VLOOKUP(B650,Products!$A:$E,3,FALSE)</f>
        <v>Electronics</v>
      </c>
    </row>
    <row r="651" spans="1:5" x14ac:dyDescent="0.3">
      <c r="A651" t="s">
        <v>1661</v>
      </c>
      <c r="B651" t="s">
        <v>372</v>
      </c>
      <c r="C651">
        <v>91</v>
      </c>
      <c r="D651" t="str">
        <f>VLOOKUP(B651,Products!$A:$E,2,FALSE)</f>
        <v>Product_182</v>
      </c>
      <c r="E651" t="str">
        <f>VLOOKUP(B651,Products!$A:$E,3,FALSE)</f>
        <v>Storage</v>
      </c>
    </row>
    <row r="652" spans="1:5" x14ac:dyDescent="0.3">
      <c r="A652" t="s">
        <v>1662</v>
      </c>
      <c r="B652" t="s">
        <v>800</v>
      </c>
      <c r="C652">
        <v>97</v>
      </c>
      <c r="D652" t="str">
        <f>VLOOKUP(B652,Products!$A:$E,2,FALSE)</f>
        <v>Product_396</v>
      </c>
      <c r="E652" t="str">
        <f>VLOOKUP(B652,Products!$A:$E,3,FALSE)</f>
        <v>Office Supplies</v>
      </c>
    </row>
    <row r="653" spans="1:5" x14ac:dyDescent="0.3">
      <c r="A653" t="s">
        <v>1663</v>
      </c>
      <c r="B653" t="s">
        <v>706</v>
      </c>
      <c r="C653">
        <v>87</v>
      </c>
      <c r="D653" t="str">
        <f>VLOOKUP(B653,Products!$A:$E,2,FALSE)</f>
        <v>Product_349</v>
      </c>
      <c r="E653" t="str">
        <f>VLOOKUP(B653,Products!$A:$E,3,FALSE)</f>
        <v>Office Supplies</v>
      </c>
    </row>
    <row r="654" spans="1:5" x14ac:dyDescent="0.3">
      <c r="A654" t="s">
        <v>1664</v>
      </c>
      <c r="B654" t="s">
        <v>832</v>
      </c>
      <c r="C654">
        <v>93</v>
      </c>
      <c r="D654" t="str">
        <f>VLOOKUP(B654,Products!$A:$E,2,FALSE)</f>
        <v>Product_412</v>
      </c>
      <c r="E654" t="str">
        <f>VLOOKUP(B654,Products!$A:$E,3,FALSE)</f>
        <v>Accessories</v>
      </c>
    </row>
    <row r="655" spans="1:5" x14ac:dyDescent="0.3">
      <c r="A655" t="s">
        <v>1665</v>
      </c>
      <c r="B655" t="s">
        <v>280</v>
      </c>
      <c r="C655">
        <v>83</v>
      </c>
      <c r="D655" t="str">
        <f>VLOOKUP(B655,Products!$A:$E,2,FALSE)</f>
        <v>Product_136</v>
      </c>
      <c r="E655" t="str">
        <f>VLOOKUP(B655,Products!$A:$E,3,FALSE)</f>
        <v>Storage</v>
      </c>
    </row>
    <row r="656" spans="1:5" x14ac:dyDescent="0.3">
      <c r="A656" t="s">
        <v>1666</v>
      </c>
      <c r="B656" t="s">
        <v>504</v>
      </c>
      <c r="C656">
        <v>29</v>
      </c>
      <c r="D656" t="str">
        <f>VLOOKUP(B656,Products!$A:$E,2,FALSE)</f>
        <v>Product_248</v>
      </c>
      <c r="E656" t="str">
        <f>VLOOKUP(B656,Products!$A:$E,3,FALSE)</f>
        <v>Networking</v>
      </c>
    </row>
    <row r="657" spans="1:5" x14ac:dyDescent="0.3">
      <c r="A657" t="s">
        <v>1667</v>
      </c>
      <c r="B657" t="s">
        <v>990</v>
      </c>
      <c r="C657">
        <v>36</v>
      </c>
      <c r="D657" t="str">
        <f>VLOOKUP(B657,Products!$A:$E,2,FALSE)</f>
        <v>Product_491</v>
      </c>
      <c r="E657" t="str">
        <f>VLOOKUP(B657,Products!$A:$E,3,FALSE)</f>
        <v>Accessories</v>
      </c>
    </row>
    <row r="658" spans="1:5" x14ac:dyDescent="0.3">
      <c r="A658" t="s">
        <v>1668</v>
      </c>
      <c r="B658" t="s">
        <v>294</v>
      </c>
      <c r="C658">
        <v>76</v>
      </c>
      <c r="D658" t="str">
        <f>VLOOKUP(B658,Products!$A:$E,2,FALSE)</f>
        <v>Product_143</v>
      </c>
      <c r="E658" t="str">
        <f>VLOOKUP(B658,Products!$A:$E,3,FALSE)</f>
        <v>Office Supplies</v>
      </c>
    </row>
    <row r="659" spans="1:5" x14ac:dyDescent="0.3">
      <c r="A659" t="s">
        <v>1669</v>
      </c>
      <c r="B659" t="s">
        <v>314</v>
      </c>
      <c r="C659">
        <v>33</v>
      </c>
      <c r="D659" t="str">
        <f>VLOOKUP(B659,Products!$A:$E,2,FALSE)</f>
        <v>Product_153</v>
      </c>
      <c r="E659" t="str">
        <f>VLOOKUP(B659,Products!$A:$E,3,FALSE)</f>
        <v>Electronics</v>
      </c>
    </row>
    <row r="660" spans="1:5" x14ac:dyDescent="0.3">
      <c r="A660" t="s">
        <v>1670</v>
      </c>
      <c r="B660" t="s">
        <v>974</v>
      </c>
      <c r="C660">
        <v>43</v>
      </c>
      <c r="D660" t="str">
        <f>VLOOKUP(B660,Products!$A:$E,2,FALSE)</f>
        <v>Product_483</v>
      </c>
      <c r="E660" t="str">
        <f>VLOOKUP(B660,Products!$A:$E,3,FALSE)</f>
        <v>Electronics</v>
      </c>
    </row>
    <row r="661" spans="1:5" x14ac:dyDescent="0.3">
      <c r="A661" t="s">
        <v>1671</v>
      </c>
      <c r="B661" t="s">
        <v>798</v>
      </c>
      <c r="C661">
        <v>41</v>
      </c>
      <c r="D661" t="str">
        <f>VLOOKUP(B661,Products!$A:$E,2,FALSE)</f>
        <v>Product_395</v>
      </c>
      <c r="E661" t="str">
        <f>VLOOKUP(B661,Products!$A:$E,3,FALSE)</f>
        <v>Accessories</v>
      </c>
    </row>
    <row r="662" spans="1:5" x14ac:dyDescent="0.3">
      <c r="A662" t="s">
        <v>1672</v>
      </c>
      <c r="B662" t="s">
        <v>730</v>
      </c>
      <c r="C662">
        <v>31</v>
      </c>
      <c r="D662" t="str">
        <f>VLOOKUP(B662,Products!$A:$E,2,FALSE)</f>
        <v>Product_361</v>
      </c>
      <c r="E662" t="str">
        <f>VLOOKUP(B662,Products!$A:$E,3,FALSE)</f>
        <v>Office Supplies</v>
      </c>
    </row>
    <row r="663" spans="1:5" x14ac:dyDescent="0.3">
      <c r="A663" t="s">
        <v>1673</v>
      </c>
      <c r="B663" t="s">
        <v>716</v>
      </c>
      <c r="C663">
        <v>95</v>
      </c>
      <c r="D663" t="str">
        <f>VLOOKUP(B663,Products!$A:$E,2,FALSE)</f>
        <v>Product_354</v>
      </c>
      <c r="E663" t="str">
        <f>VLOOKUP(B663,Products!$A:$E,3,FALSE)</f>
        <v>Storage</v>
      </c>
    </row>
    <row r="664" spans="1:5" x14ac:dyDescent="0.3">
      <c r="A664" t="s">
        <v>1674</v>
      </c>
      <c r="B664" t="s">
        <v>510</v>
      </c>
      <c r="C664">
        <v>45</v>
      </c>
      <c r="D664" t="str">
        <f>VLOOKUP(B664,Products!$A:$E,2,FALSE)</f>
        <v>Product_251</v>
      </c>
      <c r="E664" t="str">
        <f>VLOOKUP(B664,Products!$A:$E,3,FALSE)</f>
        <v>Electronics</v>
      </c>
    </row>
    <row r="665" spans="1:5" x14ac:dyDescent="0.3">
      <c r="A665" t="s">
        <v>1675</v>
      </c>
      <c r="B665" t="s">
        <v>500</v>
      </c>
      <c r="C665">
        <v>49</v>
      </c>
      <c r="D665" t="str">
        <f>VLOOKUP(B665,Products!$A:$E,2,FALSE)</f>
        <v>Product_246</v>
      </c>
      <c r="E665" t="str">
        <f>VLOOKUP(B665,Products!$A:$E,3,FALSE)</f>
        <v>Electronics</v>
      </c>
    </row>
    <row r="666" spans="1:5" x14ac:dyDescent="0.3">
      <c r="A666" t="s">
        <v>1676</v>
      </c>
      <c r="B666" t="s">
        <v>582</v>
      </c>
      <c r="C666">
        <v>97</v>
      </c>
      <c r="D666" t="str">
        <f>VLOOKUP(B666,Products!$A:$E,2,FALSE)</f>
        <v>Product_287</v>
      </c>
      <c r="E666" t="str">
        <f>VLOOKUP(B666,Products!$A:$E,3,FALSE)</f>
        <v>Storage</v>
      </c>
    </row>
    <row r="667" spans="1:5" x14ac:dyDescent="0.3">
      <c r="A667" t="s">
        <v>1677</v>
      </c>
      <c r="B667" t="s">
        <v>290</v>
      </c>
      <c r="C667">
        <v>41</v>
      </c>
      <c r="D667" t="str">
        <f>VLOOKUP(B667,Products!$A:$E,2,FALSE)</f>
        <v>Product_141</v>
      </c>
      <c r="E667" t="str">
        <f>VLOOKUP(B667,Products!$A:$E,3,FALSE)</f>
        <v>Electronics</v>
      </c>
    </row>
    <row r="668" spans="1:5" x14ac:dyDescent="0.3">
      <c r="A668" t="s">
        <v>1678</v>
      </c>
      <c r="B668" t="s">
        <v>134</v>
      </c>
      <c r="C668">
        <v>78</v>
      </c>
      <c r="D668" t="str">
        <f>VLOOKUP(B668,Products!$A:$E,2,FALSE)</f>
        <v>Product_63</v>
      </c>
      <c r="E668" t="str">
        <f>VLOOKUP(B668,Products!$A:$E,3,FALSE)</f>
        <v>Accessories</v>
      </c>
    </row>
    <row r="669" spans="1:5" x14ac:dyDescent="0.3">
      <c r="A669" t="s">
        <v>1679</v>
      </c>
      <c r="B669" t="s">
        <v>702</v>
      </c>
      <c r="C669">
        <v>74</v>
      </c>
      <c r="D669" t="str">
        <f>VLOOKUP(B669,Products!$A:$E,2,FALSE)</f>
        <v>Product_347</v>
      </c>
      <c r="E669" t="str">
        <f>VLOOKUP(B669,Products!$A:$E,3,FALSE)</f>
        <v>Storage</v>
      </c>
    </row>
    <row r="670" spans="1:5" x14ac:dyDescent="0.3">
      <c r="A670" t="s">
        <v>1680</v>
      </c>
      <c r="B670" t="s">
        <v>398</v>
      </c>
      <c r="C670">
        <v>55</v>
      </c>
      <c r="D670" t="str">
        <f>VLOOKUP(B670,Products!$A:$E,2,FALSE)</f>
        <v>Product_195</v>
      </c>
      <c r="E670" t="str">
        <f>VLOOKUP(B670,Products!$A:$E,3,FALSE)</f>
        <v>Accessories</v>
      </c>
    </row>
    <row r="671" spans="1:5" x14ac:dyDescent="0.3">
      <c r="A671" t="s">
        <v>1681</v>
      </c>
      <c r="B671" t="s">
        <v>848</v>
      </c>
      <c r="C671">
        <v>49</v>
      </c>
      <c r="D671" t="str">
        <f>VLOOKUP(B671,Products!$A:$E,2,FALSE)</f>
        <v>Product_420</v>
      </c>
      <c r="E671" t="str">
        <f>VLOOKUP(B671,Products!$A:$E,3,FALSE)</f>
        <v>Networking</v>
      </c>
    </row>
    <row r="672" spans="1:5" x14ac:dyDescent="0.3">
      <c r="A672" t="s">
        <v>1682</v>
      </c>
      <c r="B672" t="s">
        <v>986</v>
      </c>
      <c r="C672">
        <v>23</v>
      </c>
      <c r="D672" t="str">
        <f>VLOOKUP(B672,Products!$A:$E,2,FALSE)</f>
        <v>Product_489</v>
      </c>
      <c r="E672" t="str">
        <f>VLOOKUP(B672,Products!$A:$E,3,FALSE)</f>
        <v>Networking</v>
      </c>
    </row>
    <row r="673" spans="1:5" x14ac:dyDescent="0.3">
      <c r="A673" t="s">
        <v>1683</v>
      </c>
      <c r="B673" t="s">
        <v>306</v>
      </c>
      <c r="C673">
        <v>10</v>
      </c>
      <c r="D673" t="str">
        <f>VLOOKUP(B673,Products!$A:$E,2,FALSE)</f>
        <v>Product_149</v>
      </c>
      <c r="E673" t="str">
        <f>VLOOKUP(B673,Products!$A:$E,3,FALSE)</f>
        <v>Accessories</v>
      </c>
    </row>
    <row r="674" spans="1:5" x14ac:dyDescent="0.3">
      <c r="A674" t="s">
        <v>1684</v>
      </c>
      <c r="B674" t="s">
        <v>304</v>
      </c>
      <c r="C674">
        <v>96</v>
      </c>
      <c r="D674" t="str">
        <f>VLOOKUP(B674,Products!$A:$E,2,FALSE)</f>
        <v>Product_148</v>
      </c>
      <c r="E674" t="str">
        <f>VLOOKUP(B674,Products!$A:$E,3,FALSE)</f>
        <v>Electronics</v>
      </c>
    </row>
    <row r="675" spans="1:5" x14ac:dyDescent="0.3">
      <c r="A675" t="s">
        <v>1685</v>
      </c>
      <c r="B675" t="s">
        <v>90</v>
      </c>
      <c r="C675">
        <v>49</v>
      </c>
      <c r="D675" t="str">
        <f>VLOOKUP(B675,Products!$A:$E,2,FALSE)</f>
        <v>Product_41</v>
      </c>
      <c r="E675" t="str">
        <f>VLOOKUP(B675,Products!$A:$E,3,FALSE)</f>
        <v>Accessories</v>
      </c>
    </row>
    <row r="676" spans="1:5" x14ac:dyDescent="0.3">
      <c r="A676" t="s">
        <v>1686</v>
      </c>
      <c r="B676" t="s">
        <v>956</v>
      </c>
      <c r="C676">
        <v>61</v>
      </c>
      <c r="D676" t="str">
        <f>VLOOKUP(B676,Products!$A:$E,2,FALSE)</f>
        <v>Product_474</v>
      </c>
      <c r="E676" t="str">
        <f>VLOOKUP(B676,Products!$A:$E,3,FALSE)</f>
        <v>Networking</v>
      </c>
    </row>
    <row r="677" spans="1:5" x14ac:dyDescent="0.3">
      <c r="A677" t="s">
        <v>1687</v>
      </c>
      <c r="B677" t="s">
        <v>680</v>
      </c>
      <c r="C677">
        <v>37</v>
      </c>
      <c r="D677" t="str">
        <f>VLOOKUP(B677,Products!$A:$E,2,FALSE)</f>
        <v>Product_336</v>
      </c>
      <c r="E677" t="str">
        <f>VLOOKUP(B677,Products!$A:$E,3,FALSE)</f>
        <v>Storage</v>
      </c>
    </row>
    <row r="678" spans="1:5" x14ac:dyDescent="0.3">
      <c r="A678" t="s">
        <v>1688</v>
      </c>
      <c r="B678" t="s">
        <v>774</v>
      </c>
      <c r="C678">
        <v>66</v>
      </c>
      <c r="D678" t="str">
        <f>VLOOKUP(B678,Products!$A:$E,2,FALSE)</f>
        <v>Product_383</v>
      </c>
      <c r="E678" t="str">
        <f>VLOOKUP(B678,Products!$A:$E,3,FALSE)</f>
        <v>Electronics</v>
      </c>
    </row>
    <row r="679" spans="1:5" x14ac:dyDescent="0.3">
      <c r="A679" t="s">
        <v>1689</v>
      </c>
      <c r="B679" t="s">
        <v>228</v>
      </c>
      <c r="C679">
        <v>30</v>
      </c>
      <c r="D679" t="str">
        <f>VLOOKUP(B679,Products!$A:$E,2,FALSE)</f>
        <v>Product_110</v>
      </c>
      <c r="E679" t="str">
        <f>VLOOKUP(B679,Products!$A:$E,3,FALSE)</f>
        <v>Networking</v>
      </c>
    </row>
    <row r="680" spans="1:5" x14ac:dyDescent="0.3">
      <c r="A680" t="s">
        <v>1690</v>
      </c>
      <c r="B680" t="s">
        <v>856</v>
      </c>
      <c r="C680">
        <v>73</v>
      </c>
      <c r="D680" t="str">
        <f>VLOOKUP(B680,Products!$A:$E,2,FALSE)</f>
        <v>Product_424</v>
      </c>
      <c r="E680" t="str">
        <f>VLOOKUP(B680,Products!$A:$E,3,FALSE)</f>
        <v>Networking</v>
      </c>
    </row>
    <row r="681" spans="1:5" x14ac:dyDescent="0.3">
      <c r="A681" t="s">
        <v>1691</v>
      </c>
      <c r="B681" t="s">
        <v>286</v>
      </c>
      <c r="C681">
        <v>76</v>
      </c>
      <c r="D681" t="str">
        <f>VLOOKUP(B681,Products!$A:$E,2,FALSE)</f>
        <v>Product_139</v>
      </c>
      <c r="E681" t="str">
        <f>VLOOKUP(B681,Products!$A:$E,3,FALSE)</f>
        <v>Storage</v>
      </c>
    </row>
    <row r="682" spans="1:5" x14ac:dyDescent="0.3">
      <c r="A682" t="s">
        <v>1692</v>
      </c>
      <c r="B682" t="s">
        <v>722</v>
      </c>
      <c r="C682">
        <v>39</v>
      </c>
      <c r="D682" t="str">
        <f>VLOOKUP(B682,Products!$A:$E,2,FALSE)</f>
        <v>Product_357</v>
      </c>
      <c r="E682" t="str">
        <f>VLOOKUP(B682,Products!$A:$E,3,FALSE)</f>
        <v>Accessories</v>
      </c>
    </row>
    <row r="683" spans="1:5" x14ac:dyDescent="0.3">
      <c r="A683" t="s">
        <v>1693</v>
      </c>
      <c r="B683" t="s">
        <v>150</v>
      </c>
      <c r="C683">
        <v>18</v>
      </c>
      <c r="D683" t="str">
        <f>VLOOKUP(B683,Products!$A:$E,2,FALSE)</f>
        <v>Product_71</v>
      </c>
      <c r="E683" t="str">
        <f>VLOOKUP(B683,Products!$A:$E,3,FALSE)</f>
        <v>Accessories</v>
      </c>
    </row>
    <row r="684" spans="1:5" x14ac:dyDescent="0.3">
      <c r="A684" t="s">
        <v>1694</v>
      </c>
      <c r="B684" t="s">
        <v>640</v>
      </c>
      <c r="C684">
        <v>99</v>
      </c>
      <c r="D684" t="str">
        <f>VLOOKUP(B684,Products!$A:$E,2,FALSE)</f>
        <v>Product_316</v>
      </c>
      <c r="E684" t="str">
        <f>VLOOKUP(B684,Products!$A:$E,3,FALSE)</f>
        <v>Networking</v>
      </c>
    </row>
    <row r="685" spans="1:5" x14ac:dyDescent="0.3">
      <c r="A685" t="s">
        <v>1695</v>
      </c>
      <c r="B685" t="s">
        <v>610</v>
      </c>
      <c r="C685">
        <v>35</v>
      </c>
      <c r="D685" t="str">
        <f>VLOOKUP(B685,Products!$A:$E,2,FALSE)</f>
        <v>Product_301</v>
      </c>
      <c r="E685" t="str">
        <f>VLOOKUP(B685,Products!$A:$E,3,FALSE)</f>
        <v>Networking</v>
      </c>
    </row>
    <row r="686" spans="1:5" x14ac:dyDescent="0.3">
      <c r="A686" t="s">
        <v>1696</v>
      </c>
      <c r="B686" t="s">
        <v>258</v>
      </c>
      <c r="C686">
        <v>11</v>
      </c>
      <c r="D686" t="str">
        <f>VLOOKUP(B686,Products!$A:$E,2,FALSE)</f>
        <v>Product_125</v>
      </c>
      <c r="E686" t="str">
        <f>VLOOKUP(B686,Products!$A:$E,3,FALSE)</f>
        <v>Office Supplies</v>
      </c>
    </row>
    <row r="687" spans="1:5" x14ac:dyDescent="0.3">
      <c r="A687" t="s">
        <v>1697</v>
      </c>
      <c r="B687" t="s">
        <v>694</v>
      </c>
      <c r="C687">
        <v>72</v>
      </c>
      <c r="D687" t="str">
        <f>VLOOKUP(B687,Products!$A:$E,2,FALSE)</f>
        <v>Product_343</v>
      </c>
      <c r="E687" t="str">
        <f>VLOOKUP(B687,Products!$A:$E,3,FALSE)</f>
        <v>Office Supplies</v>
      </c>
    </row>
    <row r="688" spans="1:5" x14ac:dyDescent="0.3">
      <c r="A688" t="s">
        <v>1698</v>
      </c>
      <c r="B688" t="s">
        <v>240</v>
      </c>
      <c r="C688">
        <v>86</v>
      </c>
      <c r="D688" t="str">
        <f>VLOOKUP(B688,Products!$A:$E,2,FALSE)</f>
        <v>Product_116</v>
      </c>
      <c r="E688" t="str">
        <f>VLOOKUP(B688,Products!$A:$E,3,FALSE)</f>
        <v>Storage</v>
      </c>
    </row>
    <row r="689" spans="1:5" x14ac:dyDescent="0.3">
      <c r="A689" t="s">
        <v>1699</v>
      </c>
      <c r="B689" t="s">
        <v>248</v>
      </c>
      <c r="C689">
        <v>11</v>
      </c>
      <c r="D689" t="str">
        <f>VLOOKUP(B689,Products!$A:$E,2,FALSE)</f>
        <v>Product_120</v>
      </c>
      <c r="E689" t="str">
        <f>VLOOKUP(B689,Products!$A:$E,3,FALSE)</f>
        <v>Accessories</v>
      </c>
    </row>
    <row r="690" spans="1:5" x14ac:dyDescent="0.3">
      <c r="A690" t="s">
        <v>1700</v>
      </c>
      <c r="B690" t="s">
        <v>112</v>
      </c>
      <c r="C690">
        <v>57</v>
      </c>
      <c r="D690" t="str">
        <f>VLOOKUP(B690,Products!$A:$E,2,FALSE)</f>
        <v>Product_52</v>
      </c>
      <c r="E690" t="str">
        <f>VLOOKUP(B690,Products!$A:$E,3,FALSE)</f>
        <v>Electronics</v>
      </c>
    </row>
    <row r="691" spans="1:5" x14ac:dyDescent="0.3">
      <c r="A691" t="s">
        <v>1701</v>
      </c>
      <c r="B691" t="s">
        <v>348</v>
      </c>
      <c r="C691">
        <v>96</v>
      </c>
      <c r="D691" t="str">
        <f>VLOOKUP(B691,Products!$A:$E,2,FALSE)</f>
        <v>Product_170</v>
      </c>
      <c r="E691" t="str">
        <f>VLOOKUP(B691,Products!$A:$E,3,FALSE)</f>
        <v>Office Supplies</v>
      </c>
    </row>
    <row r="692" spans="1:5" x14ac:dyDescent="0.3">
      <c r="A692" t="s">
        <v>1702</v>
      </c>
      <c r="B692" t="s">
        <v>492</v>
      </c>
      <c r="C692">
        <v>17</v>
      </c>
      <c r="D692" t="str">
        <f>VLOOKUP(B692,Products!$A:$E,2,FALSE)</f>
        <v>Product_242</v>
      </c>
      <c r="E692" t="str">
        <f>VLOOKUP(B692,Products!$A:$E,3,FALSE)</f>
        <v>Networking</v>
      </c>
    </row>
    <row r="693" spans="1:5" x14ac:dyDescent="0.3">
      <c r="A693" t="s">
        <v>1703</v>
      </c>
      <c r="B693" t="s">
        <v>706</v>
      </c>
      <c r="C693">
        <v>22</v>
      </c>
      <c r="D693" t="str">
        <f>VLOOKUP(B693,Products!$A:$E,2,FALSE)</f>
        <v>Product_349</v>
      </c>
      <c r="E693" t="str">
        <f>VLOOKUP(B693,Products!$A:$E,3,FALSE)</f>
        <v>Office Supplies</v>
      </c>
    </row>
    <row r="694" spans="1:5" x14ac:dyDescent="0.3">
      <c r="A694" t="s">
        <v>1704</v>
      </c>
      <c r="B694" t="s">
        <v>11</v>
      </c>
      <c r="C694">
        <v>75</v>
      </c>
      <c r="D694" t="str">
        <f>VLOOKUP(B694,Products!$A:$E,2,FALSE)</f>
        <v>Product_3</v>
      </c>
      <c r="E694" t="str">
        <f>VLOOKUP(B694,Products!$A:$E,3,FALSE)</f>
        <v>Accessories</v>
      </c>
    </row>
    <row r="695" spans="1:5" x14ac:dyDescent="0.3">
      <c r="A695" t="s">
        <v>1705</v>
      </c>
      <c r="B695" t="s">
        <v>960</v>
      </c>
      <c r="C695">
        <v>25</v>
      </c>
      <c r="D695" t="str">
        <f>VLOOKUP(B695,Products!$A:$E,2,FALSE)</f>
        <v>Product_476</v>
      </c>
      <c r="E695" t="str">
        <f>VLOOKUP(B695,Products!$A:$E,3,FALSE)</f>
        <v>Office Supplies</v>
      </c>
    </row>
    <row r="696" spans="1:5" x14ac:dyDescent="0.3">
      <c r="A696" t="s">
        <v>1706</v>
      </c>
      <c r="B696" t="s">
        <v>426</v>
      </c>
      <c r="C696">
        <v>88</v>
      </c>
      <c r="D696" t="str">
        <f>VLOOKUP(B696,Products!$A:$E,2,FALSE)</f>
        <v>Product_209</v>
      </c>
      <c r="E696" t="str">
        <f>VLOOKUP(B696,Products!$A:$E,3,FALSE)</f>
        <v>Networking</v>
      </c>
    </row>
    <row r="697" spans="1:5" x14ac:dyDescent="0.3">
      <c r="A697" t="s">
        <v>1707</v>
      </c>
      <c r="B697" t="s">
        <v>966</v>
      </c>
      <c r="C697">
        <v>65</v>
      </c>
      <c r="D697" t="str">
        <f>VLOOKUP(B697,Products!$A:$E,2,FALSE)</f>
        <v>Product_479</v>
      </c>
      <c r="E697" t="str">
        <f>VLOOKUP(B697,Products!$A:$E,3,FALSE)</f>
        <v>Office Supplies</v>
      </c>
    </row>
    <row r="698" spans="1:5" x14ac:dyDescent="0.3">
      <c r="A698" t="s">
        <v>1708</v>
      </c>
      <c r="B698" t="s">
        <v>498</v>
      </c>
      <c r="C698">
        <v>88</v>
      </c>
      <c r="D698" t="str">
        <f>VLOOKUP(B698,Products!$A:$E,2,FALSE)</f>
        <v>Product_245</v>
      </c>
      <c r="E698" t="str">
        <f>VLOOKUP(B698,Products!$A:$E,3,FALSE)</f>
        <v>Office Supplies</v>
      </c>
    </row>
    <row r="699" spans="1:5" x14ac:dyDescent="0.3">
      <c r="A699" t="s">
        <v>1709</v>
      </c>
      <c r="B699" t="s">
        <v>214</v>
      </c>
      <c r="C699">
        <v>41</v>
      </c>
      <c r="D699" t="str">
        <f>VLOOKUP(B699,Products!$A:$E,2,FALSE)</f>
        <v>Product_103</v>
      </c>
      <c r="E699" t="str">
        <f>VLOOKUP(B699,Products!$A:$E,3,FALSE)</f>
        <v>Accessories</v>
      </c>
    </row>
    <row r="700" spans="1:5" x14ac:dyDescent="0.3">
      <c r="A700" t="s">
        <v>1710</v>
      </c>
      <c r="B700" t="s">
        <v>338</v>
      </c>
      <c r="C700">
        <v>41</v>
      </c>
      <c r="D700" t="str">
        <f>VLOOKUP(B700,Products!$A:$E,2,FALSE)</f>
        <v>Product_165</v>
      </c>
      <c r="E700" t="str">
        <f>VLOOKUP(B700,Products!$A:$E,3,FALSE)</f>
        <v>Office Supplies</v>
      </c>
    </row>
    <row r="701" spans="1:5" x14ac:dyDescent="0.3">
      <c r="A701" t="s">
        <v>1711</v>
      </c>
      <c r="B701" t="s">
        <v>670</v>
      </c>
      <c r="C701">
        <v>12</v>
      </c>
      <c r="D701" t="str">
        <f>VLOOKUP(B701,Products!$A:$E,2,FALSE)</f>
        <v>Product_331</v>
      </c>
      <c r="E701" t="str">
        <f>VLOOKUP(B701,Products!$A:$E,3,FALSE)</f>
        <v>Electronics</v>
      </c>
    </row>
    <row r="702" spans="1:5" x14ac:dyDescent="0.3">
      <c r="A702" t="s">
        <v>1712</v>
      </c>
      <c r="B702" t="s">
        <v>938</v>
      </c>
      <c r="C702">
        <v>16</v>
      </c>
      <c r="D702" t="str">
        <f>VLOOKUP(B702,Products!$A:$E,2,FALSE)</f>
        <v>Product_465</v>
      </c>
      <c r="E702" t="str">
        <f>VLOOKUP(B702,Products!$A:$E,3,FALSE)</f>
        <v>Electronics</v>
      </c>
    </row>
    <row r="703" spans="1:5" x14ac:dyDescent="0.3">
      <c r="A703" t="s">
        <v>1713</v>
      </c>
      <c r="B703" t="s">
        <v>676</v>
      </c>
      <c r="C703">
        <v>78</v>
      </c>
      <c r="D703" t="str">
        <f>VLOOKUP(B703,Products!$A:$E,2,FALSE)</f>
        <v>Product_334</v>
      </c>
      <c r="E703" t="str">
        <f>VLOOKUP(B703,Products!$A:$E,3,FALSE)</f>
        <v>Accessories</v>
      </c>
    </row>
    <row r="704" spans="1:5" x14ac:dyDescent="0.3">
      <c r="A704" t="s">
        <v>1714</v>
      </c>
      <c r="B704" t="s">
        <v>246</v>
      </c>
      <c r="C704">
        <v>73</v>
      </c>
      <c r="D704" t="str">
        <f>VLOOKUP(B704,Products!$A:$E,2,FALSE)</f>
        <v>Product_119</v>
      </c>
      <c r="E704" t="str">
        <f>VLOOKUP(B704,Products!$A:$E,3,FALSE)</f>
        <v>Electronics</v>
      </c>
    </row>
    <row r="705" spans="1:5" x14ac:dyDescent="0.3">
      <c r="A705" t="s">
        <v>1715</v>
      </c>
      <c r="B705" t="s">
        <v>766</v>
      </c>
      <c r="C705">
        <v>97</v>
      </c>
      <c r="D705" t="str">
        <f>VLOOKUP(B705,Products!$A:$E,2,FALSE)</f>
        <v>Product_379</v>
      </c>
      <c r="E705" t="str">
        <f>VLOOKUP(B705,Products!$A:$E,3,FALSE)</f>
        <v>Office Supplies</v>
      </c>
    </row>
    <row r="706" spans="1:5" x14ac:dyDescent="0.3">
      <c r="A706" t="s">
        <v>1716</v>
      </c>
      <c r="B706" t="s">
        <v>880</v>
      </c>
      <c r="C706">
        <v>9</v>
      </c>
      <c r="D706" t="str">
        <f>VLOOKUP(B706,Products!$A:$E,2,FALSE)</f>
        <v>Product_436</v>
      </c>
      <c r="E706" t="str">
        <f>VLOOKUP(B706,Products!$A:$E,3,FALSE)</f>
        <v>Networking</v>
      </c>
    </row>
    <row r="707" spans="1:5" x14ac:dyDescent="0.3">
      <c r="A707" t="s">
        <v>1717</v>
      </c>
      <c r="B707" t="s">
        <v>944</v>
      </c>
      <c r="C707">
        <v>27</v>
      </c>
      <c r="D707" t="str">
        <f>VLOOKUP(B707,Products!$A:$E,2,FALSE)</f>
        <v>Product_468</v>
      </c>
      <c r="E707" t="str">
        <f>VLOOKUP(B707,Products!$A:$E,3,FALSE)</f>
        <v>Office Supplies</v>
      </c>
    </row>
    <row r="708" spans="1:5" x14ac:dyDescent="0.3">
      <c r="A708" t="s">
        <v>1718</v>
      </c>
      <c r="B708" t="s">
        <v>436</v>
      </c>
      <c r="C708">
        <v>27</v>
      </c>
      <c r="D708" t="str">
        <f>VLOOKUP(B708,Products!$A:$E,2,FALSE)</f>
        <v>Product_214</v>
      </c>
      <c r="E708" t="str">
        <f>VLOOKUP(B708,Products!$A:$E,3,FALSE)</f>
        <v>Electronics</v>
      </c>
    </row>
    <row r="709" spans="1:5" x14ac:dyDescent="0.3">
      <c r="A709" t="s">
        <v>1719</v>
      </c>
      <c r="B709" t="s">
        <v>966</v>
      </c>
      <c r="C709">
        <v>9</v>
      </c>
      <c r="D709" t="str">
        <f>VLOOKUP(B709,Products!$A:$E,2,FALSE)</f>
        <v>Product_479</v>
      </c>
      <c r="E709" t="str">
        <f>VLOOKUP(B709,Products!$A:$E,3,FALSE)</f>
        <v>Office Supplies</v>
      </c>
    </row>
    <row r="710" spans="1:5" x14ac:dyDescent="0.3">
      <c r="A710" t="s">
        <v>1720</v>
      </c>
      <c r="B710" t="s">
        <v>866</v>
      </c>
      <c r="C710">
        <v>55</v>
      </c>
      <c r="D710" t="str">
        <f>VLOOKUP(B710,Products!$A:$E,2,FALSE)</f>
        <v>Product_429</v>
      </c>
      <c r="E710" t="str">
        <f>VLOOKUP(B710,Products!$A:$E,3,FALSE)</f>
        <v>Office Supplies</v>
      </c>
    </row>
    <row r="711" spans="1:5" x14ac:dyDescent="0.3">
      <c r="A711" t="s">
        <v>1721</v>
      </c>
      <c r="B711" t="s">
        <v>816</v>
      </c>
      <c r="C711">
        <v>68</v>
      </c>
      <c r="D711" t="str">
        <f>VLOOKUP(B711,Products!$A:$E,2,FALSE)</f>
        <v>Product_404</v>
      </c>
      <c r="E711" t="str">
        <f>VLOOKUP(B711,Products!$A:$E,3,FALSE)</f>
        <v>Storage</v>
      </c>
    </row>
    <row r="712" spans="1:5" x14ac:dyDescent="0.3">
      <c r="A712" t="s">
        <v>1722</v>
      </c>
      <c r="B712" t="s">
        <v>200</v>
      </c>
      <c r="C712">
        <v>100</v>
      </c>
      <c r="D712" t="str">
        <f>VLOOKUP(B712,Products!$A:$E,2,FALSE)</f>
        <v>Product_96</v>
      </c>
      <c r="E712" t="str">
        <f>VLOOKUP(B712,Products!$A:$E,3,FALSE)</f>
        <v>Office Supplies</v>
      </c>
    </row>
    <row r="713" spans="1:5" x14ac:dyDescent="0.3">
      <c r="A713" t="s">
        <v>1723</v>
      </c>
      <c r="B713" t="s">
        <v>994</v>
      </c>
      <c r="C713">
        <v>42</v>
      </c>
      <c r="D713" t="str">
        <f>VLOOKUP(B713,Products!$A:$E,2,FALSE)</f>
        <v>Product_493</v>
      </c>
      <c r="E713" t="str">
        <f>VLOOKUP(B713,Products!$A:$E,3,FALSE)</f>
        <v>Networking</v>
      </c>
    </row>
    <row r="714" spans="1:5" x14ac:dyDescent="0.3">
      <c r="A714" t="s">
        <v>1724</v>
      </c>
      <c r="B714" t="s">
        <v>906</v>
      </c>
      <c r="C714">
        <v>9</v>
      </c>
      <c r="D714" t="str">
        <f>VLOOKUP(B714,Products!$A:$E,2,FALSE)</f>
        <v>Product_449</v>
      </c>
      <c r="E714" t="str">
        <f>VLOOKUP(B714,Products!$A:$E,3,FALSE)</f>
        <v>Networking</v>
      </c>
    </row>
    <row r="715" spans="1:5" x14ac:dyDescent="0.3">
      <c r="A715" t="s">
        <v>1725</v>
      </c>
      <c r="B715" t="s">
        <v>17</v>
      </c>
      <c r="C715">
        <v>43</v>
      </c>
      <c r="D715" t="str">
        <f>VLOOKUP(B715,Products!$A:$E,2,FALSE)</f>
        <v>Product_5</v>
      </c>
      <c r="E715" t="str">
        <f>VLOOKUP(B715,Products!$A:$E,3,FALSE)</f>
        <v>Networking</v>
      </c>
    </row>
    <row r="716" spans="1:5" x14ac:dyDescent="0.3">
      <c r="A716" t="s">
        <v>1726</v>
      </c>
      <c r="B716" t="s">
        <v>590</v>
      </c>
      <c r="C716">
        <v>82</v>
      </c>
      <c r="D716" t="str">
        <f>VLOOKUP(B716,Products!$A:$E,2,FALSE)</f>
        <v>Product_291</v>
      </c>
      <c r="E716" t="str">
        <f>VLOOKUP(B716,Products!$A:$E,3,FALSE)</f>
        <v>Networking</v>
      </c>
    </row>
    <row r="717" spans="1:5" x14ac:dyDescent="0.3">
      <c r="A717" t="s">
        <v>1727</v>
      </c>
      <c r="B717" t="s">
        <v>118</v>
      </c>
      <c r="C717">
        <v>47</v>
      </c>
      <c r="D717" t="str">
        <f>VLOOKUP(B717,Products!$A:$E,2,FALSE)</f>
        <v>Product_55</v>
      </c>
      <c r="E717" t="str">
        <f>VLOOKUP(B717,Products!$A:$E,3,FALSE)</f>
        <v>Office Supplies</v>
      </c>
    </row>
    <row r="718" spans="1:5" x14ac:dyDescent="0.3">
      <c r="A718" t="s">
        <v>1728</v>
      </c>
      <c r="B718" t="s">
        <v>300</v>
      </c>
      <c r="C718">
        <v>63</v>
      </c>
      <c r="D718" t="str">
        <f>VLOOKUP(B718,Products!$A:$E,2,FALSE)</f>
        <v>Product_146</v>
      </c>
      <c r="E718" t="str">
        <f>VLOOKUP(B718,Products!$A:$E,3,FALSE)</f>
        <v>Office Supplies</v>
      </c>
    </row>
    <row r="719" spans="1:5" x14ac:dyDescent="0.3">
      <c r="A719" t="s">
        <v>1729</v>
      </c>
      <c r="B719" t="s">
        <v>666</v>
      </c>
      <c r="C719">
        <v>74</v>
      </c>
      <c r="D719" t="str">
        <f>VLOOKUP(B719,Products!$A:$E,2,FALSE)</f>
        <v>Product_329</v>
      </c>
      <c r="E719" t="str">
        <f>VLOOKUP(B719,Products!$A:$E,3,FALSE)</f>
        <v>Office Supplies</v>
      </c>
    </row>
    <row r="720" spans="1:5" x14ac:dyDescent="0.3">
      <c r="A720" t="s">
        <v>1730</v>
      </c>
      <c r="B720" t="s">
        <v>546</v>
      </c>
      <c r="C720">
        <v>68</v>
      </c>
      <c r="D720" t="str">
        <f>VLOOKUP(B720,Products!$A:$E,2,FALSE)</f>
        <v>Product_269</v>
      </c>
      <c r="E720" t="str">
        <f>VLOOKUP(B720,Products!$A:$E,3,FALSE)</f>
        <v>Storage</v>
      </c>
    </row>
    <row r="721" spans="1:5" x14ac:dyDescent="0.3">
      <c r="A721" t="s">
        <v>1731</v>
      </c>
      <c r="B721" t="s">
        <v>920</v>
      </c>
      <c r="C721">
        <v>22</v>
      </c>
      <c r="D721" t="str">
        <f>VLOOKUP(B721,Products!$A:$E,2,FALSE)</f>
        <v>Product_456</v>
      </c>
      <c r="E721" t="str">
        <f>VLOOKUP(B721,Products!$A:$E,3,FALSE)</f>
        <v>Electronics</v>
      </c>
    </row>
    <row r="722" spans="1:5" x14ac:dyDescent="0.3">
      <c r="A722" t="s">
        <v>1732</v>
      </c>
      <c r="B722" t="s">
        <v>880</v>
      </c>
      <c r="C722">
        <v>69</v>
      </c>
      <c r="D722" t="str">
        <f>VLOOKUP(B722,Products!$A:$E,2,FALSE)</f>
        <v>Product_436</v>
      </c>
      <c r="E722" t="str">
        <f>VLOOKUP(B722,Products!$A:$E,3,FALSE)</f>
        <v>Networking</v>
      </c>
    </row>
    <row r="723" spans="1:5" x14ac:dyDescent="0.3">
      <c r="A723" t="s">
        <v>1733</v>
      </c>
      <c r="B723" t="s">
        <v>488</v>
      </c>
      <c r="C723">
        <v>39</v>
      </c>
      <c r="D723" t="str">
        <f>VLOOKUP(B723,Products!$A:$E,2,FALSE)</f>
        <v>Product_240</v>
      </c>
      <c r="E723" t="str">
        <f>VLOOKUP(B723,Products!$A:$E,3,FALSE)</f>
        <v>Storage</v>
      </c>
    </row>
    <row r="724" spans="1:5" x14ac:dyDescent="0.3">
      <c r="A724" t="s">
        <v>1734</v>
      </c>
      <c r="B724" t="s">
        <v>206</v>
      </c>
      <c r="C724">
        <v>19</v>
      </c>
      <c r="D724" t="str">
        <f>VLOOKUP(B724,Products!$A:$E,2,FALSE)</f>
        <v>Product_99</v>
      </c>
      <c r="E724" t="str">
        <f>VLOOKUP(B724,Products!$A:$E,3,FALSE)</f>
        <v>Accessories</v>
      </c>
    </row>
    <row r="725" spans="1:5" x14ac:dyDescent="0.3">
      <c r="A725" t="s">
        <v>1735</v>
      </c>
      <c r="B725" t="s">
        <v>348</v>
      </c>
      <c r="C725">
        <v>25</v>
      </c>
      <c r="D725" t="str">
        <f>VLOOKUP(B725,Products!$A:$E,2,FALSE)</f>
        <v>Product_170</v>
      </c>
      <c r="E725" t="str">
        <f>VLOOKUP(B725,Products!$A:$E,3,FALSE)</f>
        <v>Office Supplies</v>
      </c>
    </row>
    <row r="726" spans="1:5" x14ac:dyDescent="0.3">
      <c r="A726" t="s">
        <v>1736</v>
      </c>
      <c r="B726" t="s">
        <v>758</v>
      </c>
      <c r="C726">
        <v>63</v>
      </c>
      <c r="D726" t="str">
        <f>VLOOKUP(B726,Products!$A:$E,2,FALSE)</f>
        <v>Product_375</v>
      </c>
      <c r="E726" t="str">
        <f>VLOOKUP(B726,Products!$A:$E,3,FALSE)</f>
        <v>Accessories</v>
      </c>
    </row>
    <row r="727" spans="1:5" x14ac:dyDescent="0.3">
      <c r="A727" t="s">
        <v>1737</v>
      </c>
      <c r="B727" t="s">
        <v>672</v>
      </c>
      <c r="C727">
        <v>37</v>
      </c>
      <c r="D727" t="str">
        <f>VLOOKUP(B727,Products!$A:$E,2,FALSE)</f>
        <v>Product_332</v>
      </c>
      <c r="E727" t="str">
        <f>VLOOKUP(B727,Products!$A:$E,3,FALSE)</f>
        <v>Electronics</v>
      </c>
    </row>
    <row r="728" spans="1:5" x14ac:dyDescent="0.3">
      <c r="A728" t="s">
        <v>1738</v>
      </c>
      <c r="B728" t="s">
        <v>744</v>
      </c>
      <c r="C728">
        <v>28</v>
      </c>
      <c r="D728" t="str">
        <f>VLOOKUP(B728,Products!$A:$E,2,FALSE)</f>
        <v>Product_368</v>
      </c>
      <c r="E728" t="str">
        <f>VLOOKUP(B728,Products!$A:$E,3,FALSE)</f>
        <v>Office Supplies</v>
      </c>
    </row>
    <row r="729" spans="1:5" x14ac:dyDescent="0.3">
      <c r="A729" t="s">
        <v>1739</v>
      </c>
      <c r="B729" t="s">
        <v>24</v>
      </c>
      <c r="C729">
        <v>99</v>
      </c>
      <c r="D729" t="str">
        <f>VLOOKUP(B729,Products!$A:$E,2,FALSE)</f>
        <v>Product_8</v>
      </c>
      <c r="E729" t="str">
        <f>VLOOKUP(B729,Products!$A:$E,3,FALSE)</f>
        <v>Storage</v>
      </c>
    </row>
    <row r="730" spans="1:5" x14ac:dyDescent="0.3">
      <c r="A730" t="s">
        <v>1740</v>
      </c>
      <c r="B730" t="s">
        <v>354</v>
      </c>
      <c r="C730">
        <v>42</v>
      </c>
      <c r="D730" t="str">
        <f>VLOOKUP(B730,Products!$A:$E,2,FALSE)</f>
        <v>Product_173</v>
      </c>
      <c r="E730" t="str">
        <f>VLOOKUP(B730,Products!$A:$E,3,FALSE)</f>
        <v>Electronics</v>
      </c>
    </row>
    <row r="731" spans="1:5" x14ac:dyDescent="0.3">
      <c r="A731" t="s">
        <v>1741</v>
      </c>
      <c r="B731" t="s">
        <v>590</v>
      </c>
      <c r="C731">
        <v>91</v>
      </c>
      <c r="D731" t="str">
        <f>VLOOKUP(B731,Products!$A:$E,2,FALSE)</f>
        <v>Product_291</v>
      </c>
      <c r="E731" t="str">
        <f>VLOOKUP(B731,Products!$A:$E,3,FALSE)</f>
        <v>Networking</v>
      </c>
    </row>
    <row r="732" spans="1:5" x14ac:dyDescent="0.3">
      <c r="A732" t="s">
        <v>1742</v>
      </c>
      <c r="B732" t="s">
        <v>784</v>
      </c>
      <c r="C732">
        <v>29</v>
      </c>
      <c r="D732" t="str">
        <f>VLOOKUP(B732,Products!$A:$E,2,FALSE)</f>
        <v>Product_388</v>
      </c>
      <c r="E732" t="str">
        <f>VLOOKUP(B732,Products!$A:$E,3,FALSE)</f>
        <v>Office Supplies</v>
      </c>
    </row>
    <row r="733" spans="1:5" x14ac:dyDescent="0.3">
      <c r="A733" t="s">
        <v>1743</v>
      </c>
      <c r="B733" t="s">
        <v>188</v>
      </c>
      <c r="C733">
        <v>83</v>
      </c>
      <c r="D733" t="str">
        <f>VLOOKUP(B733,Products!$A:$E,2,FALSE)</f>
        <v>Product_90</v>
      </c>
      <c r="E733" t="str">
        <f>VLOOKUP(B733,Products!$A:$E,3,FALSE)</f>
        <v>Accessories</v>
      </c>
    </row>
    <row r="734" spans="1:5" x14ac:dyDescent="0.3">
      <c r="A734" t="s">
        <v>1744</v>
      </c>
      <c r="B734" t="s">
        <v>886</v>
      </c>
      <c r="C734">
        <v>86</v>
      </c>
      <c r="D734" t="str">
        <f>VLOOKUP(B734,Products!$A:$E,2,FALSE)</f>
        <v>Product_439</v>
      </c>
      <c r="E734" t="str">
        <f>VLOOKUP(B734,Products!$A:$E,3,FALSE)</f>
        <v>Networking</v>
      </c>
    </row>
    <row r="735" spans="1:5" x14ac:dyDescent="0.3">
      <c r="A735" t="s">
        <v>1745</v>
      </c>
      <c r="B735" t="s">
        <v>928</v>
      </c>
      <c r="C735">
        <v>56</v>
      </c>
      <c r="D735" t="str">
        <f>VLOOKUP(B735,Products!$A:$E,2,FALSE)</f>
        <v>Product_460</v>
      </c>
      <c r="E735" t="str">
        <f>VLOOKUP(B735,Products!$A:$E,3,FALSE)</f>
        <v>Accessories</v>
      </c>
    </row>
    <row r="736" spans="1:5" x14ac:dyDescent="0.3">
      <c r="A736" t="s">
        <v>1746</v>
      </c>
      <c r="B736" t="s">
        <v>856</v>
      </c>
      <c r="C736">
        <v>59</v>
      </c>
      <c r="D736" t="str">
        <f>VLOOKUP(B736,Products!$A:$E,2,FALSE)</f>
        <v>Product_424</v>
      </c>
      <c r="E736" t="str">
        <f>VLOOKUP(B736,Products!$A:$E,3,FALSE)</f>
        <v>Networking</v>
      </c>
    </row>
    <row r="737" spans="1:5" x14ac:dyDescent="0.3">
      <c r="A737" t="s">
        <v>1747</v>
      </c>
      <c r="B737" t="s">
        <v>536</v>
      </c>
      <c r="C737">
        <v>46</v>
      </c>
      <c r="D737" t="str">
        <f>VLOOKUP(B737,Products!$A:$E,2,FALSE)</f>
        <v>Product_264</v>
      </c>
      <c r="E737" t="str">
        <f>VLOOKUP(B737,Products!$A:$E,3,FALSE)</f>
        <v>Electronics</v>
      </c>
    </row>
    <row r="738" spans="1:5" x14ac:dyDescent="0.3">
      <c r="A738" t="s">
        <v>1748</v>
      </c>
      <c r="B738" t="s">
        <v>98</v>
      </c>
      <c r="C738">
        <v>56</v>
      </c>
      <c r="D738" t="str">
        <f>VLOOKUP(B738,Products!$A:$E,2,FALSE)</f>
        <v>Product_45</v>
      </c>
      <c r="E738" t="str">
        <f>VLOOKUP(B738,Products!$A:$E,3,FALSE)</f>
        <v>Accessories</v>
      </c>
    </row>
    <row r="739" spans="1:5" x14ac:dyDescent="0.3">
      <c r="A739" t="s">
        <v>1749</v>
      </c>
      <c r="B739" t="s">
        <v>694</v>
      </c>
      <c r="C739">
        <v>17</v>
      </c>
      <c r="D739" t="str">
        <f>VLOOKUP(B739,Products!$A:$E,2,FALSE)</f>
        <v>Product_343</v>
      </c>
      <c r="E739" t="str">
        <f>VLOOKUP(B739,Products!$A:$E,3,FALSE)</f>
        <v>Office Supplies</v>
      </c>
    </row>
    <row r="740" spans="1:5" x14ac:dyDescent="0.3">
      <c r="A740" t="s">
        <v>1750</v>
      </c>
      <c r="B740" t="s">
        <v>198</v>
      </c>
      <c r="C740">
        <v>22</v>
      </c>
      <c r="D740" t="str">
        <f>VLOOKUP(B740,Products!$A:$E,2,FALSE)</f>
        <v>Product_95</v>
      </c>
      <c r="E740" t="str">
        <f>VLOOKUP(B740,Products!$A:$E,3,FALSE)</f>
        <v>Electronics</v>
      </c>
    </row>
    <row r="741" spans="1:5" x14ac:dyDescent="0.3">
      <c r="A741" t="s">
        <v>1751</v>
      </c>
      <c r="B741" t="s">
        <v>498</v>
      </c>
      <c r="C741">
        <v>46</v>
      </c>
      <c r="D741" t="str">
        <f>VLOOKUP(B741,Products!$A:$E,2,FALSE)</f>
        <v>Product_245</v>
      </c>
      <c r="E741" t="str">
        <f>VLOOKUP(B741,Products!$A:$E,3,FALSE)</f>
        <v>Office Supplies</v>
      </c>
    </row>
    <row r="742" spans="1:5" x14ac:dyDescent="0.3">
      <c r="A742" t="s">
        <v>1752</v>
      </c>
      <c r="B742" t="s">
        <v>968</v>
      </c>
      <c r="C742">
        <v>36</v>
      </c>
      <c r="D742" t="str">
        <f>VLOOKUP(B742,Products!$A:$E,2,FALSE)</f>
        <v>Product_480</v>
      </c>
      <c r="E742" t="str">
        <f>VLOOKUP(B742,Products!$A:$E,3,FALSE)</f>
        <v>Accessories</v>
      </c>
    </row>
    <row r="743" spans="1:5" x14ac:dyDescent="0.3">
      <c r="A743" t="s">
        <v>1753</v>
      </c>
      <c r="B743" t="s">
        <v>14</v>
      </c>
      <c r="C743">
        <v>38</v>
      </c>
      <c r="D743" t="str">
        <f>VLOOKUP(B743,Products!$A:$E,2,FALSE)</f>
        <v>Product_4</v>
      </c>
      <c r="E743" t="str">
        <f>VLOOKUP(B743,Products!$A:$E,3,FALSE)</f>
        <v>Storage</v>
      </c>
    </row>
    <row r="744" spans="1:5" x14ac:dyDescent="0.3">
      <c r="A744" t="s">
        <v>1754</v>
      </c>
      <c r="B744" t="s">
        <v>402</v>
      </c>
      <c r="C744">
        <v>35</v>
      </c>
      <c r="D744" t="str">
        <f>VLOOKUP(B744,Products!$A:$E,2,FALSE)</f>
        <v>Product_197</v>
      </c>
      <c r="E744" t="str">
        <f>VLOOKUP(B744,Products!$A:$E,3,FALSE)</f>
        <v>Electronics</v>
      </c>
    </row>
    <row r="745" spans="1:5" x14ac:dyDescent="0.3">
      <c r="A745" t="s">
        <v>1755</v>
      </c>
      <c r="B745" t="s">
        <v>466</v>
      </c>
      <c r="C745">
        <v>39</v>
      </c>
      <c r="D745" t="str">
        <f>VLOOKUP(B745,Products!$A:$E,2,FALSE)</f>
        <v>Product_229</v>
      </c>
      <c r="E745" t="str">
        <f>VLOOKUP(B745,Products!$A:$E,3,FALSE)</f>
        <v>Accessories</v>
      </c>
    </row>
    <row r="746" spans="1:5" x14ac:dyDescent="0.3">
      <c r="A746" t="s">
        <v>1756</v>
      </c>
      <c r="B746" t="s">
        <v>986</v>
      </c>
      <c r="C746">
        <v>47</v>
      </c>
      <c r="D746" t="str">
        <f>VLOOKUP(B746,Products!$A:$E,2,FALSE)</f>
        <v>Product_489</v>
      </c>
      <c r="E746" t="str">
        <f>VLOOKUP(B746,Products!$A:$E,3,FALSE)</f>
        <v>Networking</v>
      </c>
    </row>
    <row r="747" spans="1:5" x14ac:dyDescent="0.3">
      <c r="A747" t="s">
        <v>1757</v>
      </c>
      <c r="B747" t="s">
        <v>318</v>
      </c>
      <c r="C747">
        <v>79</v>
      </c>
      <c r="D747" t="str">
        <f>VLOOKUP(B747,Products!$A:$E,2,FALSE)</f>
        <v>Product_155</v>
      </c>
      <c r="E747" t="str">
        <f>VLOOKUP(B747,Products!$A:$E,3,FALSE)</f>
        <v>Office Supplies</v>
      </c>
    </row>
    <row r="748" spans="1:5" x14ac:dyDescent="0.3">
      <c r="A748" t="s">
        <v>1758</v>
      </c>
      <c r="B748" t="s">
        <v>750</v>
      </c>
      <c r="C748">
        <v>78</v>
      </c>
      <c r="D748" t="str">
        <f>VLOOKUP(B748,Products!$A:$E,2,FALSE)</f>
        <v>Product_371</v>
      </c>
      <c r="E748" t="str">
        <f>VLOOKUP(B748,Products!$A:$E,3,FALSE)</f>
        <v>Storage</v>
      </c>
    </row>
    <row r="749" spans="1:5" x14ac:dyDescent="0.3">
      <c r="A749" t="s">
        <v>1759</v>
      </c>
      <c r="B749" t="s">
        <v>20</v>
      </c>
      <c r="C749">
        <v>38</v>
      </c>
      <c r="D749" t="str">
        <f>VLOOKUP(B749,Products!$A:$E,2,FALSE)</f>
        <v>Product_6</v>
      </c>
      <c r="E749" t="str">
        <f>VLOOKUP(B749,Products!$A:$E,3,FALSE)</f>
        <v>Electronics</v>
      </c>
    </row>
    <row r="750" spans="1:5" x14ac:dyDescent="0.3">
      <c r="A750" t="s">
        <v>1760</v>
      </c>
      <c r="B750" t="s">
        <v>678</v>
      </c>
      <c r="C750">
        <v>51</v>
      </c>
      <c r="D750" t="str">
        <f>VLOOKUP(B750,Products!$A:$E,2,FALSE)</f>
        <v>Product_335</v>
      </c>
      <c r="E750" t="str">
        <f>VLOOKUP(B750,Products!$A:$E,3,FALSE)</f>
        <v>Networking</v>
      </c>
    </row>
    <row r="751" spans="1:5" x14ac:dyDescent="0.3">
      <c r="A751" t="s">
        <v>1761</v>
      </c>
      <c r="B751" t="s">
        <v>718</v>
      </c>
      <c r="C751">
        <v>35</v>
      </c>
      <c r="D751" t="str">
        <f>VLOOKUP(B751,Products!$A:$E,2,FALSE)</f>
        <v>Product_355</v>
      </c>
      <c r="E751" t="str">
        <f>VLOOKUP(B751,Products!$A:$E,3,FALSE)</f>
        <v>Accessories</v>
      </c>
    </row>
    <row r="752" spans="1:5" x14ac:dyDescent="0.3">
      <c r="A752" t="s">
        <v>1762</v>
      </c>
      <c r="B752" t="s">
        <v>72</v>
      </c>
      <c r="C752">
        <v>90</v>
      </c>
      <c r="D752" t="str">
        <f>VLOOKUP(B752,Products!$A:$E,2,FALSE)</f>
        <v>Product_32</v>
      </c>
      <c r="E752" t="str">
        <f>VLOOKUP(B752,Products!$A:$E,3,FALSE)</f>
        <v>Networking</v>
      </c>
    </row>
    <row r="753" spans="1:5" x14ac:dyDescent="0.3">
      <c r="A753" t="s">
        <v>1763</v>
      </c>
      <c r="B753" t="s">
        <v>130</v>
      </c>
      <c r="C753">
        <v>64</v>
      </c>
      <c r="D753" t="str">
        <f>VLOOKUP(B753,Products!$A:$E,2,FALSE)</f>
        <v>Product_61</v>
      </c>
      <c r="E753" t="str">
        <f>VLOOKUP(B753,Products!$A:$E,3,FALSE)</f>
        <v>Storage</v>
      </c>
    </row>
    <row r="754" spans="1:5" x14ac:dyDescent="0.3">
      <c r="A754" t="s">
        <v>1764</v>
      </c>
      <c r="B754" t="s">
        <v>324</v>
      </c>
      <c r="C754">
        <v>25</v>
      </c>
      <c r="D754" t="str">
        <f>VLOOKUP(B754,Products!$A:$E,2,FALSE)</f>
        <v>Product_158</v>
      </c>
      <c r="E754" t="str">
        <f>VLOOKUP(B754,Products!$A:$E,3,FALSE)</f>
        <v>Electronics</v>
      </c>
    </row>
    <row r="755" spans="1:5" x14ac:dyDescent="0.3">
      <c r="A755" t="s">
        <v>1765</v>
      </c>
      <c r="B755" t="s">
        <v>424</v>
      </c>
      <c r="C755">
        <v>92</v>
      </c>
      <c r="D755" t="str">
        <f>VLOOKUP(B755,Products!$A:$E,2,FALSE)</f>
        <v>Product_208</v>
      </c>
      <c r="E755" t="str">
        <f>VLOOKUP(B755,Products!$A:$E,3,FALSE)</f>
        <v>Electronics</v>
      </c>
    </row>
    <row r="756" spans="1:5" x14ac:dyDescent="0.3">
      <c r="A756" t="s">
        <v>1766</v>
      </c>
      <c r="B756" t="s">
        <v>524</v>
      </c>
      <c r="C756">
        <v>95</v>
      </c>
      <c r="D756" t="str">
        <f>VLOOKUP(B756,Products!$A:$E,2,FALSE)</f>
        <v>Product_258</v>
      </c>
      <c r="E756" t="str">
        <f>VLOOKUP(B756,Products!$A:$E,3,FALSE)</f>
        <v>Networking</v>
      </c>
    </row>
    <row r="757" spans="1:5" x14ac:dyDescent="0.3">
      <c r="A757" t="s">
        <v>1767</v>
      </c>
      <c r="B757" t="s">
        <v>798</v>
      </c>
      <c r="C757">
        <v>44</v>
      </c>
      <c r="D757" t="str">
        <f>VLOOKUP(B757,Products!$A:$E,2,FALSE)</f>
        <v>Product_395</v>
      </c>
      <c r="E757" t="str">
        <f>VLOOKUP(B757,Products!$A:$E,3,FALSE)</f>
        <v>Accessories</v>
      </c>
    </row>
    <row r="758" spans="1:5" x14ac:dyDescent="0.3">
      <c r="A758" t="s">
        <v>1768</v>
      </c>
      <c r="B758" t="s">
        <v>716</v>
      </c>
      <c r="C758">
        <v>20</v>
      </c>
      <c r="D758" t="str">
        <f>VLOOKUP(B758,Products!$A:$E,2,FALSE)</f>
        <v>Product_354</v>
      </c>
      <c r="E758" t="str">
        <f>VLOOKUP(B758,Products!$A:$E,3,FALSE)</f>
        <v>Storage</v>
      </c>
    </row>
    <row r="759" spans="1:5" x14ac:dyDescent="0.3">
      <c r="A759" t="s">
        <v>1769</v>
      </c>
      <c r="B759" t="s">
        <v>664</v>
      </c>
      <c r="C759">
        <v>42</v>
      </c>
      <c r="D759" t="str">
        <f>VLOOKUP(B759,Products!$A:$E,2,FALSE)</f>
        <v>Product_328</v>
      </c>
      <c r="E759" t="str">
        <f>VLOOKUP(B759,Products!$A:$E,3,FALSE)</f>
        <v>Office Supplies</v>
      </c>
    </row>
    <row r="760" spans="1:5" x14ac:dyDescent="0.3">
      <c r="A760" t="s">
        <v>1770</v>
      </c>
      <c r="B760" t="s">
        <v>386</v>
      </c>
      <c r="C760">
        <v>83</v>
      </c>
      <c r="D760" t="str">
        <f>VLOOKUP(B760,Products!$A:$E,2,FALSE)</f>
        <v>Product_189</v>
      </c>
      <c r="E760" t="str">
        <f>VLOOKUP(B760,Products!$A:$E,3,FALSE)</f>
        <v>Electronics</v>
      </c>
    </row>
    <row r="761" spans="1:5" x14ac:dyDescent="0.3">
      <c r="A761" t="s">
        <v>1771</v>
      </c>
      <c r="B761" t="s">
        <v>236</v>
      </c>
      <c r="C761">
        <v>33</v>
      </c>
      <c r="D761" t="str">
        <f>VLOOKUP(B761,Products!$A:$E,2,FALSE)</f>
        <v>Product_114</v>
      </c>
      <c r="E761" t="str">
        <f>VLOOKUP(B761,Products!$A:$E,3,FALSE)</f>
        <v>Electronics</v>
      </c>
    </row>
    <row r="762" spans="1:5" x14ac:dyDescent="0.3">
      <c r="A762" t="s">
        <v>1772</v>
      </c>
      <c r="B762" t="s">
        <v>990</v>
      </c>
      <c r="C762">
        <v>22</v>
      </c>
      <c r="D762" t="str">
        <f>VLOOKUP(B762,Products!$A:$E,2,FALSE)</f>
        <v>Product_491</v>
      </c>
      <c r="E762" t="str">
        <f>VLOOKUP(B762,Products!$A:$E,3,FALSE)</f>
        <v>Accessories</v>
      </c>
    </row>
    <row r="763" spans="1:5" x14ac:dyDescent="0.3">
      <c r="A763" t="s">
        <v>1773</v>
      </c>
      <c r="B763" t="s">
        <v>498</v>
      </c>
      <c r="C763">
        <v>24</v>
      </c>
      <c r="D763" t="str">
        <f>VLOOKUP(B763,Products!$A:$E,2,FALSE)</f>
        <v>Product_245</v>
      </c>
      <c r="E763" t="str">
        <f>VLOOKUP(B763,Products!$A:$E,3,FALSE)</f>
        <v>Office Supplies</v>
      </c>
    </row>
    <row r="764" spans="1:5" x14ac:dyDescent="0.3">
      <c r="A764" t="s">
        <v>1774</v>
      </c>
      <c r="B764" t="s">
        <v>474</v>
      </c>
      <c r="C764">
        <v>100</v>
      </c>
      <c r="D764" t="str">
        <f>VLOOKUP(B764,Products!$A:$E,2,FALSE)</f>
        <v>Product_233</v>
      </c>
      <c r="E764" t="str">
        <f>VLOOKUP(B764,Products!$A:$E,3,FALSE)</f>
        <v>Accessories</v>
      </c>
    </row>
    <row r="765" spans="1:5" x14ac:dyDescent="0.3">
      <c r="A765" t="s">
        <v>1775</v>
      </c>
      <c r="B765" t="s">
        <v>630</v>
      </c>
      <c r="C765">
        <v>52</v>
      </c>
      <c r="D765" t="str">
        <f>VLOOKUP(B765,Products!$A:$E,2,FALSE)</f>
        <v>Product_311</v>
      </c>
      <c r="E765" t="str">
        <f>VLOOKUP(B765,Products!$A:$E,3,FALSE)</f>
        <v>Networking</v>
      </c>
    </row>
    <row r="766" spans="1:5" x14ac:dyDescent="0.3">
      <c r="A766" t="s">
        <v>1776</v>
      </c>
      <c r="B766" t="s">
        <v>434</v>
      </c>
      <c r="C766">
        <v>94</v>
      </c>
      <c r="D766" t="str">
        <f>VLOOKUP(B766,Products!$A:$E,2,FALSE)</f>
        <v>Product_213</v>
      </c>
      <c r="E766" t="str">
        <f>VLOOKUP(B766,Products!$A:$E,3,FALSE)</f>
        <v>Accessories</v>
      </c>
    </row>
    <row r="767" spans="1:5" x14ac:dyDescent="0.3">
      <c r="A767" t="s">
        <v>1777</v>
      </c>
      <c r="B767" t="s">
        <v>572</v>
      </c>
      <c r="C767">
        <v>65</v>
      </c>
      <c r="D767" t="str">
        <f>VLOOKUP(B767,Products!$A:$E,2,FALSE)</f>
        <v>Product_282</v>
      </c>
      <c r="E767" t="str">
        <f>VLOOKUP(B767,Products!$A:$E,3,FALSE)</f>
        <v>Networking</v>
      </c>
    </row>
    <row r="768" spans="1:5" x14ac:dyDescent="0.3">
      <c r="A768" t="s">
        <v>1778</v>
      </c>
      <c r="B768" t="s">
        <v>784</v>
      </c>
      <c r="C768">
        <v>73</v>
      </c>
      <c r="D768" t="str">
        <f>VLOOKUP(B768,Products!$A:$E,2,FALSE)</f>
        <v>Product_388</v>
      </c>
      <c r="E768" t="str">
        <f>VLOOKUP(B768,Products!$A:$E,3,FALSE)</f>
        <v>Office Supplies</v>
      </c>
    </row>
    <row r="769" spans="1:5" x14ac:dyDescent="0.3">
      <c r="A769" t="s">
        <v>1779</v>
      </c>
      <c r="B769" t="s">
        <v>830</v>
      </c>
      <c r="C769">
        <v>90</v>
      </c>
      <c r="D769" t="str">
        <f>VLOOKUP(B769,Products!$A:$E,2,FALSE)</f>
        <v>Product_411</v>
      </c>
      <c r="E769" t="str">
        <f>VLOOKUP(B769,Products!$A:$E,3,FALSE)</f>
        <v>Office Supplies</v>
      </c>
    </row>
    <row r="770" spans="1:5" x14ac:dyDescent="0.3">
      <c r="A770" t="s">
        <v>1780</v>
      </c>
      <c r="B770" t="s">
        <v>854</v>
      </c>
      <c r="C770">
        <v>32</v>
      </c>
      <c r="D770" t="str">
        <f>VLOOKUP(B770,Products!$A:$E,2,FALSE)</f>
        <v>Product_423</v>
      </c>
      <c r="E770" t="str">
        <f>VLOOKUP(B770,Products!$A:$E,3,FALSE)</f>
        <v>Office Supplies</v>
      </c>
    </row>
    <row r="771" spans="1:5" x14ac:dyDescent="0.3">
      <c r="A771" t="s">
        <v>1781</v>
      </c>
      <c r="B771" t="s">
        <v>790</v>
      </c>
      <c r="C771">
        <v>36</v>
      </c>
      <c r="D771" t="str">
        <f>VLOOKUP(B771,Products!$A:$E,2,FALSE)</f>
        <v>Product_391</v>
      </c>
      <c r="E771" t="str">
        <f>VLOOKUP(B771,Products!$A:$E,3,FALSE)</f>
        <v>Accessories</v>
      </c>
    </row>
    <row r="772" spans="1:5" x14ac:dyDescent="0.3">
      <c r="A772" t="s">
        <v>1782</v>
      </c>
      <c r="B772" t="s">
        <v>706</v>
      </c>
      <c r="C772">
        <v>81</v>
      </c>
      <c r="D772" t="str">
        <f>VLOOKUP(B772,Products!$A:$E,2,FALSE)</f>
        <v>Product_349</v>
      </c>
      <c r="E772" t="str">
        <f>VLOOKUP(B772,Products!$A:$E,3,FALSE)</f>
        <v>Office Supplies</v>
      </c>
    </row>
    <row r="773" spans="1:5" x14ac:dyDescent="0.3">
      <c r="A773" t="s">
        <v>1783</v>
      </c>
      <c r="B773" t="s">
        <v>904</v>
      </c>
      <c r="C773">
        <v>15</v>
      </c>
      <c r="D773" t="str">
        <f>VLOOKUP(B773,Products!$A:$E,2,FALSE)</f>
        <v>Product_448</v>
      </c>
      <c r="E773" t="str">
        <f>VLOOKUP(B773,Products!$A:$E,3,FALSE)</f>
        <v>Networking</v>
      </c>
    </row>
    <row r="774" spans="1:5" x14ac:dyDescent="0.3">
      <c r="A774" t="s">
        <v>1784</v>
      </c>
      <c r="B774" t="s">
        <v>548</v>
      </c>
      <c r="C774">
        <v>62</v>
      </c>
      <c r="D774" t="str">
        <f>VLOOKUP(B774,Products!$A:$E,2,FALSE)</f>
        <v>Product_270</v>
      </c>
      <c r="E774" t="str">
        <f>VLOOKUP(B774,Products!$A:$E,3,FALSE)</f>
        <v>Electronics</v>
      </c>
    </row>
    <row r="775" spans="1:5" x14ac:dyDescent="0.3">
      <c r="A775" t="s">
        <v>1785</v>
      </c>
      <c r="B775" t="s">
        <v>550</v>
      </c>
      <c r="C775">
        <v>95</v>
      </c>
      <c r="D775" t="str">
        <f>VLOOKUP(B775,Products!$A:$E,2,FALSE)</f>
        <v>Product_271</v>
      </c>
      <c r="E775" t="str">
        <f>VLOOKUP(B775,Products!$A:$E,3,FALSE)</f>
        <v>Electronics</v>
      </c>
    </row>
    <row r="776" spans="1:5" x14ac:dyDescent="0.3">
      <c r="A776" t="s">
        <v>1786</v>
      </c>
      <c r="B776" t="s">
        <v>380</v>
      </c>
      <c r="C776">
        <v>14</v>
      </c>
      <c r="D776" t="str">
        <f>VLOOKUP(B776,Products!$A:$E,2,FALSE)</f>
        <v>Product_186</v>
      </c>
      <c r="E776" t="str">
        <f>VLOOKUP(B776,Products!$A:$E,3,FALSE)</f>
        <v>Accessories</v>
      </c>
    </row>
    <row r="777" spans="1:5" x14ac:dyDescent="0.3">
      <c r="A777" t="s">
        <v>1787</v>
      </c>
      <c r="B777" t="s">
        <v>948</v>
      </c>
      <c r="C777">
        <v>77</v>
      </c>
      <c r="D777" t="str">
        <f>VLOOKUP(B777,Products!$A:$E,2,FALSE)</f>
        <v>Product_470</v>
      </c>
      <c r="E777" t="str">
        <f>VLOOKUP(B777,Products!$A:$E,3,FALSE)</f>
        <v>Networking</v>
      </c>
    </row>
    <row r="778" spans="1:5" x14ac:dyDescent="0.3">
      <c r="A778" t="s">
        <v>1788</v>
      </c>
      <c r="B778" t="s">
        <v>124</v>
      </c>
      <c r="C778">
        <v>12</v>
      </c>
      <c r="D778" t="str">
        <f>VLOOKUP(B778,Products!$A:$E,2,FALSE)</f>
        <v>Product_58</v>
      </c>
      <c r="E778" t="str">
        <f>VLOOKUP(B778,Products!$A:$E,3,FALSE)</f>
        <v>Office Supplies</v>
      </c>
    </row>
    <row r="779" spans="1:5" x14ac:dyDescent="0.3">
      <c r="A779" t="s">
        <v>1789</v>
      </c>
      <c r="B779" t="s">
        <v>858</v>
      </c>
      <c r="C779">
        <v>75</v>
      </c>
      <c r="D779" t="str">
        <f>VLOOKUP(B779,Products!$A:$E,2,FALSE)</f>
        <v>Product_425</v>
      </c>
      <c r="E779" t="str">
        <f>VLOOKUP(B779,Products!$A:$E,3,FALSE)</f>
        <v>Office Supplies</v>
      </c>
    </row>
    <row r="780" spans="1:5" x14ac:dyDescent="0.3">
      <c r="A780" t="s">
        <v>1790</v>
      </c>
      <c r="B780" t="s">
        <v>934</v>
      </c>
      <c r="C780">
        <v>69</v>
      </c>
      <c r="D780" t="str">
        <f>VLOOKUP(B780,Products!$A:$E,2,FALSE)</f>
        <v>Product_463</v>
      </c>
      <c r="E780" t="str">
        <f>VLOOKUP(B780,Products!$A:$E,3,FALSE)</f>
        <v>Networking</v>
      </c>
    </row>
    <row r="781" spans="1:5" x14ac:dyDescent="0.3">
      <c r="A781" t="s">
        <v>1791</v>
      </c>
      <c r="B781" t="s">
        <v>216</v>
      </c>
      <c r="C781">
        <v>78</v>
      </c>
      <c r="D781" t="str">
        <f>VLOOKUP(B781,Products!$A:$E,2,FALSE)</f>
        <v>Product_104</v>
      </c>
      <c r="E781" t="str">
        <f>VLOOKUP(B781,Products!$A:$E,3,FALSE)</f>
        <v>Networking</v>
      </c>
    </row>
    <row r="782" spans="1:5" x14ac:dyDescent="0.3">
      <c r="A782" t="s">
        <v>1792</v>
      </c>
      <c r="B782" t="s">
        <v>558</v>
      </c>
      <c r="C782">
        <v>24</v>
      </c>
      <c r="D782" t="str">
        <f>VLOOKUP(B782,Products!$A:$E,2,FALSE)</f>
        <v>Product_275</v>
      </c>
      <c r="E782" t="str">
        <f>VLOOKUP(B782,Products!$A:$E,3,FALSE)</f>
        <v>Accessories</v>
      </c>
    </row>
    <row r="783" spans="1:5" x14ac:dyDescent="0.3">
      <c r="A783" t="s">
        <v>1793</v>
      </c>
      <c r="B783" t="s">
        <v>178</v>
      </c>
      <c r="C783">
        <v>46</v>
      </c>
      <c r="D783" t="str">
        <f>VLOOKUP(B783,Products!$A:$E,2,FALSE)</f>
        <v>Product_85</v>
      </c>
      <c r="E783" t="str">
        <f>VLOOKUP(B783,Products!$A:$E,3,FALSE)</f>
        <v>Electronics</v>
      </c>
    </row>
    <row r="784" spans="1:5" x14ac:dyDescent="0.3">
      <c r="A784" t="s">
        <v>1794</v>
      </c>
      <c r="B784" t="s">
        <v>884</v>
      </c>
      <c r="C784">
        <v>71</v>
      </c>
      <c r="D784" t="str">
        <f>VLOOKUP(B784,Products!$A:$E,2,FALSE)</f>
        <v>Product_438</v>
      </c>
      <c r="E784" t="str">
        <f>VLOOKUP(B784,Products!$A:$E,3,FALSE)</f>
        <v>Electronics</v>
      </c>
    </row>
    <row r="785" spans="1:5" x14ac:dyDescent="0.3">
      <c r="A785" t="s">
        <v>1795</v>
      </c>
      <c r="B785" t="s">
        <v>462</v>
      </c>
      <c r="C785">
        <v>19</v>
      </c>
      <c r="D785" t="str">
        <f>VLOOKUP(B785,Products!$A:$E,2,FALSE)</f>
        <v>Product_227</v>
      </c>
      <c r="E785" t="str">
        <f>VLOOKUP(B785,Products!$A:$E,3,FALSE)</f>
        <v>Accessories</v>
      </c>
    </row>
    <row r="786" spans="1:5" x14ac:dyDescent="0.3">
      <c r="A786" t="s">
        <v>1796</v>
      </c>
      <c r="B786" t="s">
        <v>706</v>
      </c>
      <c r="C786">
        <v>31</v>
      </c>
      <c r="D786" t="str">
        <f>VLOOKUP(B786,Products!$A:$E,2,FALSE)</f>
        <v>Product_349</v>
      </c>
      <c r="E786" t="str">
        <f>VLOOKUP(B786,Products!$A:$E,3,FALSE)</f>
        <v>Office Supplies</v>
      </c>
    </row>
    <row r="787" spans="1:5" x14ac:dyDescent="0.3">
      <c r="A787" t="s">
        <v>1797</v>
      </c>
      <c r="B787" t="s">
        <v>744</v>
      </c>
      <c r="C787">
        <v>79</v>
      </c>
      <c r="D787" t="str">
        <f>VLOOKUP(B787,Products!$A:$E,2,FALSE)</f>
        <v>Product_368</v>
      </c>
      <c r="E787" t="str">
        <f>VLOOKUP(B787,Products!$A:$E,3,FALSE)</f>
        <v>Office Supplies</v>
      </c>
    </row>
    <row r="788" spans="1:5" x14ac:dyDescent="0.3">
      <c r="A788" t="s">
        <v>1798</v>
      </c>
      <c r="B788" t="s">
        <v>510</v>
      </c>
      <c r="C788">
        <v>16</v>
      </c>
      <c r="D788" t="str">
        <f>VLOOKUP(B788,Products!$A:$E,2,FALSE)</f>
        <v>Product_251</v>
      </c>
      <c r="E788" t="str">
        <f>VLOOKUP(B788,Products!$A:$E,3,FALSE)</f>
        <v>Electronics</v>
      </c>
    </row>
    <row r="789" spans="1:5" x14ac:dyDescent="0.3">
      <c r="A789" t="s">
        <v>1799</v>
      </c>
      <c r="B789" t="s">
        <v>930</v>
      </c>
      <c r="C789">
        <v>70</v>
      </c>
      <c r="D789" t="str">
        <f>VLOOKUP(B789,Products!$A:$E,2,FALSE)</f>
        <v>Product_461</v>
      </c>
      <c r="E789" t="str">
        <f>VLOOKUP(B789,Products!$A:$E,3,FALSE)</f>
        <v>Accessories</v>
      </c>
    </row>
    <row r="790" spans="1:5" x14ac:dyDescent="0.3">
      <c r="A790" t="s">
        <v>1800</v>
      </c>
      <c r="B790" t="s">
        <v>466</v>
      </c>
      <c r="C790">
        <v>12</v>
      </c>
      <c r="D790" t="str">
        <f>VLOOKUP(B790,Products!$A:$E,2,FALSE)</f>
        <v>Product_229</v>
      </c>
      <c r="E790" t="str">
        <f>VLOOKUP(B790,Products!$A:$E,3,FALSE)</f>
        <v>Accessories</v>
      </c>
    </row>
    <row r="791" spans="1:5" x14ac:dyDescent="0.3">
      <c r="A791" t="s">
        <v>1801</v>
      </c>
      <c r="B791" t="s">
        <v>474</v>
      </c>
      <c r="C791">
        <v>21</v>
      </c>
      <c r="D791" t="str">
        <f>VLOOKUP(B791,Products!$A:$E,2,FALSE)</f>
        <v>Product_233</v>
      </c>
      <c r="E791" t="str">
        <f>VLOOKUP(B791,Products!$A:$E,3,FALSE)</f>
        <v>Accessories</v>
      </c>
    </row>
    <row r="792" spans="1:5" x14ac:dyDescent="0.3">
      <c r="A792" t="s">
        <v>1802</v>
      </c>
      <c r="B792" t="s">
        <v>534</v>
      </c>
      <c r="C792">
        <v>58</v>
      </c>
      <c r="D792" t="str">
        <f>VLOOKUP(B792,Products!$A:$E,2,FALSE)</f>
        <v>Product_263</v>
      </c>
      <c r="E792" t="str">
        <f>VLOOKUP(B792,Products!$A:$E,3,FALSE)</f>
        <v>Accessories</v>
      </c>
    </row>
    <row r="793" spans="1:5" x14ac:dyDescent="0.3">
      <c r="A793" t="s">
        <v>1803</v>
      </c>
      <c r="B793" t="s">
        <v>476</v>
      </c>
      <c r="C793">
        <v>77</v>
      </c>
      <c r="D793" t="str">
        <f>VLOOKUP(B793,Products!$A:$E,2,FALSE)</f>
        <v>Product_234</v>
      </c>
      <c r="E793" t="str">
        <f>VLOOKUP(B793,Products!$A:$E,3,FALSE)</f>
        <v>Networking</v>
      </c>
    </row>
    <row r="794" spans="1:5" x14ac:dyDescent="0.3">
      <c r="A794" t="s">
        <v>1804</v>
      </c>
      <c r="B794" t="s">
        <v>68</v>
      </c>
      <c r="C794">
        <v>76</v>
      </c>
      <c r="D794" t="str">
        <f>VLOOKUP(B794,Products!$A:$E,2,FALSE)</f>
        <v>Product_30</v>
      </c>
      <c r="E794" t="str">
        <f>VLOOKUP(B794,Products!$A:$E,3,FALSE)</f>
        <v>Accessories</v>
      </c>
    </row>
    <row r="795" spans="1:5" x14ac:dyDescent="0.3">
      <c r="A795" t="s">
        <v>1805</v>
      </c>
      <c r="B795" t="s">
        <v>482</v>
      </c>
      <c r="C795">
        <v>91</v>
      </c>
      <c r="D795" t="str">
        <f>VLOOKUP(B795,Products!$A:$E,2,FALSE)</f>
        <v>Product_237</v>
      </c>
      <c r="E795" t="str">
        <f>VLOOKUP(B795,Products!$A:$E,3,FALSE)</f>
        <v>Networking</v>
      </c>
    </row>
    <row r="796" spans="1:5" x14ac:dyDescent="0.3">
      <c r="A796" t="s">
        <v>1806</v>
      </c>
      <c r="B796" t="s">
        <v>836</v>
      </c>
      <c r="C796">
        <v>44</v>
      </c>
      <c r="D796" t="str">
        <f>VLOOKUP(B796,Products!$A:$E,2,FALSE)</f>
        <v>Product_414</v>
      </c>
      <c r="E796" t="str">
        <f>VLOOKUP(B796,Products!$A:$E,3,FALSE)</f>
        <v>Office Supplies</v>
      </c>
    </row>
    <row r="797" spans="1:5" x14ac:dyDescent="0.3">
      <c r="A797" t="s">
        <v>1807</v>
      </c>
      <c r="B797" t="s">
        <v>750</v>
      </c>
      <c r="C797">
        <v>7</v>
      </c>
      <c r="D797" t="str">
        <f>VLOOKUP(B797,Products!$A:$E,2,FALSE)</f>
        <v>Product_371</v>
      </c>
      <c r="E797" t="str">
        <f>VLOOKUP(B797,Products!$A:$E,3,FALSE)</f>
        <v>Storage</v>
      </c>
    </row>
    <row r="798" spans="1:5" x14ac:dyDescent="0.3">
      <c r="A798" t="s">
        <v>1808</v>
      </c>
      <c r="B798" t="s">
        <v>414</v>
      </c>
      <c r="C798">
        <v>37</v>
      </c>
      <c r="D798" t="str">
        <f>VLOOKUP(B798,Products!$A:$E,2,FALSE)</f>
        <v>Product_203</v>
      </c>
      <c r="E798" t="str">
        <f>VLOOKUP(B798,Products!$A:$E,3,FALSE)</f>
        <v>Accessories</v>
      </c>
    </row>
    <row r="799" spans="1:5" x14ac:dyDescent="0.3">
      <c r="A799" t="s">
        <v>1809</v>
      </c>
      <c r="B799" t="s">
        <v>846</v>
      </c>
      <c r="C799">
        <v>5</v>
      </c>
      <c r="D799" t="str">
        <f>VLOOKUP(B799,Products!$A:$E,2,FALSE)</f>
        <v>Product_419</v>
      </c>
      <c r="E799" t="str">
        <f>VLOOKUP(B799,Products!$A:$E,3,FALSE)</f>
        <v>Networking</v>
      </c>
    </row>
    <row r="800" spans="1:5" x14ac:dyDescent="0.3">
      <c r="A800" t="s">
        <v>1810</v>
      </c>
      <c r="B800" t="s">
        <v>772</v>
      </c>
      <c r="C800">
        <v>32</v>
      </c>
      <c r="D800" t="str">
        <f>VLOOKUP(B800,Products!$A:$E,2,FALSE)</f>
        <v>Product_382</v>
      </c>
      <c r="E800" t="str">
        <f>VLOOKUP(B800,Products!$A:$E,3,FALSE)</f>
        <v>Storage</v>
      </c>
    </row>
    <row r="801" spans="1:5" x14ac:dyDescent="0.3">
      <c r="A801" t="s">
        <v>1811</v>
      </c>
      <c r="B801" t="s">
        <v>602</v>
      </c>
      <c r="C801">
        <v>14</v>
      </c>
      <c r="D801" t="str">
        <f>VLOOKUP(B801,Products!$A:$E,2,FALSE)</f>
        <v>Product_297</v>
      </c>
      <c r="E801" t="str">
        <f>VLOOKUP(B801,Products!$A:$E,3,FALSE)</f>
        <v>Storage</v>
      </c>
    </row>
    <row r="802" spans="1:5" x14ac:dyDescent="0.3">
      <c r="A802" t="s">
        <v>1812</v>
      </c>
      <c r="B802" t="s">
        <v>56</v>
      </c>
      <c r="C802">
        <v>59</v>
      </c>
      <c r="D802" t="str">
        <f>VLOOKUP(B802,Products!$A:$E,2,FALSE)</f>
        <v>Product_24</v>
      </c>
      <c r="E802" t="str">
        <f>VLOOKUP(B802,Products!$A:$E,3,FALSE)</f>
        <v>Accessories</v>
      </c>
    </row>
    <row r="803" spans="1:5" x14ac:dyDescent="0.3">
      <c r="A803" t="s">
        <v>1813</v>
      </c>
      <c r="B803" t="s">
        <v>362</v>
      </c>
      <c r="C803">
        <v>94</v>
      </c>
      <c r="D803" t="str">
        <f>VLOOKUP(B803,Products!$A:$E,2,FALSE)</f>
        <v>Product_177</v>
      </c>
      <c r="E803" t="str">
        <f>VLOOKUP(B803,Products!$A:$E,3,FALSE)</f>
        <v>Office Supplies</v>
      </c>
    </row>
    <row r="804" spans="1:5" x14ac:dyDescent="0.3">
      <c r="A804" t="s">
        <v>1814</v>
      </c>
      <c r="B804" t="s">
        <v>74</v>
      </c>
      <c r="C804">
        <v>74</v>
      </c>
      <c r="D804" t="str">
        <f>VLOOKUP(B804,Products!$A:$E,2,FALSE)</f>
        <v>Product_33</v>
      </c>
      <c r="E804" t="str">
        <f>VLOOKUP(B804,Products!$A:$E,3,FALSE)</f>
        <v>Storage</v>
      </c>
    </row>
    <row r="805" spans="1:5" x14ac:dyDescent="0.3">
      <c r="A805" t="s">
        <v>1815</v>
      </c>
      <c r="B805" t="s">
        <v>70</v>
      </c>
      <c r="C805">
        <v>13</v>
      </c>
      <c r="D805" t="str">
        <f>VLOOKUP(B805,Products!$A:$E,2,FALSE)</f>
        <v>Product_31</v>
      </c>
      <c r="E805" t="str">
        <f>VLOOKUP(B805,Products!$A:$E,3,FALSE)</f>
        <v>Accessories</v>
      </c>
    </row>
    <row r="806" spans="1:5" x14ac:dyDescent="0.3">
      <c r="A806" t="s">
        <v>1816</v>
      </c>
      <c r="B806" t="s">
        <v>966</v>
      </c>
      <c r="C806">
        <v>65</v>
      </c>
      <c r="D806" t="str">
        <f>VLOOKUP(B806,Products!$A:$E,2,FALSE)</f>
        <v>Product_479</v>
      </c>
      <c r="E806" t="str">
        <f>VLOOKUP(B806,Products!$A:$E,3,FALSE)</f>
        <v>Office Supplies</v>
      </c>
    </row>
    <row r="807" spans="1:5" x14ac:dyDescent="0.3">
      <c r="A807" t="s">
        <v>1817</v>
      </c>
      <c r="B807" t="s">
        <v>42</v>
      </c>
      <c r="C807">
        <v>41</v>
      </c>
      <c r="D807" t="str">
        <f>VLOOKUP(B807,Products!$A:$E,2,FALSE)</f>
        <v>Product_17</v>
      </c>
      <c r="E807" t="str">
        <f>VLOOKUP(B807,Products!$A:$E,3,FALSE)</f>
        <v>Office Supplies</v>
      </c>
    </row>
    <row r="808" spans="1:5" x14ac:dyDescent="0.3">
      <c r="A808" t="s">
        <v>1818</v>
      </c>
      <c r="B808" t="s">
        <v>428</v>
      </c>
      <c r="C808">
        <v>28</v>
      </c>
      <c r="D808" t="str">
        <f>VLOOKUP(B808,Products!$A:$E,2,FALSE)</f>
        <v>Product_210</v>
      </c>
      <c r="E808" t="str">
        <f>VLOOKUP(B808,Products!$A:$E,3,FALSE)</f>
        <v>Electronics</v>
      </c>
    </row>
    <row r="809" spans="1:5" x14ac:dyDescent="0.3">
      <c r="A809" t="s">
        <v>1819</v>
      </c>
      <c r="B809" t="s">
        <v>796</v>
      </c>
      <c r="C809">
        <v>22</v>
      </c>
      <c r="D809" t="str">
        <f>VLOOKUP(B809,Products!$A:$E,2,FALSE)</f>
        <v>Product_394</v>
      </c>
      <c r="E809" t="str">
        <f>VLOOKUP(B809,Products!$A:$E,3,FALSE)</f>
        <v>Electronics</v>
      </c>
    </row>
    <row r="810" spans="1:5" x14ac:dyDescent="0.3">
      <c r="A810" t="s">
        <v>1820</v>
      </c>
      <c r="B810" t="s">
        <v>794</v>
      </c>
      <c r="C810">
        <v>87</v>
      </c>
      <c r="D810" t="str">
        <f>VLOOKUP(B810,Products!$A:$E,2,FALSE)</f>
        <v>Product_393</v>
      </c>
      <c r="E810" t="str">
        <f>VLOOKUP(B810,Products!$A:$E,3,FALSE)</f>
        <v>Electronics</v>
      </c>
    </row>
    <row r="811" spans="1:5" x14ac:dyDescent="0.3">
      <c r="A811" t="s">
        <v>1821</v>
      </c>
      <c r="B811" t="s">
        <v>756</v>
      </c>
      <c r="C811">
        <v>87</v>
      </c>
      <c r="D811" t="str">
        <f>VLOOKUP(B811,Products!$A:$E,2,FALSE)</f>
        <v>Product_374</v>
      </c>
      <c r="E811" t="str">
        <f>VLOOKUP(B811,Products!$A:$E,3,FALSE)</f>
        <v>Office Supplies</v>
      </c>
    </row>
    <row r="812" spans="1:5" x14ac:dyDescent="0.3">
      <c r="A812" t="s">
        <v>1822</v>
      </c>
      <c r="B812" t="s">
        <v>996</v>
      </c>
      <c r="C812">
        <v>58</v>
      </c>
      <c r="D812" t="str">
        <f>VLOOKUP(B812,Products!$A:$E,2,FALSE)</f>
        <v>Product_494</v>
      </c>
      <c r="E812" t="str">
        <f>VLOOKUP(B812,Products!$A:$E,3,FALSE)</f>
        <v>Office Supplies</v>
      </c>
    </row>
    <row r="813" spans="1:5" x14ac:dyDescent="0.3">
      <c r="A813" t="s">
        <v>1823</v>
      </c>
      <c r="B813" t="s">
        <v>392</v>
      </c>
      <c r="C813">
        <v>53</v>
      </c>
      <c r="D813" t="str">
        <f>VLOOKUP(B813,Products!$A:$E,2,FALSE)</f>
        <v>Product_192</v>
      </c>
      <c r="E813" t="str">
        <f>VLOOKUP(B813,Products!$A:$E,3,FALSE)</f>
        <v>Office Supplies</v>
      </c>
    </row>
    <row r="814" spans="1:5" x14ac:dyDescent="0.3">
      <c r="A814" t="s">
        <v>1824</v>
      </c>
      <c r="B814" t="s">
        <v>468</v>
      </c>
      <c r="C814">
        <v>53</v>
      </c>
      <c r="D814" t="str">
        <f>VLOOKUP(B814,Products!$A:$E,2,FALSE)</f>
        <v>Product_230</v>
      </c>
      <c r="E814" t="str">
        <f>VLOOKUP(B814,Products!$A:$E,3,FALSE)</f>
        <v>Electronics</v>
      </c>
    </row>
    <row r="815" spans="1:5" x14ac:dyDescent="0.3">
      <c r="A815" t="s">
        <v>1825</v>
      </c>
      <c r="B815" t="s">
        <v>394</v>
      </c>
      <c r="C815">
        <v>15</v>
      </c>
      <c r="D815" t="str">
        <f>VLOOKUP(B815,Products!$A:$E,2,FALSE)</f>
        <v>Product_193</v>
      </c>
      <c r="E815" t="str">
        <f>VLOOKUP(B815,Products!$A:$E,3,FALSE)</f>
        <v>Accessories</v>
      </c>
    </row>
    <row r="816" spans="1:5" x14ac:dyDescent="0.3">
      <c r="A816" t="s">
        <v>1826</v>
      </c>
      <c r="B816" t="s">
        <v>708</v>
      </c>
      <c r="C816">
        <v>89</v>
      </c>
      <c r="D816" t="str">
        <f>VLOOKUP(B816,Products!$A:$E,2,FALSE)</f>
        <v>Product_350</v>
      </c>
      <c r="E816" t="str">
        <f>VLOOKUP(B816,Products!$A:$E,3,FALSE)</f>
        <v>Networking</v>
      </c>
    </row>
    <row r="817" spans="1:5" x14ac:dyDescent="0.3">
      <c r="A817" t="s">
        <v>1827</v>
      </c>
      <c r="B817" t="s">
        <v>904</v>
      </c>
      <c r="C817">
        <v>74</v>
      </c>
      <c r="D817" t="str">
        <f>VLOOKUP(B817,Products!$A:$E,2,FALSE)</f>
        <v>Product_448</v>
      </c>
      <c r="E817" t="str">
        <f>VLOOKUP(B817,Products!$A:$E,3,FALSE)</f>
        <v>Networking</v>
      </c>
    </row>
    <row r="818" spans="1:5" x14ac:dyDescent="0.3">
      <c r="A818" t="s">
        <v>1828</v>
      </c>
      <c r="B818" t="s">
        <v>146</v>
      </c>
      <c r="C818">
        <v>88</v>
      </c>
      <c r="D818" t="str">
        <f>VLOOKUP(B818,Products!$A:$E,2,FALSE)</f>
        <v>Product_69</v>
      </c>
      <c r="E818" t="str">
        <f>VLOOKUP(B818,Products!$A:$E,3,FALSE)</f>
        <v>Electronics</v>
      </c>
    </row>
    <row r="819" spans="1:5" x14ac:dyDescent="0.3">
      <c r="A819" t="s">
        <v>1829</v>
      </c>
      <c r="B819" t="s">
        <v>890</v>
      </c>
      <c r="C819">
        <v>49</v>
      </c>
      <c r="D819" t="str">
        <f>VLOOKUP(B819,Products!$A:$E,2,FALSE)</f>
        <v>Product_441</v>
      </c>
      <c r="E819" t="str">
        <f>VLOOKUP(B819,Products!$A:$E,3,FALSE)</f>
        <v>Storage</v>
      </c>
    </row>
    <row r="820" spans="1:5" x14ac:dyDescent="0.3">
      <c r="A820" t="s">
        <v>1830</v>
      </c>
      <c r="B820" t="s">
        <v>130</v>
      </c>
      <c r="C820">
        <v>27</v>
      </c>
      <c r="D820" t="str">
        <f>VLOOKUP(B820,Products!$A:$E,2,FALSE)</f>
        <v>Product_61</v>
      </c>
      <c r="E820" t="str">
        <f>VLOOKUP(B820,Products!$A:$E,3,FALSE)</f>
        <v>Storage</v>
      </c>
    </row>
    <row r="821" spans="1:5" x14ac:dyDescent="0.3">
      <c r="A821" t="s">
        <v>1831</v>
      </c>
      <c r="B821" t="s">
        <v>560</v>
      </c>
      <c r="C821">
        <v>55</v>
      </c>
      <c r="D821" t="str">
        <f>VLOOKUP(B821,Products!$A:$E,2,FALSE)</f>
        <v>Product_276</v>
      </c>
      <c r="E821" t="str">
        <f>VLOOKUP(B821,Products!$A:$E,3,FALSE)</f>
        <v>Office Supplies</v>
      </c>
    </row>
    <row r="822" spans="1:5" x14ac:dyDescent="0.3">
      <c r="A822" t="s">
        <v>1832</v>
      </c>
      <c r="B822" t="s">
        <v>550</v>
      </c>
      <c r="C822">
        <v>21</v>
      </c>
      <c r="D822" t="str">
        <f>VLOOKUP(B822,Products!$A:$E,2,FALSE)</f>
        <v>Product_271</v>
      </c>
      <c r="E822" t="str">
        <f>VLOOKUP(B822,Products!$A:$E,3,FALSE)</f>
        <v>Electronics</v>
      </c>
    </row>
    <row r="823" spans="1:5" x14ac:dyDescent="0.3">
      <c r="A823" t="s">
        <v>1833</v>
      </c>
      <c r="B823" t="s">
        <v>754</v>
      </c>
      <c r="C823">
        <v>33</v>
      </c>
      <c r="D823" t="str">
        <f>VLOOKUP(B823,Products!$A:$E,2,FALSE)</f>
        <v>Product_373</v>
      </c>
      <c r="E823" t="str">
        <f>VLOOKUP(B823,Products!$A:$E,3,FALSE)</f>
        <v>Office Supplies</v>
      </c>
    </row>
    <row r="824" spans="1:5" x14ac:dyDescent="0.3">
      <c r="A824" t="s">
        <v>1834</v>
      </c>
      <c r="B824" t="s">
        <v>864</v>
      </c>
      <c r="C824">
        <v>5</v>
      </c>
      <c r="D824" t="str">
        <f>VLOOKUP(B824,Products!$A:$E,2,FALSE)</f>
        <v>Product_428</v>
      </c>
      <c r="E824" t="str">
        <f>VLOOKUP(B824,Products!$A:$E,3,FALSE)</f>
        <v>Storage</v>
      </c>
    </row>
    <row r="825" spans="1:5" x14ac:dyDescent="0.3">
      <c r="A825" t="s">
        <v>1835</v>
      </c>
      <c r="B825" t="s">
        <v>784</v>
      </c>
      <c r="C825">
        <v>7</v>
      </c>
      <c r="D825" t="str">
        <f>VLOOKUP(B825,Products!$A:$E,2,FALSE)</f>
        <v>Product_388</v>
      </c>
      <c r="E825" t="str">
        <f>VLOOKUP(B825,Products!$A:$E,3,FALSE)</f>
        <v>Office Supplies</v>
      </c>
    </row>
    <row r="826" spans="1:5" x14ac:dyDescent="0.3">
      <c r="A826" t="s">
        <v>1836</v>
      </c>
      <c r="B826" t="s">
        <v>314</v>
      </c>
      <c r="C826">
        <v>64</v>
      </c>
      <c r="D826" t="str">
        <f>VLOOKUP(B826,Products!$A:$E,2,FALSE)</f>
        <v>Product_153</v>
      </c>
      <c r="E826" t="str">
        <f>VLOOKUP(B826,Products!$A:$E,3,FALSE)</f>
        <v>Electronics</v>
      </c>
    </row>
    <row r="827" spans="1:5" x14ac:dyDescent="0.3">
      <c r="A827" t="s">
        <v>1837</v>
      </c>
      <c r="B827" t="s">
        <v>698</v>
      </c>
      <c r="C827">
        <v>97</v>
      </c>
      <c r="D827" t="str">
        <f>VLOOKUP(B827,Products!$A:$E,2,FALSE)</f>
        <v>Product_345</v>
      </c>
      <c r="E827" t="str">
        <f>VLOOKUP(B827,Products!$A:$E,3,FALSE)</f>
        <v>Storage</v>
      </c>
    </row>
    <row r="828" spans="1:5" x14ac:dyDescent="0.3">
      <c r="A828" t="s">
        <v>1838</v>
      </c>
      <c r="B828" t="s">
        <v>566</v>
      </c>
      <c r="C828">
        <v>59</v>
      </c>
      <c r="D828" t="str">
        <f>VLOOKUP(B828,Products!$A:$E,2,FALSE)</f>
        <v>Product_279</v>
      </c>
      <c r="E828" t="str">
        <f>VLOOKUP(B828,Products!$A:$E,3,FALSE)</f>
        <v>Networking</v>
      </c>
    </row>
    <row r="829" spans="1:5" x14ac:dyDescent="0.3">
      <c r="A829" t="s">
        <v>1839</v>
      </c>
      <c r="B829" t="s">
        <v>554</v>
      </c>
      <c r="C829">
        <v>53</v>
      </c>
      <c r="D829" t="str">
        <f>VLOOKUP(B829,Products!$A:$E,2,FALSE)</f>
        <v>Product_273</v>
      </c>
      <c r="E829" t="str">
        <f>VLOOKUP(B829,Products!$A:$E,3,FALSE)</f>
        <v>Networking</v>
      </c>
    </row>
    <row r="830" spans="1:5" x14ac:dyDescent="0.3">
      <c r="A830" t="s">
        <v>1840</v>
      </c>
      <c r="B830" t="s">
        <v>852</v>
      </c>
      <c r="C830">
        <v>34</v>
      </c>
      <c r="D830" t="str">
        <f>VLOOKUP(B830,Products!$A:$E,2,FALSE)</f>
        <v>Product_422</v>
      </c>
      <c r="E830" t="str">
        <f>VLOOKUP(B830,Products!$A:$E,3,FALSE)</f>
        <v>Accessories</v>
      </c>
    </row>
    <row r="831" spans="1:5" x14ac:dyDescent="0.3">
      <c r="A831" t="s">
        <v>1841</v>
      </c>
      <c r="B831" t="s">
        <v>262</v>
      </c>
      <c r="C831">
        <v>63</v>
      </c>
      <c r="D831" t="str">
        <f>VLOOKUP(B831,Products!$A:$E,2,FALSE)</f>
        <v>Product_127</v>
      </c>
      <c r="E831" t="str">
        <f>VLOOKUP(B831,Products!$A:$E,3,FALSE)</f>
        <v>Networking</v>
      </c>
    </row>
    <row r="832" spans="1:5" x14ac:dyDescent="0.3">
      <c r="A832" t="s">
        <v>1842</v>
      </c>
      <c r="B832" t="s">
        <v>364</v>
      </c>
      <c r="C832">
        <v>24</v>
      </c>
      <c r="D832" t="str">
        <f>VLOOKUP(B832,Products!$A:$E,2,FALSE)</f>
        <v>Product_178</v>
      </c>
      <c r="E832" t="str">
        <f>VLOOKUP(B832,Products!$A:$E,3,FALSE)</f>
        <v>Office Supplies</v>
      </c>
    </row>
    <row r="833" spans="1:5" x14ac:dyDescent="0.3">
      <c r="A833" t="s">
        <v>1843</v>
      </c>
      <c r="B833" t="s">
        <v>292</v>
      </c>
      <c r="C833">
        <v>29</v>
      </c>
      <c r="D833" t="str">
        <f>VLOOKUP(B833,Products!$A:$E,2,FALSE)</f>
        <v>Product_142</v>
      </c>
      <c r="E833" t="str">
        <f>VLOOKUP(B833,Products!$A:$E,3,FALSE)</f>
        <v>Storage</v>
      </c>
    </row>
    <row r="834" spans="1:5" x14ac:dyDescent="0.3">
      <c r="A834" t="s">
        <v>1844</v>
      </c>
      <c r="B834" t="s">
        <v>968</v>
      </c>
      <c r="C834">
        <v>97</v>
      </c>
      <c r="D834" t="str">
        <f>VLOOKUP(B834,Products!$A:$E,2,FALSE)</f>
        <v>Product_480</v>
      </c>
      <c r="E834" t="str">
        <f>VLOOKUP(B834,Products!$A:$E,3,FALSE)</f>
        <v>Accessories</v>
      </c>
    </row>
    <row r="835" spans="1:5" x14ac:dyDescent="0.3">
      <c r="A835" t="s">
        <v>1845</v>
      </c>
      <c r="B835" t="s">
        <v>792</v>
      </c>
      <c r="C835">
        <v>19</v>
      </c>
      <c r="D835" t="str">
        <f>VLOOKUP(B835,Products!$A:$E,2,FALSE)</f>
        <v>Product_392</v>
      </c>
      <c r="E835" t="str">
        <f>VLOOKUP(B835,Products!$A:$E,3,FALSE)</f>
        <v>Electronics</v>
      </c>
    </row>
    <row r="836" spans="1:5" x14ac:dyDescent="0.3">
      <c r="A836" t="s">
        <v>1846</v>
      </c>
      <c r="B836" t="s">
        <v>42</v>
      </c>
      <c r="C836">
        <v>89</v>
      </c>
      <c r="D836" t="str">
        <f>VLOOKUP(B836,Products!$A:$E,2,FALSE)</f>
        <v>Product_17</v>
      </c>
      <c r="E836" t="str">
        <f>VLOOKUP(B836,Products!$A:$E,3,FALSE)</f>
        <v>Office Supplies</v>
      </c>
    </row>
    <row r="837" spans="1:5" x14ac:dyDescent="0.3">
      <c r="A837" t="s">
        <v>1847</v>
      </c>
      <c r="B837" t="s">
        <v>438</v>
      </c>
      <c r="C837">
        <v>83</v>
      </c>
      <c r="D837" t="str">
        <f>VLOOKUP(B837,Products!$A:$E,2,FALSE)</f>
        <v>Product_215</v>
      </c>
      <c r="E837" t="str">
        <f>VLOOKUP(B837,Products!$A:$E,3,FALSE)</f>
        <v>Electronics</v>
      </c>
    </row>
    <row r="838" spans="1:5" x14ac:dyDescent="0.3">
      <c r="A838" t="s">
        <v>1848</v>
      </c>
      <c r="B838" t="s">
        <v>794</v>
      </c>
      <c r="C838">
        <v>7</v>
      </c>
      <c r="D838" t="str">
        <f>VLOOKUP(B838,Products!$A:$E,2,FALSE)</f>
        <v>Product_393</v>
      </c>
      <c r="E838" t="str">
        <f>VLOOKUP(B838,Products!$A:$E,3,FALSE)</f>
        <v>Electronics</v>
      </c>
    </row>
    <row r="839" spans="1:5" x14ac:dyDescent="0.3">
      <c r="A839" t="s">
        <v>1849</v>
      </c>
      <c r="B839" t="s">
        <v>256</v>
      </c>
      <c r="C839">
        <v>31</v>
      </c>
      <c r="D839" t="str">
        <f>VLOOKUP(B839,Products!$A:$E,2,FALSE)</f>
        <v>Product_124</v>
      </c>
      <c r="E839" t="str">
        <f>VLOOKUP(B839,Products!$A:$E,3,FALSE)</f>
        <v>Storage</v>
      </c>
    </row>
    <row r="840" spans="1:5" x14ac:dyDescent="0.3">
      <c r="A840" t="s">
        <v>1850</v>
      </c>
      <c r="B840" t="s">
        <v>78</v>
      </c>
      <c r="C840">
        <v>17</v>
      </c>
      <c r="D840" t="str">
        <f>VLOOKUP(B840,Products!$A:$E,2,FALSE)</f>
        <v>Product_35</v>
      </c>
      <c r="E840" t="str">
        <f>VLOOKUP(B840,Products!$A:$E,3,FALSE)</f>
        <v>Electronics</v>
      </c>
    </row>
    <row r="841" spans="1:5" x14ac:dyDescent="0.3">
      <c r="A841" t="s">
        <v>1851</v>
      </c>
      <c r="B841" t="s">
        <v>618</v>
      </c>
      <c r="C841">
        <v>9</v>
      </c>
      <c r="D841" t="str">
        <f>VLOOKUP(B841,Products!$A:$E,2,FALSE)</f>
        <v>Product_305</v>
      </c>
      <c r="E841" t="str">
        <f>VLOOKUP(B841,Products!$A:$E,3,FALSE)</f>
        <v>Accessories</v>
      </c>
    </row>
    <row r="842" spans="1:5" x14ac:dyDescent="0.3">
      <c r="A842" t="s">
        <v>1852</v>
      </c>
      <c r="B842" t="s">
        <v>466</v>
      </c>
      <c r="C842">
        <v>81</v>
      </c>
      <c r="D842" t="str">
        <f>VLOOKUP(B842,Products!$A:$E,2,FALSE)</f>
        <v>Product_229</v>
      </c>
      <c r="E842" t="str">
        <f>VLOOKUP(B842,Products!$A:$E,3,FALSE)</f>
        <v>Accessories</v>
      </c>
    </row>
    <row r="843" spans="1:5" x14ac:dyDescent="0.3">
      <c r="A843" t="s">
        <v>1853</v>
      </c>
      <c r="B843" t="s">
        <v>698</v>
      </c>
      <c r="C843">
        <v>95</v>
      </c>
      <c r="D843" t="str">
        <f>VLOOKUP(B843,Products!$A:$E,2,FALSE)</f>
        <v>Product_345</v>
      </c>
      <c r="E843" t="str">
        <f>VLOOKUP(B843,Products!$A:$E,3,FALSE)</f>
        <v>Storage</v>
      </c>
    </row>
    <row r="844" spans="1:5" x14ac:dyDescent="0.3">
      <c r="A844" t="s">
        <v>1854</v>
      </c>
      <c r="B844" t="s">
        <v>902</v>
      </c>
      <c r="C844">
        <v>11</v>
      </c>
      <c r="D844" t="str">
        <f>VLOOKUP(B844,Products!$A:$E,2,FALSE)</f>
        <v>Product_447</v>
      </c>
      <c r="E844" t="str">
        <f>VLOOKUP(B844,Products!$A:$E,3,FALSE)</f>
        <v>Office Supplies</v>
      </c>
    </row>
    <row r="845" spans="1:5" x14ac:dyDescent="0.3">
      <c r="A845" t="s">
        <v>1855</v>
      </c>
      <c r="B845" t="s">
        <v>260</v>
      </c>
      <c r="C845">
        <v>99</v>
      </c>
      <c r="D845" t="str">
        <f>VLOOKUP(B845,Products!$A:$E,2,FALSE)</f>
        <v>Product_126</v>
      </c>
      <c r="E845" t="str">
        <f>VLOOKUP(B845,Products!$A:$E,3,FALSE)</f>
        <v>Office Supplies</v>
      </c>
    </row>
    <row r="846" spans="1:5" x14ac:dyDescent="0.3">
      <c r="A846" t="s">
        <v>1856</v>
      </c>
      <c r="B846" t="s">
        <v>54</v>
      </c>
      <c r="C846">
        <v>56</v>
      </c>
      <c r="D846" t="str">
        <f>VLOOKUP(B846,Products!$A:$E,2,FALSE)</f>
        <v>Product_23</v>
      </c>
      <c r="E846" t="str">
        <f>VLOOKUP(B846,Products!$A:$E,3,FALSE)</f>
        <v>Accessories</v>
      </c>
    </row>
    <row r="847" spans="1:5" x14ac:dyDescent="0.3">
      <c r="A847" t="s">
        <v>1857</v>
      </c>
      <c r="B847" t="s">
        <v>458</v>
      </c>
      <c r="C847">
        <v>34</v>
      </c>
      <c r="D847" t="str">
        <f>VLOOKUP(B847,Products!$A:$E,2,FALSE)</f>
        <v>Product_225</v>
      </c>
      <c r="E847" t="str">
        <f>VLOOKUP(B847,Products!$A:$E,3,FALSE)</f>
        <v>Accessories</v>
      </c>
    </row>
    <row r="848" spans="1:5" x14ac:dyDescent="0.3">
      <c r="A848" t="s">
        <v>1858</v>
      </c>
      <c r="B848" t="s">
        <v>562</v>
      </c>
      <c r="C848">
        <v>32</v>
      </c>
      <c r="D848" t="str">
        <f>VLOOKUP(B848,Products!$A:$E,2,FALSE)</f>
        <v>Product_277</v>
      </c>
      <c r="E848" t="str">
        <f>VLOOKUP(B848,Products!$A:$E,3,FALSE)</f>
        <v>Electronics</v>
      </c>
    </row>
    <row r="849" spans="1:5" x14ac:dyDescent="0.3">
      <c r="A849" t="s">
        <v>1859</v>
      </c>
      <c r="B849" t="s">
        <v>782</v>
      </c>
      <c r="C849">
        <v>12</v>
      </c>
      <c r="D849" t="str">
        <f>VLOOKUP(B849,Products!$A:$E,2,FALSE)</f>
        <v>Product_387</v>
      </c>
      <c r="E849" t="str">
        <f>VLOOKUP(B849,Products!$A:$E,3,FALSE)</f>
        <v>Storage</v>
      </c>
    </row>
    <row r="850" spans="1:5" x14ac:dyDescent="0.3">
      <c r="A850" t="s">
        <v>1860</v>
      </c>
      <c r="B850" t="s">
        <v>152</v>
      </c>
      <c r="C850">
        <v>69</v>
      </c>
      <c r="D850" t="str">
        <f>VLOOKUP(B850,Products!$A:$E,2,FALSE)</f>
        <v>Product_72</v>
      </c>
      <c r="E850" t="str">
        <f>VLOOKUP(B850,Products!$A:$E,3,FALSE)</f>
        <v>Networking</v>
      </c>
    </row>
    <row r="851" spans="1:5" x14ac:dyDescent="0.3">
      <c r="A851" t="s">
        <v>1861</v>
      </c>
      <c r="B851" t="s">
        <v>306</v>
      </c>
      <c r="C851">
        <v>34</v>
      </c>
      <c r="D851" t="str">
        <f>VLOOKUP(B851,Products!$A:$E,2,FALSE)</f>
        <v>Product_149</v>
      </c>
      <c r="E851" t="str">
        <f>VLOOKUP(B851,Products!$A:$E,3,FALSE)</f>
        <v>Accessories</v>
      </c>
    </row>
    <row r="852" spans="1:5" x14ac:dyDescent="0.3">
      <c r="A852" t="s">
        <v>1862</v>
      </c>
      <c r="B852" t="s">
        <v>844</v>
      </c>
      <c r="C852">
        <v>98</v>
      </c>
      <c r="D852" t="str">
        <f>VLOOKUP(B852,Products!$A:$E,2,FALSE)</f>
        <v>Product_418</v>
      </c>
      <c r="E852" t="str">
        <f>VLOOKUP(B852,Products!$A:$E,3,FALSE)</f>
        <v>Office Supplies</v>
      </c>
    </row>
    <row r="853" spans="1:5" x14ac:dyDescent="0.3">
      <c r="A853" t="s">
        <v>1863</v>
      </c>
      <c r="B853" t="s">
        <v>598</v>
      </c>
      <c r="C853">
        <v>45</v>
      </c>
      <c r="D853" t="str">
        <f>VLOOKUP(B853,Products!$A:$E,2,FALSE)</f>
        <v>Product_295</v>
      </c>
      <c r="E853" t="str">
        <f>VLOOKUP(B853,Products!$A:$E,3,FALSE)</f>
        <v>Networking</v>
      </c>
    </row>
    <row r="854" spans="1:5" x14ac:dyDescent="0.3">
      <c r="A854" t="s">
        <v>1864</v>
      </c>
      <c r="B854" t="s">
        <v>600</v>
      </c>
      <c r="C854">
        <v>81</v>
      </c>
      <c r="D854" t="str">
        <f>VLOOKUP(B854,Products!$A:$E,2,FALSE)</f>
        <v>Product_296</v>
      </c>
      <c r="E854" t="str">
        <f>VLOOKUP(B854,Products!$A:$E,3,FALSE)</f>
        <v>Office Supplies</v>
      </c>
    </row>
    <row r="855" spans="1:5" x14ac:dyDescent="0.3">
      <c r="A855" t="s">
        <v>1865</v>
      </c>
      <c r="B855" t="s">
        <v>800</v>
      </c>
      <c r="C855">
        <v>91</v>
      </c>
      <c r="D855" t="str">
        <f>VLOOKUP(B855,Products!$A:$E,2,FALSE)</f>
        <v>Product_396</v>
      </c>
      <c r="E855" t="str">
        <f>VLOOKUP(B855,Products!$A:$E,3,FALSE)</f>
        <v>Office Supplies</v>
      </c>
    </row>
    <row r="856" spans="1:5" x14ac:dyDescent="0.3">
      <c r="A856" t="s">
        <v>1866</v>
      </c>
      <c r="B856" t="s">
        <v>848</v>
      </c>
      <c r="C856">
        <v>46</v>
      </c>
      <c r="D856" t="str">
        <f>VLOOKUP(B856,Products!$A:$E,2,FALSE)</f>
        <v>Product_420</v>
      </c>
      <c r="E856" t="str">
        <f>VLOOKUP(B856,Products!$A:$E,3,FALSE)</f>
        <v>Networking</v>
      </c>
    </row>
    <row r="857" spans="1:5" x14ac:dyDescent="0.3">
      <c r="A857" t="s">
        <v>1867</v>
      </c>
      <c r="B857" t="s">
        <v>252</v>
      </c>
      <c r="C857">
        <v>43</v>
      </c>
      <c r="D857" t="str">
        <f>VLOOKUP(B857,Products!$A:$E,2,FALSE)</f>
        <v>Product_122</v>
      </c>
      <c r="E857" t="str">
        <f>VLOOKUP(B857,Products!$A:$E,3,FALSE)</f>
        <v>Storage</v>
      </c>
    </row>
    <row r="858" spans="1:5" x14ac:dyDescent="0.3">
      <c r="A858" t="s">
        <v>1868</v>
      </c>
      <c r="B858" t="s">
        <v>906</v>
      </c>
      <c r="C858">
        <v>23</v>
      </c>
      <c r="D858" t="str">
        <f>VLOOKUP(B858,Products!$A:$E,2,FALSE)</f>
        <v>Product_449</v>
      </c>
      <c r="E858" t="str">
        <f>VLOOKUP(B858,Products!$A:$E,3,FALSE)</f>
        <v>Networking</v>
      </c>
    </row>
    <row r="859" spans="1:5" x14ac:dyDescent="0.3">
      <c r="A859" t="s">
        <v>1869</v>
      </c>
      <c r="B859" t="s">
        <v>686</v>
      </c>
      <c r="C859">
        <v>71</v>
      </c>
      <c r="D859" t="str">
        <f>VLOOKUP(B859,Products!$A:$E,2,FALSE)</f>
        <v>Product_339</v>
      </c>
      <c r="E859" t="str">
        <f>VLOOKUP(B859,Products!$A:$E,3,FALSE)</f>
        <v>Storage</v>
      </c>
    </row>
    <row r="860" spans="1:5" x14ac:dyDescent="0.3">
      <c r="A860" t="s">
        <v>1870</v>
      </c>
      <c r="B860" t="s">
        <v>236</v>
      </c>
      <c r="C860">
        <v>57</v>
      </c>
      <c r="D860" t="str">
        <f>VLOOKUP(B860,Products!$A:$E,2,FALSE)</f>
        <v>Product_114</v>
      </c>
      <c r="E860" t="str">
        <f>VLOOKUP(B860,Products!$A:$E,3,FALSE)</f>
        <v>Electronics</v>
      </c>
    </row>
    <row r="861" spans="1:5" x14ac:dyDescent="0.3">
      <c r="A861" t="s">
        <v>1871</v>
      </c>
      <c r="B861" t="s">
        <v>316</v>
      </c>
      <c r="C861">
        <v>40</v>
      </c>
      <c r="D861" t="str">
        <f>VLOOKUP(B861,Products!$A:$E,2,FALSE)</f>
        <v>Product_154</v>
      </c>
      <c r="E861" t="str">
        <f>VLOOKUP(B861,Products!$A:$E,3,FALSE)</f>
        <v>Accessories</v>
      </c>
    </row>
    <row r="862" spans="1:5" x14ac:dyDescent="0.3">
      <c r="A862" t="s">
        <v>1872</v>
      </c>
      <c r="B862" t="s">
        <v>72</v>
      </c>
      <c r="C862">
        <v>76</v>
      </c>
      <c r="D862" t="str">
        <f>VLOOKUP(B862,Products!$A:$E,2,FALSE)</f>
        <v>Product_32</v>
      </c>
      <c r="E862" t="str">
        <f>VLOOKUP(B862,Products!$A:$E,3,FALSE)</f>
        <v>Networking</v>
      </c>
    </row>
    <row r="863" spans="1:5" x14ac:dyDescent="0.3">
      <c r="A863" t="s">
        <v>1873</v>
      </c>
      <c r="B863" t="s">
        <v>980</v>
      </c>
      <c r="C863">
        <v>80</v>
      </c>
      <c r="D863" t="str">
        <f>VLOOKUP(B863,Products!$A:$E,2,FALSE)</f>
        <v>Product_486</v>
      </c>
      <c r="E863" t="str">
        <f>VLOOKUP(B863,Products!$A:$E,3,FALSE)</f>
        <v>Electronics</v>
      </c>
    </row>
    <row r="864" spans="1:5" x14ac:dyDescent="0.3">
      <c r="A864" t="s">
        <v>1874</v>
      </c>
      <c r="B864" t="s">
        <v>910</v>
      </c>
      <c r="C864">
        <v>99</v>
      </c>
      <c r="D864" t="str">
        <f>VLOOKUP(B864,Products!$A:$E,2,FALSE)</f>
        <v>Product_451</v>
      </c>
      <c r="E864" t="str">
        <f>VLOOKUP(B864,Products!$A:$E,3,FALSE)</f>
        <v>Accessories</v>
      </c>
    </row>
    <row r="865" spans="1:5" x14ac:dyDescent="0.3">
      <c r="A865" t="s">
        <v>1875</v>
      </c>
      <c r="B865" t="s">
        <v>942</v>
      </c>
      <c r="C865">
        <v>27</v>
      </c>
      <c r="D865" t="str">
        <f>VLOOKUP(B865,Products!$A:$E,2,FALSE)</f>
        <v>Product_467</v>
      </c>
      <c r="E865" t="str">
        <f>VLOOKUP(B865,Products!$A:$E,3,FALSE)</f>
        <v>Accessories</v>
      </c>
    </row>
    <row r="866" spans="1:5" x14ac:dyDescent="0.3">
      <c r="A866" t="s">
        <v>1876</v>
      </c>
      <c r="B866" t="s">
        <v>650</v>
      </c>
      <c r="C866">
        <v>91</v>
      </c>
      <c r="D866" t="str">
        <f>VLOOKUP(B866,Products!$A:$E,2,FALSE)</f>
        <v>Product_321</v>
      </c>
      <c r="E866" t="str">
        <f>VLOOKUP(B866,Products!$A:$E,3,FALSE)</f>
        <v>Electronics</v>
      </c>
    </row>
    <row r="867" spans="1:5" x14ac:dyDescent="0.3">
      <c r="A867" t="s">
        <v>1877</v>
      </c>
      <c r="B867" t="s">
        <v>446</v>
      </c>
      <c r="C867">
        <v>76</v>
      </c>
      <c r="D867" t="str">
        <f>VLOOKUP(B867,Products!$A:$E,2,FALSE)</f>
        <v>Product_219</v>
      </c>
      <c r="E867" t="str">
        <f>VLOOKUP(B867,Products!$A:$E,3,FALSE)</f>
        <v>Accessories</v>
      </c>
    </row>
    <row r="868" spans="1:5" x14ac:dyDescent="0.3">
      <c r="A868" t="s">
        <v>1878</v>
      </c>
      <c r="B868" t="s">
        <v>516</v>
      </c>
      <c r="C868">
        <v>11</v>
      </c>
      <c r="D868" t="str">
        <f>VLOOKUP(B868,Products!$A:$E,2,FALSE)</f>
        <v>Product_254</v>
      </c>
      <c r="E868" t="str">
        <f>VLOOKUP(B868,Products!$A:$E,3,FALSE)</f>
        <v>Office Supplies</v>
      </c>
    </row>
    <row r="869" spans="1:5" x14ac:dyDescent="0.3">
      <c r="A869" t="s">
        <v>1879</v>
      </c>
      <c r="B869" t="s">
        <v>1004</v>
      </c>
      <c r="C869">
        <v>49</v>
      </c>
      <c r="D869" t="str">
        <f>VLOOKUP(B869,Products!$A:$E,2,FALSE)</f>
        <v>Product_498</v>
      </c>
      <c r="E869" t="str">
        <f>VLOOKUP(B869,Products!$A:$E,3,FALSE)</f>
        <v>Office Supplies</v>
      </c>
    </row>
    <row r="870" spans="1:5" x14ac:dyDescent="0.3">
      <c r="A870" t="s">
        <v>1880</v>
      </c>
      <c r="B870" t="s">
        <v>974</v>
      </c>
      <c r="C870">
        <v>87</v>
      </c>
      <c r="D870" t="str">
        <f>VLOOKUP(B870,Products!$A:$E,2,FALSE)</f>
        <v>Product_483</v>
      </c>
      <c r="E870" t="str">
        <f>VLOOKUP(B870,Products!$A:$E,3,FALSE)</f>
        <v>Electronics</v>
      </c>
    </row>
    <row r="871" spans="1:5" x14ac:dyDescent="0.3">
      <c r="A871" t="s">
        <v>1881</v>
      </c>
      <c r="B871" t="s">
        <v>696</v>
      </c>
      <c r="C871">
        <v>53</v>
      </c>
      <c r="D871" t="str">
        <f>VLOOKUP(B871,Products!$A:$E,2,FALSE)</f>
        <v>Product_344</v>
      </c>
      <c r="E871" t="str">
        <f>VLOOKUP(B871,Products!$A:$E,3,FALSE)</f>
        <v>Accessories</v>
      </c>
    </row>
    <row r="872" spans="1:5" x14ac:dyDescent="0.3">
      <c r="A872" t="s">
        <v>1882</v>
      </c>
      <c r="B872" t="s">
        <v>814</v>
      </c>
      <c r="C872">
        <v>72</v>
      </c>
      <c r="D872" t="str">
        <f>VLOOKUP(B872,Products!$A:$E,2,FALSE)</f>
        <v>Product_403</v>
      </c>
      <c r="E872" t="str">
        <f>VLOOKUP(B872,Products!$A:$E,3,FALSE)</f>
        <v>Networking</v>
      </c>
    </row>
    <row r="873" spans="1:5" x14ac:dyDescent="0.3">
      <c r="A873" t="s">
        <v>1883</v>
      </c>
      <c r="B873" t="s">
        <v>336</v>
      </c>
      <c r="C873">
        <v>94</v>
      </c>
      <c r="D873" t="str">
        <f>VLOOKUP(B873,Products!$A:$E,2,FALSE)</f>
        <v>Product_164</v>
      </c>
      <c r="E873" t="str">
        <f>VLOOKUP(B873,Products!$A:$E,3,FALSE)</f>
        <v>Networking</v>
      </c>
    </row>
    <row r="874" spans="1:5" x14ac:dyDescent="0.3">
      <c r="A874" t="s">
        <v>1884</v>
      </c>
      <c r="B874" t="s">
        <v>436</v>
      </c>
      <c r="C874">
        <v>57</v>
      </c>
      <c r="D874" t="str">
        <f>VLOOKUP(B874,Products!$A:$E,2,FALSE)</f>
        <v>Product_214</v>
      </c>
      <c r="E874" t="str">
        <f>VLOOKUP(B874,Products!$A:$E,3,FALSE)</f>
        <v>Electronics</v>
      </c>
    </row>
    <row r="875" spans="1:5" x14ac:dyDescent="0.3">
      <c r="A875" t="s">
        <v>1885</v>
      </c>
      <c r="B875" t="s">
        <v>162</v>
      </c>
      <c r="C875">
        <v>43</v>
      </c>
      <c r="D875" t="str">
        <f>VLOOKUP(B875,Products!$A:$E,2,FALSE)</f>
        <v>Product_77</v>
      </c>
      <c r="E875" t="str">
        <f>VLOOKUP(B875,Products!$A:$E,3,FALSE)</f>
        <v>Networking</v>
      </c>
    </row>
    <row r="876" spans="1:5" x14ac:dyDescent="0.3">
      <c r="A876" t="s">
        <v>1886</v>
      </c>
      <c r="B876" t="s">
        <v>394</v>
      </c>
      <c r="C876">
        <v>28</v>
      </c>
      <c r="D876" t="str">
        <f>VLOOKUP(B876,Products!$A:$E,2,FALSE)</f>
        <v>Product_193</v>
      </c>
      <c r="E876" t="str">
        <f>VLOOKUP(B876,Products!$A:$E,3,FALSE)</f>
        <v>Accessories</v>
      </c>
    </row>
    <row r="877" spans="1:5" x14ac:dyDescent="0.3">
      <c r="A877" t="s">
        <v>1887</v>
      </c>
      <c r="B877" t="s">
        <v>782</v>
      </c>
      <c r="C877">
        <v>73</v>
      </c>
      <c r="D877" t="str">
        <f>VLOOKUP(B877,Products!$A:$E,2,FALSE)</f>
        <v>Product_387</v>
      </c>
      <c r="E877" t="str">
        <f>VLOOKUP(B877,Products!$A:$E,3,FALSE)</f>
        <v>Storage</v>
      </c>
    </row>
    <row r="878" spans="1:5" x14ac:dyDescent="0.3">
      <c r="A878" t="s">
        <v>1888</v>
      </c>
      <c r="B878" t="s">
        <v>494</v>
      </c>
      <c r="C878">
        <v>35</v>
      </c>
      <c r="D878" t="str">
        <f>VLOOKUP(B878,Products!$A:$E,2,FALSE)</f>
        <v>Product_243</v>
      </c>
      <c r="E878" t="str">
        <f>VLOOKUP(B878,Products!$A:$E,3,FALSE)</f>
        <v>Storage</v>
      </c>
    </row>
    <row r="879" spans="1:5" x14ac:dyDescent="0.3">
      <c r="A879" t="s">
        <v>1889</v>
      </c>
      <c r="B879" t="s">
        <v>878</v>
      </c>
      <c r="C879">
        <v>33</v>
      </c>
      <c r="D879" t="str">
        <f>VLOOKUP(B879,Products!$A:$E,2,FALSE)</f>
        <v>Product_435</v>
      </c>
      <c r="E879" t="str">
        <f>VLOOKUP(B879,Products!$A:$E,3,FALSE)</f>
        <v>Accessories</v>
      </c>
    </row>
    <row r="880" spans="1:5" x14ac:dyDescent="0.3">
      <c r="A880" t="s">
        <v>1890</v>
      </c>
      <c r="B880" t="s">
        <v>316</v>
      </c>
      <c r="C880">
        <v>95</v>
      </c>
      <c r="D880" t="str">
        <f>VLOOKUP(B880,Products!$A:$E,2,FALSE)</f>
        <v>Product_154</v>
      </c>
      <c r="E880" t="str">
        <f>VLOOKUP(B880,Products!$A:$E,3,FALSE)</f>
        <v>Accessories</v>
      </c>
    </row>
    <row r="881" spans="1:5" x14ac:dyDescent="0.3">
      <c r="A881" t="s">
        <v>1891</v>
      </c>
      <c r="B881" t="s">
        <v>156</v>
      </c>
      <c r="C881">
        <v>64</v>
      </c>
      <c r="D881" t="str">
        <f>VLOOKUP(B881,Products!$A:$E,2,FALSE)</f>
        <v>Product_74</v>
      </c>
      <c r="E881" t="str">
        <f>VLOOKUP(B881,Products!$A:$E,3,FALSE)</f>
        <v>Storage</v>
      </c>
    </row>
    <row r="882" spans="1:5" x14ac:dyDescent="0.3">
      <c r="A882" t="s">
        <v>1892</v>
      </c>
      <c r="B882" t="s">
        <v>946</v>
      </c>
      <c r="C882">
        <v>12</v>
      </c>
      <c r="D882" t="str">
        <f>VLOOKUP(B882,Products!$A:$E,2,FALSE)</f>
        <v>Product_469</v>
      </c>
      <c r="E882" t="str">
        <f>VLOOKUP(B882,Products!$A:$E,3,FALSE)</f>
        <v>Office Supplies</v>
      </c>
    </row>
    <row r="883" spans="1:5" x14ac:dyDescent="0.3">
      <c r="A883" t="s">
        <v>1893</v>
      </c>
      <c r="B883" t="s">
        <v>584</v>
      </c>
      <c r="C883">
        <v>57</v>
      </c>
      <c r="D883" t="str">
        <f>VLOOKUP(B883,Products!$A:$E,2,FALSE)</f>
        <v>Product_288</v>
      </c>
      <c r="E883" t="str">
        <f>VLOOKUP(B883,Products!$A:$E,3,FALSE)</f>
        <v>Networking</v>
      </c>
    </row>
    <row r="884" spans="1:5" x14ac:dyDescent="0.3">
      <c r="A884" t="s">
        <v>1894</v>
      </c>
      <c r="B884" t="s">
        <v>1000</v>
      </c>
      <c r="C884">
        <v>58</v>
      </c>
      <c r="D884" t="str">
        <f>VLOOKUP(B884,Products!$A:$E,2,FALSE)</f>
        <v>Product_496</v>
      </c>
      <c r="E884" t="str">
        <f>VLOOKUP(B884,Products!$A:$E,3,FALSE)</f>
        <v>Office Supplies</v>
      </c>
    </row>
    <row r="885" spans="1:5" x14ac:dyDescent="0.3">
      <c r="A885" t="s">
        <v>1895</v>
      </c>
      <c r="B885" t="s">
        <v>580</v>
      </c>
      <c r="C885">
        <v>72</v>
      </c>
      <c r="D885" t="str">
        <f>VLOOKUP(B885,Products!$A:$E,2,FALSE)</f>
        <v>Product_286</v>
      </c>
      <c r="E885" t="str">
        <f>VLOOKUP(B885,Products!$A:$E,3,FALSE)</f>
        <v>Storage</v>
      </c>
    </row>
    <row r="886" spans="1:5" x14ac:dyDescent="0.3">
      <c r="A886" t="s">
        <v>1896</v>
      </c>
      <c r="B886" t="s">
        <v>146</v>
      </c>
      <c r="C886">
        <v>54</v>
      </c>
      <c r="D886" t="str">
        <f>VLOOKUP(B886,Products!$A:$E,2,FALSE)</f>
        <v>Product_69</v>
      </c>
      <c r="E886" t="str">
        <f>VLOOKUP(B886,Products!$A:$E,3,FALSE)</f>
        <v>Electronics</v>
      </c>
    </row>
    <row r="887" spans="1:5" x14ac:dyDescent="0.3">
      <c r="A887" t="s">
        <v>1897</v>
      </c>
      <c r="B887" t="s">
        <v>258</v>
      </c>
      <c r="C887">
        <v>37</v>
      </c>
      <c r="D887" t="str">
        <f>VLOOKUP(B887,Products!$A:$E,2,FALSE)</f>
        <v>Product_125</v>
      </c>
      <c r="E887" t="str">
        <f>VLOOKUP(B887,Products!$A:$E,3,FALSE)</f>
        <v>Office Supplies</v>
      </c>
    </row>
    <row r="888" spans="1:5" x14ac:dyDescent="0.3">
      <c r="A888" t="s">
        <v>1898</v>
      </c>
      <c r="B888" t="s">
        <v>218</v>
      </c>
      <c r="C888">
        <v>47</v>
      </c>
      <c r="D888" t="str">
        <f>VLOOKUP(B888,Products!$A:$E,2,FALSE)</f>
        <v>Product_105</v>
      </c>
      <c r="E888" t="str">
        <f>VLOOKUP(B888,Products!$A:$E,3,FALSE)</f>
        <v>Networking</v>
      </c>
    </row>
    <row r="889" spans="1:5" x14ac:dyDescent="0.3">
      <c r="A889" t="s">
        <v>1899</v>
      </c>
      <c r="B889" t="s">
        <v>672</v>
      </c>
      <c r="C889">
        <v>15</v>
      </c>
      <c r="D889" t="str">
        <f>VLOOKUP(B889,Products!$A:$E,2,FALSE)</f>
        <v>Product_332</v>
      </c>
      <c r="E889" t="str">
        <f>VLOOKUP(B889,Products!$A:$E,3,FALSE)</f>
        <v>Electronics</v>
      </c>
    </row>
    <row r="890" spans="1:5" x14ac:dyDescent="0.3">
      <c r="A890" t="s">
        <v>1900</v>
      </c>
      <c r="B890" t="s">
        <v>954</v>
      </c>
      <c r="C890">
        <v>62</v>
      </c>
      <c r="D890" t="str">
        <f>VLOOKUP(B890,Products!$A:$E,2,FALSE)</f>
        <v>Product_473</v>
      </c>
      <c r="E890" t="str">
        <f>VLOOKUP(B890,Products!$A:$E,3,FALSE)</f>
        <v>Accessories</v>
      </c>
    </row>
    <row r="891" spans="1:5" x14ac:dyDescent="0.3">
      <c r="A891" t="s">
        <v>1901</v>
      </c>
      <c r="B891" t="s">
        <v>876</v>
      </c>
      <c r="C891">
        <v>52</v>
      </c>
      <c r="D891" t="str">
        <f>VLOOKUP(B891,Products!$A:$E,2,FALSE)</f>
        <v>Product_434</v>
      </c>
      <c r="E891" t="str">
        <f>VLOOKUP(B891,Products!$A:$E,3,FALSE)</f>
        <v>Office Supplies</v>
      </c>
    </row>
    <row r="892" spans="1:5" x14ac:dyDescent="0.3">
      <c r="A892" t="s">
        <v>1902</v>
      </c>
      <c r="B892" t="s">
        <v>104</v>
      </c>
      <c r="C892">
        <v>73</v>
      </c>
      <c r="D892" t="str">
        <f>VLOOKUP(B892,Products!$A:$E,2,FALSE)</f>
        <v>Product_48</v>
      </c>
      <c r="E892" t="str">
        <f>VLOOKUP(B892,Products!$A:$E,3,FALSE)</f>
        <v>Accessories</v>
      </c>
    </row>
    <row r="893" spans="1:5" x14ac:dyDescent="0.3">
      <c r="A893" t="s">
        <v>1903</v>
      </c>
      <c r="B893" t="s">
        <v>750</v>
      </c>
      <c r="C893">
        <v>29</v>
      </c>
      <c r="D893" t="str">
        <f>VLOOKUP(B893,Products!$A:$E,2,FALSE)</f>
        <v>Product_371</v>
      </c>
      <c r="E893" t="str">
        <f>VLOOKUP(B893,Products!$A:$E,3,FALSE)</f>
        <v>Storage</v>
      </c>
    </row>
    <row r="894" spans="1:5" x14ac:dyDescent="0.3">
      <c r="A894" t="s">
        <v>1904</v>
      </c>
      <c r="B894" t="s">
        <v>62</v>
      </c>
      <c r="C894">
        <v>39</v>
      </c>
      <c r="D894" t="str">
        <f>VLOOKUP(B894,Products!$A:$E,2,FALSE)</f>
        <v>Product_27</v>
      </c>
      <c r="E894" t="str">
        <f>VLOOKUP(B894,Products!$A:$E,3,FALSE)</f>
        <v>Office Supplies</v>
      </c>
    </row>
    <row r="895" spans="1:5" x14ac:dyDescent="0.3">
      <c r="A895" t="s">
        <v>1905</v>
      </c>
      <c r="B895" t="s">
        <v>396</v>
      </c>
      <c r="C895">
        <v>91</v>
      </c>
      <c r="D895" t="str">
        <f>VLOOKUP(B895,Products!$A:$E,2,FALSE)</f>
        <v>Product_194</v>
      </c>
      <c r="E895" t="str">
        <f>VLOOKUP(B895,Products!$A:$E,3,FALSE)</f>
        <v>Networking</v>
      </c>
    </row>
    <row r="896" spans="1:5" x14ac:dyDescent="0.3">
      <c r="A896" t="s">
        <v>1906</v>
      </c>
      <c r="B896" t="s">
        <v>628</v>
      </c>
      <c r="C896">
        <v>82</v>
      </c>
      <c r="D896" t="str">
        <f>VLOOKUP(B896,Products!$A:$E,2,FALSE)</f>
        <v>Product_310</v>
      </c>
      <c r="E896" t="str">
        <f>VLOOKUP(B896,Products!$A:$E,3,FALSE)</f>
        <v>Office Supplies</v>
      </c>
    </row>
    <row r="897" spans="1:5" x14ac:dyDescent="0.3">
      <c r="A897" t="s">
        <v>1907</v>
      </c>
      <c r="B897" t="s">
        <v>50</v>
      </c>
      <c r="C897">
        <v>14</v>
      </c>
      <c r="D897" t="str">
        <f>VLOOKUP(B897,Products!$A:$E,2,FALSE)</f>
        <v>Product_21</v>
      </c>
      <c r="E897" t="str">
        <f>VLOOKUP(B897,Products!$A:$E,3,FALSE)</f>
        <v>Office Supplies</v>
      </c>
    </row>
    <row r="898" spans="1:5" x14ac:dyDescent="0.3">
      <c r="A898" t="s">
        <v>1908</v>
      </c>
      <c r="B898" t="s">
        <v>202</v>
      </c>
      <c r="C898">
        <v>80</v>
      </c>
      <c r="D898" t="str">
        <f>VLOOKUP(B898,Products!$A:$E,2,FALSE)</f>
        <v>Product_97</v>
      </c>
      <c r="E898" t="str">
        <f>VLOOKUP(B898,Products!$A:$E,3,FALSE)</f>
        <v>Accessories</v>
      </c>
    </row>
    <row r="899" spans="1:5" x14ac:dyDescent="0.3">
      <c r="A899" t="s">
        <v>1909</v>
      </c>
      <c r="B899" t="s">
        <v>750</v>
      </c>
      <c r="C899">
        <v>90</v>
      </c>
      <c r="D899" t="str">
        <f>VLOOKUP(B899,Products!$A:$E,2,FALSE)</f>
        <v>Product_371</v>
      </c>
      <c r="E899" t="str">
        <f>VLOOKUP(B899,Products!$A:$E,3,FALSE)</f>
        <v>Storage</v>
      </c>
    </row>
    <row r="900" spans="1:5" x14ac:dyDescent="0.3">
      <c r="A900" t="s">
        <v>1910</v>
      </c>
      <c r="B900" t="s">
        <v>582</v>
      </c>
      <c r="C900">
        <v>32</v>
      </c>
      <c r="D900" t="str">
        <f>VLOOKUP(B900,Products!$A:$E,2,FALSE)</f>
        <v>Product_287</v>
      </c>
      <c r="E900" t="str">
        <f>VLOOKUP(B900,Products!$A:$E,3,FALSE)</f>
        <v>Storage</v>
      </c>
    </row>
    <row r="901" spans="1:5" x14ac:dyDescent="0.3">
      <c r="A901" t="s">
        <v>1911</v>
      </c>
      <c r="B901" t="s">
        <v>500</v>
      </c>
      <c r="C901">
        <v>31</v>
      </c>
      <c r="D901" t="str">
        <f>VLOOKUP(B901,Products!$A:$E,2,FALSE)</f>
        <v>Product_246</v>
      </c>
      <c r="E901" t="str">
        <f>VLOOKUP(B901,Products!$A:$E,3,FALSE)</f>
        <v>Electronics</v>
      </c>
    </row>
    <row r="902" spans="1:5" x14ac:dyDescent="0.3">
      <c r="A902" t="s">
        <v>1912</v>
      </c>
      <c r="B902" t="s">
        <v>900</v>
      </c>
      <c r="C902">
        <v>47</v>
      </c>
      <c r="D902" t="str">
        <f>VLOOKUP(B902,Products!$A:$E,2,FALSE)</f>
        <v>Product_446</v>
      </c>
      <c r="E902" t="str">
        <f>VLOOKUP(B902,Products!$A:$E,3,FALSE)</f>
        <v>Accessories</v>
      </c>
    </row>
    <row r="903" spans="1:5" x14ac:dyDescent="0.3">
      <c r="A903" t="s">
        <v>1913</v>
      </c>
      <c r="B903" t="s">
        <v>320</v>
      </c>
      <c r="C903">
        <v>6</v>
      </c>
      <c r="D903" t="str">
        <f>VLOOKUP(B903,Products!$A:$E,2,FALSE)</f>
        <v>Product_156</v>
      </c>
      <c r="E903" t="str">
        <f>VLOOKUP(B903,Products!$A:$E,3,FALSE)</f>
        <v>Accessories</v>
      </c>
    </row>
    <row r="904" spans="1:5" x14ac:dyDescent="0.3">
      <c r="A904" t="s">
        <v>1914</v>
      </c>
      <c r="B904" t="s">
        <v>226</v>
      </c>
      <c r="C904">
        <v>29</v>
      </c>
      <c r="D904" t="str">
        <f>VLOOKUP(B904,Products!$A:$E,2,FALSE)</f>
        <v>Product_109</v>
      </c>
      <c r="E904" t="str">
        <f>VLOOKUP(B904,Products!$A:$E,3,FALSE)</f>
        <v>Storage</v>
      </c>
    </row>
    <row r="905" spans="1:5" x14ac:dyDescent="0.3">
      <c r="A905" t="s">
        <v>1915</v>
      </c>
      <c r="B905" t="s">
        <v>994</v>
      </c>
      <c r="C905">
        <v>99</v>
      </c>
      <c r="D905" t="str">
        <f>VLOOKUP(B905,Products!$A:$E,2,FALSE)</f>
        <v>Product_493</v>
      </c>
      <c r="E905" t="str">
        <f>VLOOKUP(B905,Products!$A:$E,3,FALSE)</f>
        <v>Networking</v>
      </c>
    </row>
    <row r="906" spans="1:5" x14ac:dyDescent="0.3">
      <c r="A906" t="s">
        <v>1916</v>
      </c>
      <c r="B906" t="s">
        <v>130</v>
      </c>
      <c r="C906">
        <v>100</v>
      </c>
      <c r="D906" t="str">
        <f>VLOOKUP(B906,Products!$A:$E,2,FALSE)</f>
        <v>Product_61</v>
      </c>
      <c r="E906" t="str">
        <f>VLOOKUP(B906,Products!$A:$E,3,FALSE)</f>
        <v>Storage</v>
      </c>
    </row>
    <row r="907" spans="1:5" x14ac:dyDescent="0.3">
      <c r="A907" t="s">
        <v>1917</v>
      </c>
      <c r="B907" t="s">
        <v>782</v>
      </c>
      <c r="C907">
        <v>66</v>
      </c>
      <c r="D907" t="str">
        <f>VLOOKUP(B907,Products!$A:$E,2,FALSE)</f>
        <v>Product_387</v>
      </c>
      <c r="E907" t="str">
        <f>VLOOKUP(B907,Products!$A:$E,3,FALSE)</f>
        <v>Storage</v>
      </c>
    </row>
    <row r="908" spans="1:5" x14ac:dyDescent="0.3">
      <c r="A908" t="s">
        <v>1918</v>
      </c>
      <c r="B908" t="s">
        <v>946</v>
      </c>
      <c r="C908">
        <v>36</v>
      </c>
      <c r="D908" t="str">
        <f>VLOOKUP(B908,Products!$A:$E,2,FALSE)</f>
        <v>Product_469</v>
      </c>
      <c r="E908" t="str">
        <f>VLOOKUP(B908,Products!$A:$E,3,FALSE)</f>
        <v>Office Supplies</v>
      </c>
    </row>
    <row r="909" spans="1:5" x14ac:dyDescent="0.3">
      <c r="A909" t="s">
        <v>1919</v>
      </c>
      <c r="B909" t="s">
        <v>722</v>
      </c>
      <c r="C909">
        <v>82</v>
      </c>
      <c r="D909" t="str">
        <f>VLOOKUP(B909,Products!$A:$E,2,FALSE)</f>
        <v>Product_357</v>
      </c>
      <c r="E909" t="str">
        <f>VLOOKUP(B909,Products!$A:$E,3,FALSE)</f>
        <v>Accessories</v>
      </c>
    </row>
    <row r="910" spans="1:5" x14ac:dyDescent="0.3">
      <c r="A910" t="s">
        <v>1920</v>
      </c>
      <c r="B910" t="s">
        <v>730</v>
      </c>
      <c r="C910">
        <v>31</v>
      </c>
      <c r="D910" t="str">
        <f>VLOOKUP(B910,Products!$A:$E,2,FALSE)</f>
        <v>Product_361</v>
      </c>
      <c r="E910" t="str">
        <f>VLOOKUP(B910,Products!$A:$E,3,FALSE)</f>
        <v>Office Supplies</v>
      </c>
    </row>
    <row r="911" spans="1:5" x14ac:dyDescent="0.3">
      <c r="A911" t="s">
        <v>1921</v>
      </c>
      <c r="B911" t="s">
        <v>416</v>
      </c>
      <c r="C911">
        <v>35</v>
      </c>
      <c r="D911" t="str">
        <f>VLOOKUP(B911,Products!$A:$E,2,FALSE)</f>
        <v>Product_204</v>
      </c>
      <c r="E911" t="str">
        <f>VLOOKUP(B911,Products!$A:$E,3,FALSE)</f>
        <v>Office Supplies</v>
      </c>
    </row>
    <row r="912" spans="1:5" x14ac:dyDescent="0.3">
      <c r="A912" t="s">
        <v>1922</v>
      </c>
      <c r="B912" t="s">
        <v>574</v>
      </c>
      <c r="C912">
        <v>46</v>
      </c>
      <c r="D912" t="str">
        <f>VLOOKUP(B912,Products!$A:$E,2,FALSE)</f>
        <v>Product_283</v>
      </c>
      <c r="E912" t="str">
        <f>VLOOKUP(B912,Products!$A:$E,3,FALSE)</f>
        <v>Networking</v>
      </c>
    </row>
    <row r="913" spans="1:5" x14ac:dyDescent="0.3">
      <c r="A913" t="s">
        <v>1923</v>
      </c>
      <c r="B913" t="s">
        <v>804</v>
      </c>
      <c r="C913">
        <v>41</v>
      </c>
      <c r="D913" t="str">
        <f>VLOOKUP(B913,Products!$A:$E,2,FALSE)</f>
        <v>Product_398</v>
      </c>
      <c r="E913" t="str">
        <f>VLOOKUP(B913,Products!$A:$E,3,FALSE)</f>
        <v>Networking</v>
      </c>
    </row>
    <row r="914" spans="1:5" x14ac:dyDescent="0.3">
      <c r="A914" t="s">
        <v>1924</v>
      </c>
      <c r="B914" t="s">
        <v>398</v>
      </c>
      <c r="C914">
        <v>64</v>
      </c>
      <c r="D914" t="str">
        <f>VLOOKUP(B914,Products!$A:$E,2,FALSE)</f>
        <v>Product_195</v>
      </c>
      <c r="E914" t="str">
        <f>VLOOKUP(B914,Products!$A:$E,3,FALSE)</f>
        <v>Accessories</v>
      </c>
    </row>
    <row r="915" spans="1:5" x14ac:dyDescent="0.3">
      <c r="A915" t="s">
        <v>1925</v>
      </c>
      <c r="B915" t="s">
        <v>556</v>
      </c>
      <c r="C915">
        <v>88</v>
      </c>
      <c r="D915" t="str">
        <f>VLOOKUP(B915,Products!$A:$E,2,FALSE)</f>
        <v>Product_274</v>
      </c>
      <c r="E915" t="str">
        <f>VLOOKUP(B915,Products!$A:$E,3,FALSE)</f>
        <v>Accessories</v>
      </c>
    </row>
    <row r="916" spans="1:5" x14ac:dyDescent="0.3">
      <c r="A916" t="s">
        <v>1926</v>
      </c>
      <c r="B916" t="s">
        <v>376</v>
      </c>
      <c r="C916">
        <v>44</v>
      </c>
      <c r="D916" t="str">
        <f>VLOOKUP(B916,Products!$A:$E,2,FALSE)</f>
        <v>Product_184</v>
      </c>
      <c r="E916" t="str">
        <f>VLOOKUP(B916,Products!$A:$E,3,FALSE)</f>
        <v>Electronics</v>
      </c>
    </row>
    <row r="917" spans="1:5" x14ac:dyDescent="0.3">
      <c r="A917" t="s">
        <v>1927</v>
      </c>
      <c r="B917" t="s">
        <v>276</v>
      </c>
      <c r="C917">
        <v>51</v>
      </c>
      <c r="D917" t="str">
        <f>VLOOKUP(B917,Products!$A:$E,2,FALSE)</f>
        <v>Product_134</v>
      </c>
      <c r="E917" t="str">
        <f>VLOOKUP(B917,Products!$A:$E,3,FALSE)</f>
        <v>Accessories</v>
      </c>
    </row>
    <row r="918" spans="1:5" x14ac:dyDescent="0.3">
      <c r="A918" t="s">
        <v>1928</v>
      </c>
      <c r="B918" t="s">
        <v>534</v>
      </c>
      <c r="C918">
        <v>68</v>
      </c>
      <c r="D918" t="str">
        <f>VLOOKUP(B918,Products!$A:$E,2,FALSE)</f>
        <v>Product_263</v>
      </c>
      <c r="E918" t="str">
        <f>VLOOKUP(B918,Products!$A:$E,3,FALSE)</f>
        <v>Accessories</v>
      </c>
    </row>
    <row r="919" spans="1:5" x14ac:dyDescent="0.3">
      <c r="A919" t="s">
        <v>1929</v>
      </c>
      <c r="B919" t="s">
        <v>486</v>
      </c>
      <c r="C919">
        <v>17</v>
      </c>
      <c r="D919" t="str">
        <f>VLOOKUP(B919,Products!$A:$E,2,FALSE)</f>
        <v>Product_239</v>
      </c>
      <c r="E919" t="str">
        <f>VLOOKUP(B919,Products!$A:$E,3,FALSE)</f>
        <v>Storage</v>
      </c>
    </row>
    <row r="920" spans="1:5" x14ac:dyDescent="0.3">
      <c r="A920" t="s">
        <v>1930</v>
      </c>
      <c r="B920" t="s">
        <v>832</v>
      </c>
      <c r="C920">
        <v>97</v>
      </c>
      <c r="D920" t="str">
        <f>VLOOKUP(B920,Products!$A:$E,2,FALSE)</f>
        <v>Product_412</v>
      </c>
      <c r="E920" t="str">
        <f>VLOOKUP(B920,Products!$A:$E,3,FALSE)</f>
        <v>Accessories</v>
      </c>
    </row>
    <row r="921" spans="1:5" x14ac:dyDescent="0.3">
      <c r="A921" t="s">
        <v>1931</v>
      </c>
      <c r="B921" t="s">
        <v>490</v>
      </c>
      <c r="C921">
        <v>45</v>
      </c>
      <c r="D921" t="str">
        <f>VLOOKUP(B921,Products!$A:$E,2,FALSE)</f>
        <v>Product_241</v>
      </c>
      <c r="E921" t="str">
        <f>VLOOKUP(B921,Products!$A:$E,3,FALSE)</f>
        <v>Electronics</v>
      </c>
    </row>
    <row r="922" spans="1:5" x14ac:dyDescent="0.3">
      <c r="A922" t="s">
        <v>1932</v>
      </c>
      <c r="B922" t="s">
        <v>946</v>
      </c>
      <c r="C922">
        <v>31</v>
      </c>
      <c r="D922" t="str">
        <f>VLOOKUP(B922,Products!$A:$E,2,FALSE)</f>
        <v>Product_469</v>
      </c>
      <c r="E922" t="str">
        <f>VLOOKUP(B922,Products!$A:$E,3,FALSE)</f>
        <v>Office Supplies</v>
      </c>
    </row>
    <row r="923" spans="1:5" x14ac:dyDescent="0.3">
      <c r="A923" t="s">
        <v>1933</v>
      </c>
      <c r="B923" t="s">
        <v>388</v>
      </c>
      <c r="C923">
        <v>45</v>
      </c>
      <c r="D923" t="str">
        <f>VLOOKUP(B923,Products!$A:$E,2,FALSE)</f>
        <v>Product_190</v>
      </c>
      <c r="E923" t="str">
        <f>VLOOKUP(B923,Products!$A:$E,3,FALSE)</f>
        <v>Office Supplies</v>
      </c>
    </row>
    <row r="924" spans="1:5" x14ac:dyDescent="0.3">
      <c r="A924" t="s">
        <v>1934</v>
      </c>
      <c r="B924" t="s">
        <v>432</v>
      </c>
      <c r="C924">
        <v>10</v>
      </c>
      <c r="D924" t="str">
        <f>VLOOKUP(B924,Products!$A:$E,2,FALSE)</f>
        <v>Product_212</v>
      </c>
      <c r="E924" t="str">
        <f>VLOOKUP(B924,Products!$A:$E,3,FALSE)</f>
        <v>Networking</v>
      </c>
    </row>
    <row r="925" spans="1:5" x14ac:dyDescent="0.3">
      <c r="A925" t="s">
        <v>1935</v>
      </c>
      <c r="B925" t="s">
        <v>586</v>
      </c>
      <c r="C925">
        <v>33</v>
      </c>
      <c r="D925" t="str">
        <f>VLOOKUP(B925,Products!$A:$E,2,FALSE)</f>
        <v>Product_289</v>
      </c>
      <c r="E925" t="str">
        <f>VLOOKUP(B925,Products!$A:$E,3,FALSE)</f>
        <v>Storage</v>
      </c>
    </row>
    <row r="926" spans="1:5" x14ac:dyDescent="0.3">
      <c r="A926" t="s">
        <v>1936</v>
      </c>
      <c r="B926" t="s">
        <v>768</v>
      </c>
      <c r="C926">
        <v>23</v>
      </c>
      <c r="D926" t="str">
        <f>VLOOKUP(B926,Products!$A:$E,2,FALSE)</f>
        <v>Product_380</v>
      </c>
      <c r="E926" t="str">
        <f>VLOOKUP(B926,Products!$A:$E,3,FALSE)</f>
        <v>Electronics</v>
      </c>
    </row>
    <row r="927" spans="1:5" x14ac:dyDescent="0.3">
      <c r="A927" t="s">
        <v>1937</v>
      </c>
      <c r="B927" t="s">
        <v>26</v>
      </c>
      <c r="C927">
        <v>38</v>
      </c>
      <c r="D927" t="str">
        <f>VLOOKUP(B927,Products!$A:$E,2,FALSE)</f>
        <v>Product_9</v>
      </c>
      <c r="E927" t="str">
        <f>VLOOKUP(B927,Products!$A:$E,3,FALSE)</f>
        <v>Storage</v>
      </c>
    </row>
    <row r="928" spans="1:5" x14ac:dyDescent="0.3">
      <c r="A928" t="s">
        <v>1938</v>
      </c>
      <c r="B928" t="s">
        <v>576</v>
      </c>
      <c r="C928">
        <v>79</v>
      </c>
      <c r="D928" t="str">
        <f>VLOOKUP(B928,Products!$A:$E,2,FALSE)</f>
        <v>Product_284</v>
      </c>
      <c r="E928" t="str">
        <f>VLOOKUP(B928,Products!$A:$E,3,FALSE)</f>
        <v>Networking</v>
      </c>
    </row>
    <row r="929" spans="1:5" x14ac:dyDescent="0.3">
      <c r="A929" t="s">
        <v>1939</v>
      </c>
      <c r="B929" t="s">
        <v>602</v>
      </c>
      <c r="C929">
        <v>97</v>
      </c>
      <c r="D929" t="str">
        <f>VLOOKUP(B929,Products!$A:$E,2,FALSE)</f>
        <v>Product_297</v>
      </c>
      <c r="E929" t="str">
        <f>VLOOKUP(B929,Products!$A:$E,3,FALSE)</f>
        <v>Storage</v>
      </c>
    </row>
    <row r="930" spans="1:5" x14ac:dyDescent="0.3">
      <c r="A930" t="s">
        <v>1940</v>
      </c>
      <c r="B930" t="s">
        <v>436</v>
      </c>
      <c r="C930">
        <v>42</v>
      </c>
      <c r="D930" t="str">
        <f>VLOOKUP(B930,Products!$A:$E,2,FALSE)</f>
        <v>Product_214</v>
      </c>
      <c r="E930" t="str">
        <f>VLOOKUP(B930,Products!$A:$E,3,FALSE)</f>
        <v>Electronics</v>
      </c>
    </row>
    <row r="931" spans="1:5" x14ac:dyDescent="0.3">
      <c r="A931" t="s">
        <v>1941</v>
      </c>
      <c r="B931" t="s">
        <v>166</v>
      </c>
      <c r="C931">
        <v>30</v>
      </c>
      <c r="D931" t="str">
        <f>VLOOKUP(B931,Products!$A:$E,2,FALSE)</f>
        <v>Product_79</v>
      </c>
      <c r="E931" t="str">
        <f>VLOOKUP(B931,Products!$A:$E,3,FALSE)</f>
        <v>Storage</v>
      </c>
    </row>
    <row r="932" spans="1:5" x14ac:dyDescent="0.3">
      <c r="A932" t="s">
        <v>1942</v>
      </c>
      <c r="B932" t="s">
        <v>346</v>
      </c>
      <c r="C932">
        <v>34</v>
      </c>
      <c r="D932" t="str">
        <f>VLOOKUP(B932,Products!$A:$E,2,FALSE)</f>
        <v>Product_169</v>
      </c>
      <c r="E932" t="str">
        <f>VLOOKUP(B932,Products!$A:$E,3,FALSE)</f>
        <v>Accessories</v>
      </c>
    </row>
    <row r="933" spans="1:5" x14ac:dyDescent="0.3">
      <c r="A933" t="s">
        <v>1943</v>
      </c>
      <c r="B933" t="s">
        <v>398</v>
      </c>
      <c r="C933">
        <v>77</v>
      </c>
      <c r="D933" t="str">
        <f>VLOOKUP(B933,Products!$A:$E,2,FALSE)</f>
        <v>Product_195</v>
      </c>
      <c r="E933" t="str">
        <f>VLOOKUP(B933,Products!$A:$E,3,FALSE)</f>
        <v>Accessories</v>
      </c>
    </row>
    <row r="934" spans="1:5" x14ac:dyDescent="0.3">
      <c r="A934" t="s">
        <v>1944</v>
      </c>
      <c r="B934" t="s">
        <v>862</v>
      </c>
      <c r="C934">
        <v>36</v>
      </c>
      <c r="D934" t="str">
        <f>VLOOKUP(B934,Products!$A:$E,2,FALSE)</f>
        <v>Product_427</v>
      </c>
      <c r="E934" t="str">
        <f>VLOOKUP(B934,Products!$A:$E,3,FALSE)</f>
        <v>Networking</v>
      </c>
    </row>
    <row r="935" spans="1:5" x14ac:dyDescent="0.3">
      <c r="A935" t="s">
        <v>1945</v>
      </c>
      <c r="B935" t="s">
        <v>520</v>
      </c>
      <c r="C935">
        <v>75</v>
      </c>
      <c r="D935" t="str">
        <f>VLOOKUP(B935,Products!$A:$E,2,FALSE)</f>
        <v>Product_256</v>
      </c>
      <c r="E935" t="str">
        <f>VLOOKUP(B935,Products!$A:$E,3,FALSE)</f>
        <v>Office Supplies</v>
      </c>
    </row>
    <row r="936" spans="1:5" x14ac:dyDescent="0.3">
      <c r="A936" t="s">
        <v>1946</v>
      </c>
      <c r="B936" t="s">
        <v>680</v>
      </c>
      <c r="C936">
        <v>92</v>
      </c>
      <c r="D936" t="str">
        <f>VLOOKUP(B936,Products!$A:$E,2,FALSE)</f>
        <v>Product_336</v>
      </c>
      <c r="E936" t="str">
        <f>VLOOKUP(B936,Products!$A:$E,3,FALSE)</f>
        <v>Storage</v>
      </c>
    </row>
    <row r="937" spans="1:5" x14ac:dyDescent="0.3">
      <c r="A937" t="s">
        <v>1947</v>
      </c>
      <c r="B937" t="s">
        <v>354</v>
      </c>
      <c r="C937">
        <v>37</v>
      </c>
      <c r="D937" t="str">
        <f>VLOOKUP(B937,Products!$A:$E,2,FALSE)</f>
        <v>Product_173</v>
      </c>
      <c r="E937" t="str">
        <f>VLOOKUP(B937,Products!$A:$E,3,FALSE)</f>
        <v>Electronics</v>
      </c>
    </row>
    <row r="938" spans="1:5" x14ac:dyDescent="0.3">
      <c r="A938" t="s">
        <v>1948</v>
      </c>
      <c r="B938" t="s">
        <v>790</v>
      </c>
      <c r="C938">
        <v>67</v>
      </c>
      <c r="D938" t="str">
        <f>VLOOKUP(B938,Products!$A:$E,2,FALSE)</f>
        <v>Product_391</v>
      </c>
      <c r="E938" t="str">
        <f>VLOOKUP(B938,Products!$A:$E,3,FALSE)</f>
        <v>Accessories</v>
      </c>
    </row>
    <row r="939" spans="1:5" x14ac:dyDescent="0.3">
      <c r="A939" t="s">
        <v>1949</v>
      </c>
      <c r="B939" t="s">
        <v>998</v>
      </c>
      <c r="C939">
        <v>97</v>
      </c>
      <c r="D939" t="str">
        <f>VLOOKUP(B939,Products!$A:$E,2,FALSE)</f>
        <v>Product_495</v>
      </c>
      <c r="E939" t="str">
        <f>VLOOKUP(B939,Products!$A:$E,3,FALSE)</f>
        <v>Networking</v>
      </c>
    </row>
    <row r="940" spans="1:5" x14ac:dyDescent="0.3">
      <c r="A940" t="s">
        <v>1950</v>
      </c>
      <c r="B940" t="s">
        <v>666</v>
      </c>
      <c r="C940">
        <v>99</v>
      </c>
      <c r="D940" t="str">
        <f>VLOOKUP(B940,Products!$A:$E,2,FALSE)</f>
        <v>Product_329</v>
      </c>
      <c r="E940" t="str">
        <f>VLOOKUP(B940,Products!$A:$E,3,FALSE)</f>
        <v>Office Supplies</v>
      </c>
    </row>
    <row r="941" spans="1:5" x14ac:dyDescent="0.3">
      <c r="A941" t="s">
        <v>1951</v>
      </c>
      <c r="B941" t="s">
        <v>512</v>
      </c>
      <c r="C941">
        <v>63</v>
      </c>
      <c r="D941" t="str">
        <f>VLOOKUP(B941,Products!$A:$E,2,FALSE)</f>
        <v>Product_252</v>
      </c>
      <c r="E941" t="str">
        <f>VLOOKUP(B941,Products!$A:$E,3,FALSE)</f>
        <v>Networking</v>
      </c>
    </row>
    <row r="942" spans="1:5" x14ac:dyDescent="0.3">
      <c r="A942" t="s">
        <v>1952</v>
      </c>
      <c r="B942" t="s">
        <v>182</v>
      </c>
      <c r="C942">
        <v>98</v>
      </c>
      <c r="D942" t="str">
        <f>VLOOKUP(B942,Products!$A:$E,2,FALSE)</f>
        <v>Product_87</v>
      </c>
      <c r="E942" t="str">
        <f>VLOOKUP(B942,Products!$A:$E,3,FALSE)</f>
        <v>Networking</v>
      </c>
    </row>
    <row r="943" spans="1:5" x14ac:dyDescent="0.3">
      <c r="A943" t="s">
        <v>1953</v>
      </c>
      <c r="B943" t="s">
        <v>824</v>
      </c>
      <c r="C943">
        <v>50</v>
      </c>
      <c r="D943" t="str">
        <f>VLOOKUP(B943,Products!$A:$E,2,FALSE)</f>
        <v>Product_408</v>
      </c>
      <c r="E943" t="str">
        <f>VLOOKUP(B943,Products!$A:$E,3,FALSE)</f>
        <v>Storage</v>
      </c>
    </row>
    <row r="944" spans="1:5" x14ac:dyDescent="0.3">
      <c r="A944" t="s">
        <v>1954</v>
      </c>
      <c r="B944" t="s">
        <v>182</v>
      </c>
      <c r="C944">
        <v>22</v>
      </c>
      <c r="D944" t="str">
        <f>VLOOKUP(B944,Products!$A:$E,2,FALSE)</f>
        <v>Product_87</v>
      </c>
      <c r="E944" t="str">
        <f>VLOOKUP(B944,Products!$A:$E,3,FALSE)</f>
        <v>Networking</v>
      </c>
    </row>
    <row r="945" spans="1:5" x14ac:dyDescent="0.3">
      <c r="A945" t="s">
        <v>1955</v>
      </c>
      <c r="B945" t="s">
        <v>746</v>
      </c>
      <c r="C945">
        <v>74</v>
      </c>
      <c r="D945" t="str">
        <f>VLOOKUP(B945,Products!$A:$E,2,FALSE)</f>
        <v>Product_369</v>
      </c>
      <c r="E945" t="str">
        <f>VLOOKUP(B945,Products!$A:$E,3,FALSE)</f>
        <v>Accessories</v>
      </c>
    </row>
    <row r="946" spans="1:5" x14ac:dyDescent="0.3">
      <c r="A946" t="s">
        <v>1956</v>
      </c>
      <c r="B946" t="s">
        <v>510</v>
      </c>
      <c r="C946">
        <v>28</v>
      </c>
      <c r="D946" t="str">
        <f>VLOOKUP(B946,Products!$A:$E,2,FALSE)</f>
        <v>Product_251</v>
      </c>
      <c r="E946" t="str">
        <f>VLOOKUP(B946,Products!$A:$E,3,FALSE)</f>
        <v>Electronics</v>
      </c>
    </row>
    <row r="947" spans="1:5" x14ac:dyDescent="0.3">
      <c r="A947" t="s">
        <v>1957</v>
      </c>
      <c r="B947" t="s">
        <v>948</v>
      </c>
      <c r="C947">
        <v>74</v>
      </c>
      <c r="D947" t="str">
        <f>VLOOKUP(B947,Products!$A:$E,2,FALSE)</f>
        <v>Product_470</v>
      </c>
      <c r="E947" t="str">
        <f>VLOOKUP(B947,Products!$A:$E,3,FALSE)</f>
        <v>Networking</v>
      </c>
    </row>
    <row r="948" spans="1:5" x14ac:dyDescent="0.3">
      <c r="A948" t="s">
        <v>1958</v>
      </c>
      <c r="B948" t="s">
        <v>666</v>
      </c>
      <c r="C948">
        <v>12</v>
      </c>
      <c r="D948" t="str">
        <f>VLOOKUP(B948,Products!$A:$E,2,FALSE)</f>
        <v>Product_329</v>
      </c>
      <c r="E948" t="str">
        <f>VLOOKUP(B948,Products!$A:$E,3,FALSE)</f>
        <v>Office Supplies</v>
      </c>
    </row>
    <row r="949" spans="1:5" x14ac:dyDescent="0.3">
      <c r="A949" t="s">
        <v>1959</v>
      </c>
      <c r="B949" t="s">
        <v>546</v>
      </c>
      <c r="C949">
        <v>9</v>
      </c>
      <c r="D949" t="str">
        <f>VLOOKUP(B949,Products!$A:$E,2,FALSE)</f>
        <v>Product_269</v>
      </c>
      <c r="E949" t="str">
        <f>VLOOKUP(B949,Products!$A:$E,3,FALSE)</f>
        <v>Storage</v>
      </c>
    </row>
    <row r="950" spans="1:5" x14ac:dyDescent="0.3">
      <c r="A950" t="s">
        <v>1960</v>
      </c>
      <c r="B950" t="s">
        <v>868</v>
      </c>
      <c r="C950">
        <v>14</v>
      </c>
      <c r="D950" t="str">
        <f>VLOOKUP(B950,Products!$A:$E,2,FALSE)</f>
        <v>Product_430</v>
      </c>
      <c r="E950" t="str">
        <f>VLOOKUP(B950,Products!$A:$E,3,FALSE)</f>
        <v>Electronics</v>
      </c>
    </row>
    <row r="951" spans="1:5" x14ac:dyDescent="0.3">
      <c r="A951" t="s">
        <v>1961</v>
      </c>
      <c r="B951" t="s">
        <v>976</v>
      </c>
      <c r="C951">
        <v>90</v>
      </c>
      <c r="D951" t="str">
        <f>VLOOKUP(B951,Products!$A:$E,2,FALSE)</f>
        <v>Product_484</v>
      </c>
      <c r="E951" t="str">
        <f>VLOOKUP(B951,Products!$A:$E,3,FALSE)</f>
        <v>Networking</v>
      </c>
    </row>
    <row r="952" spans="1:5" x14ac:dyDescent="0.3">
      <c r="A952" t="s">
        <v>1962</v>
      </c>
      <c r="B952" t="s">
        <v>58</v>
      </c>
      <c r="C952">
        <v>5</v>
      </c>
      <c r="D952" t="str">
        <f>VLOOKUP(B952,Products!$A:$E,2,FALSE)</f>
        <v>Product_25</v>
      </c>
      <c r="E952" t="str">
        <f>VLOOKUP(B952,Products!$A:$E,3,FALSE)</f>
        <v>Office Supplies</v>
      </c>
    </row>
    <row r="953" spans="1:5" x14ac:dyDescent="0.3">
      <c r="A953" t="s">
        <v>1963</v>
      </c>
      <c r="B953" t="s">
        <v>432</v>
      </c>
      <c r="C953">
        <v>22</v>
      </c>
      <c r="D953" t="str">
        <f>VLOOKUP(B953,Products!$A:$E,2,FALSE)</f>
        <v>Product_212</v>
      </c>
      <c r="E953" t="str">
        <f>VLOOKUP(B953,Products!$A:$E,3,FALSE)</f>
        <v>Networking</v>
      </c>
    </row>
    <row r="954" spans="1:5" x14ac:dyDescent="0.3">
      <c r="A954" t="s">
        <v>1964</v>
      </c>
      <c r="B954" t="s">
        <v>872</v>
      </c>
      <c r="C954">
        <v>85</v>
      </c>
      <c r="D954" t="str">
        <f>VLOOKUP(B954,Products!$A:$E,2,FALSE)</f>
        <v>Product_432</v>
      </c>
      <c r="E954" t="str">
        <f>VLOOKUP(B954,Products!$A:$E,3,FALSE)</f>
        <v>Office Supplies</v>
      </c>
    </row>
    <row r="955" spans="1:5" x14ac:dyDescent="0.3">
      <c r="A955" t="s">
        <v>1965</v>
      </c>
      <c r="B955" t="s">
        <v>246</v>
      </c>
      <c r="C955">
        <v>13</v>
      </c>
      <c r="D955" t="str">
        <f>VLOOKUP(B955,Products!$A:$E,2,FALSE)</f>
        <v>Product_119</v>
      </c>
      <c r="E955" t="str">
        <f>VLOOKUP(B955,Products!$A:$E,3,FALSE)</f>
        <v>Electronics</v>
      </c>
    </row>
    <row r="956" spans="1:5" x14ac:dyDescent="0.3">
      <c r="A956" t="s">
        <v>1966</v>
      </c>
      <c r="B956" t="s">
        <v>734</v>
      </c>
      <c r="C956">
        <v>24</v>
      </c>
      <c r="D956" t="str">
        <f>VLOOKUP(B956,Products!$A:$E,2,FALSE)</f>
        <v>Product_363</v>
      </c>
      <c r="E956" t="str">
        <f>VLOOKUP(B956,Products!$A:$E,3,FALSE)</f>
        <v>Storage</v>
      </c>
    </row>
    <row r="957" spans="1:5" x14ac:dyDescent="0.3">
      <c r="A957" t="s">
        <v>1967</v>
      </c>
      <c r="B957" t="s">
        <v>17</v>
      </c>
      <c r="C957">
        <v>32</v>
      </c>
      <c r="D957" t="str">
        <f>VLOOKUP(B957,Products!$A:$E,2,FALSE)</f>
        <v>Product_5</v>
      </c>
      <c r="E957" t="str">
        <f>VLOOKUP(B957,Products!$A:$E,3,FALSE)</f>
        <v>Networking</v>
      </c>
    </row>
    <row r="958" spans="1:5" x14ac:dyDescent="0.3">
      <c r="A958" t="s">
        <v>1968</v>
      </c>
      <c r="B958" t="s">
        <v>526</v>
      </c>
      <c r="C958">
        <v>63</v>
      </c>
      <c r="D958" t="str">
        <f>VLOOKUP(B958,Products!$A:$E,2,FALSE)</f>
        <v>Product_259</v>
      </c>
      <c r="E958" t="str">
        <f>VLOOKUP(B958,Products!$A:$E,3,FALSE)</f>
        <v>Electronics</v>
      </c>
    </row>
    <row r="959" spans="1:5" x14ac:dyDescent="0.3">
      <c r="A959" t="s">
        <v>1969</v>
      </c>
      <c r="B959" t="s">
        <v>392</v>
      </c>
      <c r="C959">
        <v>12</v>
      </c>
      <c r="D959" t="str">
        <f>VLOOKUP(B959,Products!$A:$E,2,FALSE)</f>
        <v>Product_192</v>
      </c>
      <c r="E959" t="str">
        <f>VLOOKUP(B959,Products!$A:$E,3,FALSE)</f>
        <v>Office Supplies</v>
      </c>
    </row>
    <row r="960" spans="1:5" x14ac:dyDescent="0.3">
      <c r="A960" t="s">
        <v>1970</v>
      </c>
      <c r="B960" t="s">
        <v>642</v>
      </c>
      <c r="C960">
        <v>86</v>
      </c>
      <c r="D960" t="str">
        <f>VLOOKUP(B960,Products!$A:$E,2,FALSE)</f>
        <v>Product_317</v>
      </c>
      <c r="E960" t="str">
        <f>VLOOKUP(B960,Products!$A:$E,3,FALSE)</f>
        <v>Storage</v>
      </c>
    </row>
    <row r="961" spans="1:5" x14ac:dyDescent="0.3">
      <c r="A961" t="s">
        <v>1971</v>
      </c>
      <c r="B961" t="s">
        <v>692</v>
      </c>
      <c r="C961">
        <v>83</v>
      </c>
      <c r="D961" t="str">
        <f>VLOOKUP(B961,Products!$A:$E,2,FALSE)</f>
        <v>Product_342</v>
      </c>
      <c r="E961" t="str">
        <f>VLOOKUP(B961,Products!$A:$E,3,FALSE)</f>
        <v>Accessories</v>
      </c>
    </row>
    <row r="962" spans="1:5" x14ac:dyDescent="0.3">
      <c r="A962" t="s">
        <v>1972</v>
      </c>
      <c r="B962" t="s">
        <v>944</v>
      </c>
      <c r="C962">
        <v>66</v>
      </c>
      <c r="D962" t="str">
        <f>VLOOKUP(B962,Products!$A:$E,2,FALSE)</f>
        <v>Product_468</v>
      </c>
      <c r="E962" t="str">
        <f>VLOOKUP(B962,Products!$A:$E,3,FALSE)</f>
        <v>Office Supplies</v>
      </c>
    </row>
    <row r="963" spans="1:5" x14ac:dyDescent="0.3">
      <c r="A963" t="s">
        <v>1973</v>
      </c>
      <c r="B963" t="s">
        <v>684</v>
      </c>
      <c r="C963">
        <v>67</v>
      </c>
      <c r="D963" t="str">
        <f>VLOOKUP(B963,Products!$A:$E,2,FALSE)</f>
        <v>Product_338</v>
      </c>
      <c r="E963" t="str">
        <f>VLOOKUP(B963,Products!$A:$E,3,FALSE)</f>
        <v>Networking</v>
      </c>
    </row>
    <row r="964" spans="1:5" x14ac:dyDescent="0.3">
      <c r="A964" t="s">
        <v>1974</v>
      </c>
      <c r="B964" t="s">
        <v>26</v>
      </c>
      <c r="C964">
        <v>5</v>
      </c>
      <c r="D964" t="str">
        <f>VLOOKUP(B964,Products!$A:$E,2,FALSE)</f>
        <v>Product_9</v>
      </c>
      <c r="E964" t="str">
        <f>VLOOKUP(B964,Products!$A:$E,3,FALSE)</f>
        <v>Storage</v>
      </c>
    </row>
    <row r="965" spans="1:5" x14ac:dyDescent="0.3">
      <c r="A965" t="s">
        <v>1975</v>
      </c>
      <c r="B965" t="s">
        <v>554</v>
      </c>
      <c r="C965">
        <v>75</v>
      </c>
      <c r="D965" t="str">
        <f>VLOOKUP(B965,Products!$A:$E,2,FALSE)</f>
        <v>Product_273</v>
      </c>
      <c r="E965" t="str">
        <f>VLOOKUP(B965,Products!$A:$E,3,FALSE)</f>
        <v>Networking</v>
      </c>
    </row>
    <row r="966" spans="1:5" x14ac:dyDescent="0.3">
      <c r="A966" t="s">
        <v>1976</v>
      </c>
      <c r="B966" t="s">
        <v>430</v>
      </c>
      <c r="C966">
        <v>6</v>
      </c>
      <c r="D966" t="str">
        <f>VLOOKUP(B966,Products!$A:$E,2,FALSE)</f>
        <v>Product_211</v>
      </c>
      <c r="E966" t="str">
        <f>VLOOKUP(B966,Products!$A:$E,3,FALSE)</f>
        <v>Storage</v>
      </c>
    </row>
    <row r="967" spans="1:5" x14ac:dyDescent="0.3">
      <c r="A967" t="s">
        <v>1977</v>
      </c>
      <c r="B967" t="s">
        <v>26</v>
      </c>
      <c r="C967">
        <v>72</v>
      </c>
      <c r="D967" t="str">
        <f>VLOOKUP(B967,Products!$A:$E,2,FALSE)</f>
        <v>Product_9</v>
      </c>
      <c r="E967" t="str">
        <f>VLOOKUP(B967,Products!$A:$E,3,FALSE)</f>
        <v>Storage</v>
      </c>
    </row>
    <row r="968" spans="1:5" x14ac:dyDescent="0.3">
      <c r="A968" t="s">
        <v>1978</v>
      </c>
      <c r="B968" t="s">
        <v>748</v>
      </c>
      <c r="C968">
        <v>40</v>
      </c>
      <c r="D968" t="str">
        <f>VLOOKUP(B968,Products!$A:$E,2,FALSE)</f>
        <v>Product_370</v>
      </c>
      <c r="E968" t="str">
        <f>VLOOKUP(B968,Products!$A:$E,3,FALSE)</f>
        <v>Networking</v>
      </c>
    </row>
    <row r="969" spans="1:5" x14ac:dyDescent="0.3">
      <c r="A969" t="s">
        <v>1979</v>
      </c>
      <c r="B969" t="s">
        <v>558</v>
      </c>
      <c r="C969">
        <v>41</v>
      </c>
      <c r="D969" t="str">
        <f>VLOOKUP(B969,Products!$A:$E,2,FALSE)</f>
        <v>Product_275</v>
      </c>
      <c r="E969" t="str">
        <f>VLOOKUP(B969,Products!$A:$E,3,FALSE)</f>
        <v>Accessories</v>
      </c>
    </row>
    <row r="970" spans="1:5" x14ac:dyDescent="0.3">
      <c r="A970" t="s">
        <v>1980</v>
      </c>
      <c r="B970" t="s">
        <v>26</v>
      </c>
      <c r="C970">
        <v>69</v>
      </c>
      <c r="D970" t="str">
        <f>VLOOKUP(B970,Products!$A:$E,2,FALSE)</f>
        <v>Product_9</v>
      </c>
      <c r="E970" t="str">
        <f>VLOOKUP(B970,Products!$A:$E,3,FALSE)</f>
        <v>Storage</v>
      </c>
    </row>
    <row r="971" spans="1:5" x14ac:dyDescent="0.3">
      <c r="A971" t="s">
        <v>1981</v>
      </c>
      <c r="B971" t="s">
        <v>842</v>
      </c>
      <c r="C971">
        <v>94</v>
      </c>
      <c r="D971" t="str">
        <f>VLOOKUP(B971,Products!$A:$E,2,FALSE)</f>
        <v>Product_417</v>
      </c>
      <c r="E971" t="str">
        <f>VLOOKUP(B971,Products!$A:$E,3,FALSE)</f>
        <v>Accessories</v>
      </c>
    </row>
    <row r="972" spans="1:5" x14ac:dyDescent="0.3">
      <c r="A972" t="s">
        <v>1982</v>
      </c>
      <c r="B972" t="s">
        <v>700</v>
      </c>
      <c r="C972">
        <v>60</v>
      </c>
      <c r="D972" t="str">
        <f>VLOOKUP(B972,Products!$A:$E,2,FALSE)</f>
        <v>Product_346</v>
      </c>
      <c r="E972" t="str">
        <f>VLOOKUP(B972,Products!$A:$E,3,FALSE)</f>
        <v>Electronics</v>
      </c>
    </row>
    <row r="973" spans="1:5" x14ac:dyDescent="0.3">
      <c r="A973" t="s">
        <v>1983</v>
      </c>
      <c r="B973" t="s">
        <v>834</v>
      </c>
      <c r="C973">
        <v>27</v>
      </c>
      <c r="D973" t="str">
        <f>VLOOKUP(B973,Products!$A:$E,2,FALSE)</f>
        <v>Product_413</v>
      </c>
      <c r="E973" t="str">
        <f>VLOOKUP(B973,Products!$A:$E,3,FALSE)</f>
        <v>Accessories</v>
      </c>
    </row>
    <row r="974" spans="1:5" x14ac:dyDescent="0.3">
      <c r="A974" t="s">
        <v>1984</v>
      </c>
      <c r="B974" t="s">
        <v>118</v>
      </c>
      <c r="C974">
        <v>17</v>
      </c>
      <c r="D974" t="str">
        <f>VLOOKUP(B974,Products!$A:$E,2,FALSE)</f>
        <v>Product_55</v>
      </c>
      <c r="E974" t="str">
        <f>VLOOKUP(B974,Products!$A:$E,3,FALSE)</f>
        <v>Office Supplies</v>
      </c>
    </row>
    <row r="975" spans="1:5" x14ac:dyDescent="0.3">
      <c r="A975" t="s">
        <v>1985</v>
      </c>
      <c r="B975" t="s">
        <v>546</v>
      </c>
      <c r="C975">
        <v>24</v>
      </c>
      <c r="D975" t="str">
        <f>VLOOKUP(B975,Products!$A:$E,2,FALSE)</f>
        <v>Product_269</v>
      </c>
      <c r="E975" t="str">
        <f>VLOOKUP(B975,Products!$A:$E,3,FALSE)</f>
        <v>Storage</v>
      </c>
    </row>
    <row r="976" spans="1:5" x14ac:dyDescent="0.3">
      <c r="A976" t="s">
        <v>1986</v>
      </c>
      <c r="B976" t="s">
        <v>256</v>
      </c>
      <c r="C976">
        <v>29</v>
      </c>
      <c r="D976" t="str">
        <f>VLOOKUP(B976,Products!$A:$E,2,FALSE)</f>
        <v>Product_124</v>
      </c>
      <c r="E976" t="str">
        <f>VLOOKUP(B976,Products!$A:$E,3,FALSE)</f>
        <v>Storage</v>
      </c>
    </row>
    <row r="977" spans="1:5" x14ac:dyDescent="0.3">
      <c r="A977" t="s">
        <v>1987</v>
      </c>
      <c r="B977" t="s">
        <v>644</v>
      </c>
      <c r="C977">
        <v>72</v>
      </c>
      <c r="D977" t="str">
        <f>VLOOKUP(B977,Products!$A:$E,2,FALSE)</f>
        <v>Product_318</v>
      </c>
      <c r="E977" t="str">
        <f>VLOOKUP(B977,Products!$A:$E,3,FALSE)</f>
        <v>Storage</v>
      </c>
    </row>
    <row r="978" spans="1:5" x14ac:dyDescent="0.3">
      <c r="A978" t="s">
        <v>1988</v>
      </c>
      <c r="B978" t="s">
        <v>268</v>
      </c>
      <c r="C978">
        <v>50</v>
      </c>
      <c r="D978" t="str">
        <f>VLOOKUP(B978,Products!$A:$E,2,FALSE)</f>
        <v>Product_130</v>
      </c>
      <c r="E978" t="str">
        <f>VLOOKUP(B978,Products!$A:$E,3,FALSE)</f>
        <v>Storage</v>
      </c>
    </row>
    <row r="979" spans="1:5" x14ac:dyDescent="0.3">
      <c r="A979" t="s">
        <v>1989</v>
      </c>
      <c r="B979" t="s">
        <v>282</v>
      </c>
      <c r="C979">
        <v>55</v>
      </c>
      <c r="D979" t="str">
        <f>VLOOKUP(B979,Products!$A:$E,2,FALSE)</f>
        <v>Product_137</v>
      </c>
      <c r="E979" t="str">
        <f>VLOOKUP(B979,Products!$A:$E,3,FALSE)</f>
        <v>Storage</v>
      </c>
    </row>
    <row r="980" spans="1:5" x14ac:dyDescent="0.3">
      <c r="A980" t="s">
        <v>1990</v>
      </c>
      <c r="B980" t="s">
        <v>90</v>
      </c>
      <c r="C980">
        <v>52</v>
      </c>
      <c r="D980" t="str">
        <f>VLOOKUP(B980,Products!$A:$E,2,FALSE)</f>
        <v>Product_41</v>
      </c>
      <c r="E980" t="str">
        <f>VLOOKUP(B980,Products!$A:$E,3,FALSE)</f>
        <v>Accessories</v>
      </c>
    </row>
    <row r="981" spans="1:5" x14ac:dyDescent="0.3">
      <c r="A981" t="s">
        <v>1991</v>
      </c>
      <c r="B981" t="s">
        <v>992</v>
      </c>
      <c r="C981">
        <v>56</v>
      </c>
      <c r="D981" t="str">
        <f>VLOOKUP(B981,Products!$A:$E,2,FALSE)</f>
        <v>Product_492</v>
      </c>
      <c r="E981" t="str">
        <f>VLOOKUP(B981,Products!$A:$E,3,FALSE)</f>
        <v>Electronics</v>
      </c>
    </row>
    <row r="982" spans="1:5" x14ac:dyDescent="0.3">
      <c r="A982" t="s">
        <v>1992</v>
      </c>
      <c r="B982" t="s">
        <v>480</v>
      </c>
      <c r="C982">
        <v>77</v>
      </c>
      <c r="D982" t="str">
        <f>VLOOKUP(B982,Products!$A:$E,2,FALSE)</f>
        <v>Product_236</v>
      </c>
      <c r="E982" t="str">
        <f>VLOOKUP(B982,Products!$A:$E,3,FALSE)</f>
        <v>Networking</v>
      </c>
    </row>
    <row r="983" spans="1:5" x14ac:dyDescent="0.3">
      <c r="A983" t="s">
        <v>1993</v>
      </c>
      <c r="B983" t="s">
        <v>258</v>
      </c>
      <c r="C983">
        <v>94</v>
      </c>
      <c r="D983" t="str">
        <f>VLOOKUP(B983,Products!$A:$E,2,FALSE)</f>
        <v>Product_125</v>
      </c>
      <c r="E983" t="str">
        <f>VLOOKUP(B983,Products!$A:$E,3,FALSE)</f>
        <v>Office Supplies</v>
      </c>
    </row>
    <row r="984" spans="1:5" x14ac:dyDescent="0.3">
      <c r="A984" t="s">
        <v>1994</v>
      </c>
      <c r="B984" t="s">
        <v>240</v>
      </c>
      <c r="C984">
        <v>43</v>
      </c>
      <c r="D984" t="str">
        <f>VLOOKUP(B984,Products!$A:$E,2,FALSE)</f>
        <v>Product_116</v>
      </c>
      <c r="E984" t="str">
        <f>VLOOKUP(B984,Products!$A:$E,3,FALSE)</f>
        <v>Storage</v>
      </c>
    </row>
    <row r="985" spans="1:5" x14ac:dyDescent="0.3">
      <c r="A985" t="s">
        <v>1995</v>
      </c>
      <c r="B985" t="s">
        <v>710</v>
      </c>
      <c r="C985">
        <v>15</v>
      </c>
      <c r="D985" t="str">
        <f>VLOOKUP(B985,Products!$A:$E,2,FALSE)</f>
        <v>Product_351</v>
      </c>
      <c r="E985" t="str">
        <f>VLOOKUP(B985,Products!$A:$E,3,FALSE)</f>
        <v>Accessories</v>
      </c>
    </row>
    <row r="986" spans="1:5" x14ac:dyDescent="0.3">
      <c r="A986" t="s">
        <v>1996</v>
      </c>
      <c r="B986" t="s">
        <v>678</v>
      </c>
      <c r="C986">
        <v>88</v>
      </c>
      <c r="D986" t="str">
        <f>VLOOKUP(B986,Products!$A:$E,2,FALSE)</f>
        <v>Product_335</v>
      </c>
      <c r="E986" t="str">
        <f>VLOOKUP(B986,Products!$A:$E,3,FALSE)</f>
        <v>Networking</v>
      </c>
    </row>
    <row r="987" spans="1:5" x14ac:dyDescent="0.3">
      <c r="A987" t="s">
        <v>1997</v>
      </c>
      <c r="B987" t="s">
        <v>786</v>
      </c>
      <c r="C987">
        <v>9</v>
      </c>
      <c r="D987" t="str">
        <f>VLOOKUP(B987,Products!$A:$E,2,FALSE)</f>
        <v>Product_389</v>
      </c>
      <c r="E987" t="str">
        <f>VLOOKUP(B987,Products!$A:$E,3,FALSE)</f>
        <v>Networking</v>
      </c>
    </row>
    <row r="988" spans="1:5" x14ac:dyDescent="0.3">
      <c r="A988" t="s">
        <v>1998</v>
      </c>
      <c r="B988" t="s">
        <v>104</v>
      </c>
      <c r="C988">
        <v>56</v>
      </c>
      <c r="D988" t="str">
        <f>VLOOKUP(B988,Products!$A:$E,2,FALSE)</f>
        <v>Product_48</v>
      </c>
      <c r="E988" t="str">
        <f>VLOOKUP(B988,Products!$A:$E,3,FALSE)</f>
        <v>Accessories</v>
      </c>
    </row>
    <row r="989" spans="1:5" x14ac:dyDescent="0.3">
      <c r="A989" t="s">
        <v>1999</v>
      </c>
      <c r="B989" t="s">
        <v>398</v>
      </c>
      <c r="C989">
        <v>53</v>
      </c>
      <c r="D989" t="str">
        <f>VLOOKUP(B989,Products!$A:$E,2,FALSE)</f>
        <v>Product_195</v>
      </c>
      <c r="E989" t="str">
        <f>VLOOKUP(B989,Products!$A:$E,3,FALSE)</f>
        <v>Accessories</v>
      </c>
    </row>
    <row r="990" spans="1:5" x14ac:dyDescent="0.3">
      <c r="A990" t="s">
        <v>2000</v>
      </c>
      <c r="B990" t="s">
        <v>574</v>
      </c>
      <c r="C990">
        <v>65</v>
      </c>
      <c r="D990" t="str">
        <f>VLOOKUP(B990,Products!$A:$E,2,FALSE)</f>
        <v>Product_283</v>
      </c>
      <c r="E990" t="str">
        <f>VLOOKUP(B990,Products!$A:$E,3,FALSE)</f>
        <v>Networking</v>
      </c>
    </row>
    <row r="991" spans="1:5" x14ac:dyDescent="0.3">
      <c r="A991" t="s">
        <v>2001</v>
      </c>
      <c r="B991" t="s">
        <v>66</v>
      </c>
      <c r="C991">
        <v>86</v>
      </c>
      <c r="D991" t="str">
        <f>VLOOKUP(B991,Products!$A:$E,2,FALSE)</f>
        <v>Product_29</v>
      </c>
      <c r="E991" t="str">
        <f>VLOOKUP(B991,Products!$A:$E,3,FALSE)</f>
        <v>Electronics</v>
      </c>
    </row>
    <row r="992" spans="1:5" x14ac:dyDescent="0.3">
      <c r="A992" t="s">
        <v>2002</v>
      </c>
      <c r="B992" t="s">
        <v>17</v>
      </c>
      <c r="C992">
        <v>94</v>
      </c>
      <c r="D992" t="str">
        <f>VLOOKUP(B992,Products!$A:$E,2,FALSE)</f>
        <v>Product_5</v>
      </c>
      <c r="E992" t="str">
        <f>VLOOKUP(B992,Products!$A:$E,3,FALSE)</f>
        <v>Networking</v>
      </c>
    </row>
    <row r="993" spans="1:5" x14ac:dyDescent="0.3">
      <c r="A993" t="s">
        <v>2003</v>
      </c>
      <c r="B993" t="s">
        <v>184</v>
      </c>
      <c r="C993">
        <v>15</v>
      </c>
      <c r="D993" t="str">
        <f>VLOOKUP(B993,Products!$A:$E,2,FALSE)</f>
        <v>Product_88</v>
      </c>
      <c r="E993" t="str">
        <f>VLOOKUP(B993,Products!$A:$E,3,FALSE)</f>
        <v>Accessories</v>
      </c>
    </row>
    <row r="994" spans="1:5" x14ac:dyDescent="0.3">
      <c r="A994" t="s">
        <v>2004</v>
      </c>
      <c r="B994" t="s">
        <v>520</v>
      </c>
      <c r="C994">
        <v>60</v>
      </c>
      <c r="D994" t="str">
        <f>VLOOKUP(B994,Products!$A:$E,2,FALSE)</f>
        <v>Product_256</v>
      </c>
      <c r="E994" t="str">
        <f>VLOOKUP(B994,Products!$A:$E,3,FALSE)</f>
        <v>Office Supplies</v>
      </c>
    </row>
    <row r="995" spans="1:5" x14ac:dyDescent="0.3">
      <c r="A995" t="s">
        <v>2005</v>
      </c>
      <c r="B995" t="s">
        <v>670</v>
      </c>
      <c r="C995">
        <v>47</v>
      </c>
      <c r="D995" t="str">
        <f>VLOOKUP(B995,Products!$A:$E,2,FALSE)</f>
        <v>Product_331</v>
      </c>
      <c r="E995" t="str">
        <f>VLOOKUP(B995,Products!$A:$E,3,FALSE)</f>
        <v>Electronics</v>
      </c>
    </row>
    <row r="996" spans="1:5" x14ac:dyDescent="0.3">
      <c r="A996" t="s">
        <v>2006</v>
      </c>
      <c r="B996" t="s">
        <v>588</v>
      </c>
      <c r="C996">
        <v>17</v>
      </c>
      <c r="D996" t="str">
        <f>VLOOKUP(B996,Products!$A:$E,2,FALSE)</f>
        <v>Product_290</v>
      </c>
      <c r="E996" t="str">
        <f>VLOOKUP(B996,Products!$A:$E,3,FALSE)</f>
        <v>Accessories</v>
      </c>
    </row>
    <row r="997" spans="1:5" x14ac:dyDescent="0.3">
      <c r="A997" t="s">
        <v>2007</v>
      </c>
      <c r="B997" t="s">
        <v>926</v>
      </c>
      <c r="C997">
        <v>72</v>
      </c>
      <c r="D997" t="str">
        <f>VLOOKUP(B997,Products!$A:$E,2,FALSE)</f>
        <v>Product_459</v>
      </c>
      <c r="E997" t="str">
        <f>VLOOKUP(B997,Products!$A:$E,3,FALSE)</f>
        <v>Office Supplies</v>
      </c>
    </row>
    <row r="998" spans="1:5" x14ac:dyDescent="0.3">
      <c r="A998" t="s">
        <v>2008</v>
      </c>
      <c r="B998" t="s">
        <v>950</v>
      </c>
      <c r="C998">
        <v>10</v>
      </c>
      <c r="D998" t="str">
        <f>VLOOKUP(B998,Products!$A:$E,2,FALSE)</f>
        <v>Product_471</v>
      </c>
      <c r="E998" t="str">
        <f>VLOOKUP(B998,Products!$A:$E,3,FALSE)</f>
        <v>Office Supplies</v>
      </c>
    </row>
    <row r="999" spans="1:5" x14ac:dyDescent="0.3">
      <c r="A999" t="s">
        <v>2009</v>
      </c>
      <c r="B999" t="s">
        <v>244</v>
      </c>
      <c r="C999">
        <v>32</v>
      </c>
      <c r="D999" t="str">
        <f>VLOOKUP(B999,Products!$A:$E,2,FALSE)</f>
        <v>Product_118</v>
      </c>
      <c r="E999" t="str">
        <f>VLOOKUP(B999,Products!$A:$E,3,FALSE)</f>
        <v>Accessories</v>
      </c>
    </row>
    <row r="1000" spans="1:5" x14ac:dyDescent="0.3">
      <c r="A1000" t="s">
        <v>2010</v>
      </c>
      <c r="B1000" t="s">
        <v>932</v>
      </c>
      <c r="C1000">
        <v>93</v>
      </c>
      <c r="D1000" t="str">
        <f>VLOOKUP(B1000,Products!$A:$E,2,FALSE)</f>
        <v>Product_462</v>
      </c>
      <c r="E1000" t="str">
        <f>VLOOKUP(B1000,Products!$A:$E,3,FALSE)</f>
        <v>Electronics</v>
      </c>
    </row>
    <row r="1001" spans="1:5" x14ac:dyDescent="0.3">
      <c r="A1001" t="s">
        <v>2011</v>
      </c>
      <c r="B1001" t="s">
        <v>918</v>
      </c>
      <c r="C1001">
        <v>77</v>
      </c>
      <c r="D1001" t="str">
        <f>VLOOKUP(B1001,Products!$A:$E,2,FALSE)</f>
        <v>Product_455</v>
      </c>
      <c r="E1001" t="str">
        <f>VLOOKUP(B1001,Products!$A:$E,3,FALSE)</f>
        <v>Storage</v>
      </c>
    </row>
    <row r="1002" spans="1:5" x14ac:dyDescent="0.3">
      <c r="A1002" t="s">
        <v>2012</v>
      </c>
      <c r="B1002" t="s">
        <v>496</v>
      </c>
      <c r="C1002">
        <v>39</v>
      </c>
      <c r="D1002" t="str">
        <f>VLOOKUP(B1002,Products!$A:$E,2,FALSE)</f>
        <v>Product_244</v>
      </c>
      <c r="E1002" t="str">
        <f>VLOOKUP(B1002,Products!$A:$E,3,FALSE)</f>
        <v>Accessories</v>
      </c>
    </row>
    <row r="1003" spans="1:5" x14ac:dyDescent="0.3">
      <c r="A1003" t="s">
        <v>2013</v>
      </c>
      <c r="B1003" t="s">
        <v>56</v>
      </c>
      <c r="C1003">
        <v>14</v>
      </c>
      <c r="D1003" t="str">
        <f>VLOOKUP(B1003,Products!$A:$E,2,FALSE)</f>
        <v>Product_24</v>
      </c>
      <c r="E1003" t="str">
        <f>VLOOKUP(B1003,Products!$A:$E,3,FALSE)</f>
        <v>Accessories</v>
      </c>
    </row>
    <row r="1004" spans="1:5" x14ac:dyDescent="0.3">
      <c r="A1004" t="s">
        <v>2014</v>
      </c>
      <c r="B1004" t="s">
        <v>710</v>
      </c>
      <c r="C1004">
        <v>40</v>
      </c>
      <c r="D1004" t="str">
        <f>VLOOKUP(B1004,Products!$A:$E,2,FALSE)</f>
        <v>Product_351</v>
      </c>
      <c r="E1004" t="str">
        <f>VLOOKUP(B1004,Products!$A:$E,3,FALSE)</f>
        <v>Accessories</v>
      </c>
    </row>
    <row r="1005" spans="1:5" x14ac:dyDescent="0.3">
      <c r="A1005" t="s">
        <v>2015</v>
      </c>
      <c r="B1005" t="s">
        <v>930</v>
      </c>
      <c r="C1005">
        <v>74</v>
      </c>
      <c r="D1005" t="str">
        <f>VLOOKUP(B1005,Products!$A:$E,2,FALSE)</f>
        <v>Product_461</v>
      </c>
      <c r="E1005" t="str">
        <f>VLOOKUP(B1005,Products!$A:$E,3,FALSE)</f>
        <v>Accessories</v>
      </c>
    </row>
    <row r="1006" spans="1:5" x14ac:dyDescent="0.3">
      <c r="A1006" t="s">
        <v>2016</v>
      </c>
      <c r="B1006" t="s">
        <v>586</v>
      </c>
      <c r="C1006">
        <v>89</v>
      </c>
      <c r="D1006" t="str">
        <f>VLOOKUP(B1006,Products!$A:$E,2,FALSE)</f>
        <v>Product_289</v>
      </c>
      <c r="E1006" t="str">
        <f>VLOOKUP(B1006,Products!$A:$E,3,FALSE)</f>
        <v>Storage</v>
      </c>
    </row>
    <row r="1007" spans="1:5" x14ac:dyDescent="0.3">
      <c r="A1007" t="s">
        <v>2017</v>
      </c>
      <c r="B1007" t="s">
        <v>42</v>
      </c>
      <c r="C1007">
        <v>27</v>
      </c>
      <c r="D1007" t="str">
        <f>VLOOKUP(B1007,Products!$A:$E,2,FALSE)</f>
        <v>Product_17</v>
      </c>
      <c r="E1007" t="str">
        <f>VLOOKUP(B1007,Products!$A:$E,3,FALSE)</f>
        <v>Office Supplies</v>
      </c>
    </row>
    <row r="1008" spans="1:5" x14ac:dyDescent="0.3">
      <c r="A1008" t="s">
        <v>2018</v>
      </c>
      <c r="B1008" t="s">
        <v>960</v>
      </c>
      <c r="C1008">
        <v>45</v>
      </c>
      <c r="D1008" t="str">
        <f>VLOOKUP(B1008,Products!$A:$E,2,FALSE)</f>
        <v>Product_476</v>
      </c>
      <c r="E1008" t="str">
        <f>VLOOKUP(B1008,Products!$A:$E,3,FALSE)</f>
        <v>Office Supplies</v>
      </c>
    </row>
    <row r="1009" spans="1:5" x14ac:dyDescent="0.3">
      <c r="A1009" t="s">
        <v>2019</v>
      </c>
      <c r="B1009" t="s">
        <v>26</v>
      </c>
      <c r="C1009">
        <v>31</v>
      </c>
      <c r="D1009" t="str">
        <f>VLOOKUP(B1009,Products!$A:$E,2,FALSE)</f>
        <v>Product_9</v>
      </c>
      <c r="E1009" t="str">
        <f>VLOOKUP(B1009,Products!$A:$E,3,FALSE)</f>
        <v>Storage</v>
      </c>
    </row>
    <row r="1010" spans="1:5" x14ac:dyDescent="0.3">
      <c r="A1010" t="s">
        <v>2020</v>
      </c>
      <c r="B1010" t="s">
        <v>610</v>
      </c>
      <c r="C1010">
        <v>23</v>
      </c>
      <c r="D1010" t="str">
        <f>VLOOKUP(B1010,Products!$A:$E,2,FALSE)</f>
        <v>Product_301</v>
      </c>
      <c r="E1010" t="str">
        <f>VLOOKUP(B1010,Products!$A:$E,3,FALSE)</f>
        <v>Networking</v>
      </c>
    </row>
    <row r="1011" spans="1:5" x14ac:dyDescent="0.3">
      <c r="A1011" t="s">
        <v>2021</v>
      </c>
      <c r="B1011" t="s">
        <v>780</v>
      </c>
      <c r="C1011">
        <v>96</v>
      </c>
      <c r="D1011" t="str">
        <f>VLOOKUP(B1011,Products!$A:$E,2,FALSE)</f>
        <v>Product_386</v>
      </c>
      <c r="E1011" t="str">
        <f>VLOOKUP(B1011,Products!$A:$E,3,FALSE)</f>
        <v>Electronics</v>
      </c>
    </row>
    <row r="1012" spans="1:5" x14ac:dyDescent="0.3">
      <c r="A1012" t="s">
        <v>2022</v>
      </c>
      <c r="B1012" t="s">
        <v>850</v>
      </c>
      <c r="C1012">
        <v>55</v>
      </c>
      <c r="D1012" t="str">
        <f>VLOOKUP(B1012,Products!$A:$E,2,FALSE)</f>
        <v>Product_421</v>
      </c>
      <c r="E1012" t="str">
        <f>VLOOKUP(B1012,Products!$A:$E,3,FALSE)</f>
        <v>Accessories</v>
      </c>
    </row>
    <row r="1013" spans="1:5" x14ac:dyDescent="0.3">
      <c r="A1013" t="s">
        <v>2023</v>
      </c>
      <c r="B1013" t="s">
        <v>960</v>
      </c>
      <c r="C1013">
        <v>14</v>
      </c>
      <c r="D1013" t="str">
        <f>VLOOKUP(B1013,Products!$A:$E,2,FALSE)</f>
        <v>Product_476</v>
      </c>
      <c r="E1013" t="str">
        <f>VLOOKUP(B1013,Products!$A:$E,3,FALSE)</f>
        <v>Office Supplies</v>
      </c>
    </row>
    <row r="1014" spans="1:5" x14ac:dyDescent="0.3">
      <c r="A1014" t="s">
        <v>2024</v>
      </c>
      <c r="B1014" t="s">
        <v>316</v>
      </c>
      <c r="C1014">
        <v>25</v>
      </c>
      <c r="D1014" t="str">
        <f>VLOOKUP(B1014,Products!$A:$E,2,FALSE)</f>
        <v>Product_154</v>
      </c>
      <c r="E1014" t="str">
        <f>VLOOKUP(B1014,Products!$A:$E,3,FALSE)</f>
        <v>Accessories</v>
      </c>
    </row>
    <row r="1015" spans="1:5" x14ac:dyDescent="0.3">
      <c r="A1015" t="s">
        <v>2025</v>
      </c>
      <c r="B1015" t="s">
        <v>586</v>
      </c>
      <c r="C1015">
        <v>35</v>
      </c>
      <c r="D1015" t="str">
        <f>VLOOKUP(B1015,Products!$A:$E,2,FALSE)</f>
        <v>Product_289</v>
      </c>
      <c r="E1015" t="str">
        <f>VLOOKUP(B1015,Products!$A:$E,3,FALSE)</f>
        <v>Storage</v>
      </c>
    </row>
    <row r="1016" spans="1:5" x14ac:dyDescent="0.3">
      <c r="A1016" t="s">
        <v>2026</v>
      </c>
      <c r="B1016" t="s">
        <v>590</v>
      </c>
      <c r="C1016">
        <v>54</v>
      </c>
      <c r="D1016" t="str">
        <f>VLOOKUP(B1016,Products!$A:$E,2,FALSE)</f>
        <v>Product_291</v>
      </c>
      <c r="E1016" t="str">
        <f>VLOOKUP(B1016,Products!$A:$E,3,FALSE)</f>
        <v>Networking</v>
      </c>
    </row>
    <row r="1017" spans="1:5" x14ac:dyDescent="0.3">
      <c r="A1017" t="s">
        <v>2027</v>
      </c>
      <c r="B1017" t="s">
        <v>702</v>
      </c>
      <c r="C1017">
        <v>74</v>
      </c>
      <c r="D1017" t="str">
        <f>VLOOKUP(B1017,Products!$A:$E,2,FALSE)</f>
        <v>Product_347</v>
      </c>
      <c r="E1017" t="str">
        <f>VLOOKUP(B1017,Products!$A:$E,3,FALSE)</f>
        <v>Storage</v>
      </c>
    </row>
    <row r="1018" spans="1:5" x14ac:dyDescent="0.3">
      <c r="A1018" t="s">
        <v>2028</v>
      </c>
      <c r="B1018" t="s">
        <v>348</v>
      </c>
      <c r="C1018">
        <v>54</v>
      </c>
      <c r="D1018" t="str">
        <f>VLOOKUP(B1018,Products!$A:$E,2,FALSE)</f>
        <v>Product_170</v>
      </c>
      <c r="E1018" t="str">
        <f>VLOOKUP(B1018,Products!$A:$E,3,FALSE)</f>
        <v>Office Supplies</v>
      </c>
    </row>
    <row r="1019" spans="1:5" x14ac:dyDescent="0.3">
      <c r="A1019" t="s">
        <v>2029</v>
      </c>
      <c r="B1019" t="s">
        <v>782</v>
      </c>
      <c r="C1019">
        <v>99</v>
      </c>
      <c r="D1019" t="str">
        <f>VLOOKUP(B1019,Products!$A:$E,2,FALSE)</f>
        <v>Product_387</v>
      </c>
      <c r="E1019" t="str">
        <f>VLOOKUP(B1019,Products!$A:$E,3,FALSE)</f>
        <v>Storage</v>
      </c>
    </row>
    <row r="1020" spans="1:5" x14ac:dyDescent="0.3">
      <c r="A1020" t="s">
        <v>2030</v>
      </c>
      <c r="B1020" t="s">
        <v>152</v>
      </c>
      <c r="C1020">
        <v>93</v>
      </c>
      <c r="D1020" t="str">
        <f>VLOOKUP(B1020,Products!$A:$E,2,FALSE)</f>
        <v>Product_72</v>
      </c>
      <c r="E1020" t="str">
        <f>VLOOKUP(B1020,Products!$A:$E,3,FALSE)</f>
        <v>Networking</v>
      </c>
    </row>
    <row r="1021" spans="1:5" x14ac:dyDescent="0.3">
      <c r="A1021" t="s">
        <v>2031</v>
      </c>
      <c r="B1021" t="s">
        <v>750</v>
      </c>
      <c r="C1021">
        <v>15</v>
      </c>
      <c r="D1021" t="str">
        <f>VLOOKUP(B1021,Products!$A:$E,2,FALSE)</f>
        <v>Product_371</v>
      </c>
      <c r="E1021" t="str">
        <f>VLOOKUP(B1021,Products!$A:$E,3,FALSE)</f>
        <v>Storage</v>
      </c>
    </row>
    <row r="1022" spans="1:5" x14ac:dyDescent="0.3">
      <c r="A1022" t="s">
        <v>2032</v>
      </c>
      <c r="B1022" t="s">
        <v>522</v>
      </c>
      <c r="C1022">
        <v>100</v>
      </c>
      <c r="D1022" t="str">
        <f>VLOOKUP(B1022,Products!$A:$E,2,FALSE)</f>
        <v>Product_257</v>
      </c>
      <c r="E1022" t="str">
        <f>VLOOKUP(B1022,Products!$A:$E,3,FALSE)</f>
        <v>Networking</v>
      </c>
    </row>
    <row r="1023" spans="1:5" x14ac:dyDescent="0.3">
      <c r="A1023" t="s">
        <v>2033</v>
      </c>
      <c r="B1023" t="s">
        <v>1006</v>
      </c>
      <c r="C1023">
        <v>49</v>
      </c>
      <c r="D1023" t="str">
        <f>VLOOKUP(B1023,Products!$A:$E,2,FALSE)</f>
        <v>Product_499</v>
      </c>
      <c r="E1023" t="str">
        <f>VLOOKUP(B1023,Products!$A:$E,3,FALSE)</f>
        <v>Office Supplies</v>
      </c>
    </row>
    <row r="1024" spans="1:5" x14ac:dyDescent="0.3">
      <c r="A1024" t="s">
        <v>2034</v>
      </c>
      <c r="B1024" t="s">
        <v>64</v>
      </c>
      <c r="C1024">
        <v>17</v>
      </c>
      <c r="D1024" t="str">
        <f>VLOOKUP(B1024,Products!$A:$E,2,FALSE)</f>
        <v>Product_28</v>
      </c>
      <c r="E1024" t="str">
        <f>VLOOKUP(B1024,Products!$A:$E,3,FALSE)</f>
        <v>Office Supplies</v>
      </c>
    </row>
    <row r="1025" spans="1:5" x14ac:dyDescent="0.3">
      <c r="A1025" t="s">
        <v>2035</v>
      </c>
      <c r="B1025" t="s">
        <v>456</v>
      </c>
      <c r="C1025">
        <v>34</v>
      </c>
      <c r="D1025" t="str">
        <f>VLOOKUP(B1025,Products!$A:$E,2,FALSE)</f>
        <v>Product_224</v>
      </c>
      <c r="E1025" t="str">
        <f>VLOOKUP(B1025,Products!$A:$E,3,FALSE)</f>
        <v>Storage</v>
      </c>
    </row>
    <row r="1026" spans="1:5" x14ac:dyDescent="0.3">
      <c r="A1026" t="s">
        <v>2036</v>
      </c>
      <c r="B1026" t="s">
        <v>868</v>
      </c>
      <c r="C1026">
        <v>14</v>
      </c>
      <c r="D1026" t="str">
        <f>VLOOKUP(B1026,Products!$A:$E,2,FALSE)</f>
        <v>Product_430</v>
      </c>
      <c r="E1026" t="str">
        <f>VLOOKUP(B1026,Products!$A:$E,3,FALSE)</f>
        <v>Electronics</v>
      </c>
    </row>
    <row r="1027" spans="1:5" x14ac:dyDescent="0.3">
      <c r="A1027" t="s">
        <v>2037</v>
      </c>
      <c r="B1027" t="s">
        <v>358</v>
      </c>
      <c r="C1027">
        <v>82</v>
      </c>
      <c r="D1027" t="str">
        <f>VLOOKUP(B1027,Products!$A:$E,2,FALSE)</f>
        <v>Product_175</v>
      </c>
      <c r="E1027" t="str">
        <f>VLOOKUP(B1027,Products!$A:$E,3,FALSE)</f>
        <v>Storage</v>
      </c>
    </row>
    <row r="1028" spans="1:5" x14ac:dyDescent="0.3">
      <c r="A1028" t="s">
        <v>2038</v>
      </c>
      <c r="B1028" t="s">
        <v>796</v>
      </c>
      <c r="C1028">
        <v>83</v>
      </c>
      <c r="D1028" t="str">
        <f>VLOOKUP(B1028,Products!$A:$E,2,FALSE)</f>
        <v>Product_394</v>
      </c>
      <c r="E1028" t="str">
        <f>VLOOKUP(B1028,Products!$A:$E,3,FALSE)</f>
        <v>Electronics</v>
      </c>
    </row>
    <row r="1029" spans="1:5" x14ac:dyDescent="0.3">
      <c r="A1029" t="s">
        <v>2039</v>
      </c>
      <c r="B1029" t="s">
        <v>986</v>
      </c>
      <c r="C1029">
        <v>81</v>
      </c>
      <c r="D1029" t="str">
        <f>VLOOKUP(B1029,Products!$A:$E,2,FALSE)</f>
        <v>Product_489</v>
      </c>
      <c r="E1029" t="str">
        <f>VLOOKUP(B1029,Products!$A:$E,3,FALSE)</f>
        <v>Networking</v>
      </c>
    </row>
    <row r="1030" spans="1:5" x14ac:dyDescent="0.3">
      <c r="A1030" t="s">
        <v>2040</v>
      </c>
      <c r="B1030" t="s">
        <v>416</v>
      </c>
      <c r="C1030">
        <v>46</v>
      </c>
      <c r="D1030" t="str">
        <f>VLOOKUP(B1030,Products!$A:$E,2,FALSE)</f>
        <v>Product_204</v>
      </c>
      <c r="E1030" t="str">
        <f>VLOOKUP(B1030,Products!$A:$E,3,FALSE)</f>
        <v>Office Supplies</v>
      </c>
    </row>
    <row r="1031" spans="1:5" x14ac:dyDescent="0.3">
      <c r="A1031" t="s">
        <v>2041</v>
      </c>
      <c r="B1031" t="s">
        <v>40</v>
      </c>
      <c r="C1031">
        <v>86</v>
      </c>
      <c r="D1031" t="str">
        <f>VLOOKUP(B1031,Products!$A:$E,2,FALSE)</f>
        <v>Product_16</v>
      </c>
      <c r="E1031" t="str">
        <f>VLOOKUP(B1031,Products!$A:$E,3,FALSE)</f>
        <v>Office Supplies</v>
      </c>
    </row>
    <row r="1032" spans="1:5" x14ac:dyDescent="0.3">
      <c r="A1032" t="s">
        <v>2042</v>
      </c>
      <c r="B1032" t="s">
        <v>288</v>
      </c>
      <c r="C1032">
        <v>62</v>
      </c>
      <c r="D1032" t="str">
        <f>VLOOKUP(B1032,Products!$A:$E,2,FALSE)</f>
        <v>Product_140</v>
      </c>
      <c r="E1032" t="str">
        <f>VLOOKUP(B1032,Products!$A:$E,3,FALSE)</f>
        <v>Electronics</v>
      </c>
    </row>
    <row r="1033" spans="1:5" x14ac:dyDescent="0.3">
      <c r="A1033" t="s">
        <v>2043</v>
      </c>
      <c r="B1033" t="s">
        <v>512</v>
      </c>
      <c r="C1033">
        <v>34</v>
      </c>
      <c r="D1033" t="str">
        <f>VLOOKUP(B1033,Products!$A:$E,2,FALSE)</f>
        <v>Product_252</v>
      </c>
      <c r="E1033" t="str">
        <f>VLOOKUP(B1033,Products!$A:$E,3,FALSE)</f>
        <v>Networking</v>
      </c>
    </row>
    <row r="1034" spans="1:5" x14ac:dyDescent="0.3">
      <c r="A1034" t="s">
        <v>2044</v>
      </c>
      <c r="B1034" t="s">
        <v>374</v>
      </c>
      <c r="C1034">
        <v>75</v>
      </c>
      <c r="D1034" t="str">
        <f>VLOOKUP(B1034,Products!$A:$E,2,FALSE)</f>
        <v>Product_183</v>
      </c>
      <c r="E1034" t="str">
        <f>VLOOKUP(B1034,Products!$A:$E,3,FALSE)</f>
        <v>Electronics</v>
      </c>
    </row>
    <row r="1035" spans="1:5" x14ac:dyDescent="0.3">
      <c r="A1035" t="s">
        <v>2045</v>
      </c>
      <c r="B1035" t="s">
        <v>972</v>
      </c>
      <c r="C1035">
        <v>53</v>
      </c>
      <c r="D1035" t="str">
        <f>VLOOKUP(B1035,Products!$A:$E,2,FALSE)</f>
        <v>Product_482</v>
      </c>
      <c r="E1035" t="str">
        <f>VLOOKUP(B1035,Products!$A:$E,3,FALSE)</f>
        <v>Storage</v>
      </c>
    </row>
    <row r="1036" spans="1:5" x14ac:dyDescent="0.3">
      <c r="A1036" t="s">
        <v>2046</v>
      </c>
      <c r="B1036" t="s">
        <v>452</v>
      </c>
      <c r="C1036">
        <v>28</v>
      </c>
      <c r="D1036" t="str">
        <f>VLOOKUP(B1036,Products!$A:$E,2,FALSE)</f>
        <v>Product_222</v>
      </c>
      <c r="E1036" t="str">
        <f>VLOOKUP(B1036,Products!$A:$E,3,FALSE)</f>
        <v>Networking</v>
      </c>
    </row>
    <row r="1037" spans="1:5" x14ac:dyDescent="0.3">
      <c r="A1037" t="s">
        <v>2047</v>
      </c>
      <c r="B1037" t="s">
        <v>706</v>
      </c>
      <c r="C1037">
        <v>79</v>
      </c>
      <c r="D1037" t="str">
        <f>VLOOKUP(B1037,Products!$A:$E,2,FALSE)</f>
        <v>Product_349</v>
      </c>
      <c r="E1037" t="str">
        <f>VLOOKUP(B1037,Products!$A:$E,3,FALSE)</f>
        <v>Office Supplies</v>
      </c>
    </row>
    <row r="1038" spans="1:5" x14ac:dyDescent="0.3">
      <c r="A1038" t="s">
        <v>2048</v>
      </c>
      <c r="B1038" t="s">
        <v>686</v>
      </c>
      <c r="C1038">
        <v>53</v>
      </c>
      <c r="D1038" t="str">
        <f>VLOOKUP(B1038,Products!$A:$E,2,FALSE)</f>
        <v>Product_339</v>
      </c>
      <c r="E1038" t="str">
        <f>VLOOKUP(B1038,Products!$A:$E,3,FALSE)</f>
        <v>Storage</v>
      </c>
    </row>
    <row r="1039" spans="1:5" x14ac:dyDescent="0.3">
      <c r="A1039" t="s">
        <v>2049</v>
      </c>
      <c r="B1039" t="s">
        <v>96</v>
      </c>
      <c r="C1039">
        <v>84</v>
      </c>
      <c r="D1039" t="str">
        <f>VLOOKUP(B1039,Products!$A:$E,2,FALSE)</f>
        <v>Product_44</v>
      </c>
      <c r="E1039" t="str">
        <f>VLOOKUP(B1039,Products!$A:$E,3,FALSE)</f>
        <v>Storage</v>
      </c>
    </row>
    <row r="1040" spans="1:5" x14ac:dyDescent="0.3">
      <c r="A1040" t="s">
        <v>2050</v>
      </c>
      <c r="B1040" t="s">
        <v>312</v>
      </c>
      <c r="C1040">
        <v>36</v>
      </c>
      <c r="D1040" t="str">
        <f>VLOOKUP(B1040,Products!$A:$E,2,FALSE)</f>
        <v>Product_152</v>
      </c>
      <c r="E1040" t="str">
        <f>VLOOKUP(B1040,Products!$A:$E,3,FALSE)</f>
        <v>Storage</v>
      </c>
    </row>
    <row r="1041" spans="1:5" x14ac:dyDescent="0.3">
      <c r="A1041" t="s">
        <v>2051</v>
      </c>
      <c r="B1041" t="s">
        <v>740</v>
      </c>
      <c r="C1041">
        <v>14</v>
      </c>
      <c r="D1041" t="str">
        <f>VLOOKUP(B1041,Products!$A:$E,2,FALSE)</f>
        <v>Product_366</v>
      </c>
      <c r="E1041" t="str">
        <f>VLOOKUP(B1041,Products!$A:$E,3,FALSE)</f>
        <v>Electronics</v>
      </c>
    </row>
    <row r="1042" spans="1:5" x14ac:dyDescent="0.3">
      <c r="A1042" t="s">
        <v>2052</v>
      </c>
      <c r="B1042" t="s">
        <v>94</v>
      </c>
      <c r="C1042">
        <v>39</v>
      </c>
      <c r="D1042" t="str">
        <f>VLOOKUP(B1042,Products!$A:$E,2,FALSE)</f>
        <v>Product_43</v>
      </c>
      <c r="E1042" t="str">
        <f>VLOOKUP(B1042,Products!$A:$E,3,FALSE)</f>
        <v>Storage</v>
      </c>
    </row>
    <row r="1043" spans="1:5" x14ac:dyDescent="0.3">
      <c r="A1043" t="s">
        <v>2053</v>
      </c>
      <c r="B1043" t="s">
        <v>166</v>
      </c>
      <c r="C1043">
        <v>53</v>
      </c>
      <c r="D1043" t="str">
        <f>VLOOKUP(B1043,Products!$A:$E,2,FALSE)</f>
        <v>Product_79</v>
      </c>
      <c r="E1043" t="str">
        <f>VLOOKUP(B1043,Products!$A:$E,3,FALSE)</f>
        <v>Storage</v>
      </c>
    </row>
    <row r="1044" spans="1:5" x14ac:dyDescent="0.3">
      <c r="A1044" t="s">
        <v>2054</v>
      </c>
      <c r="B1044" t="s">
        <v>738</v>
      </c>
      <c r="C1044">
        <v>86</v>
      </c>
      <c r="D1044" t="str">
        <f>VLOOKUP(B1044,Products!$A:$E,2,FALSE)</f>
        <v>Product_365</v>
      </c>
      <c r="E1044" t="str">
        <f>VLOOKUP(B1044,Products!$A:$E,3,FALSE)</f>
        <v>Storage</v>
      </c>
    </row>
    <row r="1045" spans="1:5" x14ac:dyDescent="0.3">
      <c r="A1045" t="s">
        <v>2055</v>
      </c>
      <c r="B1045" t="s">
        <v>166</v>
      </c>
      <c r="C1045">
        <v>99</v>
      </c>
      <c r="D1045" t="str">
        <f>VLOOKUP(B1045,Products!$A:$E,2,FALSE)</f>
        <v>Product_79</v>
      </c>
      <c r="E1045" t="str">
        <f>VLOOKUP(B1045,Products!$A:$E,3,FALSE)</f>
        <v>Storage</v>
      </c>
    </row>
    <row r="1046" spans="1:5" x14ac:dyDescent="0.3">
      <c r="A1046" t="s">
        <v>2056</v>
      </c>
      <c r="B1046" t="s">
        <v>408</v>
      </c>
      <c r="C1046">
        <v>45</v>
      </c>
      <c r="D1046" t="str">
        <f>VLOOKUP(B1046,Products!$A:$E,2,FALSE)</f>
        <v>Product_200</v>
      </c>
      <c r="E1046" t="str">
        <f>VLOOKUP(B1046,Products!$A:$E,3,FALSE)</f>
        <v>Office Supplies</v>
      </c>
    </row>
    <row r="1047" spans="1:5" x14ac:dyDescent="0.3">
      <c r="A1047" t="s">
        <v>2057</v>
      </c>
      <c r="B1047" t="s">
        <v>378</v>
      </c>
      <c r="C1047">
        <v>18</v>
      </c>
      <c r="D1047" t="str">
        <f>VLOOKUP(B1047,Products!$A:$E,2,FALSE)</f>
        <v>Product_185</v>
      </c>
      <c r="E1047" t="str">
        <f>VLOOKUP(B1047,Products!$A:$E,3,FALSE)</f>
        <v>Storage</v>
      </c>
    </row>
    <row r="1048" spans="1:5" x14ac:dyDescent="0.3">
      <c r="A1048" t="s">
        <v>2058</v>
      </c>
      <c r="B1048" t="s">
        <v>102</v>
      </c>
      <c r="C1048">
        <v>5</v>
      </c>
      <c r="D1048" t="str">
        <f>VLOOKUP(B1048,Products!$A:$E,2,FALSE)</f>
        <v>Product_47</v>
      </c>
      <c r="E1048" t="str">
        <f>VLOOKUP(B1048,Products!$A:$E,3,FALSE)</f>
        <v>Electronics</v>
      </c>
    </row>
    <row r="1049" spans="1:5" x14ac:dyDescent="0.3">
      <c r="A1049" t="s">
        <v>2059</v>
      </c>
      <c r="B1049" t="s">
        <v>974</v>
      </c>
      <c r="C1049">
        <v>44</v>
      </c>
      <c r="D1049" t="str">
        <f>VLOOKUP(B1049,Products!$A:$E,2,FALSE)</f>
        <v>Product_483</v>
      </c>
      <c r="E1049" t="str">
        <f>VLOOKUP(B1049,Products!$A:$E,3,FALSE)</f>
        <v>Electronics</v>
      </c>
    </row>
    <row r="1050" spans="1:5" x14ac:dyDescent="0.3">
      <c r="A1050" t="s">
        <v>2060</v>
      </c>
      <c r="B1050" t="s">
        <v>464</v>
      </c>
      <c r="C1050">
        <v>51</v>
      </c>
      <c r="D1050" t="str">
        <f>VLOOKUP(B1050,Products!$A:$E,2,FALSE)</f>
        <v>Product_228</v>
      </c>
      <c r="E1050" t="str">
        <f>VLOOKUP(B1050,Products!$A:$E,3,FALSE)</f>
        <v>Storage</v>
      </c>
    </row>
    <row r="1051" spans="1:5" x14ac:dyDescent="0.3">
      <c r="A1051" t="s">
        <v>2061</v>
      </c>
      <c r="B1051" t="s">
        <v>788</v>
      </c>
      <c r="C1051">
        <v>39</v>
      </c>
      <c r="D1051" t="str">
        <f>VLOOKUP(B1051,Products!$A:$E,2,FALSE)</f>
        <v>Product_390</v>
      </c>
      <c r="E1051" t="str">
        <f>VLOOKUP(B1051,Products!$A:$E,3,FALSE)</f>
        <v>Storage</v>
      </c>
    </row>
    <row r="1052" spans="1:5" x14ac:dyDescent="0.3">
      <c r="A1052" t="s">
        <v>2062</v>
      </c>
      <c r="B1052" t="s">
        <v>114</v>
      </c>
      <c r="C1052">
        <v>21</v>
      </c>
      <c r="D1052" t="str">
        <f>VLOOKUP(B1052,Products!$A:$E,2,FALSE)</f>
        <v>Product_53</v>
      </c>
      <c r="E1052" t="str">
        <f>VLOOKUP(B1052,Products!$A:$E,3,FALSE)</f>
        <v>Electronics</v>
      </c>
    </row>
    <row r="1053" spans="1:5" x14ac:dyDescent="0.3">
      <c r="A1053" t="s">
        <v>2063</v>
      </c>
      <c r="B1053" t="s">
        <v>98</v>
      </c>
      <c r="C1053">
        <v>28</v>
      </c>
      <c r="D1053" t="str">
        <f>VLOOKUP(B1053,Products!$A:$E,2,FALSE)</f>
        <v>Product_45</v>
      </c>
      <c r="E1053" t="str">
        <f>VLOOKUP(B1053,Products!$A:$E,3,FALSE)</f>
        <v>Accessories</v>
      </c>
    </row>
    <row r="1054" spans="1:5" x14ac:dyDescent="0.3">
      <c r="A1054" t="s">
        <v>2064</v>
      </c>
      <c r="B1054" t="s">
        <v>450</v>
      </c>
      <c r="C1054">
        <v>62</v>
      </c>
      <c r="D1054" t="str">
        <f>VLOOKUP(B1054,Products!$A:$E,2,FALSE)</f>
        <v>Product_221</v>
      </c>
      <c r="E1054" t="str">
        <f>VLOOKUP(B1054,Products!$A:$E,3,FALSE)</f>
        <v>Office Supplies</v>
      </c>
    </row>
    <row r="1055" spans="1:5" x14ac:dyDescent="0.3">
      <c r="A1055" t="s">
        <v>2065</v>
      </c>
      <c r="B1055" t="s">
        <v>580</v>
      </c>
      <c r="C1055">
        <v>76</v>
      </c>
      <c r="D1055" t="str">
        <f>VLOOKUP(B1055,Products!$A:$E,2,FALSE)</f>
        <v>Product_286</v>
      </c>
      <c r="E1055" t="str">
        <f>VLOOKUP(B1055,Products!$A:$E,3,FALSE)</f>
        <v>Storage</v>
      </c>
    </row>
    <row r="1056" spans="1:5" x14ac:dyDescent="0.3">
      <c r="A1056" t="s">
        <v>2066</v>
      </c>
      <c r="B1056" t="s">
        <v>534</v>
      </c>
      <c r="C1056">
        <v>57</v>
      </c>
      <c r="D1056" t="str">
        <f>VLOOKUP(B1056,Products!$A:$E,2,FALSE)</f>
        <v>Product_263</v>
      </c>
      <c r="E1056" t="str">
        <f>VLOOKUP(B1056,Products!$A:$E,3,FALSE)</f>
        <v>Accessories</v>
      </c>
    </row>
    <row r="1057" spans="1:5" x14ac:dyDescent="0.3">
      <c r="A1057" t="s">
        <v>2067</v>
      </c>
      <c r="B1057" t="s">
        <v>114</v>
      </c>
      <c r="C1057">
        <v>8</v>
      </c>
      <c r="D1057" t="str">
        <f>VLOOKUP(B1057,Products!$A:$E,2,FALSE)</f>
        <v>Product_53</v>
      </c>
      <c r="E1057" t="str">
        <f>VLOOKUP(B1057,Products!$A:$E,3,FALSE)</f>
        <v>Electronics</v>
      </c>
    </row>
    <row r="1058" spans="1:5" x14ac:dyDescent="0.3">
      <c r="A1058" t="s">
        <v>2068</v>
      </c>
      <c r="B1058" t="s">
        <v>100</v>
      </c>
      <c r="C1058">
        <v>50</v>
      </c>
      <c r="D1058" t="str">
        <f>VLOOKUP(B1058,Products!$A:$E,2,FALSE)</f>
        <v>Product_46</v>
      </c>
      <c r="E1058" t="str">
        <f>VLOOKUP(B1058,Products!$A:$E,3,FALSE)</f>
        <v>Networking</v>
      </c>
    </row>
    <row r="1059" spans="1:5" x14ac:dyDescent="0.3">
      <c r="A1059" t="s">
        <v>2069</v>
      </c>
      <c r="B1059" t="s">
        <v>576</v>
      </c>
      <c r="C1059">
        <v>16</v>
      </c>
      <c r="D1059" t="str">
        <f>VLOOKUP(B1059,Products!$A:$E,2,FALSE)</f>
        <v>Product_284</v>
      </c>
      <c r="E1059" t="str">
        <f>VLOOKUP(B1059,Products!$A:$E,3,FALSE)</f>
        <v>Networking</v>
      </c>
    </row>
    <row r="1060" spans="1:5" x14ac:dyDescent="0.3">
      <c r="A1060" t="s">
        <v>2070</v>
      </c>
      <c r="B1060" t="s">
        <v>620</v>
      </c>
      <c r="C1060">
        <v>81</v>
      </c>
      <c r="D1060" t="str">
        <f>VLOOKUP(B1060,Products!$A:$E,2,FALSE)</f>
        <v>Product_306</v>
      </c>
      <c r="E1060" t="str">
        <f>VLOOKUP(B1060,Products!$A:$E,3,FALSE)</f>
        <v>Accessories</v>
      </c>
    </row>
    <row r="1061" spans="1:5" x14ac:dyDescent="0.3">
      <c r="A1061" t="s">
        <v>2071</v>
      </c>
      <c r="B1061" t="s">
        <v>812</v>
      </c>
      <c r="C1061">
        <v>46</v>
      </c>
      <c r="D1061" t="str">
        <f>VLOOKUP(B1061,Products!$A:$E,2,FALSE)</f>
        <v>Product_402</v>
      </c>
      <c r="E1061" t="str">
        <f>VLOOKUP(B1061,Products!$A:$E,3,FALSE)</f>
        <v>Accessories</v>
      </c>
    </row>
    <row r="1062" spans="1:5" x14ac:dyDescent="0.3">
      <c r="A1062" t="s">
        <v>2072</v>
      </c>
      <c r="B1062" t="s">
        <v>894</v>
      </c>
      <c r="C1062">
        <v>54</v>
      </c>
      <c r="D1062" t="str">
        <f>VLOOKUP(B1062,Products!$A:$E,2,FALSE)</f>
        <v>Product_443</v>
      </c>
      <c r="E1062" t="str">
        <f>VLOOKUP(B1062,Products!$A:$E,3,FALSE)</f>
        <v>Networking</v>
      </c>
    </row>
    <row r="1063" spans="1:5" x14ac:dyDescent="0.3">
      <c r="A1063" t="s">
        <v>2073</v>
      </c>
      <c r="B1063" t="s">
        <v>22</v>
      </c>
      <c r="C1063">
        <v>42</v>
      </c>
      <c r="D1063" t="str">
        <f>VLOOKUP(B1063,Products!$A:$E,2,FALSE)</f>
        <v>Product_7</v>
      </c>
      <c r="E1063" t="str">
        <f>VLOOKUP(B1063,Products!$A:$E,3,FALSE)</f>
        <v>Storage</v>
      </c>
    </row>
    <row r="1064" spans="1:5" x14ac:dyDescent="0.3">
      <c r="A1064" t="s">
        <v>2074</v>
      </c>
      <c r="B1064" t="s">
        <v>432</v>
      </c>
      <c r="C1064">
        <v>54</v>
      </c>
      <c r="D1064" t="str">
        <f>VLOOKUP(B1064,Products!$A:$E,2,FALSE)</f>
        <v>Product_212</v>
      </c>
      <c r="E1064" t="str">
        <f>VLOOKUP(B1064,Products!$A:$E,3,FALSE)</f>
        <v>Networking</v>
      </c>
    </row>
    <row r="1065" spans="1:5" x14ac:dyDescent="0.3">
      <c r="A1065" t="s">
        <v>2075</v>
      </c>
      <c r="B1065" t="s">
        <v>806</v>
      </c>
      <c r="C1065">
        <v>15</v>
      </c>
      <c r="D1065" t="str">
        <f>VLOOKUP(B1065,Products!$A:$E,2,FALSE)</f>
        <v>Product_399</v>
      </c>
      <c r="E1065" t="str">
        <f>VLOOKUP(B1065,Products!$A:$E,3,FALSE)</f>
        <v>Networking</v>
      </c>
    </row>
    <row r="1066" spans="1:5" x14ac:dyDescent="0.3">
      <c r="A1066" t="s">
        <v>2076</v>
      </c>
      <c r="B1066" t="s">
        <v>752</v>
      </c>
      <c r="C1066">
        <v>76</v>
      </c>
      <c r="D1066" t="str">
        <f>VLOOKUP(B1066,Products!$A:$E,2,FALSE)</f>
        <v>Product_372</v>
      </c>
      <c r="E1066" t="str">
        <f>VLOOKUP(B1066,Products!$A:$E,3,FALSE)</f>
        <v>Networking</v>
      </c>
    </row>
    <row r="1067" spans="1:5" x14ac:dyDescent="0.3">
      <c r="A1067" t="s">
        <v>2077</v>
      </c>
      <c r="B1067" t="s">
        <v>936</v>
      </c>
      <c r="C1067">
        <v>36</v>
      </c>
      <c r="D1067" t="str">
        <f>VLOOKUP(B1067,Products!$A:$E,2,FALSE)</f>
        <v>Product_464</v>
      </c>
      <c r="E1067" t="str">
        <f>VLOOKUP(B1067,Products!$A:$E,3,FALSE)</f>
        <v>Office Supplies</v>
      </c>
    </row>
    <row r="1068" spans="1:5" x14ac:dyDescent="0.3">
      <c r="A1068" t="s">
        <v>2078</v>
      </c>
      <c r="B1068" t="s">
        <v>594</v>
      </c>
      <c r="C1068">
        <v>71</v>
      </c>
      <c r="D1068" t="str">
        <f>VLOOKUP(B1068,Products!$A:$E,2,FALSE)</f>
        <v>Product_293</v>
      </c>
      <c r="E1068" t="str">
        <f>VLOOKUP(B1068,Products!$A:$E,3,FALSE)</f>
        <v>Networking</v>
      </c>
    </row>
    <row r="1069" spans="1:5" x14ac:dyDescent="0.3">
      <c r="A1069" t="s">
        <v>2079</v>
      </c>
      <c r="B1069" t="s">
        <v>182</v>
      </c>
      <c r="C1069">
        <v>92</v>
      </c>
      <c r="D1069" t="str">
        <f>VLOOKUP(B1069,Products!$A:$E,2,FALSE)</f>
        <v>Product_87</v>
      </c>
      <c r="E1069" t="str">
        <f>VLOOKUP(B1069,Products!$A:$E,3,FALSE)</f>
        <v>Networking</v>
      </c>
    </row>
    <row r="1070" spans="1:5" x14ac:dyDescent="0.3">
      <c r="A1070" t="s">
        <v>2080</v>
      </c>
      <c r="B1070" t="s">
        <v>398</v>
      </c>
      <c r="C1070">
        <v>26</v>
      </c>
      <c r="D1070" t="str">
        <f>VLOOKUP(B1070,Products!$A:$E,2,FALSE)</f>
        <v>Product_195</v>
      </c>
      <c r="E1070" t="str">
        <f>VLOOKUP(B1070,Products!$A:$E,3,FALSE)</f>
        <v>Accessories</v>
      </c>
    </row>
    <row r="1071" spans="1:5" x14ac:dyDescent="0.3">
      <c r="A1071" t="s">
        <v>2081</v>
      </c>
      <c r="B1071" t="s">
        <v>152</v>
      </c>
      <c r="C1071">
        <v>39</v>
      </c>
      <c r="D1071" t="str">
        <f>VLOOKUP(B1071,Products!$A:$E,2,FALSE)</f>
        <v>Product_72</v>
      </c>
      <c r="E1071" t="str">
        <f>VLOOKUP(B1071,Products!$A:$E,3,FALSE)</f>
        <v>Networking</v>
      </c>
    </row>
    <row r="1072" spans="1:5" x14ac:dyDescent="0.3">
      <c r="A1072" t="s">
        <v>2082</v>
      </c>
      <c r="B1072" t="s">
        <v>318</v>
      </c>
      <c r="C1072">
        <v>39</v>
      </c>
      <c r="D1072" t="str">
        <f>VLOOKUP(B1072,Products!$A:$E,2,FALSE)</f>
        <v>Product_155</v>
      </c>
      <c r="E1072" t="str">
        <f>VLOOKUP(B1072,Products!$A:$E,3,FALSE)</f>
        <v>Office Supplies</v>
      </c>
    </row>
    <row r="1073" spans="1:5" x14ac:dyDescent="0.3">
      <c r="A1073" t="s">
        <v>2083</v>
      </c>
      <c r="B1073" t="s">
        <v>514</v>
      </c>
      <c r="C1073">
        <v>23</v>
      </c>
      <c r="D1073" t="str">
        <f>VLOOKUP(B1073,Products!$A:$E,2,FALSE)</f>
        <v>Product_253</v>
      </c>
      <c r="E1073" t="str">
        <f>VLOOKUP(B1073,Products!$A:$E,3,FALSE)</f>
        <v>Networking</v>
      </c>
    </row>
    <row r="1074" spans="1:5" x14ac:dyDescent="0.3">
      <c r="A1074" t="s">
        <v>2084</v>
      </c>
      <c r="B1074" t="s">
        <v>74</v>
      </c>
      <c r="C1074">
        <v>26</v>
      </c>
      <c r="D1074" t="str">
        <f>VLOOKUP(B1074,Products!$A:$E,2,FALSE)</f>
        <v>Product_33</v>
      </c>
      <c r="E1074" t="str">
        <f>VLOOKUP(B1074,Products!$A:$E,3,FALSE)</f>
        <v>Storage</v>
      </c>
    </row>
    <row r="1075" spans="1:5" x14ac:dyDescent="0.3">
      <c r="A1075" t="s">
        <v>2085</v>
      </c>
      <c r="B1075" t="s">
        <v>454</v>
      </c>
      <c r="C1075">
        <v>40</v>
      </c>
      <c r="D1075" t="str">
        <f>VLOOKUP(B1075,Products!$A:$E,2,FALSE)</f>
        <v>Product_223</v>
      </c>
      <c r="E1075" t="str">
        <f>VLOOKUP(B1075,Products!$A:$E,3,FALSE)</f>
        <v>Storage</v>
      </c>
    </row>
    <row r="1076" spans="1:5" x14ac:dyDescent="0.3">
      <c r="A1076" t="s">
        <v>2086</v>
      </c>
      <c r="B1076" t="s">
        <v>440</v>
      </c>
      <c r="C1076">
        <v>43</v>
      </c>
      <c r="D1076" t="str">
        <f>VLOOKUP(B1076,Products!$A:$E,2,FALSE)</f>
        <v>Product_216</v>
      </c>
      <c r="E1076" t="str">
        <f>VLOOKUP(B1076,Products!$A:$E,3,FALSE)</f>
        <v>Accessories</v>
      </c>
    </row>
    <row r="1077" spans="1:5" x14ac:dyDescent="0.3">
      <c r="A1077" t="s">
        <v>2087</v>
      </c>
      <c r="B1077" t="s">
        <v>504</v>
      </c>
      <c r="C1077">
        <v>14</v>
      </c>
      <c r="D1077" t="str">
        <f>VLOOKUP(B1077,Products!$A:$E,2,FALSE)</f>
        <v>Product_248</v>
      </c>
      <c r="E1077" t="str">
        <f>VLOOKUP(B1077,Products!$A:$E,3,FALSE)</f>
        <v>Networking</v>
      </c>
    </row>
    <row r="1078" spans="1:5" x14ac:dyDescent="0.3">
      <c r="A1078" t="s">
        <v>2088</v>
      </c>
      <c r="B1078" t="s">
        <v>378</v>
      </c>
      <c r="C1078">
        <v>37</v>
      </c>
      <c r="D1078" t="str">
        <f>VLOOKUP(B1078,Products!$A:$E,2,FALSE)</f>
        <v>Product_185</v>
      </c>
      <c r="E1078" t="str">
        <f>VLOOKUP(B1078,Products!$A:$E,3,FALSE)</f>
        <v>Storage</v>
      </c>
    </row>
    <row r="1079" spans="1:5" x14ac:dyDescent="0.3">
      <c r="A1079" t="s">
        <v>2089</v>
      </c>
      <c r="B1079" t="s">
        <v>976</v>
      </c>
      <c r="C1079">
        <v>36</v>
      </c>
      <c r="D1079" t="str">
        <f>VLOOKUP(B1079,Products!$A:$E,2,FALSE)</f>
        <v>Product_484</v>
      </c>
      <c r="E1079" t="str">
        <f>VLOOKUP(B1079,Products!$A:$E,3,FALSE)</f>
        <v>Networking</v>
      </c>
    </row>
    <row r="1080" spans="1:5" x14ac:dyDescent="0.3">
      <c r="A1080" t="s">
        <v>2090</v>
      </c>
      <c r="B1080" t="s">
        <v>748</v>
      </c>
      <c r="C1080">
        <v>85</v>
      </c>
      <c r="D1080" t="str">
        <f>VLOOKUP(B1080,Products!$A:$E,2,FALSE)</f>
        <v>Product_370</v>
      </c>
      <c r="E1080" t="str">
        <f>VLOOKUP(B1080,Products!$A:$E,3,FALSE)</f>
        <v>Networking</v>
      </c>
    </row>
    <row r="1081" spans="1:5" x14ac:dyDescent="0.3">
      <c r="A1081" t="s">
        <v>2091</v>
      </c>
      <c r="B1081" t="s">
        <v>516</v>
      </c>
      <c r="C1081">
        <v>81</v>
      </c>
      <c r="D1081" t="str">
        <f>VLOOKUP(B1081,Products!$A:$E,2,FALSE)</f>
        <v>Product_254</v>
      </c>
      <c r="E1081" t="str">
        <f>VLOOKUP(B1081,Products!$A:$E,3,FALSE)</f>
        <v>Office Supplies</v>
      </c>
    </row>
    <row r="1082" spans="1:5" x14ac:dyDescent="0.3">
      <c r="A1082" t="s">
        <v>2092</v>
      </c>
      <c r="B1082" t="s">
        <v>640</v>
      </c>
      <c r="C1082">
        <v>30</v>
      </c>
      <c r="D1082" t="str">
        <f>VLOOKUP(B1082,Products!$A:$E,2,FALSE)</f>
        <v>Product_316</v>
      </c>
      <c r="E1082" t="str">
        <f>VLOOKUP(B1082,Products!$A:$E,3,FALSE)</f>
        <v>Networking</v>
      </c>
    </row>
    <row r="1083" spans="1:5" x14ac:dyDescent="0.3">
      <c r="A1083" t="s">
        <v>2093</v>
      </c>
      <c r="B1083" t="s">
        <v>478</v>
      </c>
      <c r="C1083">
        <v>18</v>
      </c>
      <c r="D1083" t="str">
        <f>VLOOKUP(B1083,Products!$A:$E,2,FALSE)</f>
        <v>Product_235</v>
      </c>
      <c r="E1083" t="str">
        <f>VLOOKUP(B1083,Products!$A:$E,3,FALSE)</f>
        <v>Accessories</v>
      </c>
    </row>
    <row r="1084" spans="1:5" x14ac:dyDescent="0.3">
      <c r="A1084" t="s">
        <v>2094</v>
      </c>
      <c r="B1084" t="s">
        <v>148</v>
      </c>
      <c r="C1084">
        <v>43</v>
      </c>
      <c r="D1084" t="str">
        <f>VLOOKUP(B1084,Products!$A:$E,2,FALSE)</f>
        <v>Product_70</v>
      </c>
      <c r="E1084" t="str">
        <f>VLOOKUP(B1084,Products!$A:$E,3,FALSE)</f>
        <v>Electronics</v>
      </c>
    </row>
    <row r="1085" spans="1:5" x14ac:dyDescent="0.3">
      <c r="A1085" t="s">
        <v>2095</v>
      </c>
      <c r="B1085" t="s">
        <v>14</v>
      </c>
      <c r="C1085">
        <v>55</v>
      </c>
      <c r="D1085" t="str">
        <f>VLOOKUP(B1085,Products!$A:$E,2,FALSE)</f>
        <v>Product_4</v>
      </c>
      <c r="E1085" t="str">
        <f>VLOOKUP(B1085,Products!$A:$E,3,FALSE)</f>
        <v>Storage</v>
      </c>
    </row>
    <row r="1086" spans="1:5" x14ac:dyDescent="0.3">
      <c r="A1086" t="s">
        <v>2096</v>
      </c>
      <c r="B1086" t="s">
        <v>350</v>
      </c>
      <c r="C1086">
        <v>84</v>
      </c>
      <c r="D1086" t="str">
        <f>VLOOKUP(B1086,Products!$A:$E,2,FALSE)</f>
        <v>Product_171</v>
      </c>
      <c r="E1086" t="str">
        <f>VLOOKUP(B1086,Products!$A:$E,3,FALSE)</f>
        <v>Electronics</v>
      </c>
    </row>
    <row r="1087" spans="1:5" x14ac:dyDescent="0.3">
      <c r="A1087" t="s">
        <v>2097</v>
      </c>
      <c r="B1087" t="s">
        <v>398</v>
      </c>
      <c r="C1087">
        <v>47</v>
      </c>
      <c r="D1087" t="str">
        <f>VLOOKUP(B1087,Products!$A:$E,2,FALSE)</f>
        <v>Product_195</v>
      </c>
      <c r="E1087" t="str">
        <f>VLOOKUP(B1087,Products!$A:$E,3,FALSE)</f>
        <v>Accessories</v>
      </c>
    </row>
    <row r="1088" spans="1:5" x14ac:dyDescent="0.3">
      <c r="A1088" t="s">
        <v>2098</v>
      </c>
      <c r="B1088" t="s">
        <v>460</v>
      </c>
      <c r="C1088">
        <v>47</v>
      </c>
      <c r="D1088" t="str">
        <f>VLOOKUP(B1088,Products!$A:$E,2,FALSE)</f>
        <v>Product_226</v>
      </c>
      <c r="E1088" t="str">
        <f>VLOOKUP(B1088,Products!$A:$E,3,FALSE)</f>
        <v>Networking</v>
      </c>
    </row>
    <row r="1089" spans="1:5" x14ac:dyDescent="0.3">
      <c r="A1089" t="s">
        <v>2099</v>
      </c>
      <c r="B1089" t="s">
        <v>450</v>
      </c>
      <c r="C1089">
        <v>88</v>
      </c>
      <c r="D1089" t="str">
        <f>VLOOKUP(B1089,Products!$A:$E,2,FALSE)</f>
        <v>Product_221</v>
      </c>
      <c r="E1089" t="str">
        <f>VLOOKUP(B1089,Products!$A:$E,3,FALSE)</f>
        <v>Office Supplies</v>
      </c>
    </row>
    <row r="1090" spans="1:5" x14ac:dyDescent="0.3">
      <c r="A1090" t="s">
        <v>2100</v>
      </c>
      <c r="B1090" t="s">
        <v>1006</v>
      </c>
      <c r="C1090">
        <v>81</v>
      </c>
      <c r="D1090" t="str">
        <f>VLOOKUP(B1090,Products!$A:$E,2,FALSE)</f>
        <v>Product_499</v>
      </c>
      <c r="E1090" t="str">
        <f>VLOOKUP(B1090,Products!$A:$E,3,FALSE)</f>
        <v>Office Supplies</v>
      </c>
    </row>
    <row r="1091" spans="1:5" x14ac:dyDescent="0.3">
      <c r="A1091" t="s">
        <v>2101</v>
      </c>
      <c r="B1091" t="s">
        <v>148</v>
      </c>
      <c r="C1091">
        <v>43</v>
      </c>
      <c r="D1091" t="str">
        <f>VLOOKUP(B1091,Products!$A:$E,2,FALSE)</f>
        <v>Product_70</v>
      </c>
      <c r="E1091" t="str">
        <f>VLOOKUP(B1091,Products!$A:$E,3,FALSE)</f>
        <v>Electronics</v>
      </c>
    </row>
    <row r="1092" spans="1:5" x14ac:dyDescent="0.3">
      <c r="A1092" t="s">
        <v>2102</v>
      </c>
      <c r="B1092" t="s">
        <v>338</v>
      </c>
      <c r="C1092">
        <v>82</v>
      </c>
      <c r="D1092" t="str">
        <f>VLOOKUP(B1092,Products!$A:$E,2,FALSE)</f>
        <v>Product_165</v>
      </c>
      <c r="E1092" t="str">
        <f>VLOOKUP(B1092,Products!$A:$E,3,FALSE)</f>
        <v>Office Supplies</v>
      </c>
    </row>
    <row r="1093" spans="1:5" x14ac:dyDescent="0.3">
      <c r="A1093" t="s">
        <v>2103</v>
      </c>
      <c r="B1093" t="s">
        <v>980</v>
      </c>
      <c r="C1093">
        <v>93</v>
      </c>
      <c r="D1093" t="str">
        <f>VLOOKUP(B1093,Products!$A:$E,2,FALSE)</f>
        <v>Product_486</v>
      </c>
      <c r="E1093" t="str">
        <f>VLOOKUP(B1093,Products!$A:$E,3,FALSE)</f>
        <v>Electronics</v>
      </c>
    </row>
    <row r="1094" spans="1:5" x14ac:dyDescent="0.3">
      <c r="A1094" t="s">
        <v>2104</v>
      </c>
      <c r="B1094" t="s">
        <v>214</v>
      </c>
      <c r="C1094">
        <v>66</v>
      </c>
      <c r="D1094" t="str">
        <f>VLOOKUP(B1094,Products!$A:$E,2,FALSE)</f>
        <v>Product_103</v>
      </c>
      <c r="E1094" t="str">
        <f>VLOOKUP(B1094,Products!$A:$E,3,FALSE)</f>
        <v>Accessories</v>
      </c>
    </row>
    <row r="1095" spans="1:5" x14ac:dyDescent="0.3">
      <c r="A1095" t="s">
        <v>2105</v>
      </c>
      <c r="B1095" t="s">
        <v>330</v>
      </c>
      <c r="C1095">
        <v>27</v>
      </c>
      <c r="D1095" t="str">
        <f>VLOOKUP(B1095,Products!$A:$E,2,FALSE)</f>
        <v>Product_161</v>
      </c>
      <c r="E1095" t="str">
        <f>VLOOKUP(B1095,Products!$A:$E,3,FALSE)</f>
        <v>Networking</v>
      </c>
    </row>
    <row r="1096" spans="1:5" x14ac:dyDescent="0.3">
      <c r="A1096" t="s">
        <v>2106</v>
      </c>
      <c r="B1096" t="s">
        <v>996</v>
      </c>
      <c r="C1096">
        <v>55</v>
      </c>
      <c r="D1096" t="str">
        <f>VLOOKUP(B1096,Products!$A:$E,2,FALSE)</f>
        <v>Product_494</v>
      </c>
      <c r="E1096" t="str">
        <f>VLOOKUP(B1096,Products!$A:$E,3,FALSE)</f>
        <v>Office Supplies</v>
      </c>
    </row>
    <row r="1097" spans="1:5" x14ac:dyDescent="0.3">
      <c r="A1097" t="s">
        <v>2107</v>
      </c>
      <c r="B1097" t="s">
        <v>1000</v>
      </c>
      <c r="C1097">
        <v>45</v>
      </c>
      <c r="D1097" t="str">
        <f>VLOOKUP(B1097,Products!$A:$E,2,FALSE)</f>
        <v>Product_496</v>
      </c>
      <c r="E1097" t="str">
        <f>VLOOKUP(B1097,Products!$A:$E,3,FALSE)</f>
        <v>Office Supplies</v>
      </c>
    </row>
    <row r="1098" spans="1:5" x14ac:dyDescent="0.3">
      <c r="A1098" t="s">
        <v>2108</v>
      </c>
      <c r="B1098" t="s">
        <v>308</v>
      </c>
      <c r="C1098">
        <v>99</v>
      </c>
      <c r="D1098" t="str">
        <f>VLOOKUP(B1098,Products!$A:$E,2,FALSE)</f>
        <v>Product_150</v>
      </c>
      <c r="E1098" t="str">
        <f>VLOOKUP(B1098,Products!$A:$E,3,FALSE)</f>
        <v>Accessories</v>
      </c>
    </row>
    <row r="1099" spans="1:5" x14ac:dyDescent="0.3">
      <c r="A1099" t="s">
        <v>2109</v>
      </c>
      <c r="B1099" t="s">
        <v>720</v>
      </c>
      <c r="C1099">
        <v>86</v>
      </c>
      <c r="D1099" t="str">
        <f>VLOOKUP(B1099,Products!$A:$E,2,FALSE)</f>
        <v>Product_356</v>
      </c>
      <c r="E1099" t="str">
        <f>VLOOKUP(B1099,Products!$A:$E,3,FALSE)</f>
        <v>Accessories</v>
      </c>
    </row>
    <row r="1100" spans="1:5" x14ac:dyDescent="0.3">
      <c r="A1100" t="s">
        <v>2110</v>
      </c>
      <c r="B1100" t="s">
        <v>512</v>
      </c>
      <c r="C1100">
        <v>78</v>
      </c>
      <c r="D1100" t="str">
        <f>VLOOKUP(B1100,Products!$A:$E,2,FALSE)</f>
        <v>Product_252</v>
      </c>
      <c r="E1100" t="str">
        <f>VLOOKUP(B1100,Products!$A:$E,3,FALSE)</f>
        <v>Networking</v>
      </c>
    </row>
    <row r="1101" spans="1:5" x14ac:dyDescent="0.3">
      <c r="A1101" t="s">
        <v>2111</v>
      </c>
      <c r="B1101" t="s">
        <v>810</v>
      </c>
      <c r="C1101">
        <v>36</v>
      </c>
      <c r="D1101" t="str">
        <f>VLOOKUP(B1101,Products!$A:$E,2,FALSE)</f>
        <v>Product_401</v>
      </c>
      <c r="E1101" t="str">
        <f>VLOOKUP(B1101,Products!$A:$E,3,FALSE)</f>
        <v>Storage</v>
      </c>
    </row>
    <row r="1102" spans="1:5" x14ac:dyDescent="0.3">
      <c r="A1102" t="s">
        <v>2112</v>
      </c>
      <c r="B1102" t="s">
        <v>342</v>
      </c>
      <c r="C1102">
        <v>53</v>
      </c>
      <c r="D1102" t="str">
        <f>VLOOKUP(B1102,Products!$A:$E,2,FALSE)</f>
        <v>Product_167</v>
      </c>
      <c r="E1102" t="str">
        <f>VLOOKUP(B1102,Products!$A:$E,3,FALSE)</f>
        <v>Electronics</v>
      </c>
    </row>
    <row r="1103" spans="1:5" x14ac:dyDescent="0.3">
      <c r="A1103" t="s">
        <v>2113</v>
      </c>
      <c r="B1103" t="s">
        <v>296</v>
      </c>
      <c r="C1103">
        <v>55</v>
      </c>
      <c r="D1103" t="str">
        <f>VLOOKUP(B1103,Products!$A:$E,2,FALSE)</f>
        <v>Product_144</v>
      </c>
      <c r="E1103" t="str">
        <f>VLOOKUP(B1103,Products!$A:$E,3,FALSE)</f>
        <v>Office Supplies</v>
      </c>
    </row>
    <row r="1104" spans="1:5" x14ac:dyDescent="0.3">
      <c r="A1104" t="s">
        <v>2114</v>
      </c>
      <c r="B1104" t="s">
        <v>382</v>
      </c>
      <c r="C1104">
        <v>19</v>
      </c>
      <c r="D1104" t="str">
        <f>VLOOKUP(B1104,Products!$A:$E,2,FALSE)</f>
        <v>Product_187</v>
      </c>
      <c r="E1104" t="str">
        <f>VLOOKUP(B1104,Products!$A:$E,3,FALSE)</f>
        <v>Electronics</v>
      </c>
    </row>
    <row r="1105" spans="1:5" x14ac:dyDescent="0.3">
      <c r="A1105" t="s">
        <v>2115</v>
      </c>
      <c r="B1105" t="s">
        <v>964</v>
      </c>
      <c r="C1105">
        <v>77</v>
      </c>
      <c r="D1105" t="str">
        <f>VLOOKUP(B1105,Products!$A:$E,2,FALSE)</f>
        <v>Product_478</v>
      </c>
      <c r="E1105" t="str">
        <f>VLOOKUP(B1105,Products!$A:$E,3,FALSE)</f>
        <v>Office Supplies</v>
      </c>
    </row>
    <row r="1106" spans="1:5" x14ac:dyDescent="0.3">
      <c r="A1106" t="s">
        <v>2116</v>
      </c>
      <c r="B1106" t="s">
        <v>214</v>
      </c>
      <c r="C1106">
        <v>80</v>
      </c>
      <c r="D1106" t="str">
        <f>VLOOKUP(B1106,Products!$A:$E,2,FALSE)</f>
        <v>Product_103</v>
      </c>
      <c r="E1106" t="str">
        <f>VLOOKUP(B1106,Products!$A:$E,3,FALSE)</f>
        <v>Accessories</v>
      </c>
    </row>
    <row r="1107" spans="1:5" x14ac:dyDescent="0.3">
      <c r="A1107" t="s">
        <v>2117</v>
      </c>
      <c r="B1107" t="s">
        <v>568</v>
      </c>
      <c r="C1107">
        <v>28</v>
      </c>
      <c r="D1107" t="str">
        <f>VLOOKUP(B1107,Products!$A:$E,2,FALSE)</f>
        <v>Product_280</v>
      </c>
      <c r="E1107" t="str">
        <f>VLOOKUP(B1107,Products!$A:$E,3,FALSE)</f>
        <v>Electronics</v>
      </c>
    </row>
    <row r="1108" spans="1:5" x14ac:dyDescent="0.3">
      <c r="A1108" t="s">
        <v>2118</v>
      </c>
      <c r="B1108" t="s">
        <v>708</v>
      </c>
      <c r="C1108">
        <v>75</v>
      </c>
      <c r="D1108" t="str">
        <f>VLOOKUP(B1108,Products!$A:$E,2,FALSE)</f>
        <v>Product_350</v>
      </c>
      <c r="E1108" t="str">
        <f>VLOOKUP(B1108,Products!$A:$E,3,FALSE)</f>
        <v>Networking</v>
      </c>
    </row>
    <row r="1109" spans="1:5" x14ac:dyDescent="0.3">
      <c r="A1109" t="s">
        <v>2119</v>
      </c>
      <c r="B1109" t="s">
        <v>36</v>
      </c>
      <c r="C1109">
        <v>98</v>
      </c>
      <c r="D1109" t="str">
        <f>VLOOKUP(B1109,Products!$A:$E,2,FALSE)</f>
        <v>Product_14</v>
      </c>
      <c r="E1109" t="str">
        <f>VLOOKUP(B1109,Products!$A:$E,3,FALSE)</f>
        <v>Accessories</v>
      </c>
    </row>
    <row r="1110" spans="1:5" x14ac:dyDescent="0.3">
      <c r="A1110" t="s">
        <v>2120</v>
      </c>
      <c r="B1110" t="s">
        <v>482</v>
      </c>
      <c r="C1110">
        <v>95</v>
      </c>
      <c r="D1110" t="str">
        <f>VLOOKUP(B1110,Products!$A:$E,2,FALSE)</f>
        <v>Product_237</v>
      </c>
      <c r="E1110" t="str">
        <f>VLOOKUP(B1110,Products!$A:$E,3,FALSE)</f>
        <v>Networking</v>
      </c>
    </row>
    <row r="1111" spans="1:5" x14ac:dyDescent="0.3">
      <c r="A1111" t="s">
        <v>2121</v>
      </c>
      <c r="B1111" t="s">
        <v>224</v>
      </c>
      <c r="C1111">
        <v>61</v>
      </c>
      <c r="D1111" t="str">
        <f>VLOOKUP(B1111,Products!$A:$E,2,FALSE)</f>
        <v>Product_108</v>
      </c>
      <c r="E1111" t="str">
        <f>VLOOKUP(B1111,Products!$A:$E,3,FALSE)</f>
        <v>Networking</v>
      </c>
    </row>
    <row r="1112" spans="1:5" x14ac:dyDescent="0.3">
      <c r="A1112" t="s">
        <v>2122</v>
      </c>
      <c r="B1112" t="s">
        <v>826</v>
      </c>
      <c r="C1112">
        <v>42</v>
      </c>
      <c r="D1112" t="str">
        <f>VLOOKUP(B1112,Products!$A:$E,2,FALSE)</f>
        <v>Product_409</v>
      </c>
      <c r="E1112" t="str">
        <f>VLOOKUP(B1112,Products!$A:$E,3,FALSE)</f>
        <v>Office Supplies</v>
      </c>
    </row>
    <row r="1113" spans="1:5" x14ac:dyDescent="0.3">
      <c r="A1113" t="s">
        <v>2123</v>
      </c>
      <c r="B1113" t="s">
        <v>860</v>
      </c>
      <c r="C1113">
        <v>93</v>
      </c>
      <c r="D1113" t="str">
        <f>VLOOKUP(B1113,Products!$A:$E,2,FALSE)</f>
        <v>Product_426</v>
      </c>
      <c r="E1113" t="str">
        <f>VLOOKUP(B1113,Products!$A:$E,3,FALSE)</f>
        <v>Storage</v>
      </c>
    </row>
    <row r="1114" spans="1:5" x14ac:dyDescent="0.3">
      <c r="A1114" t="s">
        <v>2124</v>
      </c>
      <c r="B1114" t="s">
        <v>80</v>
      </c>
      <c r="C1114">
        <v>57</v>
      </c>
      <c r="D1114" t="str">
        <f>VLOOKUP(B1114,Products!$A:$E,2,FALSE)</f>
        <v>Product_36</v>
      </c>
      <c r="E1114" t="str">
        <f>VLOOKUP(B1114,Products!$A:$E,3,FALSE)</f>
        <v>Office Supplies</v>
      </c>
    </row>
    <row r="1115" spans="1:5" x14ac:dyDescent="0.3">
      <c r="A1115" t="s">
        <v>2125</v>
      </c>
      <c r="B1115" t="s">
        <v>698</v>
      </c>
      <c r="C1115">
        <v>68</v>
      </c>
      <c r="D1115" t="str">
        <f>VLOOKUP(B1115,Products!$A:$E,2,FALSE)</f>
        <v>Product_345</v>
      </c>
      <c r="E1115" t="str">
        <f>VLOOKUP(B1115,Products!$A:$E,3,FALSE)</f>
        <v>Storage</v>
      </c>
    </row>
    <row r="1116" spans="1:5" x14ac:dyDescent="0.3">
      <c r="A1116" t="s">
        <v>2126</v>
      </c>
      <c r="B1116" t="s">
        <v>152</v>
      </c>
      <c r="C1116">
        <v>86</v>
      </c>
      <c r="D1116" t="str">
        <f>VLOOKUP(B1116,Products!$A:$E,2,FALSE)</f>
        <v>Product_72</v>
      </c>
      <c r="E1116" t="str">
        <f>VLOOKUP(B1116,Products!$A:$E,3,FALSE)</f>
        <v>Networking</v>
      </c>
    </row>
    <row r="1117" spans="1:5" x14ac:dyDescent="0.3">
      <c r="A1117" t="s">
        <v>2127</v>
      </c>
      <c r="B1117" t="s">
        <v>320</v>
      </c>
      <c r="C1117">
        <v>35</v>
      </c>
      <c r="D1117" t="str">
        <f>VLOOKUP(B1117,Products!$A:$E,2,FALSE)</f>
        <v>Product_156</v>
      </c>
      <c r="E1117" t="str">
        <f>VLOOKUP(B1117,Products!$A:$E,3,FALSE)</f>
        <v>Accessories</v>
      </c>
    </row>
    <row r="1118" spans="1:5" x14ac:dyDescent="0.3">
      <c r="A1118" t="s">
        <v>2128</v>
      </c>
      <c r="B1118" t="s">
        <v>268</v>
      </c>
      <c r="C1118">
        <v>89</v>
      </c>
      <c r="D1118" t="str">
        <f>VLOOKUP(B1118,Products!$A:$E,2,FALSE)</f>
        <v>Product_130</v>
      </c>
      <c r="E1118" t="str">
        <f>VLOOKUP(B1118,Products!$A:$E,3,FALSE)</f>
        <v>Storage</v>
      </c>
    </row>
    <row r="1119" spans="1:5" x14ac:dyDescent="0.3">
      <c r="A1119" t="s">
        <v>2129</v>
      </c>
      <c r="B1119" t="s">
        <v>166</v>
      </c>
      <c r="C1119">
        <v>96</v>
      </c>
      <c r="D1119" t="str">
        <f>VLOOKUP(B1119,Products!$A:$E,2,FALSE)</f>
        <v>Product_79</v>
      </c>
      <c r="E1119" t="str">
        <f>VLOOKUP(B1119,Products!$A:$E,3,FALSE)</f>
        <v>Storage</v>
      </c>
    </row>
    <row r="1120" spans="1:5" x14ac:dyDescent="0.3">
      <c r="A1120" t="s">
        <v>2130</v>
      </c>
      <c r="B1120" t="s">
        <v>442</v>
      </c>
      <c r="C1120">
        <v>53</v>
      </c>
      <c r="D1120" t="str">
        <f>VLOOKUP(B1120,Products!$A:$E,2,FALSE)</f>
        <v>Product_217</v>
      </c>
      <c r="E1120" t="str">
        <f>VLOOKUP(B1120,Products!$A:$E,3,FALSE)</f>
        <v>Networking</v>
      </c>
    </row>
    <row r="1121" spans="1:5" x14ac:dyDescent="0.3">
      <c r="A1121" t="s">
        <v>2131</v>
      </c>
      <c r="B1121" t="s">
        <v>84</v>
      </c>
      <c r="C1121">
        <v>62</v>
      </c>
      <c r="D1121" t="str">
        <f>VLOOKUP(B1121,Products!$A:$E,2,FALSE)</f>
        <v>Product_38</v>
      </c>
      <c r="E1121" t="str">
        <f>VLOOKUP(B1121,Products!$A:$E,3,FALSE)</f>
        <v>Accessories</v>
      </c>
    </row>
    <row r="1122" spans="1:5" x14ac:dyDescent="0.3">
      <c r="A1122" t="s">
        <v>2132</v>
      </c>
      <c r="B1122" t="s">
        <v>622</v>
      </c>
      <c r="C1122">
        <v>66</v>
      </c>
      <c r="D1122" t="str">
        <f>VLOOKUP(B1122,Products!$A:$E,2,FALSE)</f>
        <v>Product_307</v>
      </c>
      <c r="E1122" t="str">
        <f>VLOOKUP(B1122,Products!$A:$E,3,FALSE)</f>
        <v>Storage</v>
      </c>
    </row>
    <row r="1123" spans="1:5" x14ac:dyDescent="0.3">
      <c r="A1123" t="s">
        <v>2133</v>
      </c>
      <c r="B1123" t="s">
        <v>606</v>
      </c>
      <c r="C1123">
        <v>56</v>
      </c>
      <c r="D1123" t="str">
        <f>VLOOKUP(B1123,Products!$A:$E,2,FALSE)</f>
        <v>Product_299</v>
      </c>
      <c r="E1123" t="str">
        <f>VLOOKUP(B1123,Products!$A:$E,3,FALSE)</f>
        <v>Storage</v>
      </c>
    </row>
    <row r="1124" spans="1:5" x14ac:dyDescent="0.3">
      <c r="A1124" t="s">
        <v>2134</v>
      </c>
      <c r="B1124" t="s">
        <v>556</v>
      </c>
      <c r="C1124">
        <v>69</v>
      </c>
      <c r="D1124" t="str">
        <f>VLOOKUP(B1124,Products!$A:$E,2,FALSE)</f>
        <v>Product_274</v>
      </c>
      <c r="E1124" t="str">
        <f>VLOOKUP(B1124,Products!$A:$E,3,FALSE)</f>
        <v>Accessories</v>
      </c>
    </row>
    <row r="1125" spans="1:5" x14ac:dyDescent="0.3">
      <c r="A1125" t="s">
        <v>2135</v>
      </c>
      <c r="B1125" t="s">
        <v>954</v>
      </c>
      <c r="C1125">
        <v>93</v>
      </c>
      <c r="D1125" t="str">
        <f>VLOOKUP(B1125,Products!$A:$E,2,FALSE)</f>
        <v>Product_473</v>
      </c>
      <c r="E1125" t="str">
        <f>VLOOKUP(B1125,Products!$A:$E,3,FALSE)</f>
        <v>Accessories</v>
      </c>
    </row>
    <row r="1126" spans="1:5" x14ac:dyDescent="0.3">
      <c r="A1126" t="s">
        <v>2136</v>
      </c>
      <c r="B1126" t="s">
        <v>438</v>
      </c>
      <c r="C1126">
        <v>74</v>
      </c>
      <c r="D1126" t="str">
        <f>VLOOKUP(B1126,Products!$A:$E,2,FALSE)</f>
        <v>Product_215</v>
      </c>
      <c r="E1126" t="str">
        <f>VLOOKUP(B1126,Products!$A:$E,3,FALSE)</f>
        <v>Electronics</v>
      </c>
    </row>
    <row r="1127" spans="1:5" x14ac:dyDescent="0.3">
      <c r="A1127" t="s">
        <v>2137</v>
      </c>
      <c r="B1127" t="s">
        <v>46</v>
      </c>
      <c r="C1127">
        <v>51</v>
      </c>
      <c r="D1127" t="str">
        <f>VLOOKUP(B1127,Products!$A:$E,2,FALSE)</f>
        <v>Product_19</v>
      </c>
      <c r="E1127" t="str">
        <f>VLOOKUP(B1127,Products!$A:$E,3,FALSE)</f>
        <v>Networking</v>
      </c>
    </row>
    <row r="1128" spans="1:5" x14ac:dyDescent="0.3">
      <c r="A1128" t="s">
        <v>2138</v>
      </c>
      <c r="B1128" t="s">
        <v>728</v>
      </c>
      <c r="C1128">
        <v>73</v>
      </c>
      <c r="D1128" t="str">
        <f>VLOOKUP(B1128,Products!$A:$E,2,FALSE)</f>
        <v>Product_360</v>
      </c>
      <c r="E1128" t="str">
        <f>VLOOKUP(B1128,Products!$A:$E,3,FALSE)</f>
        <v>Office Supplies</v>
      </c>
    </row>
    <row r="1129" spans="1:5" x14ac:dyDescent="0.3">
      <c r="A1129" t="s">
        <v>2139</v>
      </c>
      <c r="B1129" t="s">
        <v>618</v>
      </c>
      <c r="C1129">
        <v>86</v>
      </c>
      <c r="D1129" t="str">
        <f>VLOOKUP(B1129,Products!$A:$E,2,FALSE)</f>
        <v>Product_305</v>
      </c>
      <c r="E1129" t="str">
        <f>VLOOKUP(B1129,Products!$A:$E,3,FALSE)</f>
        <v>Accessories</v>
      </c>
    </row>
    <row r="1130" spans="1:5" x14ac:dyDescent="0.3">
      <c r="A1130" t="s">
        <v>2140</v>
      </c>
      <c r="B1130" t="s">
        <v>946</v>
      </c>
      <c r="C1130">
        <v>15</v>
      </c>
      <c r="D1130" t="str">
        <f>VLOOKUP(B1130,Products!$A:$E,2,FALSE)</f>
        <v>Product_469</v>
      </c>
      <c r="E1130" t="str">
        <f>VLOOKUP(B1130,Products!$A:$E,3,FALSE)</f>
        <v>Office Supplies</v>
      </c>
    </row>
    <row r="1131" spans="1:5" x14ac:dyDescent="0.3">
      <c r="A1131" t="s">
        <v>2141</v>
      </c>
      <c r="B1131" t="s">
        <v>120</v>
      </c>
      <c r="C1131">
        <v>36</v>
      </c>
      <c r="D1131" t="str">
        <f>VLOOKUP(B1131,Products!$A:$E,2,FALSE)</f>
        <v>Product_56</v>
      </c>
      <c r="E1131" t="str">
        <f>VLOOKUP(B1131,Products!$A:$E,3,FALSE)</f>
        <v>Networking</v>
      </c>
    </row>
    <row r="1132" spans="1:5" x14ac:dyDescent="0.3">
      <c r="A1132" t="s">
        <v>2142</v>
      </c>
      <c r="B1132" t="s">
        <v>682</v>
      </c>
      <c r="C1132">
        <v>90</v>
      </c>
      <c r="D1132" t="str">
        <f>VLOOKUP(B1132,Products!$A:$E,2,FALSE)</f>
        <v>Product_337</v>
      </c>
      <c r="E1132" t="str">
        <f>VLOOKUP(B1132,Products!$A:$E,3,FALSE)</f>
        <v>Storage</v>
      </c>
    </row>
    <row r="1133" spans="1:5" x14ac:dyDescent="0.3">
      <c r="A1133" t="s">
        <v>2143</v>
      </c>
      <c r="B1133" t="s">
        <v>372</v>
      </c>
      <c r="C1133">
        <v>26</v>
      </c>
      <c r="D1133" t="str">
        <f>VLOOKUP(B1133,Products!$A:$E,2,FALSE)</f>
        <v>Product_182</v>
      </c>
      <c r="E1133" t="str">
        <f>VLOOKUP(B1133,Products!$A:$E,3,FALSE)</f>
        <v>Storage</v>
      </c>
    </row>
    <row r="1134" spans="1:5" x14ac:dyDescent="0.3">
      <c r="A1134" t="s">
        <v>2144</v>
      </c>
      <c r="B1134" t="s">
        <v>672</v>
      </c>
      <c r="C1134">
        <v>83</v>
      </c>
      <c r="D1134" t="str">
        <f>VLOOKUP(B1134,Products!$A:$E,2,FALSE)</f>
        <v>Product_332</v>
      </c>
      <c r="E1134" t="str">
        <f>VLOOKUP(B1134,Products!$A:$E,3,FALSE)</f>
        <v>Electronics</v>
      </c>
    </row>
    <row r="1135" spans="1:5" x14ac:dyDescent="0.3">
      <c r="A1135" t="s">
        <v>2145</v>
      </c>
      <c r="B1135" t="s">
        <v>54</v>
      </c>
      <c r="C1135">
        <v>77</v>
      </c>
      <c r="D1135" t="str">
        <f>VLOOKUP(B1135,Products!$A:$E,2,FALSE)</f>
        <v>Product_23</v>
      </c>
      <c r="E1135" t="str">
        <f>VLOOKUP(B1135,Products!$A:$E,3,FALSE)</f>
        <v>Accessories</v>
      </c>
    </row>
    <row r="1136" spans="1:5" x14ac:dyDescent="0.3">
      <c r="A1136" t="s">
        <v>2146</v>
      </c>
      <c r="B1136" t="s">
        <v>670</v>
      </c>
      <c r="C1136">
        <v>91</v>
      </c>
      <c r="D1136" t="str">
        <f>VLOOKUP(B1136,Products!$A:$E,2,FALSE)</f>
        <v>Product_331</v>
      </c>
      <c r="E1136" t="str">
        <f>VLOOKUP(B1136,Products!$A:$E,3,FALSE)</f>
        <v>Electronics</v>
      </c>
    </row>
    <row r="1137" spans="1:5" x14ac:dyDescent="0.3">
      <c r="A1137" t="s">
        <v>2147</v>
      </c>
      <c r="B1137" t="s">
        <v>672</v>
      </c>
      <c r="C1137">
        <v>56</v>
      </c>
      <c r="D1137" t="str">
        <f>VLOOKUP(B1137,Products!$A:$E,2,FALSE)</f>
        <v>Product_332</v>
      </c>
      <c r="E1137" t="str">
        <f>VLOOKUP(B1137,Products!$A:$E,3,FALSE)</f>
        <v>Electronics</v>
      </c>
    </row>
    <row r="1138" spans="1:5" x14ac:dyDescent="0.3">
      <c r="A1138" t="s">
        <v>2148</v>
      </c>
      <c r="B1138" t="s">
        <v>1000</v>
      </c>
      <c r="C1138">
        <v>47</v>
      </c>
      <c r="D1138" t="str">
        <f>VLOOKUP(B1138,Products!$A:$E,2,FALSE)</f>
        <v>Product_496</v>
      </c>
      <c r="E1138" t="str">
        <f>VLOOKUP(B1138,Products!$A:$E,3,FALSE)</f>
        <v>Office Supplies</v>
      </c>
    </row>
    <row r="1139" spans="1:5" x14ac:dyDescent="0.3">
      <c r="A1139" t="s">
        <v>2149</v>
      </c>
      <c r="B1139" t="s">
        <v>998</v>
      </c>
      <c r="C1139">
        <v>60</v>
      </c>
      <c r="D1139" t="str">
        <f>VLOOKUP(B1139,Products!$A:$E,2,FALSE)</f>
        <v>Product_495</v>
      </c>
      <c r="E1139" t="str">
        <f>VLOOKUP(B1139,Products!$A:$E,3,FALSE)</f>
        <v>Networking</v>
      </c>
    </row>
    <row r="1140" spans="1:5" x14ac:dyDescent="0.3">
      <c r="A1140" t="s">
        <v>2150</v>
      </c>
      <c r="B1140" t="s">
        <v>118</v>
      </c>
      <c r="C1140">
        <v>6</v>
      </c>
      <c r="D1140" t="str">
        <f>VLOOKUP(B1140,Products!$A:$E,2,FALSE)</f>
        <v>Product_55</v>
      </c>
      <c r="E1140" t="str">
        <f>VLOOKUP(B1140,Products!$A:$E,3,FALSE)</f>
        <v>Office Supplies</v>
      </c>
    </row>
    <row r="1141" spans="1:5" x14ac:dyDescent="0.3">
      <c r="A1141" t="s">
        <v>2151</v>
      </c>
      <c r="B1141" t="s">
        <v>110</v>
      </c>
      <c r="C1141">
        <v>38</v>
      </c>
      <c r="D1141" t="str">
        <f>VLOOKUP(B1141,Products!$A:$E,2,FALSE)</f>
        <v>Product_51</v>
      </c>
      <c r="E1141" t="str">
        <f>VLOOKUP(B1141,Products!$A:$E,3,FALSE)</f>
        <v>Storage</v>
      </c>
    </row>
    <row r="1142" spans="1:5" x14ac:dyDescent="0.3">
      <c r="A1142" t="s">
        <v>2152</v>
      </c>
      <c r="B1142" t="s">
        <v>236</v>
      </c>
      <c r="C1142">
        <v>70</v>
      </c>
      <c r="D1142" t="str">
        <f>VLOOKUP(B1142,Products!$A:$E,2,FALSE)</f>
        <v>Product_114</v>
      </c>
      <c r="E1142" t="str">
        <f>VLOOKUP(B1142,Products!$A:$E,3,FALSE)</f>
        <v>Electronics</v>
      </c>
    </row>
    <row r="1143" spans="1:5" x14ac:dyDescent="0.3">
      <c r="A1143" t="s">
        <v>2153</v>
      </c>
      <c r="B1143" t="s">
        <v>774</v>
      </c>
      <c r="C1143">
        <v>71</v>
      </c>
      <c r="D1143" t="str">
        <f>VLOOKUP(B1143,Products!$A:$E,2,FALSE)</f>
        <v>Product_383</v>
      </c>
      <c r="E1143" t="str">
        <f>VLOOKUP(B1143,Products!$A:$E,3,FALSE)</f>
        <v>Electronics</v>
      </c>
    </row>
    <row r="1144" spans="1:5" x14ac:dyDescent="0.3">
      <c r="A1144" t="s">
        <v>2154</v>
      </c>
      <c r="B1144" t="s">
        <v>580</v>
      </c>
      <c r="C1144">
        <v>79</v>
      </c>
      <c r="D1144" t="str">
        <f>VLOOKUP(B1144,Products!$A:$E,2,FALSE)</f>
        <v>Product_286</v>
      </c>
      <c r="E1144" t="str">
        <f>VLOOKUP(B1144,Products!$A:$E,3,FALSE)</f>
        <v>Storage</v>
      </c>
    </row>
    <row r="1145" spans="1:5" x14ac:dyDescent="0.3">
      <c r="A1145" t="s">
        <v>2155</v>
      </c>
      <c r="B1145" t="s">
        <v>714</v>
      </c>
      <c r="C1145">
        <v>78</v>
      </c>
      <c r="D1145" t="str">
        <f>VLOOKUP(B1145,Products!$A:$E,2,FALSE)</f>
        <v>Product_353</v>
      </c>
      <c r="E1145" t="str">
        <f>VLOOKUP(B1145,Products!$A:$E,3,FALSE)</f>
        <v>Accessories</v>
      </c>
    </row>
    <row r="1146" spans="1:5" x14ac:dyDescent="0.3">
      <c r="A1146" t="s">
        <v>2156</v>
      </c>
      <c r="B1146" t="s">
        <v>236</v>
      </c>
      <c r="C1146">
        <v>62</v>
      </c>
      <c r="D1146" t="str">
        <f>VLOOKUP(B1146,Products!$A:$E,2,FALSE)</f>
        <v>Product_114</v>
      </c>
      <c r="E1146" t="str">
        <f>VLOOKUP(B1146,Products!$A:$E,3,FALSE)</f>
        <v>Electronics</v>
      </c>
    </row>
    <row r="1147" spans="1:5" x14ac:dyDescent="0.3">
      <c r="A1147" t="s">
        <v>2157</v>
      </c>
      <c r="B1147" t="s">
        <v>392</v>
      </c>
      <c r="C1147">
        <v>55</v>
      </c>
      <c r="D1147" t="str">
        <f>VLOOKUP(B1147,Products!$A:$E,2,FALSE)</f>
        <v>Product_192</v>
      </c>
      <c r="E1147" t="str">
        <f>VLOOKUP(B1147,Products!$A:$E,3,FALSE)</f>
        <v>Office Supplies</v>
      </c>
    </row>
    <row r="1148" spans="1:5" x14ac:dyDescent="0.3">
      <c r="A1148" t="s">
        <v>2158</v>
      </c>
      <c r="B1148" t="s">
        <v>484</v>
      </c>
      <c r="C1148">
        <v>91</v>
      </c>
      <c r="D1148" t="str">
        <f>VLOOKUP(B1148,Products!$A:$E,2,FALSE)</f>
        <v>Product_238</v>
      </c>
      <c r="E1148" t="str">
        <f>VLOOKUP(B1148,Products!$A:$E,3,FALSE)</f>
        <v>Accessories</v>
      </c>
    </row>
    <row r="1149" spans="1:5" x14ac:dyDescent="0.3">
      <c r="A1149" t="s">
        <v>2159</v>
      </c>
      <c r="B1149" t="s">
        <v>612</v>
      </c>
      <c r="C1149">
        <v>93</v>
      </c>
      <c r="D1149" t="str">
        <f>VLOOKUP(B1149,Products!$A:$E,2,FALSE)</f>
        <v>Product_302</v>
      </c>
      <c r="E1149" t="str">
        <f>VLOOKUP(B1149,Products!$A:$E,3,FALSE)</f>
        <v>Accessories</v>
      </c>
    </row>
    <row r="1150" spans="1:5" x14ac:dyDescent="0.3">
      <c r="A1150" t="s">
        <v>2160</v>
      </c>
      <c r="B1150" t="s">
        <v>522</v>
      </c>
      <c r="C1150">
        <v>24</v>
      </c>
      <c r="D1150" t="str">
        <f>VLOOKUP(B1150,Products!$A:$E,2,FALSE)</f>
        <v>Product_257</v>
      </c>
      <c r="E1150" t="str">
        <f>VLOOKUP(B1150,Products!$A:$E,3,FALSE)</f>
        <v>Networking</v>
      </c>
    </row>
    <row r="1151" spans="1:5" x14ac:dyDescent="0.3">
      <c r="A1151" t="s">
        <v>2161</v>
      </c>
      <c r="B1151" t="s">
        <v>362</v>
      </c>
      <c r="C1151">
        <v>8</v>
      </c>
      <c r="D1151" t="str">
        <f>VLOOKUP(B1151,Products!$A:$E,2,FALSE)</f>
        <v>Product_177</v>
      </c>
      <c r="E1151" t="str">
        <f>VLOOKUP(B1151,Products!$A:$E,3,FALSE)</f>
        <v>Office Supplies</v>
      </c>
    </row>
    <row r="1152" spans="1:5" x14ac:dyDescent="0.3">
      <c r="A1152" t="s">
        <v>2162</v>
      </c>
      <c r="B1152" t="s">
        <v>504</v>
      </c>
      <c r="C1152">
        <v>18</v>
      </c>
      <c r="D1152" t="str">
        <f>VLOOKUP(B1152,Products!$A:$E,2,FALSE)</f>
        <v>Product_248</v>
      </c>
      <c r="E1152" t="str">
        <f>VLOOKUP(B1152,Products!$A:$E,3,FALSE)</f>
        <v>Networking</v>
      </c>
    </row>
    <row r="1153" spans="1:5" x14ac:dyDescent="0.3">
      <c r="A1153" t="s">
        <v>2163</v>
      </c>
      <c r="B1153" t="s">
        <v>312</v>
      </c>
      <c r="C1153">
        <v>58</v>
      </c>
      <c r="D1153" t="str">
        <f>VLOOKUP(B1153,Products!$A:$E,2,FALSE)</f>
        <v>Product_152</v>
      </c>
      <c r="E1153" t="str">
        <f>VLOOKUP(B1153,Products!$A:$E,3,FALSE)</f>
        <v>Storage</v>
      </c>
    </row>
    <row r="1154" spans="1:5" x14ac:dyDescent="0.3">
      <c r="A1154" t="s">
        <v>2164</v>
      </c>
      <c r="B1154" t="s">
        <v>952</v>
      </c>
      <c r="C1154">
        <v>15</v>
      </c>
      <c r="D1154" t="str">
        <f>VLOOKUP(B1154,Products!$A:$E,2,FALSE)</f>
        <v>Product_472</v>
      </c>
      <c r="E1154" t="str">
        <f>VLOOKUP(B1154,Products!$A:$E,3,FALSE)</f>
        <v>Electronics</v>
      </c>
    </row>
    <row r="1155" spans="1:5" x14ac:dyDescent="0.3">
      <c r="A1155" t="s">
        <v>2165</v>
      </c>
      <c r="B1155" t="s">
        <v>128</v>
      </c>
      <c r="C1155">
        <v>98</v>
      </c>
      <c r="D1155" t="str">
        <f>VLOOKUP(B1155,Products!$A:$E,2,FALSE)</f>
        <v>Product_60</v>
      </c>
      <c r="E1155" t="str">
        <f>VLOOKUP(B1155,Products!$A:$E,3,FALSE)</f>
        <v>Electronics</v>
      </c>
    </row>
    <row r="1156" spans="1:5" x14ac:dyDescent="0.3">
      <c r="A1156" t="s">
        <v>2166</v>
      </c>
      <c r="B1156" t="s">
        <v>154</v>
      </c>
      <c r="C1156">
        <v>49</v>
      </c>
      <c r="D1156" t="str">
        <f>VLOOKUP(B1156,Products!$A:$E,2,FALSE)</f>
        <v>Product_73</v>
      </c>
      <c r="E1156" t="str">
        <f>VLOOKUP(B1156,Products!$A:$E,3,FALSE)</f>
        <v>Office Supplies</v>
      </c>
    </row>
    <row r="1157" spans="1:5" x14ac:dyDescent="0.3">
      <c r="A1157" t="s">
        <v>2167</v>
      </c>
      <c r="B1157" t="s">
        <v>328</v>
      </c>
      <c r="C1157">
        <v>48</v>
      </c>
      <c r="D1157" t="str">
        <f>VLOOKUP(B1157,Products!$A:$E,2,FALSE)</f>
        <v>Product_160</v>
      </c>
      <c r="E1157" t="str">
        <f>VLOOKUP(B1157,Products!$A:$E,3,FALSE)</f>
        <v>Office Supplies</v>
      </c>
    </row>
    <row r="1158" spans="1:5" x14ac:dyDescent="0.3">
      <c r="A1158" t="s">
        <v>2168</v>
      </c>
      <c r="B1158" t="s">
        <v>476</v>
      </c>
      <c r="C1158">
        <v>31</v>
      </c>
      <c r="D1158" t="str">
        <f>VLOOKUP(B1158,Products!$A:$E,2,FALSE)</f>
        <v>Product_234</v>
      </c>
      <c r="E1158" t="str">
        <f>VLOOKUP(B1158,Products!$A:$E,3,FALSE)</f>
        <v>Networking</v>
      </c>
    </row>
    <row r="1159" spans="1:5" x14ac:dyDescent="0.3">
      <c r="A1159" t="s">
        <v>2169</v>
      </c>
      <c r="B1159" t="s">
        <v>542</v>
      </c>
      <c r="C1159">
        <v>66</v>
      </c>
      <c r="D1159" t="str">
        <f>VLOOKUP(B1159,Products!$A:$E,2,FALSE)</f>
        <v>Product_267</v>
      </c>
      <c r="E1159" t="str">
        <f>VLOOKUP(B1159,Products!$A:$E,3,FALSE)</f>
        <v>Networking</v>
      </c>
    </row>
    <row r="1160" spans="1:5" x14ac:dyDescent="0.3">
      <c r="A1160" t="s">
        <v>2170</v>
      </c>
      <c r="B1160" t="s">
        <v>366</v>
      </c>
      <c r="C1160">
        <v>65</v>
      </c>
      <c r="D1160" t="str">
        <f>VLOOKUP(B1160,Products!$A:$E,2,FALSE)</f>
        <v>Product_179</v>
      </c>
      <c r="E1160" t="str">
        <f>VLOOKUP(B1160,Products!$A:$E,3,FALSE)</f>
        <v>Storage</v>
      </c>
    </row>
    <row r="1161" spans="1:5" x14ac:dyDescent="0.3">
      <c r="A1161" t="s">
        <v>2171</v>
      </c>
      <c r="B1161" t="s">
        <v>108</v>
      </c>
      <c r="C1161">
        <v>61</v>
      </c>
      <c r="D1161" t="str">
        <f>VLOOKUP(B1161,Products!$A:$E,2,FALSE)</f>
        <v>Product_50</v>
      </c>
      <c r="E1161" t="str">
        <f>VLOOKUP(B1161,Products!$A:$E,3,FALSE)</f>
        <v>Networking</v>
      </c>
    </row>
    <row r="1162" spans="1:5" x14ac:dyDescent="0.3">
      <c r="A1162" t="s">
        <v>2172</v>
      </c>
      <c r="B1162" t="s">
        <v>748</v>
      </c>
      <c r="C1162">
        <v>94</v>
      </c>
      <c r="D1162" t="str">
        <f>VLOOKUP(B1162,Products!$A:$E,2,FALSE)</f>
        <v>Product_370</v>
      </c>
      <c r="E1162" t="str">
        <f>VLOOKUP(B1162,Products!$A:$E,3,FALSE)</f>
        <v>Networking</v>
      </c>
    </row>
    <row r="1163" spans="1:5" x14ac:dyDescent="0.3">
      <c r="A1163" t="s">
        <v>2173</v>
      </c>
      <c r="B1163" t="s">
        <v>472</v>
      </c>
      <c r="C1163">
        <v>45</v>
      </c>
      <c r="D1163" t="str">
        <f>VLOOKUP(B1163,Products!$A:$E,2,FALSE)</f>
        <v>Product_232</v>
      </c>
      <c r="E1163" t="str">
        <f>VLOOKUP(B1163,Products!$A:$E,3,FALSE)</f>
        <v>Office Supplies</v>
      </c>
    </row>
    <row r="1164" spans="1:5" x14ac:dyDescent="0.3">
      <c r="A1164" t="s">
        <v>2174</v>
      </c>
      <c r="B1164" t="s">
        <v>78</v>
      </c>
      <c r="C1164">
        <v>43</v>
      </c>
      <c r="D1164" t="str">
        <f>VLOOKUP(B1164,Products!$A:$E,2,FALSE)</f>
        <v>Product_35</v>
      </c>
      <c r="E1164" t="str">
        <f>VLOOKUP(B1164,Products!$A:$E,3,FALSE)</f>
        <v>Electronics</v>
      </c>
    </row>
    <row r="1165" spans="1:5" x14ac:dyDescent="0.3">
      <c r="A1165" t="s">
        <v>2175</v>
      </c>
      <c r="B1165" t="s">
        <v>54</v>
      </c>
      <c r="C1165">
        <v>95</v>
      </c>
      <c r="D1165" t="str">
        <f>VLOOKUP(B1165,Products!$A:$E,2,FALSE)</f>
        <v>Product_23</v>
      </c>
      <c r="E1165" t="str">
        <f>VLOOKUP(B1165,Products!$A:$E,3,FALSE)</f>
        <v>Accessories</v>
      </c>
    </row>
    <row r="1166" spans="1:5" x14ac:dyDescent="0.3">
      <c r="A1166" t="s">
        <v>2176</v>
      </c>
      <c r="B1166" t="s">
        <v>126</v>
      </c>
      <c r="C1166">
        <v>7</v>
      </c>
      <c r="D1166" t="str">
        <f>VLOOKUP(B1166,Products!$A:$E,2,FALSE)</f>
        <v>Product_59</v>
      </c>
      <c r="E1166" t="str">
        <f>VLOOKUP(B1166,Products!$A:$E,3,FALSE)</f>
        <v>Accessories</v>
      </c>
    </row>
    <row r="1167" spans="1:5" x14ac:dyDescent="0.3">
      <c r="A1167" t="s">
        <v>2177</v>
      </c>
      <c r="B1167" t="s">
        <v>878</v>
      </c>
      <c r="C1167">
        <v>48</v>
      </c>
      <c r="D1167" t="str">
        <f>VLOOKUP(B1167,Products!$A:$E,2,FALSE)</f>
        <v>Product_435</v>
      </c>
      <c r="E1167" t="str">
        <f>VLOOKUP(B1167,Products!$A:$E,3,FALSE)</f>
        <v>Accessories</v>
      </c>
    </row>
    <row r="1168" spans="1:5" x14ac:dyDescent="0.3">
      <c r="A1168" t="s">
        <v>2178</v>
      </c>
      <c r="B1168" t="s">
        <v>672</v>
      </c>
      <c r="C1168">
        <v>18</v>
      </c>
      <c r="D1168" t="str">
        <f>VLOOKUP(B1168,Products!$A:$E,2,FALSE)</f>
        <v>Product_332</v>
      </c>
      <c r="E1168" t="str">
        <f>VLOOKUP(B1168,Products!$A:$E,3,FALSE)</f>
        <v>Electronics</v>
      </c>
    </row>
    <row r="1169" spans="1:5" x14ac:dyDescent="0.3">
      <c r="A1169" t="s">
        <v>2179</v>
      </c>
      <c r="B1169" t="s">
        <v>702</v>
      </c>
      <c r="C1169">
        <v>26</v>
      </c>
      <c r="D1169" t="str">
        <f>VLOOKUP(B1169,Products!$A:$E,2,FALSE)</f>
        <v>Product_347</v>
      </c>
      <c r="E1169" t="str">
        <f>VLOOKUP(B1169,Products!$A:$E,3,FALSE)</f>
        <v>Storage</v>
      </c>
    </row>
    <row r="1170" spans="1:5" x14ac:dyDescent="0.3">
      <c r="A1170" t="s">
        <v>2180</v>
      </c>
      <c r="B1170" t="s">
        <v>962</v>
      </c>
      <c r="C1170">
        <v>99</v>
      </c>
      <c r="D1170" t="str">
        <f>VLOOKUP(B1170,Products!$A:$E,2,FALSE)</f>
        <v>Product_477</v>
      </c>
      <c r="E1170" t="str">
        <f>VLOOKUP(B1170,Products!$A:$E,3,FALSE)</f>
        <v>Networking</v>
      </c>
    </row>
    <row r="1171" spans="1:5" x14ac:dyDescent="0.3">
      <c r="A1171" t="s">
        <v>2181</v>
      </c>
      <c r="B1171" t="s">
        <v>258</v>
      </c>
      <c r="C1171">
        <v>71</v>
      </c>
      <c r="D1171" t="str">
        <f>VLOOKUP(B1171,Products!$A:$E,2,FALSE)</f>
        <v>Product_125</v>
      </c>
      <c r="E1171" t="str">
        <f>VLOOKUP(B1171,Products!$A:$E,3,FALSE)</f>
        <v>Office Supplies</v>
      </c>
    </row>
    <row r="1172" spans="1:5" x14ac:dyDescent="0.3">
      <c r="A1172" t="s">
        <v>2182</v>
      </c>
      <c r="B1172" t="s">
        <v>188</v>
      </c>
      <c r="C1172">
        <v>75</v>
      </c>
      <c r="D1172" t="str">
        <f>VLOOKUP(B1172,Products!$A:$E,2,FALSE)</f>
        <v>Product_90</v>
      </c>
      <c r="E1172" t="str">
        <f>VLOOKUP(B1172,Products!$A:$E,3,FALSE)</f>
        <v>Accessories</v>
      </c>
    </row>
    <row r="1173" spans="1:5" x14ac:dyDescent="0.3">
      <c r="A1173" t="s">
        <v>2183</v>
      </c>
      <c r="B1173" t="s">
        <v>172</v>
      </c>
      <c r="C1173">
        <v>47</v>
      </c>
      <c r="D1173" t="str">
        <f>VLOOKUP(B1173,Products!$A:$E,2,FALSE)</f>
        <v>Product_82</v>
      </c>
      <c r="E1173" t="str">
        <f>VLOOKUP(B1173,Products!$A:$E,3,FALSE)</f>
        <v>Storage</v>
      </c>
    </row>
    <row r="1174" spans="1:5" x14ac:dyDescent="0.3">
      <c r="A1174" t="s">
        <v>2184</v>
      </c>
      <c r="B1174" t="s">
        <v>582</v>
      </c>
      <c r="C1174">
        <v>59</v>
      </c>
      <c r="D1174" t="str">
        <f>VLOOKUP(B1174,Products!$A:$E,2,FALSE)</f>
        <v>Product_287</v>
      </c>
      <c r="E1174" t="str">
        <f>VLOOKUP(B1174,Products!$A:$E,3,FALSE)</f>
        <v>Storage</v>
      </c>
    </row>
    <row r="1175" spans="1:5" x14ac:dyDescent="0.3">
      <c r="A1175" t="s">
        <v>2185</v>
      </c>
      <c r="B1175" t="s">
        <v>990</v>
      </c>
      <c r="C1175">
        <v>64</v>
      </c>
      <c r="D1175" t="str">
        <f>VLOOKUP(B1175,Products!$A:$E,2,FALSE)</f>
        <v>Product_491</v>
      </c>
      <c r="E1175" t="str">
        <f>VLOOKUP(B1175,Products!$A:$E,3,FALSE)</f>
        <v>Accessories</v>
      </c>
    </row>
    <row r="1176" spans="1:5" x14ac:dyDescent="0.3">
      <c r="A1176" t="s">
        <v>2186</v>
      </c>
      <c r="B1176" t="s">
        <v>246</v>
      </c>
      <c r="C1176">
        <v>56</v>
      </c>
      <c r="D1176" t="str">
        <f>VLOOKUP(B1176,Products!$A:$E,2,FALSE)</f>
        <v>Product_119</v>
      </c>
      <c r="E1176" t="str">
        <f>VLOOKUP(B1176,Products!$A:$E,3,FALSE)</f>
        <v>Electronics</v>
      </c>
    </row>
    <row r="1177" spans="1:5" x14ac:dyDescent="0.3">
      <c r="A1177" t="s">
        <v>2187</v>
      </c>
      <c r="B1177" t="s">
        <v>654</v>
      </c>
      <c r="C1177">
        <v>28</v>
      </c>
      <c r="D1177" t="str">
        <f>VLOOKUP(B1177,Products!$A:$E,2,FALSE)</f>
        <v>Product_323</v>
      </c>
      <c r="E1177" t="str">
        <f>VLOOKUP(B1177,Products!$A:$E,3,FALSE)</f>
        <v>Electronics</v>
      </c>
    </row>
    <row r="1178" spans="1:5" x14ac:dyDescent="0.3">
      <c r="A1178" t="s">
        <v>2188</v>
      </c>
      <c r="B1178" t="s">
        <v>200</v>
      </c>
      <c r="C1178">
        <v>86</v>
      </c>
      <c r="D1178" t="str">
        <f>VLOOKUP(B1178,Products!$A:$E,2,FALSE)</f>
        <v>Product_96</v>
      </c>
      <c r="E1178" t="str">
        <f>VLOOKUP(B1178,Products!$A:$E,3,FALSE)</f>
        <v>Office Supplies</v>
      </c>
    </row>
    <row r="1179" spans="1:5" x14ac:dyDescent="0.3">
      <c r="A1179" t="s">
        <v>2189</v>
      </c>
      <c r="B1179" t="s">
        <v>682</v>
      </c>
      <c r="C1179">
        <v>60</v>
      </c>
      <c r="D1179" t="str">
        <f>VLOOKUP(B1179,Products!$A:$E,2,FALSE)</f>
        <v>Product_337</v>
      </c>
      <c r="E1179" t="str">
        <f>VLOOKUP(B1179,Products!$A:$E,3,FALSE)</f>
        <v>Storage</v>
      </c>
    </row>
    <row r="1180" spans="1:5" x14ac:dyDescent="0.3">
      <c r="A1180" t="s">
        <v>2190</v>
      </c>
      <c r="B1180" t="s">
        <v>414</v>
      </c>
      <c r="C1180">
        <v>8</v>
      </c>
      <c r="D1180" t="str">
        <f>VLOOKUP(B1180,Products!$A:$E,2,FALSE)</f>
        <v>Product_203</v>
      </c>
      <c r="E1180" t="str">
        <f>VLOOKUP(B1180,Products!$A:$E,3,FALSE)</f>
        <v>Accessories</v>
      </c>
    </row>
    <row r="1181" spans="1:5" x14ac:dyDescent="0.3">
      <c r="A1181" t="s">
        <v>2191</v>
      </c>
      <c r="B1181" t="s">
        <v>764</v>
      </c>
      <c r="C1181">
        <v>83</v>
      </c>
      <c r="D1181" t="str">
        <f>VLOOKUP(B1181,Products!$A:$E,2,FALSE)</f>
        <v>Product_378</v>
      </c>
      <c r="E1181" t="str">
        <f>VLOOKUP(B1181,Products!$A:$E,3,FALSE)</f>
        <v>Electronics</v>
      </c>
    </row>
    <row r="1182" spans="1:5" x14ac:dyDescent="0.3">
      <c r="A1182" t="s">
        <v>2192</v>
      </c>
      <c r="B1182" t="s">
        <v>914</v>
      </c>
      <c r="C1182">
        <v>30</v>
      </c>
      <c r="D1182" t="str">
        <f>VLOOKUP(B1182,Products!$A:$E,2,FALSE)</f>
        <v>Product_453</v>
      </c>
      <c r="E1182" t="str">
        <f>VLOOKUP(B1182,Products!$A:$E,3,FALSE)</f>
        <v>Office Supplies</v>
      </c>
    </row>
    <row r="1183" spans="1:5" x14ac:dyDescent="0.3">
      <c r="A1183" t="s">
        <v>2193</v>
      </c>
      <c r="B1183" t="s">
        <v>470</v>
      </c>
      <c r="C1183">
        <v>80</v>
      </c>
      <c r="D1183" t="str">
        <f>VLOOKUP(B1183,Products!$A:$E,2,FALSE)</f>
        <v>Product_231</v>
      </c>
      <c r="E1183" t="str">
        <f>VLOOKUP(B1183,Products!$A:$E,3,FALSE)</f>
        <v>Accessories</v>
      </c>
    </row>
    <row r="1184" spans="1:5" x14ac:dyDescent="0.3">
      <c r="A1184" t="s">
        <v>2194</v>
      </c>
      <c r="B1184" t="s">
        <v>448</v>
      </c>
      <c r="C1184">
        <v>54</v>
      </c>
      <c r="D1184" t="str">
        <f>VLOOKUP(B1184,Products!$A:$E,2,FALSE)</f>
        <v>Product_220</v>
      </c>
      <c r="E1184" t="str">
        <f>VLOOKUP(B1184,Products!$A:$E,3,FALSE)</f>
        <v>Storage</v>
      </c>
    </row>
    <row r="1185" spans="1:5" x14ac:dyDescent="0.3">
      <c r="A1185" t="s">
        <v>2195</v>
      </c>
      <c r="B1185" t="s">
        <v>11</v>
      </c>
      <c r="C1185">
        <v>95</v>
      </c>
      <c r="D1185" t="str">
        <f>VLOOKUP(B1185,Products!$A:$E,2,FALSE)</f>
        <v>Product_3</v>
      </c>
      <c r="E1185" t="str">
        <f>VLOOKUP(B1185,Products!$A:$E,3,FALSE)</f>
        <v>Accessories</v>
      </c>
    </row>
    <row r="1186" spans="1:5" x14ac:dyDescent="0.3">
      <c r="A1186" t="s">
        <v>2196</v>
      </c>
      <c r="B1186" t="s">
        <v>228</v>
      </c>
      <c r="C1186">
        <v>31</v>
      </c>
      <c r="D1186" t="str">
        <f>VLOOKUP(B1186,Products!$A:$E,2,FALSE)</f>
        <v>Product_110</v>
      </c>
      <c r="E1186" t="str">
        <f>VLOOKUP(B1186,Products!$A:$E,3,FALSE)</f>
        <v>Networking</v>
      </c>
    </row>
    <row r="1187" spans="1:5" x14ac:dyDescent="0.3">
      <c r="A1187" t="s">
        <v>2197</v>
      </c>
      <c r="B1187" t="s">
        <v>294</v>
      </c>
      <c r="C1187">
        <v>95</v>
      </c>
      <c r="D1187" t="str">
        <f>VLOOKUP(B1187,Products!$A:$E,2,FALSE)</f>
        <v>Product_143</v>
      </c>
      <c r="E1187" t="str">
        <f>VLOOKUP(B1187,Products!$A:$E,3,FALSE)</f>
        <v>Office Supplies</v>
      </c>
    </row>
    <row r="1188" spans="1:5" x14ac:dyDescent="0.3">
      <c r="A1188" t="s">
        <v>2198</v>
      </c>
      <c r="B1188" t="s">
        <v>838</v>
      </c>
      <c r="C1188">
        <v>13</v>
      </c>
      <c r="D1188" t="str">
        <f>VLOOKUP(B1188,Products!$A:$E,2,FALSE)</f>
        <v>Product_415</v>
      </c>
      <c r="E1188" t="str">
        <f>VLOOKUP(B1188,Products!$A:$E,3,FALSE)</f>
        <v>Networking</v>
      </c>
    </row>
    <row r="1189" spans="1:5" x14ac:dyDescent="0.3">
      <c r="A1189" t="s">
        <v>2199</v>
      </c>
      <c r="B1189" t="s">
        <v>600</v>
      </c>
      <c r="C1189">
        <v>18</v>
      </c>
      <c r="D1189" t="str">
        <f>VLOOKUP(B1189,Products!$A:$E,2,FALSE)</f>
        <v>Product_296</v>
      </c>
      <c r="E1189" t="str">
        <f>VLOOKUP(B1189,Products!$A:$E,3,FALSE)</f>
        <v>Office Supplies</v>
      </c>
    </row>
    <row r="1190" spans="1:5" x14ac:dyDescent="0.3">
      <c r="A1190" t="s">
        <v>2200</v>
      </c>
      <c r="B1190" t="s">
        <v>828</v>
      </c>
      <c r="C1190">
        <v>73</v>
      </c>
      <c r="D1190" t="str">
        <f>VLOOKUP(B1190,Products!$A:$E,2,FALSE)</f>
        <v>Product_410</v>
      </c>
      <c r="E1190" t="str">
        <f>VLOOKUP(B1190,Products!$A:$E,3,FALSE)</f>
        <v>Storage</v>
      </c>
    </row>
    <row r="1191" spans="1:5" x14ac:dyDescent="0.3">
      <c r="A1191" t="s">
        <v>2201</v>
      </c>
      <c r="B1191" t="s">
        <v>200</v>
      </c>
      <c r="C1191">
        <v>51</v>
      </c>
      <c r="D1191" t="str">
        <f>VLOOKUP(B1191,Products!$A:$E,2,FALSE)</f>
        <v>Product_96</v>
      </c>
      <c r="E1191" t="str">
        <f>VLOOKUP(B1191,Products!$A:$E,3,FALSE)</f>
        <v>Office Supplies</v>
      </c>
    </row>
    <row r="1192" spans="1:5" x14ac:dyDescent="0.3">
      <c r="A1192" t="s">
        <v>2202</v>
      </c>
      <c r="B1192" t="s">
        <v>342</v>
      </c>
      <c r="C1192">
        <v>30</v>
      </c>
      <c r="D1192" t="str">
        <f>VLOOKUP(B1192,Products!$A:$E,2,FALSE)</f>
        <v>Product_167</v>
      </c>
      <c r="E1192" t="str">
        <f>VLOOKUP(B1192,Products!$A:$E,3,FALSE)</f>
        <v>Electronics</v>
      </c>
    </row>
    <row r="1193" spans="1:5" x14ac:dyDescent="0.3">
      <c r="A1193" t="s">
        <v>2203</v>
      </c>
      <c r="B1193" t="s">
        <v>478</v>
      </c>
      <c r="C1193">
        <v>19</v>
      </c>
      <c r="D1193" t="str">
        <f>VLOOKUP(B1193,Products!$A:$E,2,FALSE)</f>
        <v>Product_235</v>
      </c>
      <c r="E1193" t="str">
        <f>VLOOKUP(B1193,Products!$A:$E,3,FALSE)</f>
        <v>Accessories</v>
      </c>
    </row>
    <row r="1194" spans="1:5" x14ac:dyDescent="0.3">
      <c r="A1194" t="s">
        <v>2204</v>
      </c>
      <c r="B1194" t="s">
        <v>278</v>
      </c>
      <c r="C1194">
        <v>90</v>
      </c>
      <c r="D1194" t="str">
        <f>VLOOKUP(B1194,Products!$A:$E,2,FALSE)</f>
        <v>Product_135</v>
      </c>
      <c r="E1194" t="str">
        <f>VLOOKUP(B1194,Products!$A:$E,3,FALSE)</f>
        <v>Accessories</v>
      </c>
    </row>
    <row r="1195" spans="1:5" x14ac:dyDescent="0.3">
      <c r="A1195" t="s">
        <v>2205</v>
      </c>
      <c r="B1195" t="s">
        <v>892</v>
      </c>
      <c r="C1195">
        <v>67</v>
      </c>
      <c r="D1195" t="str">
        <f>VLOOKUP(B1195,Products!$A:$E,2,FALSE)</f>
        <v>Product_442</v>
      </c>
      <c r="E1195" t="str">
        <f>VLOOKUP(B1195,Products!$A:$E,3,FALSE)</f>
        <v>Networking</v>
      </c>
    </row>
    <row r="1196" spans="1:5" x14ac:dyDescent="0.3">
      <c r="A1196" t="s">
        <v>2206</v>
      </c>
      <c r="B1196" t="s">
        <v>550</v>
      </c>
      <c r="C1196">
        <v>86</v>
      </c>
      <c r="D1196" t="str">
        <f>VLOOKUP(B1196,Products!$A:$E,2,FALSE)</f>
        <v>Product_271</v>
      </c>
      <c r="E1196" t="str">
        <f>VLOOKUP(B1196,Products!$A:$E,3,FALSE)</f>
        <v>Electronics</v>
      </c>
    </row>
    <row r="1197" spans="1:5" x14ac:dyDescent="0.3">
      <c r="A1197" t="s">
        <v>2207</v>
      </c>
      <c r="B1197" t="s">
        <v>330</v>
      </c>
      <c r="C1197">
        <v>81</v>
      </c>
      <c r="D1197" t="str">
        <f>VLOOKUP(B1197,Products!$A:$E,2,FALSE)</f>
        <v>Product_161</v>
      </c>
      <c r="E1197" t="str">
        <f>VLOOKUP(B1197,Products!$A:$E,3,FALSE)</f>
        <v>Networking</v>
      </c>
    </row>
    <row r="1198" spans="1:5" x14ac:dyDescent="0.3">
      <c r="A1198" t="s">
        <v>2208</v>
      </c>
      <c r="B1198" t="s">
        <v>406</v>
      </c>
      <c r="C1198">
        <v>83</v>
      </c>
      <c r="D1198" t="str">
        <f>VLOOKUP(B1198,Products!$A:$E,2,FALSE)</f>
        <v>Product_199</v>
      </c>
      <c r="E1198" t="str">
        <f>VLOOKUP(B1198,Products!$A:$E,3,FALSE)</f>
        <v>Storage</v>
      </c>
    </row>
    <row r="1199" spans="1:5" x14ac:dyDescent="0.3">
      <c r="A1199" t="s">
        <v>2209</v>
      </c>
      <c r="B1199" t="s">
        <v>410</v>
      </c>
      <c r="C1199">
        <v>80</v>
      </c>
      <c r="D1199" t="str">
        <f>VLOOKUP(B1199,Products!$A:$E,2,FALSE)</f>
        <v>Product_201</v>
      </c>
      <c r="E1199" t="str">
        <f>VLOOKUP(B1199,Products!$A:$E,3,FALSE)</f>
        <v>Networking</v>
      </c>
    </row>
    <row r="1200" spans="1:5" x14ac:dyDescent="0.3">
      <c r="A1200" t="s">
        <v>2210</v>
      </c>
      <c r="B1200" t="s">
        <v>126</v>
      </c>
      <c r="C1200">
        <v>49</v>
      </c>
      <c r="D1200" t="str">
        <f>VLOOKUP(B1200,Products!$A:$E,2,FALSE)</f>
        <v>Product_59</v>
      </c>
      <c r="E1200" t="str">
        <f>VLOOKUP(B1200,Products!$A:$E,3,FALSE)</f>
        <v>Accessories</v>
      </c>
    </row>
    <row r="1201" spans="1:5" x14ac:dyDescent="0.3">
      <c r="A1201" t="s">
        <v>2211</v>
      </c>
      <c r="B1201" t="s">
        <v>370</v>
      </c>
      <c r="C1201">
        <v>63</v>
      </c>
      <c r="D1201" t="str">
        <f>VLOOKUP(B1201,Products!$A:$E,2,FALSE)</f>
        <v>Product_181</v>
      </c>
      <c r="E1201" t="str">
        <f>VLOOKUP(B1201,Products!$A:$E,3,FALSE)</f>
        <v>Storage</v>
      </c>
    </row>
    <row r="1202" spans="1:5" x14ac:dyDescent="0.3">
      <c r="A1202" t="s">
        <v>2212</v>
      </c>
      <c r="B1202" t="s">
        <v>642</v>
      </c>
      <c r="C1202">
        <v>27</v>
      </c>
      <c r="D1202" t="str">
        <f>VLOOKUP(B1202,Products!$A:$E,2,FALSE)</f>
        <v>Product_317</v>
      </c>
      <c r="E1202" t="str">
        <f>VLOOKUP(B1202,Products!$A:$E,3,FALSE)</f>
        <v>Storage</v>
      </c>
    </row>
    <row r="1203" spans="1:5" x14ac:dyDescent="0.3">
      <c r="A1203" t="s">
        <v>2213</v>
      </c>
      <c r="B1203" t="s">
        <v>842</v>
      </c>
      <c r="C1203">
        <v>91</v>
      </c>
      <c r="D1203" t="str">
        <f>VLOOKUP(B1203,Products!$A:$E,2,FALSE)</f>
        <v>Product_417</v>
      </c>
      <c r="E1203" t="str">
        <f>VLOOKUP(B1203,Products!$A:$E,3,FALSE)</f>
        <v>Accessories</v>
      </c>
    </row>
    <row r="1204" spans="1:5" x14ac:dyDescent="0.3">
      <c r="A1204" t="s">
        <v>2214</v>
      </c>
      <c r="B1204" t="s">
        <v>732</v>
      </c>
      <c r="C1204">
        <v>43</v>
      </c>
      <c r="D1204" t="str">
        <f>VLOOKUP(B1204,Products!$A:$E,2,FALSE)</f>
        <v>Product_362</v>
      </c>
      <c r="E1204" t="str">
        <f>VLOOKUP(B1204,Products!$A:$E,3,FALSE)</f>
        <v>Networking</v>
      </c>
    </row>
    <row r="1205" spans="1:5" x14ac:dyDescent="0.3">
      <c r="A1205" t="s">
        <v>2215</v>
      </c>
      <c r="B1205" t="s">
        <v>950</v>
      </c>
      <c r="C1205">
        <v>83</v>
      </c>
      <c r="D1205" t="str">
        <f>VLOOKUP(B1205,Products!$A:$E,2,FALSE)</f>
        <v>Product_471</v>
      </c>
      <c r="E1205" t="str">
        <f>VLOOKUP(B1205,Products!$A:$E,3,FALSE)</f>
        <v>Office Supplies</v>
      </c>
    </row>
    <row r="1206" spans="1:5" x14ac:dyDescent="0.3">
      <c r="A1206" t="s">
        <v>2216</v>
      </c>
      <c r="B1206" t="s">
        <v>614</v>
      </c>
      <c r="C1206">
        <v>15</v>
      </c>
      <c r="D1206" t="str">
        <f>VLOOKUP(B1206,Products!$A:$E,2,FALSE)</f>
        <v>Product_303</v>
      </c>
      <c r="E1206" t="str">
        <f>VLOOKUP(B1206,Products!$A:$E,3,FALSE)</f>
        <v>Networking</v>
      </c>
    </row>
    <row r="1207" spans="1:5" x14ac:dyDescent="0.3">
      <c r="A1207" t="s">
        <v>2217</v>
      </c>
      <c r="B1207" t="s">
        <v>698</v>
      </c>
      <c r="C1207">
        <v>22</v>
      </c>
      <c r="D1207" t="str">
        <f>VLOOKUP(B1207,Products!$A:$E,2,FALSE)</f>
        <v>Product_345</v>
      </c>
      <c r="E1207" t="str">
        <f>VLOOKUP(B1207,Products!$A:$E,3,FALSE)</f>
        <v>Storage</v>
      </c>
    </row>
    <row r="1208" spans="1:5" x14ac:dyDescent="0.3">
      <c r="A1208" t="s">
        <v>2218</v>
      </c>
      <c r="B1208" t="s">
        <v>330</v>
      </c>
      <c r="C1208">
        <v>20</v>
      </c>
      <c r="D1208" t="str">
        <f>VLOOKUP(B1208,Products!$A:$E,2,FALSE)</f>
        <v>Product_161</v>
      </c>
      <c r="E1208" t="str">
        <f>VLOOKUP(B1208,Products!$A:$E,3,FALSE)</f>
        <v>Networking</v>
      </c>
    </row>
    <row r="1209" spans="1:5" x14ac:dyDescent="0.3">
      <c r="A1209" t="s">
        <v>2219</v>
      </c>
      <c r="B1209" t="s">
        <v>254</v>
      </c>
      <c r="C1209">
        <v>44</v>
      </c>
      <c r="D1209" t="str">
        <f>VLOOKUP(B1209,Products!$A:$E,2,FALSE)</f>
        <v>Product_123</v>
      </c>
      <c r="E1209" t="str">
        <f>VLOOKUP(B1209,Products!$A:$E,3,FALSE)</f>
        <v>Electronics</v>
      </c>
    </row>
    <row r="1210" spans="1:5" x14ac:dyDescent="0.3">
      <c r="A1210" t="s">
        <v>2220</v>
      </c>
      <c r="B1210" t="s">
        <v>128</v>
      </c>
      <c r="C1210">
        <v>28</v>
      </c>
      <c r="D1210" t="str">
        <f>VLOOKUP(B1210,Products!$A:$E,2,FALSE)</f>
        <v>Product_60</v>
      </c>
      <c r="E1210" t="str">
        <f>VLOOKUP(B1210,Products!$A:$E,3,FALSE)</f>
        <v>Electronics</v>
      </c>
    </row>
    <row r="1211" spans="1:5" x14ac:dyDescent="0.3">
      <c r="A1211" t="s">
        <v>2221</v>
      </c>
      <c r="B1211" t="s">
        <v>392</v>
      </c>
      <c r="C1211">
        <v>93</v>
      </c>
      <c r="D1211" t="str">
        <f>VLOOKUP(B1211,Products!$A:$E,2,FALSE)</f>
        <v>Product_192</v>
      </c>
      <c r="E1211" t="str">
        <f>VLOOKUP(B1211,Products!$A:$E,3,FALSE)</f>
        <v>Office Supplies</v>
      </c>
    </row>
    <row r="1212" spans="1:5" x14ac:dyDescent="0.3">
      <c r="A1212" t="s">
        <v>2222</v>
      </c>
      <c r="B1212" t="s">
        <v>154</v>
      </c>
      <c r="C1212">
        <v>70</v>
      </c>
      <c r="D1212" t="str">
        <f>VLOOKUP(B1212,Products!$A:$E,2,FALSE)</f>
        <v>Product_73</v>
      </c>
      <c r="E1212" t="str">
        <f>VLOOKUP(B1212,Products!$A:$E,3,FALSE)</f>
        <v>Office Supplies</v>
      </c>
    </row>
    <row r="1213" spans="1:5" x14ac:dyDescent="0.3">
      <c r="A1213" t="s">
        <v>2223</v>
      </c>
      <c r="B1213" t="s">
        <v>406</v>
      </c>
      <c r="C1213">
        <v>58</v>
      </c>
      <c r="D1213" t="str">
        <f>VLOOKUP(B1213,Products!$A:$E,2,FALSE)</f>
        <v>Product_199</v>
      </c>
      <c r="E1213" t="str">
        <f>VLOOKUP(B1213,Products!$A:$E,3,FALSE)</f>
        <v>Storage</v>
      </c>
    </row>
    <row r="1214" spans="1:5" x14ac:dyDescent="0.3">
      <c r="A1214" t="s">
        <v>2224</v>
      </c>
      <c r="B1214" t="s">
        <v>620</v>
      </c>
      <c r="C1214">
        <v>22</v>
      </c>
      <c r="D1214" t="str">
        <f>VLOOKUP(B1214,Products!$A:$E,2,FALSE)</f>
        <v>Product_306</v>
      </c>
      <c r="E1214" t="str">
        <f>VLOOKUP(B1214,Products!$A:$E,3,FALSE)</f>
        <v>Accessories</v>
      </c>
    </row>
    <row r="1215" spans="1:5" x14ac:dyDescent="0.3">
      <c r="A1215" t="s">
        <v>2225</v>
      </c>
      <c r="B1215" t="s">
        <v>598</v>
      </c>
      <c r="C1215">
        <v>54</v>
      </c>
      <c r="D1215" t="str">
        <f>VLOOKUP(B1215,Products!$A:$E,2,FALSE)</f>
        <v>Product_295</v>
      </c>
      <c r="E1215" t="str">
        <f>VLOOKUP(B1215,Products!$A:$E,3,FALSE)</f>
        <v>Networking</v>
      </c>
    </row>
    <row r="1216" spans="1:5" x14ac:dyDescent="0.3">
      <c r="A1216" t="s">
        <v>2226</v>
      </c>
      <c r="B1216" t="s">
        <v>442</v>
      </c>
      <c r="C1216">
        <v>28</v>
      </c>
      <c r="D1216" t="str">
        <f>VLOOKUP(B1216,Products!$A:$E,2,FALSE)</f>
        <v>Product_217</v>
      </c>
      <c r="E1216" t="str">
        <f>VLOOKUP(B1216,Products!$A:$E,3,FALSE)</f>
        <v>Networking</v>
      </c>
    </row>
    <row r="1217" spans="1:5" x14ac:dyDescent="0.3">
      <c r="A1217" t="s">
        <v>2227</v>
      </c>
      <c r="B1217" t="s">
        <v>508</v>
      </c>
      <c r="C1217">
        <v>86</v>
      </c>
      <c r="D1217" t="str">
        <f>VLOOKUP(B1217,Products!$A:$E,2,FALSE)</f>
        <v>Product_250</v>
      </c>
      <c r="E1217" t="str">
        <f>VLOOKUP(B1217,Products!$A:$E,3,FALSE)</f>
        <v>Networking</v>
      </c>
    </row>
    <row r="1218" spans="1:5" x14ac:dyDescent="0.3">
      <c r="A1218" t="s">
        <v>2228</v>
      </c>
      <c r="B1218" t="s">
        <v>560</v>
      </c>
      <c r="C1218">
        <v>93</v>
      </c>
      <c r="D1218" t="str">
        <f>VLOOKUP(B1218,Products!$A:$E,2,FALSE)</f>
        <v>Product_276</v>
      </c>
      <c r="E1218" t="str">
        <f>VLOOKUP(B1218,Products!$A:$E,3,FALSE)</f>
        <v>Office Supplies</v>
      </c>
    </row>
    <row r="1219" spans="1:5" x14ac:dyDescent="0.3">
      <c r="A1219" t="s">
        <v>2229</v>
      </c>
      <c r="B1219" t="s">
        <v>950</v>
      </c>
      <c r="C1219">
        <v>87</v>
      </c>
      <c r="D1219" t="str">
        <f>VLOOKUP(B1219,Products!$A:$E,2,FALSE)</f>
        <v>Product_471</v>
      </c>
      <c r="E1219" t="str">
        <f>VLOOKUP(B1219,Products!$A:$E,3,FALSE)</f>
        <v>Office Supplies</v>
      </c>
    </row>
    <row r="1220" spans="1:5" x14ac:dyDescent="0.3">
      <c r="A1220" t="s">
        <v>2230</v>
      </c>
      <c r="B1220" t="s">
        <v>962</v>
      </c>
      <c r="C1220">
        <v>27</v>
      </c>
      <c r="D1220" t="str">
        <f>VLOOKUP(B1220,Products!$A:$E,2,FALSE)</f>
        <v>Product_477</v>
      </c>
      <c r="E1220" t="str">
        <f>VLOOKUP(B1220,Products!$A:$E,3,FALSE)</f>
        <v>Networking</v>
      </c>
    </row>
    <row r="1221" spans="1:5" x14ac:dyDescent="0.3">
      <c r="A1221" t="s">
        <v>2231</v>
      </c>
      <c r="B1221" t="s">
        <v>578</v>
      </c>
      <c r="C1221">
        <v>26</v>
      </c>
      <c r="D1221" t="str">
        <f>VLOOKUP(B1221,Products!$A:$E,2,FALSE)</f>
        <v>Product_285</v>
      </c>
      <c r="E1221" t="str">
        <f>VLOOKUP(B1221,Products!$A:$E,3,FALSE)</f>
        <v>Networking</v>
      </c>
    </row>
    <row r="1222" spans="1:5" x14ac:dyDescent="0.3">
      <c r="A1222" t="s">
        <v>2232</v>
      </c>
      <c r="B1222" t="s">
        <v>510</v>
      </c>
      <c r="C1222">
        <v>41</v>
      </c>
      <c r="D1222" t="str">
        <f>VLOOKUP(B1222,Products!$A:$E,2,FALSE)</f>
        <v>Product_251</v>
      </c>
      <c r="E1222" t="str">
        <f>VLOOKUP(B1222,Products!$A:$E,3,FALSE)</f>
        <v>Electronics</v>
      </c>
    </row>
    <row r="1223" spans="1:5" x14ac:dyDescent="0.3">
      <c r="A1223" t="s">
        <v>2233</v>
      </c>
      <c r="B1223" t="s">
        <v>152</v>
      </c>
      <c r="C1223">
        <v>28</v>
      </c>
      <c r="D1223" t="str">
        <f>VLOOKUP(B1223,Products!$A:$E,2,FALSE)</f>
        <v>Product_72</v>
      </c>
      <c r="E1223" t="str">
        <f>VLOOKUP(B1223,Products!$A:$E,3,FALSE)</f>
        <v>Networking</v>
      </c>
    </row>
    <row r="1224" spans="1:5" x14ac:dyDescent="0.3">
      <c r="A1224" t="s">
        <v>2234</v>
      </c>
      <c r="B1224" t="s">
        <v>332</v>
      </c>
      <c r="C1224">
        <v>62</v>
      </c>
      <c r="D1224" t="str">
        <f>VLOOKUP(B1224,Products!$A:$E,2,FALSE)</f>
        <v>Product_162</v>
      </c>
      <c r="E1224" t="str">
        <f>VLOOKUP(B1224,Products!$A:$E,3,FALSE)</f>
        <v>Accessories</v>
      </c>
    </row>
    <row r="1225" spans="1:5" x14ac:dyDescent="0.3">
      <c r="A1225" t="s">
        <v>2235</v>
      </c>
      <c r="B1225" t="s">
        <v>644</v>
      </c>
      <c r="C1225">
        <v>11</v>
      </c>
      <c r="D1225" t="str">
        <f>VLOOKUP(B1225,Products!$A:$E,2,FALSE)</f>
        <v>Product_318</v>
      </c>
      <c r="E1225" t="str">
        <f>VLOOKUP(B1225,Products!$A:$E,3,FALSE)</f>
        <v>Storage</v>
      </c>
    </row>
    <row r="1226" spans="1:5" x14ac:dyDescent="0.3">
      <c r="A1226" t="s">
        <v>2236</v>
      </c>
      <c r="B1226" t="s">
        <v>896</v>
      </c>
      <c r="C1226">
        <v>50</v>
      </c>
      <c r="D1226" t="str">
        <f>VLOOKUP(B1226,Products!$A:$E,2,FALSE)</f>
        <v>Product_444</v>
      </c>
      <c r="E1226" t="str">
        <f>VLOOKUP(B1226,Products!$A:$E,3,FALSE)</f>
        <v>Electronics</v>
      </c>
    </row>
    <row r="1227" spans="1:5" x14ac:dyDescent="0.3">
      <c r="A1227" t="s">
        <v>2237</v>
      </c>
      <c r="B1227" t="s">
        <v>984</v>
      </c>
      <c r="C1227">
        <v>6</v>
      </c>
      <c r="D1227" t="str">
        <f>VLOOKUP(B1227,Products!$A:$E,2,FALSE)</f>
        <v>Product_488</v>
      </c>
      <c r="E1227" t="str">
        <f>VLOOKUP(B1227,Products!$A:$E,3,FALSE)</f>
        <v>Accessories</v>
      </c>
    </row>
    <row r="1228" spans="1:5" x14ac:dyDescent="0.3">
      <c r="A1228" t="s">
        <v>2238</v>
      </c>
      <c r="B1228" t="s">
        <v>506</v>
      </c>
      <c r="C1228">
        <v>22</v>
      </c>
      <c r="D1228" t="str">
        <f>VLOOKUP(B1228,Products!$A:$E,2,FALSE)</f>
        <v>Product_249</v>
      </c>
      <c r="E1228" t="str">
        <f>VLOOKUP(B1228,Products!$A:$E,3,FALSE)</f>
        <v>Storage</v>
      </c>
    </row>
    <row r="1229" spans="1:5" x14ac:dyDescent="0.3">
      <c r="A1229" t="s">
        <v>2239</v>
      </c>
      <c r="B1229" t="s">
        <v>208</v>
      </c>
      <c r="C1229">
        <v>54</v>
      </c>
      <c r="D1229" t="str">
        <f>VLOOKUP(B1229,Products!$A:$E,2,FALSE)</f>
        <v>Product_100</v>
      </c>
      <c r="E1229" t="str">
        <f>VLOOKUP(B1229,Products!$A:$E,3,FALSE)</f>
        <v>Accessories</v>
      </c>
    </row>
    <row r="1230" spans="1:5" x14ac:dyDescent="0.3">
      <c r="A1230" t="s">
        <v>2240</v>
      </c>
      <c r="B1230" t="s">
        <v>996</v>
      </c>
      <c r="C1230">
        <v>76</v>
      </c>
      <c r="D1230" t="str">
        <f>VLOOKUP(B1230,Products!$A:$E,2,FALSE)</f>
        <v>Product_494</v>
      </c>
      <c r="E1230" t="str">
        <f>VLOOKUP(B1230,Products!$A:$E,3,FALSE)</f>
        <v>Office Supplies</v>
      </c>
    </row>
    <row r="1231" spans="1:5" x14ac:dyDescent="0.3">
      <c r="A1231" t="s">
        <v>2241</v>
      </c>
      <c r="B1231" t="s">
        <v>526</v>
      </c>
      <c r="C1231">
        <v>88</v>
      </c>
      <c r="D1231" t="str">
        <f>VLOOKUP(B1231,Products!$A:$E,2,FALSE)</f>
        <v>Product_259</v>
      </c>
      <c r="E1231" t="str">
        <f>VLOOKUP(B1231,Products!$A:$E,3,FALSE)</f>
        <v>Electronics</v>
      </c>
    </row>
    <row r="1232" spans="1:5" x14ac:dyDescent="0.3">
      <c r="A1232" t="s">
        <v>2242</v>
      </c>
      <c r="B1232" t="s">
        <v>516</v>
      </c>
      <c r="C1232">
        <v>57</v>
      </c>
      <c r="D1232" t="str">
        <f>VLOOKUP(B1232,Products!$A:$E,2,FALSE)</f>
        <v>Product_254</v>
      </c>
      <c r="E1232" t="str">
        <f>VLOOKUP(B1232,Products!$A:$E,3,FALSE)</f>
        <v>Office Supplies</v>
      </c>
    </row>
    <row r="1233" spans="1:5" x14ac:dyDescent="0.3">
      <c r="A1233" t="s">
        <v>2243</v>
      </c>
      <c r="B1233" t="s">
        <v>710</v>
      </c>
      <c r="C1233">
        <v>67</v>
      </c>
      <c r="D1233" t="str">
        <f>VLOOKUP(B1233,Products!$A:$E,2,FALSE)</f>
        <v>Product_351</v>
      </c>
      <c r="E1233" t="str">
        <f>VLOOKUP(B1233,Products!$A:$E,3,FALSE)</f>
        <v>Accessories</v>
      </c>
    </row>
    <row r="1234" spans="1:5" x14ac:dyDescent="0.3">
      <c r="A1234" t="s">
        <v>2244</v>
      </c>
      <c r="B1234" t="s">
        <v>434</v>
      </c>
      <c r="C1234">
        <v>95</v>
      </c>
      <c r="D1234" t="str">
        <f>VLOOKUP(B1234,Products!$A:$E,2,FALSE)</f>
        <v>Product_213</v>
      </c>
      <c r="E1234" t="str">
        <f>VLOOKUP(B1234,Products!$A:$E,3,FALSE)</f>
        <v>Accessories</v>
      </c>
    </row>
    <row r="1235" spans="1:5" x14ac:dyDescent="0.3">
      <c r="A1235" t="s">
        <v>2245</v>
      </c>
      <c r="B1235" t="s">
        <v>870</v>
      </c>
      <c r="C1235">
        <v>61</v>
      </c>
      <c r="D1235" t="str">
        <f>VLOOKUP(B1235,Products!$A:$E,2,FALSE)</f>
        <v>Product_431</v>
      </c>
      <c r="E1235" t="str">
        <f>VLOOKUP(B1235,Products!$A:$E,3,FALSE)</f>
        <v>Electronics</v>
      </c>
    </row>
    <row r="1236" spans="1:5" x14ac:dyDescent="0.3">
      <c r="A1236" t="s">
        <v>2246</v>
      </c>
      <c r="B1236" t="s">
        <v>510</v>
      </c>
      <c r="C1236">
        <v>26</v>
      </c>
      <c r="D1236" t="str">
        <f>VLOOKUP(B1236,Products!$A:$E,2,FALSE)</f>
        <v>Product_251</v>
      </c>
      <c r="E1236" t="str">
        <f>VLOOKUP(B1236,Products!$A:$E,3,FALSE)</f>
        <v>Electronics</v>
      </c>
    </row>
    <row r="1237" spans="1:5" x14ac:dyDescent="0.3">
      <c r="A1237" t="s">
        <v>2247</v>
      </c>
      <c r="B1237" t="s">
        <v>94</v>
      </c>
      <c r="C1237">
        <v>77</v>
      </c>
      <c r="D1237" t="str">
        <f>VLOOKUP(B1237,Products!$A:$E,2,FALSE)</f>
        <v>Product_43</v>
      </c>
      <c r="E1237" t="str">
        <f>VLOOKUP(B1237,Products!$A:$E,3,FALSE)</f>
        <v>Storage</v>
      </c>
    </row>
    <row r="1238" spans="1:5" x14ac:dyDescent="0.3">
      <c r="A1238" t="s">
        <v>2248</v>
      </c>
      <c r="B1238" t="s">
        <v>40</v>
      </c>
      <c r="C1238">
        <v>33</v>
      </c>
      <c r="D1238" t="str">
        <f>VLOOKUP(B1238,Products!$A:$E,2,FALSE)</f>
        <v>Product_16</v>
      </c>
      <c r="E1238" t="str">
        <f>VLOOKUP(B1238,Products!$A:$E,3,FALSE)</f>
        <v>Office Supplies</v>
      </c>
    </row>
    <row r="1239" spans="1:5" x14ac:dyDescent="0.3">
      <c r="A1239" t="s">
        <v>2249</v>
      </c>
      <c r="B1239" t="s">
        <v>308</v>
      </c>
      <c r="C1239">
        <v>9</v>
      </c>
      <c r="D1239" t="str">
        <f>VLOOKUP(B1239,Products!$A:$E,2,FALSE)</f>
        <v>Product_150</v>
      </c>
      <c r="E1239" t="str">
        <f>VLOOKUP(B1239,Products!$A:$E,3,FALSE)</f>
        <v>Accessories</v>
      </c>
    </row>
    <row r="1240" spans="1:5" x14ac:dyDescent="0.3">
      <c r="A1240" t="s">
        <v>2250</v>
      </c>
      <c r="B1240" t="s">
        <v>290</v>
      </c>
      <c r="C1240">
        <v>33</v>
      </c>
      <c r="D1240" t="str">
        <f>VLOOKUP(B1240,Products!$A:$E,2,FALSE)</f>
        <v>Product_141</v>
      </c>
      <c r="E1240" t="str">
        <f>VLOOKUP(B1240,Products!$A:$E,3,FALSE)</f>
        <v>Electronics</v>
      </c>
    </row>
    <row r="1241" spans="1:5" x14ac:dyDescent="0.3">
      <c r="A1241" t="s">
        <v>2251</v>
      </c>
      <c r="B1241" t="s">
        <v>560</v>
      </c>
      <c r="C1241">
        <v>41</v>
      </c>
      <c r="D1241" t="str">
        <f>VLOOKUP(B1241,Products!$A:$E,2,FALSE)</f>
        <v>Product_276</v>
      </c>
      <c r="E1241" t="str">
        <f>VLOOKUP(B1241,Products!$A:$E,3,FALSE)</f>
        <v>Office Supplies</v>
      </c>
    </row>
    <row r="1242" spans="1:5" x14ac:dyDescent="0.3">
      <c r="A1242" t="s">
        <v>2252</v>
      </c>
      <c r="B1242" t="s">
        <v>182</v>
      </c>
      <c r="C1242">
        <v>63</v>
      </c>
      <c r="D1242" t="str">
        <f>VLOOKUP(B1242,Products!$A:$E,2,FALSE)</f>
        <v>Product_87</v>
      </c>
      <c r="E1242" t="str">
        <f>VLOOKUP(B1242,Products!$A:$E,3,FALSE)</f>
        <v>Networking</v>
      </c>
    </row>
    <row r="1243" spans="1:5" x14ac:dyDescent="0.3">
      <c r="A1243" t="s">
        <v>2253</v>
      </c>
      <c r="B1243" t="s">
        <v>588</v>
      </c>
      <c r="C1243">
        <v>100</v>
      </c>
      <c r="D1243" t="str">
        <f>VLOOKUP(B1243,Products!$A:$E,2,FALSE)</f>
        <v>Product_290</v>
      </c>
      <c r="E1243" t="str">
        <f>VLOOKUP(B1243,Products!$A:$E,3,FALSE)</f>
        <v>Accessories</v>
      </c>
    </row>
    <row r="1244" spans="1:5" x14ac:dyDescent="0.3">
      <c r="A1244" t="s">
        <v>2254</v>
      </c>
      <c r="B1244" t="s">
        <v>800</v>
      </c>
      <c r="C1244">
        <v>68</v>
      </c>
      <c r="D1244" t="str">
        <f>VLOOKUP(B1244,Products!$A:$E,2,FALSE)</f>
        <v>Product_396</v>
      </c>
      <c r="E1244" t="str">
        <f>VLOOKUP(B1244,Products!$A:$E,3,FALSE)</f>
        <v>Office Supplies</v>
      </c>
    </row>
    <row r="1245" spans="1:5" x14ac:dyDescent="0.3">
      <c r="A1245" t="s">
        <v>2255</v>
      </c>
      <c r="B1245" t="s">
        <v>572</v>
      </c>
      <c r="C1245">
        <v>70</v>
      </c>
      <c r="D1245" t="str">
        <f>VLOOKUP(B1245,Products!$A:$E,2,FALSE)</f>
        <v>Product_282</v>
      </c>
      <c r="E1245" t="str">
        <f>VLOOKUP(B1245,Products!$A:$E,3,FALSE)</f>
        <v>Networking</v>
      </c>
    </row>
    <row r="1246" spans="1:5" x14ac:dyDescent="0.3">
      <c r="A1246" t="s">
        <v>2256</v>
      </c>
      <c r="B1246" t="s">
        <v>124</v>
      </c>
      <c r="C1246">
        <v>78</v>
      </c>
      <c r="D1246" t="str">
        <f>VLOOKUP(B1246,Products!$A:$E,2,FALSE)</f>
        <v>Product_58</v>
      </c>
      <c r="E1246" t="str">
        <f>VLOOKUP(B1246,Products!$A:$E,3,FALSE)</f>
        <v>Office Supplies</v>
      </c>
    </row>
    <row r="1247" spans="1:5" x14ac:dyDescent="0.3">
      <c r="A1247" t="s">
        <v>2257</v>
      </c>
      <c r="B1247" t="s">
        <v>126</v>
      </c>
      <c r="C1247">
        <v>39</v>
      </c>
      <c r="D1247" t="str">
        <f>VLOOKUP(B1247,Products!$A:$E,2,FALSE)</f>
        <v>Product_59</v>
      </c>
      <c r="E1247" t="str">
        <f>VLOOKUP(B1247,Products!$A:$E,3,FALSE)</f>
        <v>Accessories</v>
      </c>
    </row>
    <row r="1248" spans="1:5" x14ac:dyDescent="0.3">
      <c r="A1248" t="s">
        <v>2258</v>
      </c>
      <c r="B1248" t="s">
        <v>802</v>
      </c>
      <c r="C1248">
        <v>74</v>
      </c>
      <c r="D1248" t="str">
        <f>VLOOKUP(B1248,Products!$A:$E,2,FALSE)</f>
        <v>Product_397</v>
      </c>
      <c r="E1248" t="str">
        <f>VLOOKUP(B1248,Products!$A:$E,3,FALSE)</f>
        <v>Office Supplies</v>
      </c>
    </row>
    <row r="1249" spans="1:5" x14ac:dyDescent="0.3">
      <c r="A1249" t="s">
        <v>2259</v>
      </c>
      <c r="B1249" t="s">
        <v>852</v>
      </c>
      <c r="C1249">
        <v>51</v>
      </c>
      <c r="D1249" t="str">
        <f>VLOOKUP(B1249,Products!$A:$E,2,FALSE)</f>
        <v>Product_422</v>
      </c>
      <c r="E1249" t="str">
        <f>VLOOKUP(B1249,Products!$A:$E,3,FALSE)</f>
        <v>Accessories</v>
      </c>
    </row>
    <row r="1250" spans="1:5" x14ac:dyDescent="0.3">
      <c r="A1250" t="s">
        <v>2260</v>
      </c>
      <c r="B1250" t="s">
        <v>564</v>
      </c>
      <c r="C1250">
        <v>10</v>
      </c>
      <c r="D1250" t="str">
        <f>VLOOKUP(B1250,Products!$A:$E,2,FALSE)</f>
        <v>Product_278</v>
      </c>
      <c r="E1250" t="str">
        <f>VLOOKUP(B1250,Products!$A:$E,3,FALSE)</f>
        <v>Electronics</v>
      </c>
    </row>
    <row r="1251" spans="1:5" x14ac:dyDescent="0.3">
      <c r="A1251" t="s">
        <v>2261</v>
      </c>
      <c r="B1251" t="s">
        <v>788</v>
      </c>
      <c r="C1251">
        <v>97</v>
      </c>
      <c r="D1251" t="str">
        <f>VLOOKUP(B1251,Products!$A:$E,2,FALSE)</f>
        <v>Product_390</v>
      </c>
      <c r="E1251" t="str">
        <f>VLOOKUP(B1251,Products!$A:$E,3,FALSE)</f>
        <v>Storage</v>
      </c>
    </row>
    <row r="1252" spans="1:5" x14ac:dyDescent="0.3">
      <c r="A1252" t="s">
        <v>2262</v>
      </c>
      <c r="B1252" t="s">
        <v>460</v>
      </c>
      <c r="C1252">
        <v>74</v>
      </c>
      <c r="D1252" t="str">
        <f>VLOOKUP(B1252,Products!$A:$E,2,FALSE)</f>
        <v>Product_226</v>
      </c>
      <c r="E1252" t="str">
        <f>VLOOKUP(B1252,Products!$A:$E,3,FALSE)</f>
        <v>Networking</v>
      </c>
    </row>
    <row r="1253" spans="1:5" x14ac:dyDescent="0.3">
      <c r="A1253" t="s">
        <v>2263</v>
      </c>
      <c r="B1253" t="s">
        <v>232</v>
      </c>
      <c r="C1253">
        <v>59</v>
      </c>
      <c r="D1253" t="str">
        <f>VLOOKUP(B1253,Products!$A:$E,2,FALSE)</f>
        <v>Product_112</v>
      </c>
      <c r="E1253" t="str">
        <f>VLOOKUP(B1253,Products!$A:$E,3,FALSE)</f>
        <v>Storage</v>
      </c>
    </row>
    <row r="1254" spans="1:5" x14ac:dyDescent="0.3">
      <c r="A1254" t="s">
        <v>2264</v>
      </c>
      <c r="B1254" t="s">
        <v>114</v>
      </c>
      <c r="C1254">
        <v>99</v>
      </c>
      <c r="D1254" t="str">
        <f>VLOOKUP(B1254,Products!$A:$E,2,FALSE)</f>
        <v>Product_53</v>
      </c>
      <c r="E1254" t="str">
        <f>VLOOKUP(B1254,Products!$A:$E,3,FALSE)</f>
        <v>Electronics</v>
      </c>
    </row>
    <row r="1255" spans="1:5" x14ac:dyDescent="0.3">
      <c r="A1255" t="s">
        <v>2265</v>
      </c>
      <c r="B1255" t="s">
        <v>858</v>
      </c>
      <c r="C1255">
        <v>88</v>
      </c>
      <c r="D1255" t="str">
        <f>VLOOKUP(B1255,Products!$A:$E,2,FALSE)</f>
        <v>Product_425</v>
      </c>
      <c r="E1255" t="str">
        <f>VLOOKUP(B1255,Products!$A:$E,3,FALSE)</f>
        <v>Office Supplies</v>
      </c>
    </row>
    <row r="1256" spans="1:5" x14ac:dyDescent="0.3">
      <c r="A1256" t="s">
        <v>2266</v>
      </c>
      <c r="B1256" t="s">
        <v>778</v>
      </c>
      <c r="C1256">
        <v>36</v>
      </c>
      <c r="D1256" t="str">
        <f>VLOOKUP(B1256,Products!$A:$E,2,FALSE)</f>
        <v>Product_385</v>
      </c>
      <c r="E1256" t="str">
        <f>VLOOKUP(B1256,Products!$A:$E,3,FALSE)</f>
        <v>Networking</v>
      </c>
    </row>
    <row r="1257" spans="1:5" x14ac:dyDescent="0.3">
      <c r="A1257" t="s">
        <v>2267</v>
      </c>
      <c r="B1257" t="s">
        <v>314</v>
      </c>
      <c r="C1257">
        <v>9</v>
      </c>
      <c r="D1257" t="str">
        <f>VLOOKUP(B1257,Products!$A:$E,2,FALSE)</f>
        <v>Product_153</v>
      </c>
      <c r="E1257" t="str">
        <f>VLOOKUP(B1257,Products!$A:$E,3,FALSE)</f>
        <v>Electronics</v>
      </c>
    </row>
    <row r="1258" spans="1:5" x14ac:dyDescent="0.3">
      <c r="A1258" t="s">
        <v>2268</v>
      </c>
      <c r="B1258" t="s">
        <v>470</v>
      </c>
      <c r="C1258">
        <v>38</v>
      </c>
      <c r="D1258" t="str">
        <f>VLOOKUP(B1258,Products!$A:$E,2,FALSE)</f>
        <v>Product_231</v>
      </c>
      <c r="E1258" t="str">
        <f>VLOOKUP(B1258,Products!$A:$E,3,FALSE)</f>
        <v>Accessories</v>
      </c>
    </row>
    <row r="1259" spans="1:5" x14ac:dyDescent="0.3">
      <c r="A1259" t="s">
        <v>2269</v>
      </c>
      <c r="B1259" t="s">
        <v>366</v>
      </c>
      <c r="C1259">
        <v>16</v>
      </c>
      <c r="D1259" t="str">
        <f>VLOOKUP(B1259,Products!$A:$E,2,FALSE)</f>
        <v>Product_179</v>
      </c>
      <c r="E1259" t="str">
        <f>VLOOKUP(B1259,Products!$A:$E,3,FALSE)</f>
        <v>Storage</v>
      </c>
    </row>
    <row r="1260" spans="1:5" x14ac:dyDescent="0.3">
      <c r="A1260" t="s">
        <v>2270</v>
      </c>
      <c r="B1260" t="s">
        <v>458</v>
      </c>
      <c r="C1260">
        <v>20</v>
      </c>
      <c r="D1260" t="str">
        <f>VLOOKUP(B1260,Products!$A:$E,2,FALSE)</f>
        <v>Product_225</v>
      </c>
      <c r="E1260" t="str">
        <f>VLOOKUP(B1260,Products!$A:$E,3,FALSE)</f>
        <v>Accessories</v>
      </c>
    </row>
    <row r="1261" spans="1:5" x14ac:dyDescent="0.3">
      <c r="A1261" t="s">
        <v>2271</v>
      </c>
      <c r="B1261" t="s">
        <v>804</v>
      </c>
      <c r="C1261">
        <v>35</v>
      </c>
      <c r="D1261" t="str">
        <f>VLOOKUP(B1261,Products!$A:$E,2,FALSE)</f>
        <v>Product_398</v>
      </c>
      <c r="E1261" t="str">
        <f>VLOOKUP(B1261,Products!$A:$E,3,FALSE)</f>
        <v>Networking</v>
      </c>
    </row>
    <row r="1262" spans="1:5" x14ac:dyDescent="0.3">
      <c r="A1262" t="s">
        <v>2272</v>
      </c>
      <c r="B1262" t="s">
        <v>224</v>
      </c>
      <c r="C1262">
        <v>99</v>
      </c>
      <c r="D1262" t="str">
        <f>VLOOKUP(B1262,Products!$A:$E,2,FALSE)</f>
        <v>Product_108</v>
      </c>
      <c r="E1262" t="str">
        <f>VLOOKUP(B1262,Products!$A:$E,3,FALSE)</f>
        <v>Networking</v>
      </c>
    </row>
    <row r="1263" spans="1:5" x14ac:dyDescent="0.3">
      <c r="A1263" t="s">
        <v>2273</v>
      </c>
      <c r="B1263" t="s">
        <v>612</v>
      </c>
      <c r="C1263">
        <v>93</v>
      </c>
      <c r="D1263" t="str">
        <f>VLOOKUP(B1263,Products!$A:$E,2,FALSE)</f>
        <v>Product_302</v>
      </c>
      <c r="E1263" t="str">
        <f>VLOOKUP(B1263,Products!$A:$E,3,FALSE)</f>
        <v>Accessories</v>
      </c>
    </row>
    <row r="1264" spans="1:5" x14ac:dyDescent="0.3">
      <c r="A1264" t="s">
        <v>2274</v>
      </c>
      <c r="B1264" t="s">
        <v>368</v>
      </c>
      <c r="C1264">
        <v>95</v>
      </c>
      <c r="D1264" t="str">
        <f>VLOOKUP(B1264,Products!$A:$E,2,FALSE)</f>
        <v>Product_180</v>
      </c>
      <c r="E1264" t="str">
        <f>VLOOKUP(B1264,Products!$A:$E,3,FALSE)</f>
        <v>Office Supplies</v>
      </c>
    </row>
    <row r="1265" spans="1:5" x14ac:dyDescent="0.3">
      <c r="A1265" t="s">
        <v>2275</v>
      </c>
      <c r="B1265" t="s">
        <v>634</v>
      </c>
      <c r="C1265">
        <v>85</v>
      </c>
      <c r="D1265" t="str">
        <f>VLOOKUP(B1265,Products!$A:$E,2,FALSE)</f>
        <v>Product_313</v>
      </c>
      <c r="E1265" t="str">
        <f>VLOOKUP(B1265,Products!$A:$E,3,FALSE)</f>
        <v>Accessories</v>
      </c>
    </row>
    <row r="1266" spans="1:5" x14ac:dyDescent="0.3">
      <c r="A1266" t="s">
        <v>2276</v>
      </c>
      <c r="B1266" t="s">
        <v>448</v>
      </c>
      <c r="C1266">
        <v>26</v>
      </c>
      <c r="D1266" t="str">
        <f>VLOOKUP(B1266,Products!$A:$E,2,FALSE)</f>
        <v>Product_220</v>
      </c>
      <c r="E1266" t="str">
        <f>VLOOKUP(B1266,Products!$A:$E,3,FALSE)</f>
        <v>Storage</v>
      </c>
    </row>
    <row r="1267" spans="1:5" x14ac:dyDescent="0.3">
      <c r="A1267" t="s">
        <v>2277</v>
      </c>
      <c r="B1267" t="s">
        <v>640</v>
      </c>
      <c r="C1267">
        <v>22</v>
      </c>
      <c r="D1267" t="str">
        <f>VLOOKUP(B1267,Products!$A:$E,2,FALSE)</f>
        <v>Product_316</v>
      </c>
      <c r="E1267" t="str">
        <f>VLOOKUP(B1267,Products!$A:$E,3,FALSE)</f>
        <v>Networking</v>
      </c>
    </row>
    <row r="1268" spans="1:5" x14ac:dyDescent="0.3">
      <c r="A1268" t="s">
        <v>2278</v>
      </c>
      <c r="B1268" t="s">
        <v>812</v>
      </c>
      <c r="C1268">
        <v>31</v>
      </c>
      <c r="D1268" t="str">
        <f>VLOOKUP(B1268,Products!$A:$E,2,FALSE)</f>
        <v>Product_402</v>
      </c>
      <c r="E1268" t="str">
        <f>VLOOKUP(B1268,Products!$A:$E,3,FALSE)</f>
        <v>Accessories</v>
      </c>
    </row>
    <row r="1269" spans="1:5" x14ac:dyDescent="0.3">
      <c r="A1269" t="s">
        <v>2279</v>
      </c>
      <c r="B1269" t="s">
        <v>842</v>
      </c>
      <c r="C1269">
        <v>31</v>
      </c>
      <c r="D1269" t="str">
        <f>VLOOKUP(B1269,Products!$A:$E,2,FALSE)</f>
        <v>Product_417</v>
      </c>
      <c r="E1269" t="str">
        <f>VLOOKUP(B1269,Products!$A:$E,3,FALSE)</f>
        <v>Accessories</v>
      </c>
    </row>
    <row r="1270" spans="1:5" x14ac:dyDescent="0.3">
      <c r="A1270" t="s">
        <v>2280</v>
      </c>
      <c r="B1270" t="s">
        <v>834</v>
      </c>
      <c r="C1270">
        <v>12</v>
      </c>
      <c r="D1270" t="str">
        <f>VLOOKUP(B1270,Products!$A:$E,2,FALSE)</f>
        <v>Product_413</v>
      </c>
      <c r="E1270" t="str">
        <f>VLOOKUP(B1270,Products!$A:$E,3,FALSE)</f>
        <v>Accessories</v>
      </c>
    </row>
    <row r="1271" spans="1:5" x14ac:dyDescent="0.3">
      <c r="A1271" t="s">
        <v>2281</v>
      </c>
      <c r="B1271" t="s">
        <v>592</v>
      </c>
      <c r="C1271">
        <v>49</v>
      </c>
      <c r="D1271" t="str">
        <f>VLOOKUP(B1271,Products!$A:$E,2,FALSE)</f>
        <v>Product_292</v>
      </c>
      <c r="E1271" t="str">
        <f>VLOOKUP(B1271,Products!$A:$E,3,FALSE)</f>
        <v>Networking</v>
      </c>
    </row>
    <row r="1272" spans="1:5" x14ac:dyDescent="0.3">
      <c r="A1272" t="s">
        <v>2282</v>
      </c>
      <c r="B1272" t="s">
        <v>554</v>
      </c>
      <c r="C1272">
        <v>40</v>
      </c>
      <c r="D1272" t="str">
        <f>VLOOKUP(B1272,Products!$A:$E,2,FALSE)</f>
        <v>Product_273</v>
      </c>
      <c r="E1272" t="str">
        <f>VLOOKUP(B1272,Products!$A:$E,3,FALSE)</f>
        <v>Networking</v>
      </c>
    </row>
    <row r="1273" spans="1:5" x14ac:dyDescent="0.3">
      <c r="A1273" t="s">
        <v>2283</v>
      </c>
      <c r="B1273" t="s">
        <v>620</v>
      </c>
      <c r="C1273">
        <v>73</v>
      </c>
      <c r="D1273" t="str">
        <f>VLOOKUP(B1273,Products!$A:$E,2,FALSE)</f>
        <v>Product_306</v>
      </c>
      <c r="E1273" t="str">
        <f>VLOOKUP(B1273,Products!$A:$E,3,FALSE)</f>
        <v>Accessories</v>
      </c>
    </row>
    <row r="1274" spans="1:5" x14ac:dyDescent="0.3">
      <c r="A1274" t="s">
        <v>2284</v>
      </c>
      <c r="B1274" t="s">
        <v>182</v>
      </c>
      <c r="C1274">
        <v>46</v>
      </c>
      <c r="D1274" t="str">
        <f>VLOOKUP(B1274,Products!$A:$E,2,FALSE)</f>
        <v>Product_87</v>
      </c>
      <c r="E1274" t="str">
        <f>VLOOKUP(B1274,Products!$A:$E,3,FALSE)</f>
        <v>Networking</v>
      </c>
    </row>
    <row r="1275" spans="1:5" x14ac:dyDescent="0.3">
      <c r="A1275" t="s">
        <v>2285</v>
      </c>
      <c r="B1275" t="s">
        <v>730</v>
      </c>
      <c r="C1275">
        <v>42</v>
      </c>
      <c r="D1275" t="str">
        <f>VLOOKUP(B1275,Products!$A:$E,2,FALSE)</f>
        <v>Product_361</v>
      </c>
      <c r="E1275" t="str">
        <f>VLOOKUP(B1275,Products!$A:$E,3,FALSE)</f>
        <v>Office Supplies</v>
      </c>
    </row>
    <row r="1276" spans="1:5" x14ac:dyDescent="0.3">
      <c r="A1276" t="s">
        <v>2286</v>
      </c>
      <c r="B1276" t="s">
        <v>306</v>
      </c>
      <c r="C1276">
        <v>78</v>
      </c>
      <c r="D1276" t="str">
        <f>VLOOKUP(B1276,Products!$A:$E,2,FALSE)</f>
        <v>Product_149</v>
      </c>
      <c r="E1276" t="str">
        <f>VLOOKUP(B1276,Products!$A:$E,3,FALSE)</f>
        <v>Accessories</v>
      </c>
    </row>
    <row r="1277" spans="1:5" x14ac:dyDescent="0.3">
      <c r="A1277" t="s">
        <v>2287</v>
      </c>
      <c r="B1277" t="s">
        <v>282</v>
      </c>
      <c r="C1277">
        <v>70</v>
      </c>
      <c r="D1277" t="str">
        <f>VLOOKUP(B1277,Products!$A:$E,2,FALSE)</f>
        <v>Product_137</v>
      </c>
      <c r="E1277" t="str">
        <f>VLOOKUP(B1277,Products!$A:$E,3,FALSE)</f>
        <v>Storage</v>
      </c>
    </row>
    <row r="1278" spans="1:5" x14ac:dyDescent="0.3">
      <c r="A1278" t="s">
        <v>2288</v>
      </c>
      <c r="B1278" t="s">
        <v>930</v>
      </c>
      <c r="C1278">
        <v>91</v>
      </c>
      <c r="D1278" t="str">
        <f>VLOOKUP(B1278,Products!$A:$E,2,FALSE)</f>
        <v>Product_461</v>
      </c>
      <c r="E1278" t="str">
        <f>VLOOKUP(B1278,Products!$A:$E,3,FALSE)</f>
        <v>Accessories</v>
      </c>
    </row>
    <row r="1279" spans="1:5" x14ac:dyDescent="0.3">
      <c r="A1279" t="s">
        <v>2289</v>
      </c>
      <c r="B1279" t="s">
        <v>844</v>
      </c>
      <c r="C1279">
        <v>17</v>
      </c>
      <c r="D1279" t="str">
        <f>VLOOKUP(B1279,Products!$A:$E,2,FALSE)</f>
        <v>Product_418</v>
      </c>
      <c r="E1279" t="str">
        <f>VLOOKUP(B1279,Products!$A:$E,3,FALSE)</f>
        <v>Office Supplies</v>
      </c>
    </row>
    <row r="1280" spans="1:5" x14ac:dyDescent="0.3">
      <c r="A1280" t="s">
        <v>2290</v>
      </c>
      <c r="B1280" t="s">
        <v>148</v>
      </c>
      <c r="C1280">
        <v>57</v>
      </c>
      <c r="D1280" t="str">
        <f>VLOOKUP(B1280,Products!$A:$E,2,FALSE)</f>
        <v>Product_70</v>
      </c>
      <c r="E1280" t="str">
        <f>VLOOKUP(B1280,Products!$A:$E,3,FALSE)</f>
        <v>Electronics</v>
      </c>
    </row>
    <row r="1281" spans="1:5" x14ac:dyDescent="0.3">
      <c r="A1281" t="s">
        <v>2291</v>
      </c>
      <c r="B1281" t="s">
        <v>950</v>
      </c>
      <c r="C1281">
        <v>12</v>
      </c>
      <c r="D1281" t="str">
        <f>VLOOKUP(B1281,Products!$A:$E,2,FALSE)</f>
        <v>Product_471</v>
      </c>
      <c r="E1281" t="str">
        <f>VLOOKUP(B1281,Products!$A:$E,3,FALSE)</f>
        <v>Office Supplies</v>
      </c>
    </row>
    <row r="1282" spans="1:5" x14ac:dyDescent="0.3">
      <c r="A1282" t="s">
        <v>2292</v>
      </c>
      <c r="B1282" t="s">
        <v>292</v>
      </c>
      <c r="C1282">
        <v>88</v>
      </c>
      <c r="D1282" t="str">
        <f>VLOOKUP(B1282,Products!$A:$E,2,FALSE)</f>
        <v>Product_142</v>
      </c>
      <c r="E1282" t="str">
        <f>VLOOKUP(B1282,Products!$A:$E,3,FALSE)</f>
        <v>Storage</v>
      </c>
    </row>
    <row r="1283" spans="1:5" x14ac:dyDescent="0.3">
      <c r="A1283" t="s">
        <v>2293</v>
      </c>
      <c r="B1283" t="s">
        <v>138</v>
      </c>
      <c r="C1283">
        <v>94</v>
      </c>
      <c r="D1283" t="str">
        <f>VLOOKUP(B1283,Products!$A:$E,2,FALSE)</f>
        <v>Product_65</v>
      </c>
      <c r="E1283" t="str">
        <f>VLOOKUP(B1283,Products!$A:$E,3,FALSE)</f>
        <v>Office Supplies</v>
      </c>
    </row>
    <row r="1284" spans="1:5" x14ac:dyDescent="0.3">
      <c r="A1284" t="s">
        <v>2294</v>
      </c>
      <c r="B1284" t="s">
        <v>896</v>
      </c>
      <c r="C1284">
        <v>21</v>
      </c>
      <c r="D1284" t="str">
        <f>VLOOKUP(B1284,Products!$A:$E,2,FALSE)</f>
        <v>Product_444</v>
      </c>
      <c r="E1284" t="str">
        <f>VLOOKUP(B1284,Products!$A:$E,3,FALSE)</f>
        <v>Electronics</v>
      </c>
    </row>
    <row r="1285" spans="1:5" x14ac:dyDescent="0.3">
      <c r="A1285" t="s">
        <v>2295</v>
      </c>
      <c r="B1285" t="s">
        <v>264</v>
      </c>
      <c r="C1285">
        <v>23</v>
      </c>
      <c r="D1285" t="str">
        <f>VLOOKUP(B1285,Products!$A:$E,2,FALSE)</f>
        <v>Product_128</v>
      </c>
      <c r="E1285" t="str">
        <f>VLOOKUP(B1285,Products!$A:$E,3,FALSE)</f>
        <v>Office Supplies</v>
      </c>
    </row>
    <row r="1286" spans="1:5" x14ac:dyDescent="0.3">
      <c r="A1286" t="s">
        <v>2296</v>
      </c>
      <c r="B1286" t="s">
        <v>738</v>
      </c>
      <c r="C1286">
        <v>46</v>
      </c>
      <c r="D1286" t="str">
        <f>VLOOKUP(B1286,Products!$A:$E,2,FALSE)</f>
        <v>Product_365</v>
      </c>
      <c r="E1286" t="str">
        <f>VLOOKUP(B1286,Products!$A:$E,3,FALSE)</f>
        <v>Storage</v>
      </c>
    </row>
    <row r="1287" spans="1:5" x14ac:dyDescent="0.3">
      <c r="A1287" t="s">
        <v>2297</v>
      </c>
      <c r="B1287" t="s">
        <v>858</v>
      </c>
      <c r="C1287">
        <v>36</v>
      </c>
      <c r="D1287" t="str">
        <f>VLOOKUP(B1287,Products!$A:$E,2,FALSE)</f>
        <v>Product_425</v>
      </c>
      <c r="E1287" t="str">
        <f>VLOOKUP(B1287,Products!$A:$E,3,FALSE)</f>
        <v>Office Supplies</v>
      </c>
    </row>
    <row r="1288" spans="1:5" x14ac:dyDescent="0.3">
      <c r="A1288" t="s">
        <v>2298</v>
      </c>
      <c r="B1288" t="s">
        <v>788</v>
      </c>
      <c r="C1288">
        <v>91</v>
      </c>
      <c r="D1288" t="str">
        <f>VLOOKUP(B1288,Products!$A:$E,2,FALSE)</f>
        <v>Product_390</v>
      </c>
      <c r="E1288" t="str">
        <f>VLOOKUP(B1288,Products!$A:$E,3,FALSE)</f>
        <v>Storage</v>
      </c>
    </row>
    <row r="1289" spans="1:5" x14ac:dyDescent="0.3">
      <c r="A1289" t="s">
        <v>2299</v>
      </c>
      <c r="B1289" t="s">
        <v>412</v>
      </c>
      <c r="C1289">
        <v>67</v>
      </c>
      <c r="D1289" t="str">
        <f>VLOOKUP(B1289,Products!$A:$E,2,FALSE)</f>
        <v>Product_202</v>
      </c>
      <c r="E1289" t="str">
        <f>VLOOKUP(B1289,Products!$A:$E,3,FALSE)</f>
        <v>Storage</v>
      </c>
    </row>
    <row r="1290" spans="1:5" x14ac:dyDescent="0.3">
      <c r="A1290" t="s">
        <v>2300</v>
      </c>
      <c r="B1290" t="s">
        <v>154</v>
      </c>
      <c r="C1290">
        <v>78</v>
      </c>
      <c r="D1290" t="str">
        <f>VLOOKUP(B1290,Products!$A:$E,2,FALSE)</f>
        <v>Product_73</v>
      </c>
      <c r="E1290" t="str">
        <f>VLOOKUP(B1290,Products!$A:$E,3,FALSE)</f>
        <v>Office Supplies</v>
      </c>
    </row>
    <row r="1291" spans="1:5" x14ac:dyDescent="0.3">
      <c r="A1291" t="s">
        <v>2301</v>
      </c>
      <c r="B1291" t="s">
        <v>656</v>
      </c>
      <c r="C1291">
        <v>39</v>
      </c>
      <c r="D1291" t="str">
        <f>VLOOKUP(B1291,Products!$A:$E,2,FALSE)</f>
        <v>Product_324</v>
      </c>
      <c r="E1291" t="str">
        <f>VLOOKUP(B1291,Products!$A:$E,3,FALSE)</f>
        <v>Accessories</v>
      </c>
    </row>
    <row r="1292" spans="1:5" x14ac:dyDescent="0.3">
      <c r="A1292" t="s">
        <v>2302</v>
      </c>
      <c r="B1292" t="s">
        <v>652</v>
      </c>
      <c r="C1292">
        <v>58</v>
      </c>
      <c r="D1292" t="str">
        <f>VLOOKUP(B1292,Products!$A:$E,2,FALSE)</f>
        <v>Product_322</v>
      </c>
      <c r="E1292" t="str">
        <f>VLOOKUP(B1292,Products!$A:$E,3,FALSE)</f>
        <v>Accessories</v>
      </c>
    </row>
    <row r="1293" spans="1:5" x14ac:dyDescent="0.3">
      <c r="A1293" t="s">
        <v>2303</v>
      </c>
      <c r="B1293" t="s">
        <v>394</v>
      </c>
      <c r="C1293">
        <v>62</v>
      </c>
      <c r="D1293" t="str">
        <f>VLOOKUP(B1293,Products!$A:$E,2,FALSE)</f>
        <v>Product_193</v>
      </c>
      <c r="E1293" t="str">
        <f>VLOOKUP(B1293,Products!$A:$E,3,FALSE)</f>
        <v>Accessories</v>
      </c>
    </row>
    <row r="1294" spans="1:5" x14ac:dyDescent="0.3">
      <c r="A1294" t="s">
        <v>2304</v>
      </c>
      <c r="B1294" t="s">
        <v>86</v>
      </c>
      <c r="C1294">
        <v>86</v>
      </c>
      <c r="D1294" t="str">
        <f>VLOOKUP(B1294,Products!$A:$E,2,FALSE)</f>
        <v>Product_39</v>
      </c>
      <c r="E1294" t="str">
        <f>VLOOKUP(B1294,Products!$A:$E,3,FALSE)</f>
        <v>Networking</v>
      </c>
    </row>
    <row r="1295" spans="1:5" x14ac:dyDescent="0.3">
      <c r="A1295" t="s">
        <v>2305</v>
      </c>
      <c r="B1295" t="s">
        <v>822</v>
      </c>
      <c r="C1295">
        <v>16</v>
      </c>
      <c r="D1295" t="str">
        <f>VLOOKUP(B1295,Products!$A:$E,2,FALSE)</f>
        <v>Product_407</v>
      </c>
      <c r="E1295" t="str">
        <f>VLOOKUP(B1295,Products!$A:$E,3,FALSE)</f>
        <v>Networking</v>
      </c>
    </row>
    <row r="1296" spans="1:5" x14ac:dyDescent="0.3">
      <c r="A1296" t="s">
        <v>2306</v>
      </c>
      <c r="B1296" t="s">
        <v>422</v>
      </c>
      <c r="C1296">
        <v>70</v>
      </c>
      <c r="D1296" t="str">
        <f>VLOOKUP(B1296,Products!$A:$E,2,FALSE)</f>
        <v>Product_207</v>
      </c>
      <c r="E1296" t="str">
        <f>VLOOKUP(B1296,Products!$A:$E,3,FALSE)</f>
        <v>Accessories</v>
      </c>
    </row>
    <row r="1297" spans="1:5" x14ac:dyDescent="0.3">
      <c r="A1297" t="s">
        <v>2307</v>
      </c>
      <c r="B1297" t="s">
        <v>776</v>
      </c>
      <c r="C1297">
        <v>40</v>
      </c>
      <c r="D1297" t="str">
        <f>VLOOKUP(B1297,Products!$A:$E,2,FALSE)</f>
        <v>Product_384</v>
      </c>
      <c r="E1297" t="str">
        <f>VLOOKUP(B1297,Products!$A:$E,3,FALSE)</f>
        <v>Office Supplies</v>
      </c>
    </row>
    <row r="1298" spans="1:5" x14ac:dyDescent="0.3">
      <c r="A1298" t="s">
        <v>2308</v>
      </c>
      <c r="B1298" t="s">
        <v>720</v>
      </c>
      <c r="C1298">
        <v>52</v>
      </c>
      <c r="D1298" t="str">
        <f>VLOOKUP(B1298,Products!$A:$E,2,FALSE)</f>
        <v>Product_356</v>
      </c>
      <c r="E1298" t="str">
        <f>VLOOKUP(B1298,Products!$A:$E,3,FALSE)</f>
        <v>Accessories</v>
      </c>
    </row>
    <row r="1299" spans="1:5" x14ac:dyDescent="0.3">
      <c r="A1299" t="s">
        <v>2309</v>
      </c>
      <c r="B1299" t="s">
        <v>474</v>
      </c>
      <c r="C1299">
        <v>67</v>
      </c>
      <c r="D1299" t="str">
        <f>VLOOKUP(B1299,Products!$A:$E,2,FALSE)</f>
        <v>Product_233</v>
      </c>
      <c r="E1299" t="str">
        <f>VLOOKUP(B1299,Products!$A:$E,3,FALSE)</f>
        <v>Accessories</v>
      </c>
    </row>
    <row r="1300" spans="1:5" x14ac:dyDescent="0.3">
      <c r="A1300" t="s">
        <v>2310</v>
      </c>
      <c r="B1300" t="s">
        <v>344</v>
      </c>
      <c r="C1300">
        <v>79</v>
      </c>
      <c r="D1300" t="str">
        <f>VLOOKUP(B1300,Products!$A:$E,2,FALSE)</f>
        <v>Product_168</v>
      </c>
      <c r="E1300" t="str">
        <f>VLOOKUP(B1300,Products!$A:$E,3,FALSE)</f>
        <v>Electronics</v>
      </c>
    </row>
    <row r="1301" spans="1:5" x14ac:dyDescent="0.3">
      <c r="A1301" t="s">
        <v>2311</v>
      </c>
      <c r="B1301" t="s">
        <v>8</v>
      </c>
      <c r="C1301">
        <v>98</v>
      </c>
      <c r="D1301" t="str">
        <f>VLOOKUP(B1301,Products!$A:$E,2,FALSE)</f>
        <v>Product_2</v>
      </c>
      <c r="E1301" t="str">
        <f>VLOOKUP(B1301,Products!$A:$E,3,FALSE)</f>
        <v>Office Supplies</v>
      </c>
    </row>
    <row r="1302" spans="1:5" x14ac:dyDescent="0.3">
      <c r="A1302" t="s">
        <v>2312</v>
      </c>
      <c r="B1302" t="s">
        <v>104</v>
      </c>
      <c r="C1302">
        <v>98</v>
      </c>
      <c r="D1302" t="str">
        <f>VLOOKUP(B1302,Products!$A:$E,2,FALSE)</f>
        <v>Product_48</v>
      </c>
      <c r="E1302" t="str">
        <f>VLOOKUP(B1302,Products!$A:$E,3,FALSE)</f>
        <v>Accessories</v>
      </c>
    </row>
    <row r="1303" spans="1:5" x14ac:dyDescent="0.3">
      <c r="A1303" t="s">
        <v>2313</v>
      </c>
      <c r="B1303" t="s">
        <v>1004</v>
      </c>
      <c r="C1303">
        <v>63</v>
      </c>
      <c r="D1303" t="str">
        <f>VLOOKUP(B1303,Products!$A:$E,2,FALSE)</f>
        <v>Product_498</v>
      </c>
      <c r="E1303" t="str">
        <f>VLOOKUP(B1303,Products!$A:$E,3,FALSE)</f>
        <v>Office Supplies</v>
      </c>
    </row>
    <row r="1304" spans="1:5" x14ac:dyDescent="0.3">
      <c r="A1304" t="s">
        <v>2314</v>
      </c>
      <c r="B1304" t="s">
        <v>660</v>
      </c>
      <c r="C1304">
        <v>90</v>
      </c>
      <c r="D1304" t="str">
        <f>VLOOKUP(B1304,Products!$A:$E,2,FALSE)</f>
        <v>Product_326</v>
      </c>
      <c r="E1304" t="str">
        <f>VLOOKUP(B1304,Products!$A:$E,3,FALSE)</f>
        <v>Electronics</v>
      </c>
    </row>
    <row r="1305" spans="1:5" x14ac:dyDescent="0.3">
      <c r="A1305" t="s">
        <v>2315</v>
      </c>
      <c r="B1305" t="s">
        <v>724</v>
      </c>
      <c r="C1305">
        <v>50</v>
      </c>
      <c r="D1305" t="str">
        <f>VLOOKUP(B1305,Products!$A:$E,2,FALSE)</f>
        <v>Product_358</v>
      </c>
      <c r="E1305" t="str">
        <f>VLOOKUP(B1305,Products!$A:$E,3,FALSE)</f>
        <v>Storage</v>
      </c>
    </row>
    <row r="1306" spans="1:5" x14ac:dyDescent="0.3">
      <c r="A1306" t="s">
        <v>2316</v>
      </c>
      <c r="B1306" t="s">
        <v>880</v>
      </c>
      <c r="C1306">
        <v>13</v>
      </c>
      <c r="D1306" t="str">
        <f>VLOOKUP(B1306,Products!$A:$E,2,FALSE)</f>
        <v>Product_436</v>
      </c>
      <c r="E1306" t="str">
        <f>VLOOKUP(B1306,Products!$A:$E,3,FALSE)</f>
        <v>Networking</v>
      </c>
    </row>
    <row r="1307" spans="1:5" x14ac:dyDescent="0.3">
      <c r="A1307" t="s">
        <v>2317</v>
      </c>
      <c r="B1307" t="s">
        <v>824</v>
      </c>
      <c r="C1307">
        <v>73</v>
      </c>
      <c r="D1307" t="str">
        <f>VLOOKUP(B1307,Products!$A:$E,2,FALSE)</f>
        <v>Product_408</v>
      </c>
      <c r="E1307" t="str">
        <f>VLOOKUP(B1307,Products!$A:$E,3,FALSE)</f>
        <v>Storage</v>
      </c>
    </row>
    <row r="1308" spans="1:5" x14ac:dyDescent="0.3">
      <c r="A1308" t="s">
        <v>2318</v>
      </c>
      <c r="B1308" t="s">
        <v>416</v>
      </c>
      <c r="C1308">
        <v>32</v>
      </c>
      <c r="D1308" t="str">
        <f>VLOOKUP(B1308,Products!$A:$E,2,FALSE)</f>
        <v>Product_204</v>
      </c>
      <c r="E1308" t="str">
        <f>VLOOKUP(B1308,Products!$A:$E,3,FALSE)</f>
        <v>Office Supplies</v>
      </c>
    </row>
    <row r="1309" spans="1:5" x14ac:dyDescent="0.3">
      <c r="A1309" t="s">
        <v>2319</v>
      </c>
      <c r="B1309" t="s">
        <v>1000</v>
      </c>
      <c r="C1309">
        <v>59</v>
      </c>
      <c r="D1309" t="str">
        <f>VLOOKUP(B1309,Products!$A:$E,2,FALSE)</f>
        <v>Product_496</v>
      </c>
      <c r="E1309" t="str">
        <f>VLOOKUP(B1309,Products!$A:$E,3,FALSE)</f>
        <v>Office Supplies</v>
      </c>
    </row>
    <row r="1310" spans="1:5" x14ac:dyDescent="0.3">
      <c r="A1310" t="s">
        <v>2320</v>
      </c>
      <c r="B1310" t="s">
        <v>854</v>
      </c>
      <c r="C1310">
        <v>32</v>
      </c>
      <c r="D1310" t="str">
        <f>VLOOKUP(B1310,Products!$A:$E,2,FALSE)</f>
        <v>Product_423</v>
      </c>
      <c r="E1310" t="str">
        <f>VLOOKUP(B1310,Products!$A:$E,3,FALSE)</f>
        <v>Office Supplies</v>
      </c>
    </row>
    <row r="1311" spans="1:5" x14ac:dyDescent="0.3">
      <c r="A1311" t="s">
        <v>2321</v>
      </c>
      <c r="B1311" t="s">
        <v>516</v>
      </c>
      <c r="C1311">
        <v>39</v>
      </c>
      <c r="D1311" t="str">
        <f>VLOOKUP(B1311,Products!$A:$E,2,FALSE)</f>
        <v>Product_254</v>
      </c>
      <c r="E1311" t="str">
        <f>VLOOKUP(B1311,Products!$A:$E,3,FALSE)</f>
        <v>Office Supplies</v>
      </c>
    </row>
    <row r="1312" spans="1:5" x14ac:dyDescent="0.3">
      <c r="A1312" t="s">
        <v>2322</v>
      </c>
      <c r="B1312" t="s">
        <v>340</v>
      </c>
      <c r="C1312">
        <v>41</v>
      </c>
      <c r="D1312" t="str">
        <f>VLOOKUP(B1312,Products!$A:$E,2,FALSE)</f>
        <v>Product_166</v>
      </c>
      <c r="E1312" t="str">
        <f>VLOOKUP(B1312,Products!$A:$E,3,FALSE)</f>
        <v>Accessories</v>
      </c>
    </row>
    <row r="1313" spans="1:5" x14ac:dyDescent="0.3">
      <c r="A1313" t="s">
        <v>2323</v>
      </c>
      <c r="B1313" t="s">
        <v>354</v>
      </c>
      <c r="C1313">
        <v>75</v>
      </c>
      <c r="D1313" t="str">
        <f>VLOOKUP(B1313,Products!$A:$E,2,FALSE)</f>
        <v>Product_173</v>
      </c>
      <c r="E1313" t="str">
        <f>VLOOKUP(B1313,Products!$A:$E,3,FALSE)</f>
        <v>Electronics</v>
      </c>
    </row>
    <row r="1314" spans="1:5" x14ac:dyDescent="0.3">
      <c r="A1314" t="s">
        <v>2324</v>
      </c>
      <c r="B1314" t="s">
        <v>600</v>
      </c>
      <c r="C1314">
        <v>21</v>
      </c>
      <c r="D1314" t="str">
        <f>VLOOKUP(B1314,Products!$A:$E,2,FALSE)</f>
        <v>Product_296</v>
      </c>
      <c r="E1314" t="str">
        <f>VLOOKUP(B1314,Products!$A:$E,3,FALSE)</f>
        <v>Office Supplies</v>
      </c>
    </row>
    <row r="1315" spans="1:5" x14ac:dyDescent="0.3">
      <c r="A1315" t="s">
        <v>2325</v>
      </c>
      <c r="B1315" t="s">
        <v>588</v>
      </c>
      <c r="C1315">
        <v>67</v>
      </c>
      <c r="D1315" t="str">
        <f>VLOOKUP(B1315,Products!$A:$E,2,FALSE)</f>
        <v>Product_290</v>
      </c>
      <c r="E1315" t="str">
        <f>VLOOKUP(B1315,Products!$A:$E,3,FALSE)</f>
        <v>Accessories</v>
      </c>
    </row>
    <row r="1316" spans="1:5" x14ac:dyDescent="0.3">
      <c r="A1316" t="s">
        <v>2326</v>
      </c>
      <c r="B1316" t="s">
        <v>816</v>
      </c>
      <c r="C1316">
        <v>48</v>
      </c>
      <c r="D1316" t="str">
        <f>VLOOKUP(B1316,Products!$A:$E,2,FALSE)</f>
        <v>Product_404</v>
      </c>
      <c r="E1316" t="str">
        <f>VLOOKUP(B1316,Products!$A:$E,3,FALSE)</f>
        <v>Storage</v>
      </c>
    </row>
    <row r="1317" spans="1:5" x14ac:dyDescent="0.3">
      <c r="A1317" t="s">
        <v>2327</v>
      </c>
      <c r="B1317" t="s">
        <v>924</v>
      </c>
      <c r="C1317">
        <v>92</v>
      </c>
      <c r="D1317" t="str">
        <f>VLOOKUP(B1317,Products!$A:$E,2,FALSE)</f>
        <v>Product_458</v>
      </c>
      <c r="E1317" t="str">
        <f>VLOOKUP(B1317,Products!$A:$E,3,FALSE)</f>
        <v>Accessories</v>
      </c>
    </row>
    <row r="1318" spans="1:5" x14ac:dyDescent="0.3">
      <c r="A1318" t="s">
        <v>2328</v>
      </c>
      <c r="B1318" t="s">
        <v>790</v>
      </c>
      <c r="C1318">
        <v>11</v>
      </c>
      <c r="D1318" t="str">
        <f>VLOOKUP(B1318,Products!$A:$E,2,FALSE)</f>
        <v>Product_391</v>
      </c>
      <c r="E1318" t="str">
        <f>VLOOKUP(B1318,Products!$A:$E,3,FALSE)</f>
        <v>Accessories</v>
      </c>
    </row>
    <row r="1319" spans="1:5" x14ac:dyDescent="0.3">
      <c r="A1319" t="s">
        <v>2329</v>
      </c>
      <c r="B1319" t="s">
        <v>56</v>
      </c>
      <c r="C1319">
        <v>17</v>
      </c>
      <c r="D1319" t="str">
        <f>VLOOKUP(B1319,Products!$A:$E,2,FALSE)</f>
        <v>Product_24</v>
      </c>
      <c r="E1319" t="str">
        <f>VLOOKUP(B1319,Products!$A:$E,3,FALSE)</f>
        <v>Accessories</v>
      </c>
    </row>
    <row r="1320" spans="1:5" x14ac:dyDescent="0.3">
      <c r="A1320" t="s">
        <v>2330</v>
      </c>
      <c r="B1320" t="s">
        <v>650</v>
      </c>
      <c r="C1320">
        <v>63</v>
      </c>
      <c r="D1320" t="str">
        <f>VLOOKUP(B1320,Products!$A:$E,2,FALSE)</f>
        <v>Product_321</v>
      </c>
      <c r="E1320" t="str">
        <f>VLOOKUP(B1320,Products!$A:$E,3,FALSE)</f>
        <v>Electronics</v>
      </c>
    </row>
    <row r="1321" spans="1:5" x14ac:dyDescent="0.3">
      <c r="A1321" t="s">
        <v>2331</v>
      </c>
      <c r="B1321" t="s">
        <v>26</v>
      </c>
      <c r="C1321">
        <v>20</v>
      </c>
      <c r="D1321" t="str">
        <f>VLOOKUP(B1321,Products!$A:$E,2,FALSE)</f>
        <v>Product_9</v>
      </c>
      <c r="E1321" t="str">
        <f>VLOOKUP(B1321,Products!$A:$E,3,FALSE)</f>
        <v>Storage</v>
      </c>
    </row>
    <row r="1322" spans="1:5" x14ac:dyDescent="0.3">
      <c r="A1322" t="s">
        <v>2332</v>
      </c>
      <c r="B1322" t="s">
        <v>960</v>
      </c>
      <c r="C1322">
        <v>25</v>
      </c>
      <c r="D1322" t="str">
        <f>VLOOKUP(B1322,Products!$A:$E,2,FALSE)</f>
        <v>Product_476</v>
      </c>
      <c r="E1322" t="str">
        <f>VLOOKUP(B1322,Products!$A:$E,3,FALSE)</f>
        <v>Office Supplies</v>
      </c>
    </row>
    <row r="1323" spans="1:5" x14ac:dyDescent="0.3">
      <c r="A1323" t="s">
        <v>2333</v>
      </c>
      <c r="B1323" t="s">
        <v>460</v>
      </c>
      <c r="C1323">
        <v>63</v>
      </c>
      <c r="D1323" t="str">
        <f>VLOOKUP(B1323,Products!$A:$E,2,FALSE)</f>
        <v>Product_226</v>
      </c>
      <c r="E1323" t="str">
        <f>VLOOKUP(B1323,Products!$A:$E,3,FALSE)</f>
        <v>Networking</v>
      </c>
    </row>
    <row r="1324" spans="1:5" x14ac:dyDescent="0.3">
      <c r="A1324" t="s">
        <v>2334</v>
      </c>
      <c r="B1324" t="s">
        <v>5</v>
      </c>
      <c r="C1324">
        <v>59</v>
      </c>
      <c r="D1324" t="str">
        <f>VLOOKUP(B1324,Products!$A:$E,2,FALSE)</f>
        <v>Product_1</v>
      </c>
      <c r="E1324" t="str">
        <f>VLOOKUP(B1324,Products!$A:$E,3,FALSE)</f>
        <v>Electronics</v>
      </c>
    </row>
    <row r="1325" spans="1:5" x14ac:dyDescent="0.3">
      <c r="A1325" t="s">
        <v>2335</v>
      </c>
      <c r="B1325" t="s">
        <v>216</v>
      </c>
      <c r="C1325">
        <v>93</v>
      </c>
      <c r="D1325" t="str">
        <f>VLOOKUP(B1325,Products!$A:$E,2,FALSE)</f>
        <v>Product_104</v>
      </c>
      <c r="E1325" t="str">
        <f>VLOOKUP(B1325,Products!$A:$E,3,FALSE)</f>
        <v>Networking</v>
      </c>
    </row>
    <row r="1326" spans="1:5" x14ac:dyDescent="0.3">
      <c r="A1326" t="s">
        <v>2336</v>
      </c>
      <c r="B1326" t="s">
        <v>940</v>
      </c>
      <c r="C1326">
        <v>21</v>
      </c>
      <c r="D1326" t="str">
        <f>VLOOKUP(B1326,Products!$A:$E,2,FALSE)</f>
        <v>Product_466</v>
      </c>
      <c r="E1326" t="str">
        <f>VLOOKUP(B1326,Products!$A:$E,3,FALSE)</f>
        <v>Networking</v>
      </c>
    </row>
    <row r="1327" spans="1:5" x14ac:dyDescent="0.3">
      <c r="A1327" t="s">
        <v>2337</v>
      </c>
      <c r="B1327" t="s">
        <v>912</v>
      </c>
      <c r="C1327">
        <v>88</v>
      </c>
      <c r="D1327" t="str">
        <f>VLOOKUP(B1327,Products!$A:$E,2,FALSE)</f>
        <v>Product_452</v>
      </c>
      <c r="E1327" t="str">
        <f>VLOOKUP(B1327,Products!$A:$E,3,FALSE)</f>
        <v>Office Supplies</v>
      </c>
    </row>
    <row r="1328" spans="1:5" x14ac:dyDescent="0.3">
      <c r="A1328" t="s">
        <v>2338</v>
      </c>
      <c r="B1328" t="s">
        <v>318</v>
      </c>
      <c r="C1328">
        <v>25</v>
      </c>
      <c r="D1328" t="str">
        <f>VLOOKUP(B1328,Products!$A:$E,2,FALSE)</f>
        <v>Product_155</v>
      </c>
      <c r="E1328" t="str">
        <f>VLOOKUP(B1328,Products!$A:$E,3,FALSE)</f>
        <v>Office Supplies</v>
      </c>
    </row>
    <row r="1329" spans="1:5" x14ac:dyDescent="0.3">
      <c r="A1329" t="s">
        <v>2339</v>
      </c>
      <c r="B1329" t="s">
        <v>904</v>
      </c>
      <c r="C1329">
        <v>40</v>
      </c>
      <c r="D1329" t="str">
        <f>VLOOKUP(B1329,Products!$A:$E,2,FALSE)</f>
        <v>Product_448</v>
      </c>
      <c r="E1329" t="str">
        <f>VLOOKUP(B1329,Products!$A:$E,3,FALSE)</f>
        <v>Networking</v>
      </c>
    </row>
    <row r="1330" spans="1:5" x14ac:dyDescent="0.3">
      <c r="A1330" t="s">
        <v>2340</v>
      </c>
      <c r="B1330" t="s">
        <v>104</v>
      </c>
      <c r="C1330">
        <v>88</v>
      </c>
      <c r="D1330" t="str">
        <f>VLOOKUP(B1330,Products!$A:$E,2,FALSE)</f>
        <v>Product_48</v>
      </c>
      <c r="E1330" t="str">
        <f>VLOOKUP(B1330,Products!$A:$E,3,FALSE)</f>
        <v>Accessories</v>
      </c>
    </row>
    <row r="1331" spans="1:5" x14ac:dyDescent="0.3">
      <c r="A1331" t="s">
        <v>2341</v>
      </c>
      <c r="B1331" t="s">
        <v>378</v>
      </c>
      <c r="C1331">
        <v>37</v>
      </c>
      <c r="D1331" t="str">
        <f>VLOOKUP(B1331,Products!$A:$E,2,FALSE)</f>
        <v>Product_185</v>
      </c>
      <c r="E1331" t="str">
        <f>VLOOKUP(B1331,Products!$A:$E,3,FALSE)</f>
        <v>Storage</v>
      </c>
    </row>
    <row r="1332" spans="1:5" x14ac:dyDescent="0.3">
      <c r="A1332" t="s">
        <v>2342</v>
      </c>
      <c r="B1332" t="s">
        <v>94</v>
      </c>
      <c r="C1332">
        <v>52</v>
      </c>
      <c r="D1332" t="str">
        <f>VLOOKUP(B1332,Products!$A:$E,2,FALSE)</f>
        <v>Product_43</v>
      </c>
      <c r="E1332" t="str">
        <f>VLOOKUP(B1332,Products!$A:$E,3,FALSE)</f>
        <v>Storage</v>
      </c>
    </row>
    <row r="1333" spans="1:5" x14ac:dyDescent="0.3">
      <c r="A1333" t="s">
        <v>2343</v>
      </c>
      <c r="B1333" t="s">
        <v>690</v>
      </c>
      <c r="C1333">
        <v>88</v>
      </c>
      <c r="D1333" t="str">
        <f>VLOOKUP(B1333,Products!$A:$E,2,FALSE)</f>
        <v>Product_341</v>
      </c>
      <c r="E1333" t="str">
        <f>VLOOKUP(B1333,Products!$A:$E,3,FALSE)</f>
        <v>Storage</v>
      </c>
    </row>
    <row r="1334" spans="1:5" x14ac:dyDescent="0.3">
      <c r="A1334" t="s">
        <v>2344</v>
      </c>
      <c r="B1334" t="s">
        <v>178</v>
      </c>
      <c r="C1334">
        <v>11</v>
      </c>
      <c r="D1334" t="str">
        <f>VLOOKUP(B1334,Products!$A:$E,2,FALSE)</f>
        <v>Product_85</v>
      </c>
      <c r="E1334" t="str">
        <f>VLOOKUP(B1334,Products!$A:$E,3,FALSE)</f>
        <v>Electronics</v>
      </c>
    </row>
    <row r="1335" spans="1:5" x14ac:dyDescent="0.3">
      <c r="A1335" t="s">
        <v>2345</v>
      </c>
      <c r="B1335" t="s">
        <v>414</v>
      </c>
      <c r="C1335">
        <v>85</v>
      </c>
      <c r="D1335" t="str">
        <f>VLOOKUP(B1335,Products!$A:$E,2,FALSE)</f>
        <v>Product_203</v>
      </c>
      <c r="E1335" t="str">
        <f>VLOOKUP(B1335,Products!$A:$E,3,FALSE)</f>
        <v>Accessories</v>
      </c>
    </row>
    <row r="1336" spans="1:5" x14ac:dyDescent="0.3">
      <c r="A1336" t="s">
        <v>2346</v>
      </c>
      <c r="B1336" t="s">
        <v>322</v>
      </c>
      <c r="C1336">
        <v>97</v>
      </c>
      <c r="D1336" t="str">
        <f>VLOOKUP(B1336,Products!$A:$E,2,FALSE)</f>
        <v>Product_157</v>
      </c>
      <c r="E1336" t="str">
        <f>VLOOKUP(B1336,Products!$A:$E,3,FALSE)</f>
        <v>Electronics</v>
      </c>
    </row>
    <row r="1337" spans="1:5" x14ac:dyDescent="0.3">
      <c r="A1337" t="s">
        <v>2347</v>
      </c>
      <c r="B1337" t="s">
        <v>726</v>
      </c>
      <c r="C1337">
        <v>34</v>
      </c>
      <c r="D1337" t="str">
        <f>VLOOKUP(B1337,Products!$A:$E,2,FALSE)</f>
        <v>Product_359</v>
      </c>
      <c r="E1337" t="str">
        <f>VLOOKUP(B1337,Products!$A:$E,3,FALSE)</f>
        <v>Electronics</v>
      </c>
    </row>
    <row r="1338" spans="1:5" x14ac:dyDescent="0.3">
      <c r="A1338" t="s">
        <v>2348</v>
      </c>
      <c r="B1338" t="s">
        <v>448</v>
      </c>
      <c r="C1338">
        <v>88</v>
      </c>
      <c r="D1338" t="str">
        <f>VLOOKUP(B1338,Products!$A:$E,2,FALSE)</f>
        <v>Product_220</v>
      </c>
      <c r="E1338" t="str">
        <f>VLOOKUP(B1338,Products!$A:$E,3,FALSE)</f>
        <v>Storage</v>
      </c>
    </row>
    <row r="1339" spans="1:5" x14ac:dyDescent="0.3">
      <c r="A1339" t="s">
        <v>2349</v>
      </c>
      <c r="B1339" t="s">
        <v>102</v>
      </c>
      <c r="C1339">
        <v>95</v>
      </c>
      <c r="D1339" t="str">
        <f>VLOOKUP(B1339,Products!$A:$E,2,FALSE)</f>
        <v>Product_47</v>
      </c>
      <c r="E1339" t="str">
        <f>VLOOKUP(B1339,Products!$A:$E,3,FALSE)</f>
        <v>Electronics</v>
      </c>
    </row>
    <row r="1340" spans="1:5" x14ac:dyDescent="0.3">
      <c r="A1340" t="s">
        <v>2350</v>
      </c>
      <c r="B1340" t="s">
        <v>106</v>
      </c>
      <c r="C1340">
        <v>5</v>
      </c>
      <c r="D1340" t="str">
        <f>VLOOKUP(B1340,Products!$A:$E,2,FALSE)</f>
        <v>Product_49</v>
      </c>
      <c r="E1340" t="str">
        <f>VLOOKUP(B1340,Products!$A:$E,3,FALSE)</f>
        <v>Storage</v>
      </c>
    </row>
    <row r="1341" spans="1:5" x14ac:dyDescent="0.3">
      <c r="A1341" t="s">
        <v>2351</v>
      </c>
      <c r="B1341" t="s">
        <v>228</v>
      </c>
      <c r="C1341">
        <v>66</v>
      </c>
      <c r="D1341" t="str">
        <f>VLOOKUP(B1341,Products!$A:$E,2,FALSE)</f>
        <v>Product_110</v>
      </c>
      <c r="E1341" t="str">
        <f>VLOOKUP(B1341,Products!$A:$E,3,FALSE)</f>
        <v>Networking</v>
      </c>
    </row>
    <row r="1342" spans="1:5" x14ac:dyDescent="0.3">
      <c r="A1342" t="s">
        <v>2352</v>
      </c>
      <c r="B1342" t="s">
        <v>88</v>
      </c>
      <c r="C1342">
        <v>21</v>
      </c>
      <c r="D1342" t="str">
        <f>VLOOKUP(B1342,Products!$A:$E,2,FALSE)</f>
        <v>Product_40</v>
      </c>
      <c r="E1342" t="str">
        <f>VLOOKUP(B1342,Products!$A:$E,3,FALSE)</f>
        <v>Accessories</v>
      </c>
    </row>
    <row r="1343" spans="1:5" x14ac:dyDescent="0.3">
      <c r="A1343" t="s">
        <v>2353</v>
      </c>
      <c r="B1343" t="s">
        <v>616</v>
      </c>
      <c r="C1343">
        <v>33</v>
      </c>
      <c r="D1343" t="str">
        <f>VLOOKUP(B1343,Products!$A:$E,2,FALSE)</f>
        <v>Product_304</v>
      </c>
      <c r="E1343" t="str">
        <f>VLOOKUP(B1343,Products!$A:$E,3,FALSE)</f>
        <v>Electronics</v>
      </c>
    </row>
    <row r="1344" spans="1:5" x14ac:dyDescent="0.3">
      <c r="A1344" t="s">
        <v>2354</v>
      </c>
      <c r="B1344" t="s">
        <v>540</v>
      </c>
      <c r="C1344">
        <v>92</v>
      </c>
      <c r="D1344" t="str">
        <f>VLOOKUP(B1344,Products!$A:$E,2,FALSE)</f>
        <v>Product_266</v>
      </c>
      <c r="E1344" t="str">
        <f>VLOOKUP(B1344,Products!$A:$E,3,FALSE)</f>
        <v>Electronics</v>
      </c>
    </row>
    <row r="1345" spans="1:5" x14ac:dyDescent="0.3">
      <c r="A1345" t="s">
        <v>2355</v>
      </c>
      <c r="B1345" t="s">
        <v>464</v>
      </c>
      <c r="C1345">
        <v>6</v>
      </c>
      <c r="D1345" t="str">
        <f>VLOOKUP(B1345,Products!$A:$E,2,FALSE)</f>
        <v>Product_228</v>
      </c>
      <c r="E1345" t="str">
        <f>VLOOKUP(B1345,Products!$A:$E,3,FALSE)</f>
        <v>Storage</v>
      </c>
    </row>
    <row r="1346" spans="1:5" x14ac:dyDescent="0.3">
      <c r="A1346" t="s">
        <v>2356</v>
      </c>
      <c r="B1346" t="s">
        <v>17</v>
      </c>
      <c r="C1346">
        <v>94</v>
      </c>
      <c r="D1346" t="str">
        <f>VLOOKUP(B1346,Products!$A:$E,2,FALSE)</f>
        <v>Product_5</v>
      </c>
      <c r="E1346" t="str">
        <f>VLOOKUP(B1346,Products!$A:$E,3,FALSE)</f>
        <v>Networking</v>
      </c>
    </row>
    <row r="1347" spans="1:5" x14ac:dyDescent="0.3">
      <c r="A1347" t="s">
        <v>2357</v>
      </c>
      <c r="B1347" t="s">
        <v>360</v>
      </c>
      <c r="C1347">
        <v>20</v>
      </c>
      <c r="D1347" t="str">
        <f>VLOOKUP(B1347,Products!$A:$E,2,FALSE)</f>
        <v>Product_176</v>
      </c>
      <c r="E1347" t="str">
        <f>VLOOKUP(B1347,Products!$A:$E,3,FALSE)</f>
        <v>Electronics</v>
      </c>
    </row>
    <row r="1348" spans="1:5" x14ac:dyDescent="0.3">
      <c r="A1348" t="s">
        <v>2358</v>
      </c>
      <c r="B1348" t="s">
        <v>890</v>
      </c>
      <c r="C1348">
        <v>59</v>
      </c>
      <c r="D1348" t="str">
        <f>VLOOKUP(B1348,Products!$A:$E,2,FALSE)</f>
        <v>Product_441</v>
      </c>
      <c r="E1348" t="str">
        <f>VLOOKUP(B1348,Products!$A:$E,3,FALSE)</f>
        <v>Storage</v>
      </c>
    </row>
    <row r="1349" spans="1:5" x14ac:dyDescent="0.3">
      <c r="A1349" t="s">
        <v>2359</v>
      </c>
      <c r="B1349" t="s">
        <v>720</v>
      </c>
      <c r="C1349">
        <v>21</v>
      </c>
      <c r="D1349" t="str">
        <f>VLOOKUP(B1349,Products!$A:$E,2,FALSE)</f>
        <v>Product_356</v>
      </c>
      <c r="E1349" t="str">
        <f>VLOOKUP(B1349,Products!$A:$E,3,FALSE)</f>
        <v>Accessories</v>
      </c>
    </row>
    <row r="1350" spans="1:5" x14ac:dyDescent="0.3">
      <c r="A1350" t="s">
        <v>2360</v>
      </c>
      <c r="B1350" t="s">
        <v>498</v>
      </c>
      <c r="C1350">
        <v>14</v>
      </c>
      <c r="D1350" t="str">
        <f>VLOOKUP(B1350,Products!$A:$E,2,FALSE)</f>
        <v>Product_245</v>
      </c>
      <c r="E1350" t="str">
        <f>VLOOKUP(B1350,Products!$A:$E,3,FALSE)</f>
        <v>Office Supplies</v>
      </c>
    </row>
    <row r="1351" spans="1:5" x14ac:dyDescent="0.3">
      <c r="A1351" t="s">
        <v>2361</v>
      </c>
      <c r="B1351" t="s">
        <v>244</v>
      </c>
      <c r="C1351">
        <v>54</v>
      </c>
      <c r="D1351" t="str">
        <f>VLOOKUP(B1351,Products!$A:$E,2,FALSE)</f>
        <v>Product_118</v>
      </c>
      <c r="E1351" t="str">
        <f>VLOOKUP(B1351,Products!$A:$E,3,FALSE)</f>
        <v>Accessories</v>
      </c>
    </row>
    <row r="1352" spans="1:5" x14ac:dyDescent="0.3">
      <c r="A1352" t="s">
        <v>2362</v>
      </c>
      <c r="B1352" t="s">
        <v>100</v>
      </c>
      <c r="C1352">
        <v>98</v>
      </c>
      <c r="D1352" t="str">
        <f>VLOOKUP(B1352,Products!$A:$E,2,FALSE)</f>
        <v>Product_46</v>
      </c>
      <c r="E1352" t="str">
        <f>VLOOKUP(B1352,Products!$A:$E,3,FALSE)</f>
        <v>Networking</v>
      </c>
    </row>
    <row r="1353" spans="1:5" x14ac:dyDescent="0.3">
      <c r="A1353" t="s">
        <v>2363</v>
      </c>
      <c r="B1353" t="s">
        <v>834</v>
      </c>
      <c r="C1353">
        <v>18</v>
      </c>
      <c r="D1353" t="str">
        <f>VLOOKUP(B1353,Products!$A:$E,2,FALSE)</f>
        <v>Product_413</v>
      </c>
      <c r="E1353" t="str">
        <f>VLOOKUP(B1353,Products!$A:$E,3,FALSE)</f>
        <v>Accessories</v>
      </c>
    </row>
    <row r="1354" spans="1:5" x14ac:dyDescent="0.3">
      <c r="A1354" t="s">
        <v>2364</v>
      </c>
      <c r="B1354" t="s">
        <v>114</v>
      </c>
      <c r="C1354">
        <v>45</v>
      </c>
      <c r="D1354" t="str">
        <f>VLOOKUP(B1354,Products!$A:$E,2,FALSE)</f>
        <v>Product_53</v>
      </c>
      <c r="E1354" t="str">
        <f>VLOOKUP(B1354,Products!$A:$E,3,FALSE)</f>
        <v>Electronics</v>
      </c>
    </row>
    <row r="1355" spans="1:5" x14ac:dyDescent="0.3">
      <c r="A1355" t="s">
        <v>2365</v>
      </c>
      <c r="B1355" t="s">
        <v>386</v>
      </c>
      <c r="C1355">
        <v>43</v>
      </c>
      <c r="D1355" t="str">
        <f>VLOOKUP(B1355,Products!$A:$E,2,FALSE)</f>
        <v>Product_189</v>
      </c>
      <c r="E1355" t="str">
        <f>VLOOKUP(B1355,Products!$A:$E,3,FALSE)</f>
        <v>Electronics</v>
      </c>
    </row>
    <row r="1356" spans="1:5" x14ac:dyDescent="0.3">
      <c r="A1356" t="s">
        <v>2366</v>
      </c>
      <c r="B1356" t="s">
        <v>150</v>
      </c>
      <c r="C1356">
        <v>53</v>
      </c>
      <c r="D1356" t="str">
        <f>VLOOKUP(B1356,Products!$A:$E,2,FALSE)</f>
        <v>Product_71</v>
      </c>
      <c r="E1356" t="str">
        <f>VLOOKUP(B1356,Products!$A:$E,3,FALSE)</f>
        <v>Accessories</v>
      </c>
    </row>
    <row r="1357" spans="1:5" x14ac:dyDescent="0.3">
      <c r="A1357" t="s">
        <v>2367</v>
      </c>
      <c r="B1357" t="s">
        <v>802</v>
      </c>
      <c r="C1357">
        <v>22</v>
      </c>
      <c r="D1357" t="str">
        <f>VLOOKUP(B1357,Products!$A:$E,2,FALSE)</f>
        <v>Product_397</v>
      </c>
      <c r="E1357" t="str">
        <f>VLOOKUP(B1357,Products!$A:$E,3,FALSE)</f>
        <v>Office Supplies</v>
      </c>
    </row>
    <row r="1358" spans="1:5" x14ac:dyDescent="0.3">
      <c r="A1358" t="s">
        <v>2368</v>
      </c>
      <c r="B1358" t="s">
        <v>666</v>
      </c>
      <c r="C1358">
        <v>91</v>
      </c>
      <c r="D1358" t="str">
        <f>VLOOKUP(B1358,Products!$A:$E,2,FALSE)</f>
        <v>Product_329</v>
      </c>
      <c r="E1358" t="str">
        <f>VLOOKUP(B1358,Products!$A:$E,3,FALSE)</f>
        <v>Office Supplies</v>
      </c>
    </row>
    <row r="1359" spans="1:5" x14ac:dyDescent="0.3">
      <c r="A1359" t="s">
        <v>2369</v>
      </c>
      <c r="B1359" t="s">
        <v>156</v>
      </c>
      <c r="C1359">
        <v>13</v>
      </c>
      <c r="D1359" t="str">
        <f>VLOOKUP(B1359,Products!$A:$E,2,FALSE)</f>
        <v>Product_74</v>
      </c>
      <c r="E1359" t="str">
        <f>VLOOKUP(B1359,Products!$A:$E,3,FALSE)</f>
        <v>Storage</v>
      </c>
    </row>
    <row r="1360" spans="1:5" x14ac:dyDescent="0.3">
      <c r="A1360" t="s">
        <v>2370</v>
      </c>
      <c r="B1360" t="s">
        <v>552</v>
      </c>
      <c r="C1360">
        <v>77</v>
      </c>
      <c r="D1360" t="str">
        <f>VLOOKUP(B1360,Products!$A:$E,2,FALSE)</f>
        <v>Product_272</v>
      </c>
      <c r="E1360" t="str">
        <f>VLOOKUP(B1360,Products!$A:$E,3,FALSE)</f>
        <v>Office Supplies</v>
      </c>
    </row>
    <row r="1361" spans="1:5" x14ac:dyDescent="0.3">
      <c r="A1361" t="s">
        <v>2371</v>
      </c>
      <c r="B1361" t="s">
        <v>17</v>
      </c>
      <c r="C1361">
        <v>83</v>
      </c>
      <c r="D1361" t="str">
        <f>VLOOKUP(B1361,Products!$A:$E,2,FALSE)</f>
        <v>Product_5</v>
      </c>
      <c r="E1361" t="str">
        <f>VLOOKUP(B1361,Products!$A:$E,3,FALSE)</f>
        <v>Networking</v>
      </c>
    </row>
    <row r="1362" spans="1:5" x14ac:dyDescent="0.3">
      <c r="A1362" t="s">
        <v>2372</v>
      </c>
      <c r="B1362" t="s">
        <v>674</v>
      </c>
      <c r="C1362">
        <v>26</v>
      </c>
      <c r="D1362" t="str">
        <f>VLOOKUP(B1362,Products!$A:$E,2,FALSE)</f>
        <v>Product_333</v>
      </c>
      <c r="E1362" t="str">
        <f>VLOOKUP(B1362,Products!$A:$E,3,FALSE)</f>
        <v>Storage</v>
      </c>
    </row>
    <row r="1363" spans="1:5" x14ac:dyDescent="0.3">
      <c r="A1363" t="s">
        <v>2373</v>
      </c>
      <c r="B1363" t="s">
        <v>460</v>
      </c>
      <c r="C1363">
        <v>49</v>
      </c>
      <c r="D1363" t="str">
        <f>VLOOKUP(B1363,Products!$A:$E,2,FALSE)</f>
        <v>Product_226</v>
      </c>
      <c r="E1363" t="str">
        <f>VLOOKUP(B1363,Products!$A:$E,3,FALSE)</f>
        <v>Networking</v>
      </c>
    </row>
    <row r="1364" spans="1:5" x14ac:dyDescent="0.3">
      <c r="A1364" t="s">
        <v>2374</v>
      </c>
      <c r="B1364" t="s">
        <v>748</v>
      </c>
      <c r="C1364">
        <v>32</v>
      </c>
      <c r="D1364" t="str">
        <f>VLOOKUP(B1364,Products!$A:$E,2,FALSE)</f>
        <v>Product_370</v>
      </c>
      <c r="E1364" t="str">
        <f>VLOOKUP(B1364,Products!$A:$E,3,FALSE)</f>
        <v>Networking</v>
      </c>
    </row>
    <row r="1365" spans="1:5" x14ac:dyDescent="0.3">
      <c r="A1365" t="s">
        <v>2375</v>
      </c>
      <c r="B1365" t="s">
        <v>652</v>
      </c>
      <c r="C1365">
        <v>100</v>
      </c>
      <c r="D1365" t="str">
        <f>VLOOKUP(B1365,Products!$A:$E,2,FALSE)</f>
        <v>Product_322</v>
      </c>
      <c r="E1365" t="str">
        <f>VLOOKUP(B1365,Products!$A:$E,3,FALSE)</f>
        <v>Accessories</v>
      </c>
    </row>
    <row r="1366" spans="1:5" x14ac:dyDescent="0.3">
      <c r="A1366" t="s">
        <v>2376</v>
      </c>
      <c r="B1366" t="s">
        <v>164</v>
      </c>
      <c r="C1366">
        <v>57</v>
      </c>
      <c r="D1366" t="str">
        <f>VLOOKUP(B1366,Products!$A:$E,2,FALSE)</f>
        <v>Product_78</v>
      </c>
      <c r="E1366" t="str">
        <f>VLOOKUP(B1366,Products!$A:$E,3,FALSE)</f>
        <v>Office Supplies</v>
      </c>
    </row>
    <row r="1367" spans="1:5" x14ac:dyDescent="0.3">
      <c r="A1367" t="s">
        <v>2377</v>
      </c>
      <c r="B1367" t="s">
        <v>640</v>
      </c>
      <c r="C1367">
        <v>92</v>
      </c>
      <c r="D1367" t="str">
        <f>VLOOKUP(B1367,Products!$A:$E,2,FALSE)</f>
        <v>Product_316</v>
      </c>
      <c r="E1367" t="str">
        <f>VLOOKUP(B1367,Products!$A:$E,3,FALSE)</f>
        <v>Networking</v>
      </c>
    </row>
    <row r="1368" spans="1:5" x14ac:dyDescent="0.3">
      <c r="A1368" t="s">
        <v>2378</v>
      </c>
      <c r="B1368" t="s">
        <v>462</v>
      </c>
      <c r="C1368">
        <v>32</v>
      </c>
      <c r="D1368" t="str">
        <f>VLOOKUP(B1368,Products!$A:$E,2,FALSE)</f>
        <v>Product_227</v>
      </c>
      <c r="E1368" t="str">
        <f>VLOOKUP(B1368,Products!$A:$E,3,FALSE)</f>
        <v>Accessories</v>
      </c>
    </row>
    <row r="1369" spans="1:5" x14ac:dyDescent="0.3">
      <c r="A1369" t="s">
        <v>2379</v>
      </c>
      <c r="B1369" t="s">
        <v>98</v>
      </c>
      <c r="C1369">
        <v>17</v>
      </c>
      <c r="D1369" t="str">
        <f>VLOOKUP(B1369,Products!$A:$E,2,FALSE)</f>
        <v>Product_45</v>
      </c>
      <c r="E1369" t="str">
        <f>VLOOKUP(B1369,Products!$A:$E,3,FALSE)</f>
        <v>Accessories</v>
      </c>
    </row>
    <row r="1370" spans="1:5" x14ac:dyDescent="0.3">
      <c r="A1370" t="s">
        <v>2380</v>
      </c>
      <c r="B1370" t="s">
        <v>152</v>
      </c>
      <c r="C1370">
        <v>20</v>
      </c>
      <c r="D1370" t="str">
        <f>VLOOKUP(B1370,Products!$A:$E,2,FALSE)</f>
        <v>Product_72</v>
      </c>
      <c r="E1370" t="str">
        <f>VLOOKUP(B1370,Products!$A:$E,3,FALSE)</f>
        <v>Networking</v>
      </c>
    </row>
    <row r="1371" spans="1:5" x14ac:dyDescent="0.3">
      <c r="A1371" t="s">
        <v>2381</v>
      </c>
      <c r="B1371" t="s">
        <v>612</v>
      </c>
      <c r="C1371">
        <v>98</v>
      </c>
      <c r="D1371" t="str">
        <f>VLOOKUP(B1371,Products!$A:$E,2,FALSE)</f>
        <v>Product_302</v>
      </c>
      <c r="E1371" t="str">
        <f>VLOOKUP(B1371,Products!$A:$E,3,FALSE)</f>
        <v>Accessories</v>
      </c>
    </row>
    <row r="1372" spans="1:5" x14ac:dyDescent="0.3">
      <c r="A1372" t="s">
        <v>2382</v>
      </c>
      <c r="B1372" t="s">
        <v>402</v>
      </c>
      <c r="C1372">
        <v>49</v>
      </c>
      <c r="D1372" t="str">
        <f>VLOOKUP(B1372,Products!$A:$E,2,FALSE)</f>
        <v>Product_197</v>
      </c>
      <c r="E1372" t="str">
        <f>VLOOKUP(B1372,Products!$A:$E,3,FALSE)</f>
        <v>Electronics</v>
      </c>
    </row>
    <row r="1373" spans="1:5" x14ac:dyDescent="0.3">
      <c r="A1373" t="s">
        <v>2383</v>
      </c>
      <c r="B1373" t="s">
        <v>996</v>
      </c>
      <c r="C1373">
        <v>59</v>
      </c>
      <c r="D1373" t="str">
        <f>VLOOKUP(B1373,Products!$A:$E,2,FALSE)</f>
        <v>Product_494</v>
      </c>
      <c r="E1373" t="str">
        <f>VLOOKUP(B1373,Products!$A:$E,3,FALSE)</f>
        <v>Office Supplies</v>
      </c>
    </row>
    <row r="1374" spans="1:5" x14ac:dyDescent="0.3">
      <c r="A1374" t="s">
        <v>2384</v>
      </c>
      <c r="B1374" t="s">
        <v>332</v>
      </c>
      <c r="C1374">
        <v>22</v>
      </c>
      <c r="D1374" t="str">
        <f>VLOOKUP(B1374,Products!$A:$E,2,FALSE)</f>
        <v>Product_162</v>
      </c>
      <c r="E1374" t="str">
        <f>VLOOKUP(B1374,Products!$A:$E,3,FALSE)</f>
        <v>Accessories</v>
      </c>
    </row>
    <row r="1375" spans="1:5" x14ac:dyDescent="0.3">
      <c r="A1375" t="s">
        <v>2385</v>
      </c>
      <c r="B1375" t="s">
        <v>262</v>
      </c>
      <c r="C1375">
        <v>40</v>
      </c>
      <c r="D1375" t="str">
        <f>VLOOKUP(B1375,Products!$A:$E,2,FALSE)</f>
        <v>Product_127</v>
      </c>
      <c r="E1375" t="str">
        <f>VLOOKUP(B1375,Products!$A:$E,3,FALSE)</f>
        <v>Networking</v>
      </c>
    </row>
    <row r="1376" spans="1:5" x14ac:dyDescent="0.3">
      <c r="A1376" t="s">
        <v>2386</v>
      </c>
      <c r="B1376" t="s">
        <v>670</v>
      </c>
      <c r="C1376">
        <v>15</v>
      </c>
      <c r="D1376" t="str">
        <f>VLOOKUP(B1376,Products!$A:$E,2,FALSE)</f>
        <v>Product_331</v>
      </c>
      <c r="E1376" t="str">
        <f>VLOOKUP(B1376,Products!$A:$E,3,FALSE)</f>
        <v>Electronics</v>
      </c>
    </row>
    <row r="1377" spans="1:5" x14ac:dyDescent="0.3">
      <c r="A1377" t="s">
        <v>2387</v>
      </c>
      <c r="B1377" t="s">
        <v>264</v>
      </c>
      <c r="C1377">
        <v>75</v>
      </c>
      <c r="D1377" t="str">
        <f>VLOOKUP(B1377,Products!$A:$E,2,FALSE)</f>
        <v>Product_128</v>
      </c>
      <c r="E1377" t="str">
        <f>VLOOKUP(B1377,Products!$A:$E,3,FALSE)</f>
        <v>Office Supplies</v>
      </c>
    </row>
    <row r="1378" spans="1:5" x14ac:dyDescent="0.3">
      <c r="A1378" t="s">
        <v>2388</v>
      </c>
      <c r="B1378" t="s">
        <v>624</v>
      </c>
      <c r="C1378">
        <v>81</v>
      </c>
      <c r="D1378" t="str">
        <f>VLOOKUP(B1378,Products!$A:$E,2,FALSE)</f>
        <v>Product_308</v>
      </c>
      <c r="E1378" t="str">
        <f>VLOOKUP(B1378,Products!$A:$E,3,FALSE)</f>
        <v>Storage</v>
      </c>
    </row>
    <row r="1379" spans="1:5" x14ac:dyDescent="0.3">
      <c r="A1379" t="s">
        <v>2389</v>
      </c>
      <c r="B1379" t="s">
        <v>748</v>
      </c>
      <c r="C1379">
        <v>82</v>
      </c>
      <c r="D1379" t="str">
        <f>VLOOKUP(B1379,Products!$A:$E,2,FALSE)</f>
        <v>Product_370</v>
      </c>
      <c r="E1379" t="str">
        <f>VLOOKUP(B1379,Products!$A:$E,3,FALSE)</f>
        <v>Networking</v>
      </c>
    </row>
    <row r="1380" spans="1:5" x14ac:dyDescent="0.3">
      <c r="A1380" t="s">
        <v>2390</v>
      </c>
      <c r="B1380" t="s">
        <v>300</v>
      </c>
      <c r="C1380">
        <v>93</v>
      </c>
      <c r="D1380" t="str">
        <f>VLOOKUP(B1380,Products!$A:$E,2,FALSE)</f>
        <v>Product_146</v>
      </c>
      <c r="E1380" t="str">
        <f>VLOOKUP(B1380,Products!$A:$E,3,FALSE)</f>
        <v>Office Supplies</v>
      </c>
    </row>
    <row r="1381" spans="1:5" x14ac:dyDescent="0.3">
      <c r="A1381" t="s">
        <v>2391</v>
      </c>
      <c r="B1381" t="s">
        <v>36</v>
      </c>
      <c r="C1381">
        <v>89</v>
      </c>
      <c r="D1381" t="str">
        <f>VLOOKUP(B1381,Products!$A:$E,2,FALSE)</f>
        <v>Product_14</v>
      </c>
      <c r="E1381" t="str">
        <f>VLOOKUP(B1381,Products!$A:$E,3,FALSE)</f>
        <v>Accessories</v>
      </c>
    </row>
    <row r="1382" spans="1:5" x14ac:dyDescent="0.3">
      <c r="A1382" t="s">
        <v>2392</v>
      </c>
      <c r="B1382" t="s">
        <v>906</v>
      </c>
      <c r="C1382">
        <v>43</v>
      </c>
      <c r="D1382" t="str">
        <f>VLOOKUP(B1382,Products!$A:$E,2,FALSE)</f>
        <v>Product_449</v>
      </c>
      <c r="E1382" t="str">
        <f>VLOOKUP(B1382,Products!$A:$E,3,FALSE)</f>
        <v>Networking</v>
      </c>
    </row>
    <row r="1383" spans="1:5" x14ac:dyDescent="0.3">
      <c r="A1383" t="s">
        <v>2393</v>
      </c>
      <c r="B1383" t="s">
        <v>220</v>
      </c>
      <c r="C1383">
        <v>71</v>
      </c>
      <c r="D1383" t="str">
        <f>VLOOKUP(B1383,Products!$A:$E,2,FALSE)</f>
        <v>Product_106</v>
      </c>
      <c r="E1383" t="str">
        <f>VLOOKUP(B1383,Products!$A:$E,3,FALSE)</f>
        <v>Networking</v>
      </c>
    </row>
    <row r="1384" spans="1:5" x14ac:dyDescent="0.3">
      <c r="A1384" t="s">
        <v>2394</v>
      </c>
      <c r="B1384" t="s">
        <v>630</v>
      </c>
      <c r="C1384">
        <v>70</v>
      </c>
      <c r="D1384" t="str">
        <f>VLOOKUP(B1384,Products!$A:$E,2,FALSE)</f>
        <v>Product_311</v>
      </c>
      <c r="E1384" t="str">
        <f>VLOOKUP(B1384,Products!$A:$E,3,FALSE)</f>
        <v>Networking</v>
      </c>
    </row>
    <row r="1385" spans="1:5" x14ac:dyDescent="0.3">
      <c r="A1385" t="s">
        <v>2395</v>
      </c>
      <c r="B1385" t="s">
        <v>202</v>
      </c>
      <c r="C1385">
        <v>100</v>
      </c>
      <c r="D1385" t="str">
        <f>VLOOKUP(B1385,Products!$A:$E,2,FALSE)</f>
        <v>Product_97</v>
      </c>
      <c r="E1385" t="str">
        <f>VLOOKUP(B1385,Products!$A:$E,3,FALSE)</f>
        <v>Accessories</v>
      </c>
    </row>
    <row r="1386" spans="1:5" x14ac:dyDescent="0.3">
      <c r="A1386" t="s">
        <v>2396</v>
      </c>
      <c r="B1386" t="s">
        <v>410</v>
      </c>
      <c r="C1386">
        <v>42</v>
      </c>
      <c r="D1386" t="str">
        <f>VLOOKUP(B1386,Products!$A:$E,2,FALSE)</f>
        <v>Product_201</v>
      </c>
      <c r="E1386" t="str">
        <f>VLOOKUP(B1386,Products!$A:$E,3,FALSE)</f>
        <v>Networking</v>
      </c>
    </row>
    <row r="1387" spans="1:5" x14ac:dyDescent="0.3">
      <c r="A1387" t="s">
        <v>2397</v>
      </c>
      <c r="B1387" t="s">
        <v>670</v>
      </c>
      <c r="C1387">
        <v>11</v>
      </c>
      <c r="D1387" t="str">
        <f>VLOOKUP(B1387,Products!$A:$E,2,FALSE)</f>
        <v>Product_331</v>
      </c>
      <c r="E1387" t="str">
        <f>VLOOKUP(B1387,Products!$A:$E,3,FALSE)</f>
        <v>Electronics</v>
      </c>
    </row>
    <row r="1388" spans="1:5" x14ac:dyDescent="0.3">
      <c r="A1388" t="s">
        <v>2398</v>
      </c>
      <c r="B1388" t="s">
        <v>812</v>
      </c>
      <c r="C1388">
        <v>35</v>
      </c>
      <c r="D1388" t="str">
        <f>VLOOKUP(B1388,Products!$A:$E,2,FALSE)</f>
        <v>Product_402</v>
      </c>
      <c r="E1388" t="str">
        <f>VLOOKUP(B1388,Products!$A:$E,3,FALSE)</f>
        <v>Accessories</v>
      </c>
    </row>
    <row r="1389" spans="1:5" x14ac:dyDescent="0.3">
      <c r="A1389" t="s">
        <v>2399</v>
      </c>
      <c r="B1389" t="s">
        <v>516</v>
      </c>
      <c r="C1389">
        <v>54</v>
      </c>
      <c r="D1389" t="str">
        <f>VLOOKUP(B1389,Products!$A:$E,2,FALSE)</f>
        <v>Product_254</v>
      </c>
      <c r="E1389" t="str">
        <f>VLOOKUP(B1389,Products!$A:$E,3,FALSE)</f>
        <v>Office Supplies</v>
      </c>
    </row>
    <row r="1390" spans="1:5" x14ac:dyDescent="0.3">
      <c r="A1390" t="s">
        <v>2400</v>
      </c>
      <c r="B1390" t="s">
        <v>124</v>
      </c>
      <c r="C1390">
        <v>35</v>
      </c>
      <c r="D1390" t="str">
        <f>VLOOKUP(B1390,Products!$A:$E,2,FALSE)</f>
        <v>Product_58</v>
      </c>
      <c r="E1390" t="str">
        <f>VLOOKUP(B1390,Products!$A:$E,3,FALSE)</f>
        <v>Office Supplies</v>
      </c>
    </row>
    <row r="1391" spans="1:5" x14ac:dyDescent="0.3">
      <c r="A1391" t="s">
        <v>2401</v>
      </c>
      <c r="B1391" t="s">
        <v>520</v>
      </c>
      <c r="C1391">
        <v>86</v>
      </c>
      <c r="D1391" t="str">
        <f>VLOOKUP(B1391,Products!$A:$E,2,FALSE)</f>
        <v>Product_256</v>
      </c>
      <c r="E1391" t="str">
        <f>VLOOKUP(B1391,Products!$A:$E,3,FALSE)</f>
        <v>Office Supplies</v>
      </c>
    </row>
    <row r="1392" spans="1:5" x14ac:dyDescent="0.3">
      <c r="A1392" t="s">
        <v>2402</v>
      </c>
      <c r="B1392" t="s">
        <v>618</v>
      </c>
      <c r="C1392">
        <v>14</v>
      </c>
      <c r="D1392" t="str">
        <f>VLOOKUP(B1392,Products!$A:$E,2,FALSE)</f>
        <v>Product_305</v>
      </c>
      <c r="E1392" t="str">
        <f>VLOOKUP(B1392,Products!$A:$E,3,FALSE)</f>
        <v>Accessories</v>
      </c>
    </row>
    <row r="1393" spans="1:5" x14ac:dyDescent="0.3">
      <c r="A1393" t="s">
        <v>2403</v>
      </c>
      <c r="B1393" t="s">
        <v>550</v>
      </c>
      <c r="C1393">
        <v>6</v>
      </c>
      <c r="D1393" t="str">
        <f>VLOOKUP(B1393,Products!$A:$E,2,FALSE)</f>
        <v>Product_271</v>
      </c>
      <c r="E1393" t="str">
        <f>VLOOKUP(B1393,Products!$A:$E,3,FALSE)</f>
        <v>Electronics</v>
      </c>
    </row>
    <row r="1394" spans="1:5" x14ac:dyDescent="0.3">
      <c r="A1394" t="s">
        <v>2404</v>
      </c>
      <c r="B1394" t="s">
        <v>378</v>
      </c>
      <c r="C1394">
        <v>45</v>
      </c>
      <c r="D1394" t="str">
        <f>VLOOKUP(B1394,Products!$A:$E,2,FALSE)</f>
        <v>Product_185</v>
      </c>
      <c r="E1394" t="str">
        <f>VLOOKUP(B1394,Products!$A:$E,3,FALSE)</f>
        <v>Storage</v>
      </c>
    </row>
    <row r="1395" spans="1:5" x14ac:dyDescent="0.3">
      <c r="A1395" t="s">
        <v>2405</v>
      </c>
      <c r="B1395" t="s">
        <v>144</v>
      </c>
      <c r="C1395">
        <v>54</v>
      </c>
      <c r="D1395" t="str">
        <f>VLOOKUP(B1395,Products!$A:$E,2,FALSE)</f>
        <v>Product_68</v>
      </c>
      <c r="E1395" t="str">
        <f>VLOOKUP(B1395,Products!$A:$E,3,FALSE)</f>
        <v>Accessories</v>
      </c>
    </row>
    <row r="1396" spans="1:5" x14ac:dyDescent="0.3">
      <c r="A1396" t="s">
        <v>2406</v>
      </c>
      <c r="B1396" t="s">
        <v>890</v>
      </c>
      <c r="C1396">
        <v>77</v>
      </c>
      <c r="D1396" t="str">
        <f>VLOOKUP(B1396,Products!$A:$E,2,FALSE)</f>
        <v>Product_441</v>
      </c>
      <c r="E1396" t="str">
        <f>VLOOKUP(B1396,Products!$A:$E,3,FALSE)</f>
        <v>Storage</v>
      </c>
    </row>
    <row r="1397" spans="1:5" x14ac:dyDescent="0.3">
      <c r="A1397" t="s">
        <v>2407</v>
      </c>
      <c r="B1397" t="s">
        <v>440</v>
      </c>
      <c r="C1397">
        <v>51</v>
      </c>
      <c r="D1397" t="str">
        <f>VLOOKUP(B1397,Products!$A:$E,2,FALSE)</f>
        <v>Product_216</v>
      </c>
      <c r="E1397" t="str">
        <f>VLOOKUP(B1397,Products!$A:$E,3,FALSE)</f>
        <v>Accessories</v>
      </c>
    </row>
    <row r="1398" spans="1:5" x14ac:dyDescent="0.3">
      <c r="A1398" t="s">
        <v>2408</v>
      </c>
      <c r="B1398" t="s">
        <v>568</v>
      </c>
      <c r="C1398">
        <v>92</v>
      </c>
      <c r="D1398" t="str">
        <f>VLOOKUP(B1398,Products!$A:$E,2,FALSE)</f>
        <v>Product_280</v>
      </c>
      <c r="E1398" t="str">
        <f>VLOOKUP(B1398,Products!$A:$E,3,FALSE)</f>
        <v>Electronics</v>
      </c>
    </row>
    <row r="1399" spans="1:5" x14ac:dyDescent="0.3">
      <c r="A1399" t="s">
        <v>2409</v>
      </c>
      <c r="B1399" t="s">
        <v>186</v>
      </c>
      <c r="C1399">
        <v>65</v>
      </c>
      <c r="D1399" t="str">
        <f>VLOOKUP(B1399,Products!$A:$E,2,FALSE)</f>
        <v>Product_89</v>
      </c>
      <c r="E1399" t="str">
        <f>VLOOKUP(B1399,Products!$A:$E,3,FALSE)</f>
        <v>Storage</v>
      </c>
    </row>
    <row r="1400" spans="1:5" x14ac:dyDescent="0.3">
      <c r="A1400" t="s">
        <v>2410</v>
      </c>
      <c r="B1400" t="s">
        <v>986</v>
      </c>
      <c r="C1400">
        <v>14</v>
      </c>
      <c r="D1400" t="str">
        <f>VLOOKUP(B1400,Products!$A:$E,2,FALSE)</f>
        <v>Product_489</v>
      </c>
      <c r="E1400" t="str">
        <f>VLOOKUP(B1400,Products!$A:$E,3,FALSE)</f>
        <v>Networking</v>
      </c>
    </row>
    <row r="1401" spans="1:5" x14ac:dyDescent="0.3">
      <c r="A1401" t="s">
        <v>2411</v>
      </c>
      <c r="B1401" t="s">
        <v>26</v>
      </c>
      <c r="C1401">
        <v>80</v>
      </c>
      <c r="D1401" t="str">
        <f>VLOOKUP(B1401,Products!$A:$E,2,FALSE)</f>
        <v>Product_9</v>
      </c>
      <c r="E1401" t="str">
        <f>VLOOKUP(B1401,Products!$A:$E,3,FALSE)</f>
        <v>Storage</v>
      </c>
    </row>
    <row r="1402" spans="1:5" x14ac:dyDescent="0.3">
      <c r="A1402" t="s">
        <v>2412</v>
      </c>
      <c r="B1402" t="s">
        <v>78</v>
      </c>
      <c r="C1402">
        <v>6</v>
      </c>
      <c r="D1402" t="str">
        <f>VLOOKUP(B1402,Products!$A:$E,2,FALSE)</f>
        <v>Product_35</v>
      </c>
      <c r="E1402" t="str">
        <f>VLOOKUP(B1402,Products!$A:$E,3,FALSE)</f>
        <v>Electronics</v>
      </c>
    </row>
    <row r="1403" spans="1:5" x14ac:dyDescent="0.3">
      <c r="A1403" t="s">
        <v>2413</v>
      </c>
      <c r="B1403" t="s">
        <v>278</v>
      </c>
      <c r="C1403">
        <v>32</v>
      </c>
      <c r="D1403" t="str">
        <f>VLOOKUP(B1403,Products!$A:$E,2,FALSE)</f>
        <v>Product_135</v>
      </c>
      <c r="E1403" t="str">
        <f>VLOOKUP(B1403,Products!$A:$E,3,FALSE)</f>
        <v>Accessories</v>
      </c>
    </row>
    <row r="1404" spans="1:5" x14ac:dyDescent="0.3">
      <c r="A1404" t="s">
        <v>2414</v>
      </c>
      <c r="B1404" t="s">
        <v>50</v>
      </c>
      <c r="C1404">
        <v>12</v>
      </c>
      <c r="D1404" t="str">
        <f>VLOOKUP(B1404,Products!$A:$E,2,FALSE)</f>
        <v>Product_21</v>
      </c>
      <c r="E1404" t="str">
        <f>VLOOKUP(B1404,Products!$A:$E,3,FALSE)</f>
        <v>Office Supplies</v>
      </c>
    </row>
    <row r="1405" spans="1:5" x14ac:dyDescent="0.3">
      <c r="A1405" t="s">
        <v>2415</v>
      </c>
      <c r="B1405" t="s">
        <v>980</v>
      </c>
      <c r="C1405">
        <v>55</v>
      </c>
      <c r="D1405" t="str">
        <f>VLOOKUP(B1405,Products!$A:$E,2,FALSE)</f>
        <v>Product_486</v>
      </c>
      <c r="E1405" t="str">
        <f>VLOOKUP(B1405,Products!$A:$E,3,FALSE)</f>
        <v>Electronics</v>
      </c>
    </row>
    <row r="1406" spans="1:5" x14ac:dyDescent="0.3">
      <c r="A1406" t="s">
        <v>2416</v>
      </c>
      <c r="B1406" t="s">
        <v>528</v>
      </c>
      <c r="C1406">
        <v>41</v>
      </c>
      <c r="D1406" t="str">
        <f>VLOOKUP(B1406,Products!$A:$E,2,FALSE)</f>
        <v>Product_260</v>
      </c>
      <c r="E1406" t="str">
        <f>VLOOKUP(B1406,Products!$A:$E,3,FALSE)</f>
        <v>Storage</v>
      </c>
    </row>
    <row r="1407" spans="1:5" x14ac:dyDescent="0.3">
      <c r="A1407" t="s">
        <v>2417</v>
      </c>
      <c r="B1407" t="s">
        <v>652</v>
      </c>
      <c r="C1407">
        <v>96</v>
      </c>
      <c r="D1407" t="str">
        <f>VLOOKUP(B1407,Products!$A:$E,2,FALSE)</f>
        <v>Product_322</v>
      </c>
      <c r="E1407" t="str">
        <f>VLOOKUP(B1407,Products!$A:$E,3,FALSE)</f>
        <v>Accessories</v>
      </c>
    </row>
    <row r="1408" spans="1:5" x14ac:dyDescent="0.3">
      <c r="A1408" t="s">
        <v>2418</v>
      </c>
      <c r="B1408" t="s">
        <v>522</v>
      </c>
      <c r="C1408">
        <v>58</v>
      </c>
      <c r="D1408" t="str">
        <f>VLOOKUP(B1408,Products!$A:$E,2,FALSE)</f>
        <v>Product_257</v>
      </c>
      <c r="E1408" t="str">
        <f>VLOOKUP(B1408,Products!$A:$E,3,FALSE)</f>
        <v>Networking</v>
      </c>
    </row>
    <row r="1409" spans="1:5" x14ac:dyDescent="0.3">
      <c r="A1409" t="s">
        <v>2419</v>
      </c>
      <c r="B1409" t="s">
        <v>442</v>
      </c>
      <c r="C1409">
        <v>94</v>
      </c>
      <c r="D1409" t="str">
        <f>VLOOKUP(B1409,Products!$A:$E,2,FALSE)</f>
        <v>Product_217</v>
      </c>
      <c r="E1409" t="str">
        <f>VLOOKUP(B1409,Products!$A:$E,3,FALSE)</f>
        <v>Networking</v>
      </c>
    </row>
    <row r="1410" spans="1:5" x14ac:dyDescent="0.3">
      <c r="A1410" t="s">
        <v>2420</v>
      </c>
      <c r="B1410" t="s">
        <v>420</v>
      </c>
      <c r="C1410">
        <v>15</v>
      </c>
      <c r="D1410" t="str">
        <f>VLOOKUP(B1410,Products!$A:$E,2,FALSE)</f>
        <v>Product_206</v>
      </c>
      <c r="E1410" t="str">
        <f>VLOOKUP(B1410,Products!$A:$E,3,FALSE)</f>
        <v>Accessories</v>
      </c>
    </row>
    <row r="1411" spans="1:5" x14ac:dyDescent="0.3">
      <c r="A1411" t="s">
        <v>2421</v>
      </c>
      <c r="B1411" t="s">
        <v>664</v>
      </c>
      <c r="C1411">
        <v>73</v>
      </c>
      <c r="D1411" t="str">
        <f>VLOOKUP(B1411,Products!$A:$E,2,FALSE)</f>
        <v>Product_328</v>
      </c>
      <c r="E1411" t="str">
        <f>VLOOKUP(B1411,Products!$A:$E,3,FALSE)</f>
        <v>Office Supplies</v>
      </c>
    </row>
    <row r="1412" spans="1:5" x14ac:dyDescent="0.3">
      <c r="A1412" t="s">
        <v>2422</v>
      </c>
      <c r="B1412" t="s">
        <v>560</v>
      </c>
      <c r="C1412">
        <v>83</v>
      </c>
      <c r="D1412" t="str">
        <f>VLOOKUP(B1412,Products!$A:$E,2,FALSE)</f>
        <v>Product_276</v>
      </c>
      <c r="E1412" t="str">
        <f>VLOOKUP(B1412,Products!$A:$E,3,FALSE)</f>
        <v>Office Supplies</v>
      </c>
    </row>
    <row r="1413" spans="1:5" x14ac:dyDescent="0.3">
      <c r="A1413" t="s">
        <v>2423</v>
      </c>
      <c r="B1413" t="s">
        <v>166</v>
      </c>
      <c r="C1413">
        <v>40</v>
      </c>
      <c r="D1413" t="str">
        <f>VLOOKUP(B1413,Products!$A:$E,2,FALSE)</f>
        <v>Product_79</v>
      </c>
      <c r="E1413" t="str">
        <f>VLOOKUP(B1413,Products!$A:$E,3,FALSE)</f>
        <v>Storage</v>
      </c>
    </row>
    <row r="1414" spans="1:5" x14ac:dyDescent="0.3">
      <c r="A1414" t="s">
        <v>2424</v>
      </c>
      <c r="B1414" t="s">
        <v>94</v>
      </c>
      <c r="C1414">
        <v>44</v>
      </c>
      <c r="D1414" t="str">
        <f>VLOOKUP(B1414,Products!$A:$E,2,FALSE)</f>
        <v>Product_43</v>
      </c>
      <c r="E1414" t="str">
        <f>VLOOKUP(B1414,Products!$A:$E,3,FALSE)</f>
        <v>Storage</v>
      </c>
    </row>
    <row r="1415" spans="1:5" x14ac:dyDescent="0.3">
      <c r="A1415" t="s">
        <v>2425</v>
      </c>
      <c r="B1415" t="s">
        <v>90</v>
      </c>
      <c r="C1415">
        <v>70</v>
      </c>
      <c r="D1415" t="str">
        <f>VLOOKUP(B1415,Products!$A:$E,2,FALSE)</f>
        <v>Product_41</v>
      </c>
      <c r="E1415" t="str">
        <f>VLOOKUP(B1415,Products!$A:$E,3,FALSE)</f>
        <v>Accessories</v>
      </c>
    </row>
    <row r="1416" spans="1:5" x14ac:dyDescent="0.3">
      <c r="A1416" t="s">
        <v>2426</v>
      </c>
      <c r="B1416" t="s">
        <v>952</v>
      </c>
      <c r="C1416">
        <v>31</v>
      </c>
      <c r="D1416" t="str">
        <f>VLOOKUP(B1416,Products!$A:$E,2,FALSE)</f>
        <v>Product_472</v>
      </c>
      <c r="E1416" t="str">
        <f>VLOOKUP(B1416,Products!$A:$E,3,FALSE)</f>
        <v>Electronics</v>
      </c>
    </row>
    <row r="1417" spans="1:5" x14ac:dyDescent="0.3">
      <c r="A1417" t="s">
        <v>2427</v>
      </c>
      <c r="B1417" t="s">
        <v>1006</v>
      </c>
      <c r="C1417">
        <v>24</v>
      </c>
      <c r="D1417" t="str">
        <f>VLOOKUP(B1417,Products!$A:$E,2,FALSE)</f>
        <v>Product_499</v>
      </c>
      <c r="E1417" t="str">
        <f>VLOOKUP(B1417,Products!$A:$E,3,FALSE)</f>
        <v>Office Supplies</v>
      </c>
    </row>
    <row r="1418" spans="1:5" x14ac:dyDescent="0.3">
      <c r="A1418" t="s">
        <v>2428</v>
      </c>
      <c r="B1418" t="s">
        <v>558</v>
      </c>
      <c r="C1418">
        <v>46</v>
      </c>
      <c r="D1418" t="str">
        <f>VLOOKUP(B1418,Products!$A:$E,2,FALSE)</f>
        <v>Product_275</v>
      </c>
      <c r="E1418" t="str">
        <f>VLOOKUP(B1418,Products!$A:$E,3,FALSE)</f>
        <v>Accessories</v>
      </c>
    </row>
    <row r="1419" spans="1:5" x14ac:dyDescent="0.3">
      <c r="A1419" t="s">
        <v>2429</v>
      </c>
      <c r="B1419" t="s">
        <v>410</v>
      </c>
      <c r="C1419">
        <v>80</v>
      </c>
      <c r="D1419" t="str">
        <f>VLOOKUP(B1419,Products!$A:$E,2,FALSE)</f>
        <v>Product_201</v>
      </c>
      <c r="E1419" t="str">
        <f>VLOOKUP(B1419,Products!$A:$E,3,FALSE)</f>
        <v>Networking</v>
      </c>
    </row>
    <row r="1420" spans="1:5" x14ac:dyDescent="0.3">
      <c r="A1420" t="s">
        <v>2430</v>
      </c>
      <c r="B1420" t="s">
        <v>658</v>
      </c>
      <c r="C1420">
        <v>88</v>
      </c>
      <c r="D1420" t="str">
        <f>VLOOKUP(B1420,Products!$A:$E,2,FALSE)</f>
        <v>Product_325</v>
      </c>
      <c r="E1420" t="str">
        <f>VLOOKUP(B1420,Products!$A:$E,3,FALSE)</f>
        <v>Networking</v>
      </c>
    </row>
    <row r="1421" spans="1:5" x14ac:dyDescent="0.3">
      <c r="A1421" t="s">
        <v>2431</v>
      </c>
      <c r="B1421" t="s">
        <v>706</v>
      </c>
      <c r="C1421">
        <v>87</v>
      </c>
      <c r="D1421" t="str">
        <f>VLOOKUP(B1421,Products!$A:$E,2,FALSE)</f>
        <v>Product_349</v>
      </c>
      <c r="E1421" t="str">
        <f>VLOOKUP(B1421,Products!$A:$E,3,FALSE)</f>
        <v>Office Supplies</v>
      </c>
    </row>
    <row r="1422" spans="1:5" x14ac:dyDescent="0.3">
      <c r="A1422" t="s">
        <v>2432</v>
      </c>
      <c r="B1422" t="s">
        <v>76</v>
      </c>
      <c r="C1422">
        <v>44</v>
      </c>
      <c r="D1422" t="str">
        <f>VLOOKUP(B1422,Products!$A:$E,2,FALSE)</f>
        <v>Product_34</v>
      </c>
      <c r="E1422" t="str">
        <f>VLOOKUP(B1422,Products!$A:$E,3,FALSE)</f>
        <v>Office Supplies</v>
      </c>
    </row>
    <row r="1423" spans="1:5" x14ac:dyDescent="0.3">
      <c r="A1423" t="s">
        <v>2433</v>
      </c>
      <c r="B1423" t="s">
        <v>724</v>
      </c>
      <c r="C1423">
        <v>60</v>
      </c>
      <c r="D1423" t="str">
        <f>VLOOKUP(B1423,Products!$A:$E,2,FALSE)</f>
        <v>Product_358</v>
      </c>
      <c r="E1423" t="str">
        <f>VLOOKUP(B1423,Products!$A:$E,3,FALSE)</f>
        <v>Storage</v>
      </c>
    </row>
    <row r="1424" spans="1:5" x14ac:dyDescent="0.3">
      <c r="A1424" t="s">
        <v>2434</v>
      </c>
      <c r="B1424" t="s">
        <v>756</v>
      </c>
      <c r="C1424">
        <v>35</v>
      </c>
      <c r="D1424" t="str">
        <f>VLOOKUP(B1424,Products!$A:$E,2,FALSE)</f>
        <v>Product_374</v>
      </c>
      <c r="E1424" t="str">
        <f>VLOOKUP(B1424,Products!$A:$E,3,FALSE)</f>
        <v>Office Supplies</v>
      </c>
    </row>
    <row r="1425" spans="1:5" x14ac:dyDescent="0.3">
      <c r="A1425" t="s">
        <v>2435</v>
      </c>
      <c r="B1425" t="s">
        <v>68</v>
      </c>
      <c r="C1425">
        <v>36</v>
      </c>
      <c r="D1425" t="str">
        <f>VLOOKUP(B1425,Products!$A:$E,2,FALSE)</f>
        <v>Product_30</v>
      </c>
      <c r="E1425" t="str">
        <f>VLOOKUP(B1425,Products!$A:$E,3,FALSE)</f>
        <v>Accessories</v>
      </c>
    </row>
    <row r="1426" spans="1:5" x14ac:dyDescent="0.3">
      <c r="A1426" t="s">
        <v>2436</v>
      </c>
      <c r="B1426" t="s">
        <v>98</v>
      </c>
      <c r="C1426">
        <v>60</v>
      </c>
      <c r="D1426" t="str">
        <f>VLOOKUP(B1426,Products!$A:$E,2,FALSE)</f>
        <v>Product_45</v>
      </c>
      <c r="E1426" t="str">
        <f>VLOOKUP(B1426,Products!$A:$E,3,FALSE)</f>
        <v>Accessories</v>
      </c>
    </row>
    <row r="1427" spans="1:5" x14ac:dyDescent="0.3">
      <c r="A1427" t="s">
        <v>2437</v>
      </c>
      <c r="B1427" t="s">
        <v>128</v>
      </c>
      <c r="C1427">
        <v>63</v>
      </c>
      <c r="D1427" t="str">
        <f>VLOOKUP(B1427,Products!$A:$E,2,FALSE)</f>
        <v>Product_60</v>
      </c>
      <c r="E1427" t="str">
        <f>VLOOKUP(B1427,Products!$A:$E,3,FALSE)</f>
        <v>Electronics</v>
      </c>
    </row>
    <row r="1428" spans="1:5" x14ac:dyDescent="0.3">
      <c r="A1428" t="s">
        <v>2438</v>
      </c>
      <c r="B1428" t="s">
        <v>636</v>
      </c>
      <c r="C1428">
        <v>82</v>
      </c>
      <c r="D1428" t="str">
        <f>VLOOKUP(B1428,Products!$A:$E,2,FALSE)</f>
        <v>Product_314</v>
      </c>
      <c r="E1428" t="str">
        <f>VLOOKUP(B1428,Products!$A:$E,3,FALSE)</f>
        <v>Storage</v>
      </c>
    </row>
    <row r="1429" spans="1:5" x14ac:dyDescent="0.3">
      <c r="A1429" t="s">
        <v>2439</v>
      </c>
      <c r="B1429" t="s">
        <v>66</v>
      </c>
      <c r="C1429">
        <v>44</v>
      </c>
      <c r="D1429" t="str">
        <f>VLOOKUP(B1429,Products!$A:$E,2,FALSE)</f>
        <v>Product_29</v>
      </c>
      <c r="E1429" t="str">
        <f>VLOOKUP(B1429,Products!$A:$E,3,FALSE)</f>
        <v>Electronics</v>
      </c>
    </row>
    <row r="1430" spans="1:5" x14ac:dyDescent="0.3">
      <c r="A1430" t="s">
        <v>2440</v>
      </c>
      <c r="B1430" t="s">
        <v>692</v>
      </c>
      <c r="C1430">
        <v>99</v>
      </c>
      <c r="D1430" t="str">
        <f>VLOOKUP(B1430,Products!$A:$E,2,FALSE)</f>
        <v>Product_342</v>
      </c>
      <c r="E1430" t="str">
        <f>VLOOKUP(B1430,Products!$A:$E,3,FALSE)</f>
        <v>Accessories</v>
      </c>
    </row>
    <row r="1431" spans="1:5" x14ac:dyDescent="0.3">
      <c r="A1431" t="s">
        <v>2441</v>
      </c>
      <c r="B1431" t="s">
        <v>682</v>
      </c>
      <c r="C1431">
        <v>99</v>
      </c>
      <c r="D1431" t="str">
        <f>VLOOKUP(B1431,Products!$A:$E,2,FALSE)</f>
        <v>Product_337</v>
      </c>
      <c r="E1431" t="str">
        <f>VLOOKUP(B1431,Products!$A:$E,3,FALSE)</f>
        <v>Storage</v>
      </c>
    </row>
    <row r="1432" spans="1:5" x14ac:dyDescent="0.3">
      <c r="A1432" t="s">
        <v>2442</v>
      </c>
      <c r="B1432" t="s">
        <v>188</v>
      </c>
      <c r="C1432">
        <v>20</v>
      </c>
      <c r="D1432" t="str">
        <f>VLOOKUP(B1432,Products!$A:$E,2,FALSE)</f>
        <v>Product_90</v>
      </c>
      <c r="E1432" t="str">
        <f>VLOOKUP(B1432,Products!$A:$E,3,FALSE)</f>
        <v>Accessories</v>
      </c>
    </row>
    <row r="1433" spans="1:5" x14ac:dyDescent="0.3">
      <c r="A1433" t="s">
        <v>2443</v>
      </c>
      <c r="B1433" t="s">
        <v>22</v>
      </c>
      <c r="C1433">
        <v>95</v>
      </c>
      <c r="D1433" t="str">
        <f>VLOOKUP(B1433,Products!$A:$E,2,FALSE)</f>
        <v>Product_7</v>
      </c>
      <c r="E1433" t="str">
        <f>VLOOKUP(B1433,Products!$A:$E,3,FALSE)</f>
        <v>Storage</v>
      </c>
    </row>
    <row r="1434" spans="1:5" x14ac:dyDescent="0.3">
      <c r="A1434" t="s">
        <v>2444</v>
      </c>
      <c r="B1434" t="s">
        <v>150</v>
      </c>
      <c r="C1434">
        <v>94</v>
      </c>
      <c r="D1434" t="str">
        <f>VLOOKUP(B1434,Products!$A:$E,2,FALSE)</f>
        <v>Product_71</v>
      </c>
      <c r="E1434" t="str">
        <f>VLOOKUP(B1434,Products!$A:$E,3,FALSE)</f>
        <v>Accessories</v>
      </c>
    </row>
    <row r="1435" spans="1:5" x14ac:dyDescent="0.3">
      <c r="A1435" t="s">
        <v>2445</v>
      </c>
      <c r="B1435" t="s">
        <v>20</v>
      </c>
      <c r="C1435">
        <v>25</v>
      </c>
      <c r="D1435" t="str">
        <f>VLOOKUP(B1435,Products!$A:$E,2,FALSE)</f>
        <v>Product_6</v>
      </c>
      <c r="E1435" t="str">
        <f>VLOOKUP(B1435,Products!$A:$E,3,FALSE)</f>
        <v>Electronics</v>
      </c>
    </row>
    <row r="1436" spans="1:5" x14ac:dyDescent="0.3">
      <c r="A1436" t="s">
        <v>2446</v>
      </c>
      <c r="B1436" t="s">
        <v>518</v>
      </c>
      <c r="C1436">
        <v>49</v>
      </c>
      <c r="D1436" t="str">
        <f>VLOOKUP(B1436,Products!$A:$E,2,FALSE)</f>
        <v>Product_255</v>
      </c>
      <c r="E1436" t="str">
        <f>VLOOKUP(B1436,Products!$A:$E,3,FALSE)</f>
        <v>Accessories</v>
      </c>
    </row>
    <row r="1437" spans="1:5" x14ac:dyDescent="0.3">
      <c r="A1437" t="s">
        <v>2447</v>
      </c>
      <c r="B1437" t="s">
        <v>544</v>
      </c>
      <c r="C1437">
        <v>71</v>
      </c>
      <c r="D1437" t="str">
        <f>VLOOKUP(B1437,Products!$A:$E,2,FALSE)</f>
        <v>Product_268</v>
      </c>
      <c r="E1437" t="str">
        <f>VLOOKUP(B1437,Products!$A:$E,3,FALSE)</f>
        <v>Office Supplies</v>
      </c>
    </row>
    <row r="1438" spans="1:5" x14ac:dyDescent="0.3">
      <c r="A1438" t="s">
        <v>2448</v>
      </c>
      <c r="B1438" t="s">
        <v>810</v>
      </c>
      <c r="C1438">
        <v>97</v>
      </c>
      <c r="D1438" t="str">
        <f>VLOOKUP(B1438,Products!$A:$E,2,FALSE)</f>
        <v>Product_401</v>
      </c>
      <c r="E1438" t="str">
        <f>VLOOKUP(B1438,Products!$A:$E,3,FALSE)</f>
        <v>Storage</v>
      </c>
    </row>
    <row r="1439" spans="1:5" x14ac:dyDescent="0.3">
      <c r="A1439" t="s">
        <v>2449</v>
      </c>
      <c r="B1439" t="s">
        <v>274</v>
      </c>
      <c r="C1439">
        <v>26</v>
      </c>
      <c r="D1439" t="str">
        <f>VLOOKUP(B1439,Products!$A:$E,2,FALSE)</f>
        <v>Product_133</v>
      </c>
      <c r="E1439" t="str">
        <f>VLOOKUP(B1439,Products!$A:$E,3,FALSE)</f>
        <v>Office Supplies</v>
      </c>
    </row>
    <row r="1440" spans="1:5" x14ac:dyDescent="0.3">
      <c r="A1440" t="s">
        <v>2450</v>
      </c>
      <c r="B1440" t="s">
        <v>390</v>
      </c>
      <c r="C1440">
        <v>21</v>
      </c>
      <c r="D1440" t="str">
        <f>VLOOKUP(B1440,Products!$A:$E,2,FALSE)</f>
        <v>Product_191</v>
      </c>
      <c r="E1440" t="str">
        <f>VLOOKUP(B1440,Products!$A:$E,3,FALSE)</f>
        <v>Networking</v>
      </c>
    </row>
    <row r="1441" spans="1:5" x14ac:dyDescent="0.3">
      <c r="A1441" t="s">
        <v>2451</v>
      </c>
      <c r="B1441" t="s">
        <v>776</v>
      </c>
      <c r="C1441">
        <v>39</v>
      </c>
      <c r="D1441" t="str">
        <f>VLOOKUP(B1441,Products!$A:$E,2,FALSE)</f>
        <v>Product_384</v>
      </c>
      <c r="E1441" t="str">
        <f>VLOOKUP(B1441,Products!$A:$E,3,FALSE)</f>
        <v>Office Supplies</v>
      </c>
    </row>
    <row r="1442" spans="1:5" x14ac:dyDescent="0.3">
      <c r="A1442" t="s">
        <v>2452</v>
      </c>
      <c r="B1442" t="s">
        <v>760</v>
      </c>
      <c r="C1442">
        <v>20</v>
      </c>
      <c r="D1442" t="str">
        <f>VLOOKUP(B1442,Products!$A:$E,2,FALSE)</f>
        <v>Product_376</v>
      </c>
      <c r="E1442" t="str">
        <f>VLOOKUP(B1442,Products!$A:$E,3,FALSE)</f>
        <v>Networking</v>
      </c>
    </row>
    <row r="1443" spans="1:5" x14ac:dyDescent="0.3">
      <c r="A1443" t="s">
        <v>2453</v>
      </c>
      <c r="B1443" t="s">
        <v>798</v>
      </c>
      <c r="C1443">
        <v>8</v>
      </c>
      <c r="D1443" t="str">
        <f>VLOOKUP(B1443,Products!$A:$E,2,FALSE)</f>
        <v>Product_395</v>
      </c>
      <c r="E1443" t="str">
        <f>VLOOKUP(B1443,Products!$A:$E,3,FALSE)</f>
        <v>Accessories</v>
      </c>
    </row>
    <row r="1444" spans="1:5" x14ac:dyDescent="0.3">
      <c r="A1444" t="s">
        <v>2454</v>
      </c>
      <c r="B1444" t="s">
        <v>352</v>
      </c>
      <c r="C1444">
        <v>59</v>
      </c>
      <c r="D1444" t="str">
        <f>VLOOKUP(B1444,Products!$A:$E,2,FALSE)</f>
        <v>Product_172</v>
      </c>
      <c r="E1444" t="str">
        <f>VLOOKUP(B1444,Products!$A:$E,3,FALSE)</f>
        <v>Networking</v>
      </c>
    </row>
    <row r="1445" spans="1:5" x14ac:dyDescent="0.3">
      <c r="A1445" t="s">
        <v>2455</v>
      </c>
      <c r="B1445" t="s">
        <v>288</v>
      </c>
      <c r="C1445">
        <v>72</v>
      </c>
      <c r="D1445" t="str">
        <f>VLOOKUP(B1445,Products!$A:$E,2,FALSE)</f>
        <v>Product_140</v>
      </c>
      <c r="E1445" t="str">
        <f>VLOOKUP(B1445,Products!$A:$E,3,FALSE)</f>
        <v>Electronics</v>
      </c>
    </row>
    <row r="1446" spans="1:5" x14ac:dyDescent="0.3">
      <c r="A1446" t="s">
        <v>2456</v>
      </c>
      <c r="B1446" t="s">
        <v>74</v>
      </c>
      <c r="C1446">
        <v>38</v>
      </c>
      <c r="D1446" t="str">
        <f>VLOOKUP(B1446,Products!$A:$E,2,FALSE)</f>
        <v>Product_33</v>
      </c>
      <c r="E1446" t="str">
        <f>VLOOKUP(B1446,Products!$A:$E,3,FALSE)</f>
        <v>Storage</v>
      </c>
    </row>
    <row r="1447" spans="1:5" x14ac:dyDescent="0.3">
      <c r="A1447" t="s">
        <v>2457</v>
      </c>
      <c r="B1447" t="s">
        <v>738</v>
      </c>
      <c r="C1447">
        <v>78</v>
      </c>
      <c r="D1447" t="str">
        <f>VLOOKUP(B1447,Products!$A:$E,2,FALSE)</f>
        <v>Product_365</v>
      </c>
      <c r="E1447" t="str">
        <f>VLOOKUP(B1447,Products!$A:$E,3,FALSE)</f>
        <v>Storage</v>
      </c>
    </row>
    <row r="1448" spans="1:5" x14ac:dyDescent="0.3">
      <c r="A1448" t="s">
        <v>2458</v>
      </c>
      <c r="B1448" t="s">
        <v>652</v>
      </c>
      <c r="C1448">
        <v>14</v>
      </c>
      <c r="D1448" t="str">
        <f>VLOOKUP(B1448,Products!$A:$E,2,FALSE)</f>
        <v>Product_322</v>
      </c>
      <c r="E1448" t="str">
        <f>VLOOKUP(B1448,Products!$A:$E,3,FALSE)</f>
        <v>Accessories</v>
      </c>
    </row>
    <row r="1449" spans="1:5" x14ac:dyDescent="0.3">
      <c r="A1449" t="s">
        <v>2459</v>
      </c>
      <c r="B1449" t="s">
        <v>518</v>
      </c>
      <c r="C1449">
        <v>63</v>
      </c>
      <c r="D1449" t="str">
        <f>VLOOKUP(B1449,Products!$A:$E,2,FALSE)</f>
        <v>Product_255</v>
      </c>
      <c r="E1449" t="str">
        <f>VLOOKUP(B1449,Products!$A:$E,3,FALSE)</f>
        <v>Accessories</v>
      </c>
    </row>
    <row r="1450" spans="1:5" x14ac:dyDescent="0.3">
      <c r="A1450" t="s">
        <v>2460</v>
      </c>
      <c r="B1450" t="s">
        <v>532</v>
      </c>
      <c r="C1450">
        <v>51</v>
      </c>
      <c r="D1450" t="str">
        <f>VLOOKUP(B1450,Products!$A:$E,2,FALSE)</f>
        <v>Product_262</v>
      </c>
      <c r="E1450" t="str">
        <f>VLOOKUP(B1450,Products!$A:$E,3,FALSE)</f>
        <v>Electronics</v>
      </c>
    </row>
    <row r="1451" spans="1:5" x14ac:dyDescent="0.3">
      <c r="A1451" t="s">
        <v>2461</v>
      </c>
      <c r="B1451" t="s">
        <v>66</v>
      </c>
      <c r="C1451">
        <v>68</v>
      </c>
      <c r="D1451" t="str">
        <f>VLOOKUP(B1451,Products!$A:$E,2,FALSE)</f>
        <v>Product_29</v>
      </c>
      <c r="E1451" t="str">
        <f>VLOOKUP(B1451,Products!$A:$E,3,FALSE)</f>
        <v>Electronics</v>
      </c>
    </row>
    <row r="1452" spans="1:5" x14ac:dyDescent="0.3">
      <c r="A1452" t="s">
        <v>2462</v>
      </c>
      <c r="B1452" t="s">
        <v>888</v>
      </c>
      <c r="C1452">
        <v>77</v>
      </c>
      <c r="D1452" t="str">
        <f>VLOOKUP(B1452,Products!$A:$E,2,FALSE)</f>
        <v>Product_440</v>
      </c>
      <c r="E1452" t="str">
        <f>VLOOKUP(B1452,Products!$A:$E,3,FALSE)</f>
        <v>Accessories</v>
      </c>
    </row>
    <row r="1453" spans="1:5" x14ac:dyDescent="0.3">
      <c r="A1453" t="s">
        <v>2463</v>
      </c>
      <c r="B1453" t="s">
        <v>180</v>
      </c>
      <c r="C1453">
        <v>52</v>
      </c>
      <c r="D1453" t="str">
        <f>VLOOKUP(B1453,Products!$A:$E,2,FALSE)</f>
        <v>Product_86</v>
      </c>
      <c r="E1453" t="str">
        <f>VLOOKUP(B1453,Products!$A:$E,3,FALSE)</f>
        <v>Storage</v>
      </c>
    </row>
    <row r="1454" spans="1:5" x14ac:dyDescent="0.3">
      <c r="A1454" t="s">
        <v>2464</v>
      </c>
      <c r="B1454" t="s">
        <v>170</v>
      </c>
      <c r="C1454">
        <v>37</v>
      </c>
      <c r="D1454" t="str">
        <f>VLOOKUP(B1454,Products!$A:$E,2,FALSE)</f>
        <v>Product_81</v>
      </c>
      <c r="E1454" t="str">
        <f>VLOOKUP(B1454,Products!$A:$E,3,FALSE)</f>
        <v>Office Supplies</v>
      </c>
    </row>
    <row r="1455" spans="1:5" x14ac:dyDescent="0.3">
      <c r="A1455" t="s">
        <v>2465</v>
      </c>
      <c r="B1455" t="s">
        <v>800</v>
      </c>
      <c r="C1455">
        <v>18</v>
      </c>
      <c r="D1455" t="str">
        <f>VLOOKUP(B1455,Products!$A:$E,2,FALSE)</f>
        <v>Product_396</v>
      </c>
      <c r="E1455" t="str">
        <f>VLOOKUP(B1455,Products!$A:$E,3,FALSE)</f>
        <v>Office Supplies</v>
      </c>
    </row>
    <row r="1456" spans="1:5" x14ac:dyDescent="0.3">
      <c r="A1456" t="s">
        <v>2466</v>
      </c>
      <c r="B1456" t="s">
        <v>924</v>
      </c>
      <c r="C1456">
        <v>78</v>
      </c>
      <c r="D1456" t="str">
        <f>VLOOKUP(B1456,Products!$A:$E,2,FALSE)</f>
        <v>Product_458</v>
      </c>
      <c r="E1456" t="str">
        <f>VLOOKUP(B1456,Products!$A:$E,3,FALSE)</f>
        <v>Accessories</v>
      </c>
    </row>
    <row r="1457" spans="1:5" x14ac:dyDescent="0.3">
      <c r="A1457" t="s">
        <v>2467</v>
      </c>
      <c r="B1457" t="s">
        <v>700</v>
      </c>
      <c r="C1457">
        <v>97</v>
      </c>
      <c r="D1457" t="str">
        <f>VLOOKUP(B1457,Products!$A:$E,2,FALSE)</f>
        <v>Product_346</v>
      </c>
      <c r="E1457" t="str">
        <f>VLOOKUP(B1457,Products!$A:$E,3,FALSE)</f>
        <v>Electronics</v>
      </c>
    </row>
    <row r="1458" spans="1:5" x14ac:dyDescent="0.3">
      <c r="A1458" t="s">
        <v>2468</v>
      </c>
      <c r="B1458" t="s">
        <v>128</v>
      </c>
      <c r="C1458">
        <v>34</v>
      </c>
      <c r="D1458" t="str">
        <f>VLOOKUP(B1458,Products!$A:$E,2,FALSE)</f>
        <v>Product_60</v>
      </c>
      <c r="E1458" t="str">
        <f>VLOOKUP(B1458,Products!$A:$E,3,FALSE)</f>
        <v>Electronics</v>
      </c>
    </row>
    <row r="1459" spans="1:5" x14ac:dyDescent="0.3">
      <c r="A1459" t="s">
        <v>2469</v>
      </c>
      <c r="B1459" t="s">
        <v>768</v>
      </c>
      <c r="C1459">
        <v>70</v>
      </c>
      <c r="D1459" t="str">
        <f>VLOOKUP(B1459,Products!$A:$E,2,FALSE)</f>
        <v>Product_380</v>
      </c>
      <c r="E1459" t="str">
        <f>VLOOKUP(B1459,Products!$A:$E,3,FALSE)</f>
        <v>Electronics</v>
      </c>
    </row>
    <row r="1460" spans="1:5" x14ac:dyDescent="0.3">
      <c r="A1460" t="s">
        <v>2470</v>
      </c>
      <c r="B1460" t="s">
        <v>8</v>
      </c>
      <c r="C1460">
        <v>10</v>
      </c>
      <c r="D1460" t="str">
        <f>VLOOKUP(B1460,Products!$A:$E,2,FALSE)</f>
        <v>Product_2</v>
      </c>
      <c r="E1460" t="str">
        <f>VLOOKUP(B1460,Products!$A:$E,3,FALSE)</f>
        <v>Office Supplies</v>
      </c>
    </row>
    <row r="1461" spans="1:5" x14ac:dyDescent="0.3">
      <c r="A1461" t="s">
        <v>2471</v>
      </c>
      <c r="B1461" t="s">
        <v>888</v>
      </c>
      <c r="C1461">
        <v>6</v>
      </c>
      <c r="D1461" t="str">
        <f>VLOOKUP(B1461,Products!$A:$E,2,FALSE)</f>
        <v>Product_440</v>
      </c>
      <c r="E1461" t="str">
        <f>VLOOKUP(B1461,Products!$A:$E,3,FALSE)</f>
        <v>Accessories</v>
      </c>
    </row>
    <row r="1462" spans="1:5" x14ac:dyDescent="0.3">
      <c r="A1462" t="s">
        <v>2472</v>
      </c>
      <c r="B1462" t="s">
        <v>260</v>
      </c>
      <c r="C1462">
        <v>10</v>
      </c>
      <c r="D1462" t="str">
        <f>VLOOKUP(B1462,Products!$A:$E,2,FALSE)</f>
        <v>Product_126</v>
      </c>
      <c r="E1462" t="str">
        <f>VLOOKUP(B1462,Products!$A:$E,3,FALSE)</f>
        <v>Office Supplies</v>
      </c>
    </row>
    <row r="1463" spans="1:5" x14ac:dyDescent="0.3">
      <c r="A1463" t="s">
        <v>2473</v>
      </c>
      <c r="B1463" t="s">
        <v>492</v>
      </c>
      <c r="C1463">
        <v>51</v>
      </c>
      <c r="D1463" t="str">
        <f>VLOOKUP(B1463,Products!$A:$E,2,FALSE)</f>
        <v>Product_242</v>
      </c>
      <c r="E1463" t="str">
        <f>VLOOKUP(B1463,Products!$A:$E,3,FALSE)</f>
        <v>Networking</v>
      </c>
    </row>
    <row r="1464" spans="1:5" x14ac:dyDescent="0.3">
      <c r="A1464" t="s">
        <v>2474</v>
      </c>
      <c r="B1464" t="s">
        <v>402</v>
      </c>
      <c r="C1464">
        <v>24</v>
      </c>
      <c r="D1464" t="str">
        <f>VLOOKUP(B1464,Products!$A:$E,2,FALSE)</f>
        <v>Product_197</v>
      </c>
      <c r="E1464" t="str">
        <f>VLOOKUP(B1464,Products!$A:$E,3,FALSE)</f>
        <v>Electronics</v>
      </c>
    </row>
    <row r="1465" spans="1:5" x14ac:dyDescent="0.3">
      <c r="A1465" t="s">
        <v>2475</v>
      </c>
      <c r="B1465" t="s">
        <v>192</v>
      </c>
      <c r="C1465">
        <v>9</v>
      </c>
      <c r="D1465" t="str">
        <f>VLOOKUP(B1465,Products!$A:$E,2,FALSE)</f>
        <v>Product_92</v>
      </c>
      <c r="E1465" t="str">
        <f>VLOOKUP(B1465,Products!$A:$E,3,FALSE)</f>
        <v>Electronics</v>
      </c>
    </row>
    <row r="1466" spans="1:5" x14ac:dyDescent="0.3">
      <c r="A1466" t="s">
        <v>2476</v>
      </c>
      <c r="B1466" t="s">
        <v>576</v>
      </c>
      <c r="C1466">
        <v>96</v>
      </c>
      <c r="D1466" t="str">
        <f>VLOOKUP(B1466,Products!$A:$E,2,FALSE)</f>
        <v>Product_284</v>
      </c>
      <c r="E1466" t="str">
        <f>VLOOKUP(B1466,Products!$A:$E,3,FALSE)</f>
        <v>Networking</v>
      </c>
    </row>
    <row r="1467" spans="1:5" x14ac:dyDescent="0.3">
      <c r="A1467" t="s">
        <v>2477</v>
      </c>
      <c r="B1467" t="s">
        <v>768</v>
      </c>
      <c r="C1467">
        <v>88</v>
      </c>
      <c r="D1467" t="str">
        <f>VLOOKUP(B1467,Products!$A:$E,2,FALSE)</f>
        <v>Product_380</v>
      </c>
      <c r="E1467" t="str">
        <f>VLOOKUP(B1467,Products!$A:$E,3,FALSE)</f>
        <v>Electronics</v>
      </c>
    </row>
    <row r="1468" spans="1:5" x14ac:dyDescent="0.3">
      <c r="A1468" t="s">
        <v>2478</v>
      </c>
      <c r="B1468" t="s">
        <v>438</v>
      </c>
      <c r="C1468">
        <v>33</v>
      </c>
      <c r="D1468" t="str">
        <f>VLOOKUP(B1468,Products!$A:$E,2,FALSE)</f>
        <v>Product_215</v>
      </c>
      <c r="E1468" t="str">
        <f>VLOOKUP(B1468,Products!$A:$E,3,FALSE)</f>
        <v>Electronics</v>
      </c>
    </row>
    <row r="1469" spans="1:5" x14ac:dyDescent="0.3">
      <c r="A1469" t="s">
        <v>2479</v>
      </c>
      <c r="B1469" t="s">
        <v>338</v>
      </c>
      <c r="C1469">
        <v>36</v>
      </c>
      <c r="D1469" t="str">
        <f>VLOOKUP(B1469,Products!$A:$E,2,FALSE)</f>
        <v>Product_165</v>
      </c>
      <c r="E1469" t="str">
        <f>VLOOKUP(B1469,Products!$A:$E,3,FALSE)</f>
        <v>Office Supplies</v>
      </c>
    </row>
    <row r="1470" spans="1:5" x14ac:dyDescent="0.3">
      <c r="A1470" t="s">
        <v>2480</v>
      </c>
      <c r="B1470" t="s">
        <v>436</v>
      </c>
      <c r="C1470">
        <v>97</v>
      </c>
      <c r="D1470" t="str">
        <f>VLOOKUP(B1470,Products!$A:$E,2,FALSE)</f>
        <v>Product_214</v>
      </c>
      <c r="E1470" t="str">
        <f>VLOOKUP(B1470,Products!$A:$E,3,FALSE)</f>
        <v>Electronics</v>
      </c>
    </row>
    <row r="1471" spans="1:5" x14ac:dyDescent="0.3">
      <c r="A1471" t="s">
        <v>2481</v>
      </c>
      <c r="B1471" t="s">
        <v>336</v>
      </c>
      <c r="C1471">
        <v>39</v>
      </c>
      <c r="D1471" t="str">
        <f>VLOOKUP(B1471,Products!$A:$E,2,FALSE)</f>
        <v>Product_164</v>
      </c>
      <c r="E1471" t="str">
        <f>VLOOKUP(B1471,Products!$A:$E,3,FALSE)</f>
        <v>Networking</v>
      </c>
    </row>
    <row r="1472" spans="1:5" x14ac:dyDescent="0.3">
      <c r="A1472" t="s">
        <v>2482</v>
      </c>
      <c r="B1472" t="s">
        <v>854</v>
      </c>
      <c r="C1472">
        <v>14</v>
      </c>
      <c r="D1472" t="str">
        <f>VLOOKUP(B1472,Products!$A:$E,2,FALSE)</f>
        <v>Product_423</v>
      </c>
      <c r="E1472" t="str">
        <f>VLOOKUP(B1472,Products!$A:$E,3,FALSE)</f>
        <v>Office Supplies</v>
      </c>
    </row>
    <row r="1473" spans="1:5" x14ac:dyDescent="0.3">
      <c r="A1473" t="s">
        <v>2483</v>
      </c>
      <c r="B1473" t="s">
        <v>594</v>
      </c>
      <c r="C1473">
        <v>52</v>
      </c>
      <c r="D1473" t="str">
        <f>VLOOKUP(B1473,Products!$A:$E,2,FALSE)</f>
        <v>Product_293</v>
      </c>
      <c r="E1473" t="str">
        <f>VLOOKUP(B1473,Products!$A:$E,3,FALSE)</f>
        <v>Networking</v>
      </c>
    </row>
    <row r="1474" spans="1:5" x14ac:dyDescent="0.3">
      <c r="A1474" t="s">
        <v>2484</v>
      </c>
      <c r="B1474" t="s">
        <v>132</v>
      </c>
      <c r="C1474">
        <v>69</v>
      </c>
      <c r="D1474" t="str">
        <f>VLOOKUP(B1474,Products!$A:$E,2,FALSE)</f>
        <v>Product_62</v>
      </c>
      <c r="E1474" t="str">
        <f>VLOOKUP(B1474,Products!$A:$E,3,FALSE)</f>
        <v>Accessories</v>
      </c>
    </row>
    <row r="1475" spans="1:5" x14ac:dyDescent="0.3">
      <c r="A1475" t="s">
        <v>2485</v>
      </c>
      <c r="B1475" t="s">
        <v>698</v>
      </c>
      <c r="C1475">
        <v>11</v>
      </c>
      <c r="D1475" t="str">
        <f>VLOOKUP(B1475,Products!$A:$E,2,FALSE)</f>
        <v>Product_345</v>
      </c>
      <c r="E1475" t="str">
        <f>VLOOKUP(B1475,Products!$A:$E,3,FALSE)</f>
        <v>Storage</v>
      </c>
    </row>
    <row r="1476" spans="1:5" x14ac:dyDescent="0.3">
      <c r="A1476" t="s">
        <v>2486</v>
      </c>
      <c r="B1476" t="s">
        <v>192</v>
      </c>
      <c r="C1476">
        <v>33</v>
      </c>
      <c r="D1476" t="str">
        <f>VLOOKUP(B1476,Products!$A:$E,2,FALSE)</f>
        <v>Product_92</v>
      </c>
      <c r="E1476" t="str">
        <f>VLOOKUP(B1476,Products!$A:$E,3,FALSE)</f>
        <v>Electronics</v>
      </c>
    </row>
    <row r="1477" spans="1:5" x14ac:dyDescent="0.3">
      <c r="A1477" t="s">
        <v>2487</v>
      </c>
      <c r="B1477" t="s">
        <v>832</v>
      </c>
      <c r="C1477">
        <v>71</v>
      </c>
      <c r="D1477" t="str">
        <f>VLOOKUP(B1477,Products!$A:$E,2,FALSE)</f>
        <v>Product_412</v>
      </c>
      <c r="E1477" t="str">
        <f>VLOOKUP(B1477,Products!$A:$E,3,FALSE)</f>
        <v>Accessories</v>
      </c>
    </row>
    <row r="1478" spans="1:5" x14ac:dyDescent="0.3">
      <c r="A1478" t="s">
        <v>2488</v>
      </c>
      <c r="B1478" t="s">
        <v>56</v>
      </c>
      <c r="C1478">
        <v>56</v>
      </c>
      <c r="D1478" t="str">
        <f>VLOOKUP(B1478,Products!$A:$E,2,FALSE)</f>
        <v>Product_24</v>
      </c>
      <c r="E1478" t="str">
        <f>VLOOKUP(B1478,Products!$A:$E,3,FALSE)</f>
        <v>Accessories</v>
      </c>
    </row>
    <row r="1479" spans="1:5" x14ac:dyDescent="0.3">
      <c r="A1479" t="s">
        <v>2489</v>
      </c>
      <c r="B1479" t="s">
        <v>80</v>
      </c>
      <c r="C1479">
        <v>64</v>
      </c>
      <c r="D1479" t="str">
        <f>VLOOKUP(B1479,Products!$A:$E,2,FALSE)</f>
        <v>Product_36</v>
      </c>
      <c r="E1479" t="str">
        <f>VLOOKUP(B1479,Products!$A:$E,3,FALSE)</f>
        <v>Office Supplies</v>
      </c>
    </row>
    <row r="1480" spans="1:5" x14ac:dyDescent="0.3">
      <c r="A1480" t="s">
        <v>2490</v>
      </c>
      <c r="B1480" t="s">
        <v>896</v>
      </c>
      <c r="C1480">
        <v>41</v>
      </c>
      <c r="D1480" t="str">
        <f>VLOOKUP(B1480,Products!$A:$E,2,FALSE)</f>
        <v>Product_444</v>
      </c>
      <c r="E1480" t="str">
        <f>VLOOKUP(B1480,Products!$A:$E,3,FALSE)</f>
        <v>Electronics</v>
      </c>
    </row>
    <row r="1481" spans="1:5" x14ac:dyDescent="0.3">
      <c r="A1481" t="s">
        <v>2491</v>
      </c>
      <c r="B1481" t="s">
        <v>802</v>
      </c>
      <c r="C1481">
        <v>44</v>
      </c>
      <c r="D1481" t="str">
        <f>VLOOKUP(B1481,Products!$A:$E,2,FALSE)</f>
        <v>Product_397</v>
      </c>
      <c r="E1481" t="str">
        <f>VLOOKUP(B1481,Products!$A:$E,3,FALSE)</f>
        <v>Office Supplies</v>
      </c>
    </row>
    <row r="1482" spans="1:5" x14ac:dyDescent="0.3">
      <c r="A1482" t="s">
        <v>2492</v>
      </c>
      <c r="B1482" t="s">
        <v>344</v>
      </c>
      <c r="C1482">
        <v>16</v>
      </c>
      <c r="D1482" t="str">
        <f>VLOOKUP(B1482,Products!$A:$E,2,FALSE)</f>
        <v>Product_168</v>
      </c>
      <c r="E1482" t="str">
        <f>VLOOKUP(B1482,Products!$A:$E,3,FALSE)</f>
        <v>Electronics</v>
      </c>
    </row>
    <row r="1483" spans="1:5" x14ac:dyDescent="0.3">
      <c r="A1483" t="s">
        <v>2493</v>
      </c>
      <c r="B1483" t="s">
        <v>576</v>
      </c>
      <c r="C1483">
        <v>63</v>
      </c>
      <c r="D1483" t="str">
        <f>VLOOKUP(B1483,Products!$A:$E,2,FALSE)</f>
        <v>Product_284</v>
      </c>
      <c r="E1483" t="str">
        <f>VLOOKUP(B1483,Products!$A:$E,3,FALSE)</f>
        <v>Networking</v>
      </c>
    </row>
    <row r="1484" spans="1:5" x14ac:dyDescent="0.3">
      <c r="A1484" t="s">
        <v>2494</v>
      </c>
      <c r="B1484" t="s">
        <v>17</v>
      </c>
      <c r="C1484">
        <v>52</v>
      </c>
      <c r="D1484" t="str">
        <f>VLOOKUP(B1484,Products!$A:$E,2,FALSE)</f>
        <v>Product_5</v>
      </c>
      <c r="E1484" t="str">
        <f>VLOOKUP(B1484,Products!$A:$E,3,FALSE)</f>
        <v>Networking</v>
      </c>
    </row>
    <row r="1485" spans="1:5" x14ac:dyDescent="0.3">
      <c r="A1485" t="s">
        <v>2495</v>
      </c>
      <c r="B1485" t="s">
        <v>214</v>
      </c>
      <c r="C1485">
        <v>42</v>
      </c>
      <c r="D1485" t="str">
        <f>VLOOKUP(B1485,Products!$A:$E,2,FALSE)</f>
        <v>Product_103</v>
      </c>
      <c r="E1485" t="str">
        <f>VLOOKUP(B1485,Products!$A:$E,3,FALSE)</f>
        <v>Accessories</v>
      </c>
    </row>
    <row r="1486" spans="1:5" x14ac:dyDescent="0.3">
      <c r="A1486" t="s">
        <v>2496</v>
      </c>
      <c r="B1486" t="s">
        <v>586</v>
      </c>
      <c r="C1486">
        <v>43</v>
      </c>
      <c r="D1486" t="str">
        <f>VLOOKUP(B1486,Products!$A:$E,2,FALSE)</f>
        <v>Product_289</v>
      </c>
      <c r="E1486" t="str">
        <f>VLOOKUP(B1486,Products!$A:$E,3,FALSE)</f>
        <v>Storage</v>
      </c>
    </row>
    <row r="1487" spans="1:5" x14ac:dyDescent="0.3">
      <c r="A1487" t="s">
        <v>2497</v>
      </c>
      <c r="B1487" t="s">
        <v>766</v>
      </c>
      <c r="C1487">
        <v>84</v>
      </c>
      <c r="D1487" t="str">
        <f>VLOOKUP(B1487,Products!$A:$E,2,FALSE)</f>
        <v>Product_379</v>
      </c>
      <c r="E1487" t="str">
        <f>VLOOKUP(B1487,Products!$A:$E,3,FALSE)</f>
        <v>Office Supplies</v>
      </c>
    </row>
    <row r="1488" spans="1:5" x14ac:dyDescent="0.3">
      <c r="A1488" t="s">
        <v>2498</v>
      </c>
      <c r="B1488" t="s">
        <v>258</v>
      </c>
      <c r="C1488">
        <v>64</v>
      </c>
      <c r="D1488" t="str">
        <f>VLOOKUP(B1488,Products!$A:$E,2,FALSE)</f>
        <v>Product_125</v>
      </c>
      <c r="E1488" t="str">
        <f>VLOOKUP(B1488,Products!$A:$E,3,FALSE)</f>
        <v>Office Supplies</v>
      </c>
    </row>
    <row r="1489" spans="1:5" x14ac:dyDescent="0.3">
      <c r="A1489" t="s">
        <v>2499</v>
      </c>
      <c r="B1489" t="s">
        <v>386</v>
      </c>
      <c r="C1489">
        <v>80</v>
      </c>
      <c r="D1489" t="str">
        <f>VLOOKUP(B1489,Products!$A:$E,2,FALSE)</f>
        <v>Product_189</v>
      </c>
      <c r="E1489" t="str">
        <f>VLOOKUP(B1489,Products!$A:$E,3,FALSE)</f>
        <v>Electronics</v>
      </c>
    </row>
    <row r="1490" spans="1:5" x14ac:dyDescent="0.3">
      <c r="A1490" t="s">
        <v>2500</v>
      </c>
      <c r="B1490" t="s">
        <v>1004</v>
      </c>
      <c r="C1490">
        <v>68</v>
      </c>
      <c r="D1490" t="str">
        <f>VLOOKUP(B1490,Products!$A:$E,2,FALSE)</f>
        <v>Product_498</v>
      </c>
      <c r="E1490" t="str">
        <f>VLOOKUP(B1490,Products!$A:$E,3,FALSE)</f>
        <v>Office Supplies</v>
      </c>
    </row>
    <row r="1491" spans="1:5" x14ac:dyDescent="0.3">
      <c r="A1491" t="s">
        <v>2501</v>
      </c>
      <c r="B1491" t="s">
        <v>800</v>
      </c>
      <c r="C1491">
        <v>30</v>
      </c>
      <c r="D1491" t="str">
        <f>VLOOKUP(B1491,Products!$A:$E,2,FALSE)</f>
        <v>Product_396</v>
      </c>
      <c r="E1491" t="str">
        <f>VLOOKUP(B1491,Products!$A:$E,3,FALSE)</f>
        <v>Office Supplies</v>
      </c>
    </row>
    <row r="1492" spans="1:5" x14ac:dyDescent="0.3">
      <c r="A1492" t="s">
        <v>2502</v>
      </c>
      <c r="B1492" t="s">
        <v>760</v>
      </c>
      <c r="C1492">
        <v>74</v>
      </c>
      <c r="D1492" t="str">
        <f>VLOOKUP(B1492,Products!$A:$E,2,FALSE)</f>
        <v>Product_376</v>
      </c>
      <c r="E1492" t="str">
        <f>VLOOKUP(B1492,Products!$A:$E,3,FALSE)</f>
        <v>Networking</v>
      </c>
    </row>
    <row r="1493" spans="1:5" x14ac:dyDescent="0.3">
      <c r="A1493" t="s">
        <v>2503</v>
      </c>
      <c r="B1493" t="s">
        <v>788</v>
      </c>
      <c r="C1493">
        <v>36</v>
      </c>
      <c r="D1493" t="str">
        <f>VLOOKUP(B1493,Products!$A:$E,2,FALSE)</f>
        <v>Product_390</v>
      </c>
      <c r="E1493" t="str">
        <f>VLOOKUP(B1493,Products!$A:$E,3,FALSE)</f>
        <v>Storage</v>
      </c>
    </row>
    <row r="1494" spans="1:5" x14ac:dyDescent="0.3">
      <c r="A1494" t="s">
        <v>2504</v>
      </c>
      <c r="B1494" t="s">
        <v>164</v>
      </c>
      <c r="C1494">
        <v>5</v>
      </c>
      <c r="D1494" t="str">
        <f>VLOOKUP(B1494,Products!$A:$E,2,FALSE)</f>
        <v>Product_78</v>
      </c>
      <c r="E1494" t="str">
        <f>VLOOKUP(B1494,Products!$A:$E,3,FALSE)</f>
        <v>Office Supplies</v>
      </c>
    </row>
    <row r="1495" spans="1:5" x14ac:dyDescent="0.3">
      <c r="A1495" t="s">
        <v>2505</v>
      </c>
      <c r="B1495" t="s">
        <v>964</v>
      </c>
      <c r="C1495">
        <v>57</v>
      </c>
      <c r="D1495" t="str">
        <f>VLOOKUP(B1495,Products!$A:$E,2,FALSE)</f>
        <v>Product_478</v>
      </c>
      <c r="E1495" t="str">
        <f>VLOOKUP(B1495,Products!$A:$E,3,FALSE)</f>
        <v>Office Supplies</v>
      </c>
    </row>
    <row r="1496" spans="1:5" x14ac:dyDescent="0.3">
      <c r="A1496" t="s">
        <v>2506</v>
      </c>
      <c r="B1496" t="s">
        <v>34</v>
      </c>
      <c r="C1496">
        <v>34</v>
      </c>
      <c r="D1496" t="str">
        <f>VLOOKUP(B1496,Products!$A:$E,2,FALSE)</f>
        <v>Product_13</v>
      </c>
      <c r="E1496" t="str">
        <f>VLOOKUP(B1496,Products!$A:$E,3,FALSE)</f>
        <v>Office Supplies</v>
      </c>
    </row>
    <row r="1497" spans="1:5" x14ac:dyDescent="0.3">
      <c r="A1497" t="s">
        <v>2507</v>
      </c>
      <c r="B1497" t="s">
        <v>564</v>
      </c>
      <c r="C1497">
        <v>49</v>
      </c>
      <c r="D1497" t="str">
        <f>VLOOKUP(B1497,Products!$A:$E,2,FALSE)</f>
        <v>Product_278</v>
      </c>
      <c r="E1497" t="str">
        <f>VLOOKUP(B1497,Products!$A:$E,3,FALSE)</f>
        <v>Electronics</v>
      </c>
    </row>
    <row r="1498" spans="1:5" x14ac:dyDescent="0.3">
      <c r="A1498" t="s">
        <v>2508</v>
      </c>
      <c r="B1498" t="s">
        <v>660</v>
      </c>
      <c r="C1498">
        <v>93</v>
      </c>
      <c r="D1498" t="str">
        <f>VLOOKUP(B1498,Products!$A:$E,2,FALSE)</f>
        <v>Product_326</v>
      </c>
      <c r="E1498" t="str">
        <f>VLOOKUP(B1498,Products!$A:$E,3,FALSE)</f>
        <v>Electronics</v>
      </c>
    </row>
    <row r="1499" spans="1:5" x14ac:dyDescent="0.3">
      <c r="A1499" t="s">
        <v>2509</v>
      </c>
      <c r="B1499" t="s">
        <v>908</v>
      </c>
      <c r="C1499">
        <v>6</v>
      </c>
      <c r="D1499" t="str">
        <f>VLOOKUP(B1499,Products!$A:$E,2,FALSE)</f>
        <v>Product_450</v>
      </c>
      <c r="E1499" t="str">
        <f>VLOOKUP(B1499,Products!$A:$E,3,FALSE)</f>
        <v>Networking</v>
      </c>
    </row>
    <row r="1500" spans="1:5" x14ac:dyDescent="0.3">
      <c r="A1500" t="s">
        <v>2510</v>
      </c>
      <c r="B1500" t="s">
        <v>982</v>
      </c>
      <c r="C1500">
        <v>47</v>
      </c>
      <c r="D1500" t="str">
        <f>VLOOKUP(B1500,Products!$A:$E,2,FALSE)</f>
        <v>Product_487</v>
      </c>
      <c r="E1500" t="str">
        <f>VLOOKUP(B1500,Products!$A:$E,3,FALSE)</f>
        <v>Networking</v>
      </c>
    </row>
    <row r="1501" spans="1:5" x14ac:dyDescent="0.3">
      <c r="A1501" t="s">
        <v>2511</v>
      </c>
      <c r="B1501" t="s">
        <v>5</v>
      </c>
      <c r="C1501">
        <v>89</v>
      </c>
      <c r="D1501" t="str">
        <f>VLOOKUP(B1501,Products!$A:$E,2,FALSE)</f>
        <v>Product_1</v>
      </c>
      <c r="E1501" t="str">
        <f>VLOOKUP(B1501,Products!$A:$E,3,FALSE)</f>
        <v>Electronics</v>
      </c>
    </row>
    <row r="1502" spans="1:5" x14ac:dyDescent="0.3">
      <c r="A1502" t="s">
        <v>2512</v>
      </c>
      <c r="B1502" t="s">
        <v>394</v>
      </c>
      <c r="C1502">
        <v>99</v>
      </c>
      <c r="D1502" t="str">
        <f>VLOOKUP(B1502,Products!$A:$E,2,FALSE)</f>
        <v>Product_193</v>
      </c>
      <c r="E1502" t="str">
        <f>VLOOKUP(B1502,Products!$A:$E,3,FALSE)</f>
        <v>Accessories</v>
      </c>
    </row>
    <row r="1503" spans="1:5" x14ac:dyDescent="0.3">
      <c r="A1503" t="s">
        <v>2513</v>
      </c>
      <c r="B1503" t="s">
        <v>754</v>
      </c>
      <c r="C1503">
        <v>44</v>
      </c>
      <c r="D1503" t="str">
        <f>VLOOKUP(B1503,Products!$A:$E,2,FALSE)</f>
        <v>Product_373</v>
      </c>
      <c r="E1503" t="str">
        <f>VLOOKUP(B1503,Products!$A:$E,3,FALSE)</f>
        <v>Office Supplies</v>
      </c>
    </row>
    <row r="1504" spans="1:5" x14ac:dyDescent="0.3">
      <c r="A1504" t="s">
        <v>2514</v>
      </c>
      <c r="B1504" t="s">
        <v>116</v>
      </c>
      <c r="C1504">
        <v>31</v>
      </c>
      <c r="D1504" t="str">
        <f>VLOOKUP(B1504,Products!$A:$E,2,FALSE)</f>
        <v>Product_54</v>
      </c>
      <c r="E1504" t="str">
        <f>VLOOKUP(B1504,Products!$A:$E,3,FALSE)</f>
        <v>Storage</v>
      </c>
    </row>
    <row r="1505" spans="1:5" x14ac:dyDescent="0.3">
      <c r="A1505" t="s">
        <v>2515</v>
      </c>
      <c r="B1505" t="s">
        <v>552</v>
      </c>
      <c r="C1505">
        <v>35</v>
      </c>
      <c r="D1505" t="str">
        <f>VLOOKUP(B1505,Products!$A:$E,2,FALSE)</f>
        <v>Product_272</v>
      </c>
      <c r="E1505" t="str">
        <f>VLOOKUP(B1505,Products!$A:$E,3,FALSE)</f>
        <v>Office Supplies</v>
      </c>
    </row>
    <row r="1506" spans="1:5" x14ac:dyDescent="0.3">
      <c r="A1506" t="s">
        <v>2516</v>
      </c>
      <c r="B1506" t="s">
        <v>438</v>
      </c>
      <c r="C1506">
        <v>67</v>
      </c>
      <c r="D1506" t="str">
        <f>VLOOKUP(B1506,Products!$A:$E,2,FALSE)</f>
        <v>Product_215</v>
      </c>
      <c r="E1506" t="str">
        <f>VLOOKUP(B1506,Products!$A:$E,3,FALSE)</f>
        <v>Electronics</v>
      </c>
    </row>
    <row r="1507" spans="1:5" x14ac:dyDescent="0.3">
      <c r="A1507" t="s">
        <v>2517</v>
      </c>
      <c r="B1507" t="s">
        <v>994</v>
      </c>
      <c r="C1507">
        <v>12</v>
      </c>
      <c r="D1507" t="str">
        <f>VLOOKUP(B1507,Products!$A:$E,2,FALSE)</f>
        <v>Product_493</v>
      </c>
      <c r="E1507" t="str">
        <f>VLOOKUP(B1507,Products!$A:$E,3,FALSE)</f>
        <v>Networking</v>
      </c>
    </row>
    <row r="1508" spans="1:5" x14ac:dyDescent="0.3">
      <c r="A1508" t="s">
        <v>2518</v>
      </c>
      <c r="B1508" t="s">
        <v>1004</v>
      </c>
      <c r="C1508">
        <v>23</v>
      </c>
      <c r="D1508" t="str">
        <f>VLOOKUP(B1508,Products!$A:$E,2,FALSE)</f>
        <v>Product_498</v>
      </c>
      <c r="E1508" t="str">
        <f>VLOOKUP(B1508,Products!$A:$E,3,FALSE)</f>
        <v>Office Supplies</v>
      </c>
    </row>
    <row r="1509" spans="1:5" x14ac:dyDescent="0.3">
      <c r="A1509" t="s">
        <v>2519</v>
      </c>
      <c r="B1509" t="s">
        <v>738</v>
      </c>
      <c r="C1509">
        <v>40</v>
      </c>
      <c r="D1509" t="str">
        <f>VLOOKUP(B1509,Products!$A:$E,2,FALSE)</f>
        <v>Product_365</v>
      </c>
      <c r="E1509" t="str">
        <f>VLOOKUP(B1509,Products!$A:$E,3,FALSE)</f>
        <v>Storage</v>
      </c>
    </row>
    <row r="1510" spans="1:5" x14ac:dyDescent="0.3">
      <c r="A1510" t="s">
        <v>2520</v>
      </c>
      <c r="B1510" t="s">
        <v>104</v>
      </c>
      <c r="C1510">
        <v>10</v>
      </c>
      <c r="D1510" t="str">
        <f>VLOOKUP(B1510,Products!$A:$E,2,FALSE)</f>
        <v>Product_48</v>
      </c>
      <c r="E1510" t="str">
        <f>VLOOKUP(B1510,Products!$A:$E,3,FALSE)</f>
        <v>Accessories</v>
      </c>
    </row>
    <row r="1511" spans="1:5" x14ac:dyDescent="0.3">
      <c r="A1511" t="s">
        <v>2521</v>
      </c>
      <c r="B1511" t="s">
        <v>952</v>
      </c>
      <c r="C1511">
        <v>34</v>
      </c>
      <c r="D1511" t="str">
        <f>VLOOKUP(B1511,Products!$A:$E,2,FALSE)</f>
        <v>Product_472</v>
      </c>
      <c r="E1511" t="str">
        <f>VLOOKUP(B1511,Products!$A:$E,3,FALSE)</f>
        <v>Electronics</v>
      </c>
    </row>
    <row r="1512" spans="1:5" x14ac:dyDescent="0.3">
      <c r="A1512" t="s">
        <v>2522</v>
      </c>
      <c r="B1512" t="s">
        <v>928</v>
      </c>
      <c r="C1512">
        <v>71</v>
      </c>
      <c r="D1512" t="str">
        <f>VLOOKUP(B1512,Products!$A:$E,2,FALSE)</f>
        <v>Product_460</v>
      </c>
      <c r="E1512" t="str">
        <f>VLOOKUP(B1512,Products!$A:$E,3,FALSE)</f>
        <v>Accessories</v>
      </c>
    </row>
    <row r="1513" spans="1:5" x14ac:dyDescent="0.3">
      <c r="A1513" t="s">
        <v>2523</v>
      </c>
      <c r="B1513" t="s">
        <v>432</v>
      </c>
      <c r="C1513">
        <v>94</v>
      </c>
      <c r="D1513" t="str">
        <f>VLOOKUP(B1513,Products!$A:$E,2,FALSE)</f>
        <v>Product_212</v>
      </c>
      <c r="E1513" t="str">
        <f>VLOOKUP(B1513,Products!$A:$E,3,FALSE)</f>
        <v>Networking</v>
      </c>
    </row>
    <row r="1514" spans="1:5" x14ac:dyDescent="0.3">
      <c r="A1514" t="s">
        <v>2524</v>
      </c>
      <c r="B1514" t="s">
        <v>926</v>
      </c>
      <c r="C1514">
        <v>52</v>
      </c>
      <c r="D1514" t="str">
        <f>VLOOKUP(B1514,Products!$A:$E,2,FALSE)</f>
        <v>Product_459</v>
      </c>
      <c r="E1514" t="str">
        <f>VLOOKUP(B1514,Products!$A:$E,3,FALSE)</f>
        <v>Office Supplies</v>
      </c>
    </row>
    <row r="1515" spans="1:5" x14ac:dyDescent="0.3">
      <c r="A1515" t="s">
        <v>2525</v>
      </c>
      <c r="B1515" t="s">
        <v>478</v>
      </c>
      <c r="C1515">
        <v>100</v>
      </c>
      <c r="D1515" t="str">
        <f>VLOOKUP(B1515,Products!$A:$E,2,FALSE)</f>
        <v>Product_235</v>
      </c>
      <c r="E1515" t="str">
        <f>VLOOKUP(B1515,Products!$A:$E,3,FALSE)</f>
        <v>Accessories</v>
      </c>
    </row>
    <row r="1516" spans="1:5" x14ac:dyDescent="0.3">
      <c r="A1516" t="s">
        <v>2526</v>
      </c>
      <c r="B1516" t="s">
        <v>96</v>
      </c>
      <c r="C1516">
        <v>79</v>
      </c>
      <c r="D1516" t="str">
        <f>VLOOKUP(B1516,Products!$A:$E,2,FALSE)</f>
        <v>Product_44</v>
      </c>
      <c r="E1516" t="str">
        <f>VLOOKUP(B1516,Products!$A:$E,3,FALSE)</f>
        <v>Storage</v>
      </c>
    </row>
    <row r="1517" spans="1:5" x14ac:dyDescent="0.3">
      <c r="A1517" t="s">
        <v>2527</v>
      </c>
      <c r="B1517" t="s">
        <v>106</v>
      </c>
      <c r="C1517">
        <v>69</v>
      </c>
      <c r="D1517" t="str">
        <f>VLOOKUP(B1517,Products!$A:$E,2,FALSE)</f>
        <v>Product_49</v>
      </c>
      <c r="E1517" t="str">
        <f>VLOOKUP(B1517,Products!$A:$E,3,FALSE)</f>
        <v>Storage</v>
      </c>
    </row>
    <row r="1518" spans="1:5" x14ac:dyDescent="0.3">
      <c r="A1518" t="s">
        <v>2528</v>
      </c>
      <c r="B1518" t="s">
        <v>146</v>
      </c>
      <c r="C1518">
        <v>86</v>
      </c>
      <c r="D1518" t="str">
        <f>VLOOKUP(B1518,Products!$A:$E,2,FALSE)</f>
        <v>Product_69</v>
      </c>
      <c r="E1518" t="str">
        <f>VLOOKUP(B1518,Products!$A:$E,3,FALSE)</f>
        <v>Electronics</v>
      </c>
    </row>
    <row r="1519" spans="1:5" x14ac:dyDescent="0.3">
      <c r="A1519" t="s">
        <v>2529</v>
      </c>
      <c r="B1519" t="s">
        <v>848</v>
      </c>
      <c r="C1519">
        <v>55</v>
      </c>
      <c r="D1519" t="str">
        <f>VLOOKUP(B1519,Products!$A:$E,2,FALSE)</f>
        <v>Product_420</v>
      </c>
      <c r="E1519" t="str">
        <f>VLOOKUP(B1519,Products!$A:$E,3,FALSE)</f>
        <v>Networking</v>
      </c>
    </row>
    <row r="1520" spans="1:5" x14ac:dyDescent="0.3">
      <c r="A1520" t="s">
        <v>2530</v>
      </c>
      <c r="B1520" t="s">
        <v>86</v>
      </c>
      <c r="C1520">
        <v>80</v>
      </c>
      <c r="D1520" t="str">
        <f>VLOOKUP(B1520,Products!$A:$E,2,FALSE)</f>
        <v>Product_39</v>
      </c>
      <c r="E1520" t="str">
        <f>VLOOKUP(B1520,Products!$A:$E,3,FALSE)</f>
        <v>Networking</v>
      </c>
    </row>
    <row r="1521" spans="1:5" x14ac:dyDescent="0.3">
      <c r="A1521" t="s">
        <v>2531</v>
      </c>
      <c r="B1521" t="s">
        <v>590</v>
      </c>
      <c r="C1521">
        <v>12</v>
      </c>
      <c r="D1521" t="str">
        <f>VLOOKUP(B1521,Products!$A:$E,2,FALSE)</f>
        <v>Product_291</v>
      </c>
      <c r="E1521" t="str">
        <f>VLOOKUP(B1521,Products!$A:$E,3,FALSE)</f>
        <v>Networking</v>
      </c>
    </row>
    <row r="1522" spans="1:5" x14ac:dyDescent="0.3">
      <c r="A1522" t="s">
        <v>2532</v>
      </c>
      <c r="B1522" t="s">
        <v>454</v>
      </c>
      <c r="C1522">
        <v>89</v>
      </c>
      <c r="D1522" t="str">
        <f>VLOOKUP(B1522,Products!$A:$E,2,FALSE)</f>
        <v>Product_223</v>
      </c>
      <c r="E1522" t="str">
        <f>VLOOKUP(B1522,Products!$A:$E,3,FALSE)</f>
        <v>Storage</v>
      </c>
    </row>
    <row r="1523" spans="1:5" x14ac:dyDescent="0.3">
      <c r="A1523" t="s">
        <v>2533</v>
      </c>
      <c r="B1523" t="s">
        <v>996</v>
      </c>
      <c r="C1523">
        <v>21</v>
      </c>
      <c r="D1523" t="str">
        <f>VLOOKUP(B1523,Products!$A:$E,2,FALSE)</f>
        <v>Product_494</v>
      </c>
      <c r="E1523" t="str">
        <f>VLOOKUP(B1523,Products!$A:$E,3,FALSE)</f>
        <v>Office Supplies</v>
      </c>
    </row>
    <row r="1524" spans="1:5" x14ac:dyDescent="0.3">
      <c r="A1524" t="s">
        <v>2534</v>
      </c>
      <c r="B1524" t="s">
        <v>252</v>
      </c>
      <c r="C1524">
        <v>42</v>
      </c>
      <c r="D1524" t="str">
        <f>VLOOKUP(B1524,Products!$A:$E,2,FALSE)</f>
        <v>Product_122</v>
      </c>
      <c r="E1524" t="str">
        <f>VLOOKUP(B1524,Products!$A:$E,3,FALSE)</f>
        <v>Storage</v>
      </c>
    </row>
    <row r="1525" spans="1:5" x14ac:dyDescent="0.3">
      <c r="A1525" t="s">
        <v>2535</v>
      </c>
      <c r="B1525" t="s">
        <v>276</v>
      </c>
      <c r="C1525">
        <v>45</v>
      </c>
      <c r="D1525" t="str">
        <f>VLOOKUP(B1525,Products!$A:$E,2,FALSE)</f>
        <v>Product_134</v>
      </c>
      <c r="E1525" t="str">
        <f>VLOOKUP(B1525,Products!$A:$E,3,FALSE)</f>
        <v>Accessories</v>
      </c>
    </row>
    <row r="1526" spans="1:5" x14ac:dyDescent="0.3">
      <c r="A1526" t="s">
        <v>2536</v>
      </c>
      <c r="B1526" t="s">
        <v>958</v>
      </c>
      <c r="C1526">
        <v>55</v>
      </c>
      <c r="D1526" t="str">
        <f>VLOOKUP(B1526,Products!$A:$E,2,FALSE)</f>
        <v>Product_475</v>
      </c>
      <c r="E1526" t="str">
        <f>VLOOKUP(B1526,Products!$A:$E,3,FALSE)</f>
        <v>Electronics</v>
      </c>
    </row>
    <row r="1527" spans="1:5" x14ac:dyDescent="0.3">
      <c r="A1527" t="s">
        <v>2537</v>
      </c>
      <c r="B1527" t="s">
        <v>726</v>
      </c>
      <c r="C1527">
        <v>99</v>
      </c>
      <c r="D1527" t="str">
        <f>VLOOKUP(B1527,Products!$A:$E,2,FALSE)</f>
        <v>Product_359</v>
      </c>
      <c r="E1527" t="str">
        <f>VLOOKUP(B1527,Products!$A:$E,3,FALSE)</f>
        <v>Electronics</v>
      </c>
    </row>
    <row r="1528" spans="1:5" x14ac:dyDescent="0.3">
      <c r="A1528" t="s">
        <v>2538</v>
      </c>
      <c r="B1528" t="s">
        <v>344</v>
      </c>
      <c r="C1528">
        <v>45</v>
      </c>
      <c r="D1528" t="str">
        <f>VLOOKUP(B1528,Products!$A:$E,2,FALSE)</f>
        <v>Product_168</v>
      </c>
      <c r="E1528" t="str">
        <f>VLOOKUP(B1528,Products!$A:$E,3,FALSE)</f>
        <v>Electronics</v>
      </c>
    </row>
    <row r="1529" spans="1:5" x14ac:dyDescent="0.3">
      <c r="A1529" t="s">
        <v>2539</v>
      </c>
      <c r="B1529" t="s">
        <v>472</v>
      </c>
      <c r="C1529">
        <v>39</v>
      </c>
      <c r="D1529" t="str">
        <f>VLOOKUP(B1529,Products!$A:$E,2,FALSE)</f>
        <v>Product_232</v>
      </c>
      <c r="E1529" t="str">
        <f>VLOOKUP(B1529,Products!$A:$E,3,FALSE)</f>
        <v>Office Supplies</v>
      </c>
    </row>
    <row r="1530" spans="1:5" x14ac:dyDescent="0.3">
      <c r="A1530" t="s">
        <v>2540</v>
      </c>
      <c r="B1530" t="s">
        <v>248</v>
      </c>
      <c r="C1530">
        <v>14</v>
      </c>
      <c r="D1530" t="str">
        <f>VLOOKUP(B1530,Products!$A:$E,2,FALSE)</f>
        <v>Product_120</v>
      </c>
      <c r="E1530" t="str">
        <f>VLOOKUP(B1530,Products!$A:$E,3,FALSE)</f>
        <v>Accessories</v>
      </c>
    </row>
    <row r="1531" spans="1:5" x14ac:dyDescent="0.3">
      <c r="A1531" t="s">
        <v>2541</v>
      </c>
      <c r="B1531" t="s">
        <v>976</v>
      </c>
      <c r="C1531">
        <v>30</v>
      </c>
      <c r="D1531" t="str">
        <f>VLOOKUP(B1531,Products!$A:$E,2,FALSE)</f>
        <v>Product_484</v>
      </c>
      <c r="E1531" t="str">
        <f>VLOOKUP(B1531,Products!$A:$E,3,FALSE)</f>
        <v>Networking</v>
      </c>
    </row>
    <row r="1532" spans="1:5" x14ac:dyDescent="0.3">
      <c r="A1532" t="s">
        <v>2542</v>
      </c>
      <c r="B1532" t="s">
        <v>148</v>
      </c>
      <c r="C1532">
        <v>79</v>
      </c>
      <c r="D1532" t="str">
        <f>VLOOKUP(B1532,Products!$A:$E,2,FALSE)</f>
        <v>Product_70</v>
      </c>
      <c r="E1532" t="str">
        <f>VLOOKUP(B1532,Products!$A:$E,3,FALSE)</f>
        <v>Electronics</v>
      </c>
    </row>
    <row r="1533" spans="1:5" x14ac:dyDescent="0.3">
      <c r="A1533" t="s">
        <v>2543</v>
      </c>
      <c r="B1533" t="s">
        <v>120</v>
      </c>
      <c r="C1533">
        <v>24</v>
      </c>
      <c r="D1533" t="str">
        <f>VLOOKUP(B1533,Products!$A:$E,2,FALSE)</f>
        <v>Product_56</v>
      </c>
      <c r="E1533" t="str">
        <f>VLOOKUP(B1533,Products!$A:$E,3,FALSE)</f>
        <v>Networking</v>
      </c>
    </row>
    <row r="1534" spans="1:5" x14ac:dyDescent="0.3">
      <c r="A1534" t="s">
        <v>2544</v>
      </c>
      <c r="B1534" t="s">
        <v>118</v>
      </c>
      <c r="C1534">
        <v>26</v>
      </c>
      <c r="D1534" t="str">
        <f>VLOOKUP(B1534,Products!$A:$E,2,FALSE)</f>
        <v>Product_55</v>
      </c>
      <c r="E1534" t="str">
        <f>VLOOKUP(B1534,Products!$A:$E,3,FALSE)</f>
        <v>Office Supplies</v>
      </c>
    </row>
    <row r="1535" spans="1:5" x14ac:dyDescent="0.3">
      <c r="A1535" t="s">
        <v>2545</v>
      </c>
      <c r="B1535" t="s">
        <v>470</v>
      </c>
      <c r="C1535">
        <v>64</v>
      </c>
      <c r="D1535" t="str">
        <f>VLOOKUP(B1535,Products!$A:$E,2,FALSE)</f>
        <v>Product_231</v>
      </c>
      <c r="E1535" t="str">
        <f>VLOOKUP(B1535,Products!$A:$E,3,FALSE)</f>
        <v>Accessories</v>
      </c>
    </row>
    <row r="1536" spans="1:5" x14ac:dyDescent="0.3">
      <c r="A1536" t="s">
        <v>2546</v>
      </c>
      <c r="B1536" t="s">
        <v>330</v>
      </c>
      <c r="C1536">
        <v>57</v>
      </c>
      <c r="D1536" t="str">
        <f>VLOOKUP(B1536,Products!$A:$E,2,FALSE)</f>
        <v>Product_161</v>
      </c>
      <c r="E1536" t="str">
        <f>VLOOKUP(B1536,Products!$A:$E,3,FALSE)</f>
        <v>Networking</v>
      </c>
    </row>
    <row r="1537" spans="1:5" x14ac:dyDescent="0.3">
      <c r="A1537" t="s">
        <v>2547</v>
      </c>
      <c r="B1537" t="s">
        <v>132</v>
      </c>
      <c r="C1537">
        <v>73</v>
      </c>
      <c r="D1537" t="str">
        <f>VLOOKUP(B1537,Products!$A:$E,2,FALSE)</f>
        <v>Product_62</v>
      </c>
      <c r="E1537" t="str">
        <f>VLOOKUP(B1537,Products!$A:$E,3,FALSE)</f>
        <v>Accessories</v>
      </c>
    </row>
    <row r="1538" spans="1:5" x14ac:dyDescent="0.3">
      <c r="A1538" t="s">
        <v>2548</v>
      </c>
      <c r="B1538" t="s">
        <v>376</v>
      </c>
      <c r="C1538">
        <v>31</v>
      </c>
      <c r="D1538" t="str">
        <f>VLOOKUP(B1538,Products!$A:$E,2,FALSE)</f>
        <v>Product_184</v>
      </c>
      <c r="E1538" t="str">
        <f>VLOOKUP(B1538,Products!$A:$E,3,FALSE)</f>
        <v>Electronics</v>
      </c>
    </row>
    <row r="1539" spans="1:5" x14ac:dyDescent="0.3">
      <c r="A1539" t="s">
        <v>2549</v>
      </c>
      <c r="B1539" t="s">
        <v>472</v>
      </c>
      <c r="C1539">
        <v>44</v>
      </c>
      <c r="D1539" t="str">
        <f>VLOOKUP(B1539,Products!$A:$E,2,FALSE)</f>
        <v>Product_232</v>
      </c>
      <c r="E1539" t="str">
        <f>VLOOKUP(B1539,Products!$A:$E,3,FALSE)</f>
        <v>Office Supplies</v>
      </c>
    </row>
    <row r="1540" spans="1:5" x14ac:dyDescent="0.3">
      <c r="A1540" t="s">
        <v>2550</v>
      </c>
      <c r="B1540" t="s">
        <v>484</v>
      </c>
      <c r="C1540">
        <v>38</v>
      </c>
      <c r="D1540" t="str">
        <f>VLOOKUP(B1540,Products!$A:$E,2,FALSE)</f>
        <v>Product_238</v>
      </c>
      <c r="E1540" t="str">
        <f>VLOOKUP(B1540,Products!$A:$E,3,FALSE)</f>
        <v>Accessories</v>
      </c>
    </row>
    <row r="1541" spans="1:5" x14ac:dyDescent="0.3">
      <c r="A1541" t="s">
        <v>2551</v>
      </c>
      <c r="B1541" t="s">
        <v>882</v>
      </c>
      <c r="C1541">
        <v>20</v>
      </c>
      <c r="D1541" t="str">
        <f>VLOOKUP(B1541,Products!$A:$E,2,FALSE)</f>
        <v>Product_437</v>
      </c>
      <c r="E1541" t="str">
        <f>VLOOKUP(B1541,Products!$A:$E,3,FALSE)</f>
        <v>Accessories</v>
      </c>
    </row>
    <row r="1542" spans="1:5" x14ac:dyDescent="0.3">
      <c r="A1542" t="s">
        <v>2552</v>
      </c>
      <c r="B1542" t="s">
        <v>102</v>
      </c>
      <c r="C1542">
        <v>25</v>
      </c>
      <c r="D1542" t="str">
        <f>VLOOKUP(B1542,Products!$A:$E,2,FALSE)</f>
        <v>Product_47</v>
      </c>
      <c r="E1542" t="str">
        <f>VLOOKUP(B1542,Products!$A:$E,3,FALSE)</f>
        <v>Electronics</v>
      </c>
    </row>
    <row r="1543" spans="1:5" x14ac:dyDescent="0.3">
      <c r="A1543" t="s">
        <v>2553</v>
      </c>
      <c r="B1543" t="s">
        <v>836</v>
      </c>
      <c r="C1543">
        <v>92</v>
      </c>
      <c r="D1543" t="str">
        <f>VLOOKUP(B1543,Products!$A:$E,2,FALSE)</f>
        <v>Product_414</v>
      </c>
      <c r="E1543" t="str">
        <f>VLOOKUP(B1543,Products!$A:$E,3,FALSE)</f>
        <v>Office Supplies</v>
      </c>
    </row>
    <row r="1544" spans="1:5" x14ac:dyDescent="0.3">
      <c r="A1544" t="s">
        <v>2554</v>
      </c>
      <c r="B1544" t="s">
        <v>320</v>
      </c>
      <c r="C1544">
        <v>95</v>
      </c>
      <c r="D1544" t="str">
        <f>VLOOKUP(B1544,Products!$A:$E,2,FALSE)</f>
        <v>Product_156</v>
      </c>
      <c r="E1544" t="str">
        <f>VLOOKUP(B1544,Products!$A:$E,3,FALSE)</f>
        <v>Accessories</v>
      </c>
    </row>
    <row r="1545" spans="1:5" x14ac:dyDescent="0.3">
      <c r="A1545" t="s">
        <v>2555</v>
      </c>
      <c r="B1545" t="s">
        <v>722</v>
      </c>
      <c r="C1545">
        <v>82</v>
      </c>
      <c r="D1545" t="str">
        <f>VLOOKUP(B1545,Products!$A:$E,2,FALSE)</f>
        <v>Product_357</v>
      </c>
      <c r="E1545" t="str">
        <f>VLOOKUP(B1545,Products!$A:$E,3,FALSE)</f>
        <v>Accessories</v>
      </c>
    </row>
    <row r="1546" spans="1:5" x14ac:dyDescent="0.3">
      <c r="A1546" t="s">
        <v>2556</v>
      </c>
      <c r="B1546" t="s">
        <v>50</v>
      </c>
      <c r="C1546">
        <v>32</v>
      </c>
      <c r="D1546" t="str">
        <f>VLOOKUP(B1546,Products!$A:$E,2,FALSE)</f>
        <v>Product_21</v>
      </c>
      <c r="E1546" t="str">
        <f>VLOOKUP(B1546,Products!$A:$E,3,FALSE)</f>
        <v>Office Supplies</v>
      </c>
    </row>
    <row r="1547" spans="1:5" x14ac:dyDescent="0.3">
      <c r="A1547" t="s">
        <v>2557</v>
      </c>
      <c r="B1547" t="s">
        <v>864</v>
      </c>
      <c r="C1547">
        <v>46</v>
      </c>
      <c r="D1547" t="str">
        <f>VLOOKUP(B1547,Products!$A:$E,2,FALSE)</f>
        <v>Product_428</v>
      </c>
      <c r="E1547" t="str">
        <f>VLOOKUP(B1547,Products!$A:$E,3,FALSE)</f>
        <v>Storage</v>
      </c>
    </row>
    <row r="1548" spans="1:5" x14ac:dyDescent="0.3">
      <c r="A1548" t="s">
        <v>2558</v>
      </c>
      <c r="B1548" t="s">
        <v>160</v>
      </c>
      <c r="C1548">
        <v>16</v>
      </c>
      <c r="D1548" t="str">
        <f>VLOOKUP(B1548,Products!$A:$E,2,FALSE)</f>
        <v>Product_76</v>
      </c>
      <c r="E1548" t="str">
        <f>VLOOKUP(B1548,Products!$A:$E,3,FALSE)</f>
        <v>Accessories</v>
      </c>
    </row>
    <row r="1549" spans="1:5" x14ac:dyDescent="0.3">
      <c r="A1549" t="s">
        <v>2559</v>
      </c>
      <c r="B1549" t="s">
        <v>738</v>
      </c>
      <c r="C1549">
        <v>36</v>
      </c>
      <c r="D1549" t="str">
        <f>VLOOKUP(B1549,Products!$A:$E,2,FALSE)</f>
        <v>Product_365</v>
      </c>
      <c r="E1549" t="str">
        <f>VLOOKUP(B1549,Products!$A:$E,3,FALSE)</f>
        <v>Storage</v>
      </c>
    </row>
    <row r="1550" spans="1:5" x14ac:dyDescent="0.3">
      <c r="A1550" t="s">
        <v>2560</v>
      </c>
      <c r="B1550" t="s">
        <v>1000</v>
      </c>
      <c r="C1550">
        <v>50</v>
      </c>
      <c r="D1550" t="str">
        <f>VLOOKUP(B1550,Products!$A:$E,2,FALSE)</f>
        <v>Product_496</v>
      </c>
      <c r="E1550" t="str">
        <f>VLOOKUP(B1550,Products!$A:$E,3,FALSE)</f>
        <v>Office Supplies</v>
      </c>
    </row>
    <row r="1551" spans="1:5" x14ac:dyDescent="0.3">
      <c r="A1551" t="s">
        <v>2561</v>
      </c>
      <c r="B1551" t="s">
        <v>414</v>
      </c>
      <c r="C1551">
        <v>70</v>
      </c>
      <c r="D1551" t="str">
        <f>VLOOKUP(B1551,Products!$A:$E,2,FALSE)</f>
        <v>Product_203</v>
      </c>
      <c r="E1551" t="str">
        <f>VLOOKUP(B1551,Products!$A:$E,3,FALSE)</f>
        <v>Accessories</v>
      </c>
    </row>
    <row r="1552" spans="1:5" x14ac:dyDescent="0.3">
      <c r="A1552" t="s">
        <v>2562</v>
      </c>
      <c r="B1552" t="s">
        <v>60</v>
      </c>
      <c r="C1552">
        <v>91</v>
      </c>
      <c r="D1552" t="str">
        <f>VLOOKUP(B1552,Products!$A:$E,2,FALSE)</f>
        <v>Product_26</v>
      </c>
      <c r="E1552" t="str">
        <f>VLOOKUP(B1552,Products!$A:$E,3,FALSE)</f>
        <v>Office Supplies</v>
      </c>
    </row>
    <row r="1553" spans="1:5" x14ac:dyDescent="0.3">
      <c r="A1553" t="s">
        <v>2563</v>
      </c>
      <c r="B1553" t="s">
        <v>316</v>
      </c>
      <c r="C1553">
        <v>38</v>
      </c>
      <c r="D1553" t="str">
        <f>VLOOKUP(B1553,Products!$A:$E,2,FALSE)</f>
        <v>Product_154</v>
      </c>
      <c r="E1553" t="str">
        <f>VLOOKUP(B1553,Products!$A:$E,3,FALSE)</f>
        <v>Accessories</v>
      </c>
    </row>
    <row r="1554" spans="1:5" x14ac:dyDescent="0.3">
      <c r="A1554" t="s">
        <v>2564</v>
      </c>
      <c r="B1554" t="s">
        <v>848</v>
      </c>
      <c r="C1554">
        <v>27</v>
      </c>
      <c r="D1554" t="str">
        <f>VLOOKUP(B1554,Products!$A:$E,2,FALSE)</f>
        <v>Product_420</v>
      </c>
      <c r="E1554" t="str">
        <f>VLOOKUP(B1554,Products!$A:$E,3,FALSE)</f>
        <v>Networking</v>
      </c>
    </row>
    <row r="1555" spans="1:5" x14ac:dyDescent="0.3">
      <c r="A1555" t="s">
        <v>2565</v>
      </c>
      <c r="B1555" t="s">
        <v>40</v>
      </c>
      <c r="C1555">
        <v>56</v>
      </c>
      <c r="D1555" t="str">
        <f>VLOOKUP(B1555,Products!$A:$E,2,FALSE)</f>
        <v>Product_16</v>
      </c>
      <c r="E1555" t="str">
        <f>VLOOKUP(B1555,Products!$A:$E,3,FALSE)</f>
        <v>Office Supplies</v>
      </c>
    </row>
    <row r="1556" spans="1:5" x14ac:dyDescent="0.3">
      <c r="A1556" t="s">
        <v>2566</v>
      </c>
      <c r="B1556" t="s">
        <v>884</v>
      </c>
      <c r="C1556">
        <v>62</v>
      </c>
      <c r="D1556" t="str">
        <f>VLOOKUP(B1556,Products!$A:$E,2,FALSE)</f>
        <v>Product_438</v>
      </c>
      <c r="E1556" t="str">
        <f>VLOOKUP(B1556,Products!$A:$E,3,FALSE)</f>
        <v>Electronics</v>
      </c>
    </row>
    <row r="1557" spans="1:5" x14ac:dyDescent="0.3">
      <c r="A1557" t="s">
        <v>2567</v>
      </c>
      <c r="B1557" t="s">
        <v>578</v>
      </c>
      <c r="C1557">
        <v>100</v>
      </c>
      <c r="D1557" t="str">
        <f>VLOOKUP(B1557,Products!$A:$E,2,FALSE)</f>
        <v>Product_285</v>
      </c>
      <c r="E1557" t="str">
        <f>VLOOKUP(B1557,Products!$A:$E,3,FALSE)</f>
        <v>Networking</v>
      </c>
    </row>
    <row r="1558" spans="1:5" x14ac:dyDescent="0.3">
      <c r="A1558" t="s">
        <v>2568</v>
      </c>
      <c r="B1558" t="s">
        <v>572</v>
      </c>
      <c r="C1558">
        <v>36</v>
      </c>
      <c r="D1558" t="str">
        <f>VLOOKUP(B1558,Products!$A:$E,2,FALSE)</f>
        <v>Product_282</v>
      </c>
      <c r="E1558" t="str">
        <f>VLOOKUP(B1558,Products!$A:$E,3,FALSE)</f>
        <v>Networking</v>
      </c>
    </row>
    <row r="1559" spans="1:5" x14ac:dyDescent="0.3">
      <c r="A1559" t="s">
        <v>2569</v>
      </c>
      <c r="B1559" t="s">
        <v>106</v>
      </c>
      <c r="C1559">
        <v>64</v>
      </c>
      <c r="D1559" t="str">
        <f>VLOOKUP(B1559,Products!$A:$E,2,FALSE)</f>
        <v>Product_49</v>
      </c>
      <c r="E1559" t="str">
        <f>VLOOKUP(B1559,Products!$A:$E,3,FALSE)</f>
        <v>Storage</v>
      </c>
    </row>
    <row r="1560" spans="1:5" x14ac:dyDescent="0.3">
      <c r="A1560" t="s">
        <v>2570</v>
      </c>
      <c r="B1560" t="s">
        <v>114</v>
      </c>
      <c r="C1560">
        <v>22</v>
      </c>
      <c r="D1560" t="str">
        <f>VLOOKUP(B1560,Products!$A:$E,2,FALSE)</f>
        <v>Product_53</v>
      </c>
      <c r="E1560" t="str">
        <f>VLOOKUP(B1560,Products!$A:$E,3,FALSE)</f>
        <v>Electronics</v>
      </c>
    </row>
    <row r="1561" spans="1:5" x14ac:dyDescent="0.3">
      <c r="A1561" t="s">
        <v>2571</v>
      </c>
      <c r="B1561" t="s">
        <v>134</v>
      </c>
      <c r="C1561">
        <v>6</v>
      </c>
      <c r="D1561" t="str">
        <f>VLOOKUP(B1561,Products!$A:$E,2,FALSE)</f>
        <v>Product_63</v>
      </c>
      <c r="E1561" t="str">
        <f>VLOOKUP(B1561,Products!$A:$E,3,FALSE)</f>
        <v>Accessories</v>
      </c>
    </row>
    <row r="1562" spans="1:5" x14ac:dyDescent="0.3">
      <c r="A1562" t="s">
        <v>2572</v>
      </c>
      <c r="B1562" t="s">
        <v>72</v>
      </c>
      <c r="C1562">
        <v>33</v>
      </c>
      <c r="D1562" t="str">
        <f>VLOOKUP(B1562,Products!$A:$E,2,FALSE)</f>
        <v>Product_32</v>
      </c>
      <c r="E1562" t="str">
        <f>VLOOKUP(B1562,Products!$A:$E,3,FALSE)</f>
        <v>Networking</v>
      </c>
    </row>
    <row r="1563" spans="1:5" x14ac:dyDescent="0.3">
      <c r="A1563" t="s">
        <v>2573</v>
      </c>
      <c r="B1563" t="s">
        <v>142</v>
      </c>
      <c r="C1563">
        <v>30</v>
      </c>
      <c r="D1563" t="str">
        <f>VLOOKUP(B1563,Products!$A:$E,2,FALSE)</f>
        <v>Product_67</v>
      </c>
      <c r="E1563" t="str">
        <f>VLOOKUP(B1563,Products!$A:$E,3,FALSE)</f>
        <v>Office Supplies</v>
      </c>
    </row>
    <row r="1564" spans="1:5" x14ac:dyDescent="0.3">
      <c r="A1564" t="s">
        <v>2574</v>
      </c>
      <c r="B1564" t="s">
        <v>852</v>
      </c>
      <c r="C1564">
        <v>56</v>
      </c>
      <c r="D1564" t="str">
        <f>VLOOKUP(B1564,Products!$A:$E,2,FALSE)</f>
        <v>Product_422</v>
      </c>
      <c r="E1564" t="str">
        <f>VLOOKUP(B1564,Products!$A:$E,3,FALSE)</f>
        <v>Accessories</v>
      </c>
    </row>
    <row r="1565" spans="1:5" x14ac:dyDescent="0.3">
      <c r="A1565" t="s">
        <v>2575</v>
      </c>
      <c r="B1565" t="s">
        <v>390</v>
      </c>
      <c r="C1565">
        <v>92</v>
      </c>
      <c r="D1565" t="str">
        <f>VLOOKUP(B1565,Products!$A:$E,2,FALSE)</f>
        <v>Product_191</v>
      </c>
      <c r="E1565" t="str">
        <f>VLOOKUP(B1565,Products!$A:$E,3,FALSE)</f>
        <v>Networking</v>
      </c>
    </row>
    <row r="1566" spans="1:5" x14ac:dyDescent="0.3">
      <c r="A1566" t="s">
        <v>2576</v>
      </c>
      <c r="B1566" t="s">
        <v>654</v>
      </c>
      <c r="C1566">
        <v>87</v>
      </c>
      <c r="D1566" t="str">
        <f>VLOOKUP(B1566,Products!$A:$E,2,FALSE)</f>
        <v>Product_323</v>
      </c>
      <c r="E1566" t="str">
        <f>VLOOKUP(B1566,Products!$A:$E,3,FALSE)</f>
        <v>Electronics</v>
      </c>
    </row>
    <row r="1567" spans="1:5" x14ac:dyDescent="0.3">
      <c r="A1567" t="s">
        <v>2577</v>
      </c>
      <c r="B1567" t="s">
        <v>96</v>
      </c>
      <c r="C1567">
        <v>79</v>
      </c>
      <c r="D1567" t="str">
        <f>VLOOKUP(B1567,Products!$A:$E,2,FALSE)</f>
        <v>Product_44</v>
      </c>
      <c r="E1567" t="str">
        <f>VLOOKUP(B1567,Products!$A:$E,3,FALSE)</f>
        <v>Storage</v>
      </c>
    </row>
    <row r="1568" spans="1:5" x14ac:dyDescent="0.3">
      <c r="A1568" t="s">
        <v>2578</v>
      </c>
      <c r="B1568" t="s">
        <v>610</v>
      </c>
      <c r="C1568">
        <v>38</v>
      </c>
      <c r="D1568" t="str">
        <f>VLOOKUP(B1568,Products!$A:$E,2,FALSE)</f>
        <v>Product_301</v>
      </c>
      <c r="E1568" t="str">
        <f>VLOOKUP(B1568,Products!$A:$E,3,FALSE)</f>
        <v>Networking</v>
      </c>
    </row>
    <row r="1569" spans="1:5" x14ac:dyDescent="0.3">
      <c r="A1569" t="s">
        <v>2579</v>
      </c>
      <c r="B1569" t="s">
        <v>948</v>
      </c>
      <c r="C1569">
        <v>14</v>
      </c>
      <c r="D1569" t="str">
        <f>VLOOKUP(B1569,Products!$A:$E,2,FALSE)</f>
        <v>Product_470</v>
      </c>
      <c r="E1569" t="str">
        <f>VLOOKUP(B1569,Products!$A:$E,3,FALSE)</f>
        <v>Networking</v>
      </c>
    </row>
    <row r="1570" spans="1:5" x14ac:dyDescent="0.3">
      <c r="A1570" t="s">
        <v>2580</v>
      </c>
      <c r="B1570" t="s">
        <v>32</v>
      </c>
      <c r="C1570">
        <v>13</v>
      </c>
      <c r="D1570" t="str">
        <f>VLOOKUP(B1570,Products!$A:$E,2,FALSE)</f>
        <v>Product_12</v>
      </c>
      <c r="E1570" t="str">
        <f>VLOOKUP(B1570,Products!$A:$E,3,FALSE)</f>
        <v>Accessories</v>
      </c>
    </row>
    <row r="1571" spans="1:5" x14ac:dyDescent="0.3">
      <c r="A1571" t="s">
        <v>2581</v>
      </c>
      <c r="B1571" t="s">
        <v>212</v>
      </c>
      <c r="C1571">
        <v>87</v>
      </c>
      <c r="D1571" t="str">
        <f>VLOOKUP(B1571,Products!$A:$E,2,FALSE)</f>
        <v>Product_102</v>
      </c>
      <c r="E1571" t="str">
        <f>VLOOKUP(B1571,Products!$A:$E,3,FALSE)</f>
        <v>Storage</v>
      </c>
    </row>
    <row r="1572" spans="1:5" x14ac:dyDescent="0.3">
      <c r="A1572" t="s">
        <v>2582</v>
      </c>
      <c r="B1572" t="s">
        <v>464</v>
      </c>
      <c r="C1572">
        <v>21</v>
      </c>
      <c r="D1572" t="str">
        <f>VLOOKUP(B1572,Products!$A:$E,2,FALSE)</f>
        <v>Product_228</v>
      </c>
      <c r="E1572" t="str">
        <f>VLOOKUP(B1572,Products!$A:$E,3,FALSE)</f>
        <v>Storage</v>
      </c>
    </row>
    <row r="1573" spans="1:5" x14ac:dyDescent="0.3">
      <c r="A1573" t="s">
        <v>2583</v>
      </c>
      <c r="B1573" t="s">
        <v>104</v>
      </c>
      <c r="C1573">
        <v>47</v>
      </c>
      <c r="D1573" t="str">
        <f>VLOOKUP(B1573,Products!$A:$E,2,FALSE)</f>
        <v>Product_48</v>
      </c>
      <c r="E1573" t="str">
        <f>VLOOKUP(B1573,Products!$A:$E,3,FALSE)</f>
        <v>Accessories</v>
      </c>
    </row>
    <row r="1574" spans="1:5" x14ac:dyDescent="0.3">
      <c r="A1574" t="s">
        <v>2584</v>
      </c>
      <c r="B1574" t="s">
        <v>134</v>
      </c>
      <c r="C1574">
        <v>10</v>
      </c>
      <c r="D1574" t="str">
        <f>VLOOKUP(B1574,Products!$A:$E,2,FALSE)</f>
        <v>Product_63</v>
      </c>
      <c r="E1574" t="str">
        <f>VLOOKUP(B1574,Products!$A:$E,3,FALSE)</f>
        <v>Accessories</v>
      </c>
    </row>
    <row r="1575" spans="1:5" x14ac:dyDescent="0.3">
      <c r="A1575" t="s">
        <v>2585</v>
      </c>
      <c r="B1575" t="s">
        <v>974</v>
      </c>
      <c r="C1575">
        <v>64</v>
      </c>
      <c r="D1575" t="str">
        <f>VLOOKUP(B1575,Products!$A:$E,2,FALSE)</f>
        <v>Product_483</v>
      </c>
      <c r="E1575" t="str">
        <f>VLOOKUP(B1575,Products!$A:$E,3,FALSE)</f>
        <v>Electronics</v>
      </c>
    </row>
    <row r="1576" spans="1:5" x14ac:dyDescent="0.3">
      <c r="A1576" t="s">
        <v>2586</v>
      </c>
      <c r="B1576" t="s">
        <v>60</v>
      </c>
      <c r="C1576">
        <v>26</v>
      </c>
      <c r="D1576" t="str">
        <f>VLOOKUP(B1576,Products!$A:$E,2,FALSE)</f>
        <v>Product_26</v>
      </c>
      <c r="E1576" t="str">
        <f>VLOOKUP(B1576,Products!$A:$E,3,FALSE)</f>
        <v>Office Supplies</v>
      </c>
    </row>
    <row r="1577" spans="1:5" x14ac:dyDescent="0.3">
      <c r="A1577" t="s">
        <v>2587</v>
      </c>
      <c r="B1577" t="s">
        <v>956</v>
      </c>
      <c r="C1577">
        <v>78</v>
      </c>
      <c r="D1577" t="str">
        <f>VLOOKUP(B1577,Products!$A:$E,2,FALSE)</f>
        <v>Product_474</v>
      </c>
      <c r="E1577" t="str">
        <f>VLOOKUP(B1577,Products!$A:$E,3,FALSE)</f>
        <v>Networking</v>
      </c>
    </row>
    <row r="1578" spans="1:5" x14ac:dyDescent="0.3">
      <c r="A1578" t="s">
        <v>2588</v>
      </c>
      <c r="B1578" t="s">
        <v>452</v>
      </c>
      <c r="C1578">
        <v>97</v>
      </c>
      <c r="D1578" t="str">
        <f>VLOOKUP(B1578,Products!$A:$E,2,FALSE)</f>
        <v>Product_222</v>
      </c>
      <c r="E1578" t="str">
        <f>VLOOKUP(B1578,Products!$A:$E,3,FALSE)</f>
        <v>Networking</v>
      </c>
    </row>
    <row r="1579" spans="1:5" x14ac:dyDescent="0.3">
      <c r="A1579" t="s">
        <v>2589</v>
      </c>
      <c r="B1579" t="s">
        <v>414</v>
      </c>
      <c r="C1579">
        <v>68</v>
      </c>
      <c r="D1579" t="str">
        <f>VLOOKUP(B1579,Products!$A:$E,2,FALSE)</f>
        <v>Product_203</v>
      </c>
      <c r="E1579" t="str">
        <f>VLOOKUP(B1579,Products!$A:$E,3,FALSE)</f>
        <v>Accessories</v>
      </c>
    </row>
    <row r="1580" spans="1:5" x14ac:dyDescent="0.3">
      <c r="A1580" t="s">
        <v>2590</v>
      </c>
      <c r="B1580" t="s">
        <v>40</v>
      </c>
      <c r="C1580">
        <v>53</v>
      </c>
      <c r="D1580" t="str">
        <f>VLOOKUP(B1580,Products!$A:$E,2,FALSE)</f>
        <v>Product_16</v>
      </c>
      <c r="E1580" t="str">
        <f>VLOOKUP(B1580,Products!$A:$E,3,FALSE)</f>
        <v>Office Supplies</v>
      </c>
    </row>
    <row r="1581" spans="1:5" x14ac:dyDescent="0.3">
      <c r="A1581" t="s">
        <v>2591</v>
      </c>
      <c r="B1581" t="s">
        <v>708</v>
      </c>
      <c r="C1581">
        <v>59</v>
      </c>
      <c r="D1581" t="str">
        <f>VLOOKUP(B1581,Products!$A:$E,2,FALSE)</f>
        <v>Product_350</v>
      </c>
      <c r="E1581" t="str">
        <f>VLOOKUP(B1581,Products!$A:$E,3,FALSE)</f>
        <v>Networking</v>
      </c>
    </row>
    <row r="1582" spans="1:5" x14ac:dyDescent="0.3">
      <c r="A1582" t="s">
        <v>2592</v>
      </c>
      <c r="B1582" t="s">
        <v>186</v>
      </c>
      <c r="C1582">
        <v>50</v>
      </c>
      <c r="D1582" t="str">
        <f>VLOOKUP(B1582,Products!$A:$E,2,FALSE)</f>
        <v>Product_89</v>
      </c>
      <c r="E1582" t="str">
        <f>VLOOKUP(B1582,Products!$A:$E,3,FALSE)</f>
        <v>Storage</v>
      </c>
    </row>
    <row r="1583" spans="1:5" x14ac:dyDescent="0.3">
      <c r="A1583" t="s">
        <v>2593</v>
      </c>
      <c r="B1583" t="s">
        <v>228</v>
      </c>
      <c r="C1583">
        <v>28</v>
      </c>
      <c r="D1583" t="str">
        <f>VLOOKUP(B1583,Products!$A:$E,2,FALSE)</f>
        <v>Product_110</v>
      </c>
      <c r="E1583" t="str">
        <f>VLOOKUP(B1583,Products!$A:$E,3,FALSE)</f>
        <v>Networking</v>
      </c>
    </row>
    <row r="1584" spans="1:5" x14ac:dyDescent="0.3">
      <c r="A1584" t="s">
        <v>2594</v>
      </c>
      <c r="B1584" t="s">
        <v>290</v>
      </c>
      <c r="C1584">
        <v>40</v>
      </c>
      <c r="D1584" t="str">
        <f>VLOOKUP(B1584,Products!$A:$E,2,FALSE)</f>
        <v>Product_141</v>
      </c>
      <c r="E1584" t="str">
        <f>VLOOKUP(B1584,Products!$A:$E,3,FALSE)</f>
        <v>Electronics</v>
      </c>
    </row>
    <row r="1585" spans="1:5" x14ac:dyDescent="0.3">
      <c r="A1585" t="s">
        <v>2595</v>
      </c>
      <c r="B1585" t="s">
        <v>466</v>
      </c>
      <c r="C1585">
        <v>24</v>
      </c>
      <c r="D1585" t="str">
        <f>VLOOKUP(B1585,Products!$A:$E,2,FALSE)</f>
        <v>Product_229</v>
      </c>
      <c r="E1585" t="str">
        <f>VLOOKUP(B1585,Products!$A:$E,3,FALSE)</f>
        <v>Accessories</v>
      </c>
    </row>
    <row r="1586" spans="1:5" x14ac:dyDescent="0.3">
      <c r="A1586" t="s">
        <v>2596</v>
      </c>
      <c r="B1586" t="s">
        <v>44</v>
      </c>
      <c r="C1586">
        <v>83</v>
      </c>
      <c r="D1586" t="str">
        <f>VLOOKUP(B1586,Products!$A:$E,2,FALSE)</f>
        <v>Product_18</v>
      </c>
      <c r="E1586" t="str">
        <f>VLOOKUP(B1586,Products!$A:$E,3,FALSE)</f>
        <v>Networking</v>
      </c>
    </row>
    <row r="1587" spans="1:5" x14ac:dyDescent="0.3">
      <c r="A1587" t="s">
        <v>2597</v>
      </c>
      <c r="B1587" t="s">
        <v>644</v>
      </c>
      <c r="C1587">
        <v>83</v>
      </c>
      <c r="D1587" t="str">
        <f>VLOOKUP(B1587,Products!$A:$E,2,FALSE)</f>
        <v>Product_318</v>
      </c>
      <c r="E1587" t="str">
        <f>VLOOKUP(B1587,Products!$A:$E,3,FALSE)</f>
        <v>Storage</v>
      </c>
    </row>
    <row r="1588" spans="1:5" x14ac:dyDescent="0.3">
      <c r="A1588" t="s">
        <v>2598</v>
      </c>
      <c r="B1588" t="s">
        <v>260</v>
      </c>
      <c r="C1588">
        <v>87</v>
      </c>
      <c r="D1588" t="str">
        <f>VLOOKUP(B1588,Products!$A:$E,2,FALSE)</f>
        <v>Product_126</v>
      </c>
      <c r="E1588" t="str">
        <f>VLOOKUP(B1588,Products!$A:$E,3,FALSE)</f>
        <v>Office Supplies</v>
      </c>
    </row>
    <row r="1589" spans="1:5" x14ac:dyDescent="0.3">
      <c r="A1589" t="s">
        <v>2599</v>
      </c>
      <c r="B1589" t="s">
        <v>312</v>
      </c>
      <c r="C1589">
        <v>68</v>
      </c>
      <c r="D1589" t="str">
        <f>VLOOKUP(B1589,Products!$A:$E,2,FALSE)</f>
        <v>Product_152</v>
      </c>
      <c r="E1589" t="str">
        <f>VLOOKUP(B1589,Products!$A:$E,3,FALSE)</f>
        <v>Storage</v>
      </c>
    </row>
    <row r="1590" spans="1:5" x14ac:dyDescent="0.3">
      <c r="A1590" t="s">
        <v>2600</v>
      </c>
      <c r="B1590" t="s">
        <v>430</v>
      </c>
      <c r="C1590">
        <v>75</v>
      </c>
      <c r="D1590" t="str">
        <f>VLOOKUP(B1590,Products!$A:$E,2,FALSE)</f>
        <v>Product_211</v>
      </c>
      <c r="E1590" t="str">
        <f>VLOOKUP(B1590,Products!$A:$E,3,FALSE)</f>
        <v>Storage</v>
      </c>
    </row>
    <row r="1591" spans="1:5" x14ac:dyDescent="0.3">
      <c r="A1591" t="s">
        <v>2601</v>
      </c>
      <c r="B1591" t="s">
        <v>500</v>
      </c>
      <c r="C1591">
        <v>12</v>
      </c>
      <c r="D1591" t="str">
        <f>VLOOKUP(B1591,Products!$A:$E,2,FALSE)</f>
        <v>Product_246</v>
      </c>
      <c r="E1591" t="str">
        <f>VLOOKUP(B1591,Products!$A:$E,3,FALSE)</f>
        <v>Electronics</v>
      </c>
    </row>
    <row r="1592" spans="1:5" x14ac:dyDescent="0.3">
      <c r="A1592" t="s">
        <v>2602</v>
      </c>
      <c r="B1592" t="s">
        <v>98</v>
      </c>
      <c r="C1592">
        <v>40</v>
      </c>
      <c r="D1592" t="str">
        <f>VLOOKUP(B1592,Products!$A:$E,2,FALSE)</f>
        <v>Product_45</v>
      </c>
      <c r="E1592" t="str">
        <f>VLOOKUP(B1592,Products!$A:$E,3,FALSE)</f>
        <v>Accessories</v>
      </c>
    </row>
    <row r="1593" spans="1:5" x14ac:dyDescent="0.3">
      <c r="A1593" t="s">
        <v>2603</v>
      </c>
      <c r="B1593" t="s">
        <v>402</v>
      </c>
      <c r="C1593">
        <v>22</v>
      </c>
      <c r="D1593" t="str">
        <f>VLOOKUP(B1593,Products!$A:$E,2,FALSE)</f>
        <v>Product_197</v>
      </c>
      <c r="E1593" t="str">
        <f>VLOOKUP(B1593,Products!$A:$E,3,FALSE)</f>
        <v>Electronics</v>
      </c>
    </row>
    <row r="1594" spans="1:5" x14ac:dyDescent="0.3">
      <c r="A1594" t="s">
        <v>2604</v>
      </c>
      <c r="B1594" t="s">
        <v>438</v>
      </c>
      <c r="C1594">
        <v>30</v>
      </c>
      <c r="D1594" t="str">
        <f>VLOOKUP(B1594,Products!$A:$E,2,FALSE)</f>
        <v>Product_215</v>
      </c>
      <c r="E1594" t="str">
        <f>VLOOKUP(B1594,Products!$A:$E,3,FALSE)</f>
        <v>Electronics</v>
      </c>
    </row>
    <row r="1595" spans="1:5" x14ac:dyDescent="0.3">
      <c r="A1595" t="s">
        <v>2605</v>
      </c>
      <c r="B1595" t="s">
        <v>668</v>
      </c>
      <c r="C1595">
        <v>72</v>
      </c>
      <c r="D1595" t="str">
        <f>VLOOKUP(B1595,Products!$A:$E,2,FALSE)</f>
        <v>Product_330</v>
      </c>
      <c r="E1595" t="str">
        <f>VLOOKUP(B1595,Products!$A:$E,3,FALSE)</f>
        <v>Electronics</v>
      </c>
    </row>
    <row r="1596" spans="1:5" x14ac:dyDescent="0.3">
      <c r="A1596" t="s">
        <v>2606</v>
      </c>
      <c r="B1596" t="s">
        <v>264</v>
      </c>
      <c r="C1596">
        <v>85</v>
      </c>
      <c r="D1596" t="str">
        <f>VLOOKUP(B1596,Products!$A:$E,2,FALSE)</f>
        <v>Product_128</v>
      </c>
      <c r="E1596" t="str">
        <f>VLOOKUP(B1596,Products!$A:$E,3,FALSE)</f>
        <v>Office Supplies</v>
      </c>
    </row>
    <row r="1597" spans="1:5" x14ac:dyDescent="0.3">
      <c r="A1597" t="s">
        <v>2607</v>
      </c>
      <c r="B1597" t="s">
        <v>830</v>
      </c>
      <c r="C1597">
        <v>74</v>
      </c>
      <c r="D1597" t="str">
        <f>VLOOKUP(B1597,Products!$A:$E,2,FALSE)</f>
        <v>Product_411</v>
      </c>
      <c r="E1597" t="str">
        <f>VLOOKUP(B1597,Products!$A:$E,3,FALSE)</f>
        <v>Office Supplies</v>
      </c>
    </row>
    <row r="1598" spans="1:5" x14ac:dyDescent="0.3">
      <c r="A1598" t="s">
        <v>2608</v>
      </c>
      <c r="B1598" t="s">
        <v>822</v>
      </c>
      <c r="C1598">
        <v>7</v>
      </c>
      <c r="D1598" t="str">
        <f>VLOOKUP(B1598,Products!$A:$E,2,FALSE)</f>
        <v>Product_407</v>
      </c>
      <c r="E1598" t="str">
        <f>VLOOKUP(B1598,Products!$A:$E,3,FALSE)</f>
        <v>Networking</v>
      </c>
    </row>
    <row r="1599" spans="1:5" x14ac:dyDescent="0.3">
      <c r="A1599" t="s">
        <v>2609</v>
      </c>
      <c r="B1599" t="s">
        <v>400</v>
      </c>
      <c r="C1599">
        <v>96</v>
      </c>
      <c r="D1599" t="str">
        <f>VLOOKUP(B1599,Products!$A:$E,2,FALSE)</f>
        <v>Product_196</v>
      </c>
      <c r="E1599" t="str">
        <f>VLOOKUP(B1599,Products!$A:$E,3,FALSE)</f>
        <v>Office Supplies</v>
      </c>
    </row>
    <row r="1600" spans="1:5" x14ac:dyDescent="0.3">
      <c r="A1600" t="s">
        <v>2610</v>
      </c>
      <c r="B1600" t="s">
        <v>376</v>
      </c>
      <c r="C1600">
        <v>66</v>
      </c>
      <c r="D1600" t="str">
        <f>VLOOKUP(B1600,Products!$A:$E,2,FALSE)</f>
        <v>Product_184</v>
      </c>
      <c r="E1600" t="str">
        <f>VLOOKUP(B1600,Products!$A:$E,3,FALSE)</f>
        <v>Electronics</v>
      </c>
    </row>
    <row r="1601" spans="1:5" x14ac:dyDescent="0.3">
      <c r="A1601" t="s">
        <v>2611</v>
      </c>
      <c r="B1601" t="s">
        <v>566</v>
      </c>
      <c r="C1601">
        <v>67</v>
      </c>
      <c r="D1601" t="str">
        <f>VLOOKUP(B1601,Products!$A:$E,2,FALSE)</f>
        <v>Product_279</v>
      </c>
      <c r="E1601" t="str">
        <f>VLOOKUP(B1601,Products!$A:$E,3,FALSE)</f>
        <v>Networking</v>
      </c>
    </row>
    <row r="1602" spans="1:5" x14ac:dyDescent="0.3">
      <c r="A1602" t="s">
        <v>2612</v>
      </c>
      <c r="B1602" t="s">
        <v>362</v>
      </c>
      <c r="C1602">
        <v>77</v>
      </c>
      <c r="D1602" t="str">
        <f>VLOOKUP(B1602,Products!$A:$E,2,FALSE)</f>
        <v>Product_177</v>
      </c>
      <c r="E1602" t="str">
        <f>VLOOKUP(B1602,Products!$A:$E,3,FALSE)</f>
        <v>Office Supplies</v>
      </c>
    </row>
    <row r="1603" spans="1:5" x14ac:dyDescent="0.3">
      <c r="A1603" t="s">
        <v>2613</v>
      </c>
      <c r="B1603" t="s">
        <v>524</v>
      </c>
      <c r="C1603">
        <v>46</v>
      </c>
      <c r="D1603" t="str">
        <f>VLOOKUP(B1603,Products!$A:$E,2,FALSE)</f>
        <v>Product_258</v>
      </c>
      <c r="E1603" t="str">
        <f>VLOOKUP(B1603,Products!$A:$E,3,FALSE)</f>
        <v>Networking</v>
      </c>
    </row>
    <row r="1604" spans="1:5" x14ac:dyDescent="0.3">
      <c r="A1604" t="s">
        <v>2614</v>
      </c>
      <c r="B1604" t="s">
        <v>406</v>
      </c>
      <c r="C1604">
        <v>39</v>
      </c>
      <c r="D1604" t="str">
        <f>VLOOKUP(B1604,Products!$A:$E,2,FALSE)</f>
        <v>Product_199</v>
      </c>
      <c r="E1604" t="str">
        <f>VLOOKUP(B1604,Products!$A:$E,3,FALSE)</f>
        <v>Storage</v>
      </c>
    </row>
    <row r="1605" spans="1:5" x14ac:dyDescent="0.3">
      <c r="A1605" t="s">
        <v>2615</v>
      </c>
      <c r="B1605" t="s">
        <v>194</v>
      </c>
      <c r="C1605">
        <v>8</v>
      </c>
      <c r="D1605" t="str">
        <f>VLOOKUP(B1605,Products!$A:$E,2,FALSE)</f>
        <v>Product_93</v>
      </c>
      <c r="E1605" t="str">
        <f>VLOOKUP(B1605,Products!$A:$E,3,FALSE)</f>
        <v>Office Supplies</v>
      </c>
    </row>
    <row r="1606" spans="1:5" x14ac:dyDescent="0.3">
      <c r="A1606" t="s">
        <v>2616</v>
      </c>
      <c r="B1606" t="s">
        <v>336</v>
      </c>
      <c r="C1606">
        <v>81</v>
      </c>
      <c r="D1606" t="str">
        <f>VLOOKUP(B1606,Products!$A:$E,2,FALSE)</f>
        <v>Product_164</v>
      </c>
      <c r="E1606" t="str">
        <f>VLOOKUP(B1606,Products!$A:$E,3,FALSE)</f>
        <v>Networking</v>
      </c>
    </row>
    <row r="1607" spans="1:5" x14ac:dyDescent="0.3">
      <c r="A1607" t="s">
        <v>2617</v>
      </c>
      <c r="B1607" t="s">
        <v>234</v>
      </c>
      <c r="C1607">
        <v>8</v>
      </c>
      <c r="D1607" t="str">
        <f>VLOOKUP(B1607,Products!$A:$E,2,FALSE)</f>
        <v>Product_113</v>
      </c>
      <c r="E1607" t="str">
        <f>VLOOKUP(B1607,Products!$A:$E,3,FALSE)</f>
        <v>Electronics</v>
      </c>
    </row>
    <row r="1608" spans="1:5" x14ac:dyDescent="0.3">
      <c r="A1608" t="s">
        <v>2618</v>
      </c>
      <c r="B1608" t="s">
        <v>926</v>
      </c>
      <c r="C1608">
        <v>40</v>
      </c>
      <c r="D1608" t="str">
        <f>VLOOKUP(B1608,Products!$A:$E,2,FALSE)</f>
        <v>Product_459</v>
      </c>
      <c r="E1608" t="str">
        <f>VLOOKUP(B1608,Products!$A:$E,3,FALSE)</f>
        <v>Office Supplies</v>
      </c>
    </row>
    <row r="1609" spans="1:5" x14ac:dyDescent="0.3">
      <c r="A1609" t="s">
        <v>2619</v>
      </c>
      <c r="B1609" t="s">
        <v>68</v>
      </c>
      <c r="C1609">
        <v>65</v>
      </c>
      <c r="D1609" t="str">
        <f>VLOOKUP(B1609,Products!$A:$E,2,FALSE)</f>
        <v>Product_30</v>
      </c>
      <c r="E1609" t="str">
        <f>VLOOKUP(B1609,Products!$A:$E,3,FALSE)</f>
        <v>Accessories</v>
      </c>
    </row>
    <row r="1610" spans="1:5" x14ac:dyDescent="0.3">
      <c r="A1610" t="s">
        <v>2620</v>
      </c>
      <c r="B1610" t="s">
        <v>552</v>
      </c>
      <c r="C1610">
        <v>50</v>
      </c>
      <c r="D1610" t="str">
        <f>VLOOKUP(B1610,Products!$A:$E,2,FALSE)</f>
        <v>Product_272</v>
      </c>
      <c r="E1610" t="str">
        <f>VLOOKUP(B1610,Products!$A:$E,3,FALSE)</f>
        <v>Office Supplies</v>
      </c>
    </row>
    <row r="1611" spans="1:5" x14ac:dyDescent="0.3">
      <c r="A1611" t="s">
        <v>2621</v>
      </c>
      <c r="B1611" t="s">
        <v>794</v>
      </c>
      <c r="C1611">
        <v>79</v>
      </c>
      <c r="D1611" t="str">
        <f>VLOOKUP(B1611,Products!$A:$E,2,FALSE)</f>
        <v>Product_393</v>
      </c>
      <c r="E1611" t="str">
        <f>VLOOKUP(B1611,Products!$A:$E,3,FALSE)</f>
        <v>Electronics</v>
      </c>
    </row>
    <row r="1612" spans="1:5" x14ac:dyDescent="0.3">
      <c r="A1612" t="s">
        <v>2622</v>
      </c>
      <c r="B1612" t="s">
        <v>248</v>
      </c>
      <c r="C1612">
        <v>25</v>
      </c>
      <c r="D1612" t="str">
        <f>VLOOKUP(B1612,Products!$A:$E,2,FALSE)</f>
        <v>Product_120</v>
      </c>
      <c r="E1612" t="str">
        <f>VLOOKUP(B1612,Products!$A:$E,3,FALSE)</f>
        <v>Accessories</v>
      </c>
    </row>
    <row r="1613" spans="1:5" x14ac:dyDescent="0.3">
      <c r="A1613" t="s">
        <v>2623</v>
      </c>
      <c r="B1613" t="s">
        <v>112</v>
      </c>
      <c r="C1613">
        <v>36</v>
      </c>
      <c r="D1613" t="str">
        <f>VLOOKUP(B1613,Products!$A:$E,2,FALSE)</f>
        <v>Product_52</v>
      </c>
      <c r="E1613" t="str">
        <f>VLOOKUP(B1613,Products!$A:$E,3,FALSE)</f>
        <v>Electronics</v>
      </c>
    </row>
    <row r="1614" spans="1:5" x14ac:dyDescent="0.3">
      <c r="A1614" t="s">
        <v>2624</v>
      </c>
      <c r="B1614" t="s">
        <v>682</v>
      </c>
      <c r="C1614">
        <v>35</v>
      </c>
      <c r="D1614" t="str">
        <f>VLOOKUP(B1614,Products!$A:$E,2,FALSE)</f>
        <v>Product_337</v>
      </c>
      <c r="E1614" t="str">
        <f>VLOOKUP(B1614,Products!$A:$E,3,FALSE)</f>
        <v>Storage</v>
      </c>
    </row>
    <row r="1615" spans="1:5" x14ac:dyDescent="0.3">
      <c r="A1615" t="s">
        <v>2625</v>
      </c>
      <c r="B1615" t="s">
        <v>282</v>
      </c>
      <c r="C1615">
        <v>73</v>
      </c>
      <c r="D1615" t="str">
        <f>VLOOKUP(B1615,Products!$A:$E,2,FALSE)</f>
        <v>Product_137</v>
      </c>
      <c r="E1615" t="str">
        <f>VLOOKUP(B1615,Products!$A:$E,3,FALSE)</f>
        <v>Storage</v>
      </c>
    </row>
    <row r="1616" spans="1:5" x14ac:dyDescent="0.3">
      <c r="A1616" t="s">
        <v>2626</v>
      </c>
      <c r="B1616" t="s">
        <v>844</v>
      </c>
      <c r="C1616">
        <v>99</v>
      </c>
      <c r="D1616" t="str">
        <f>VLOOKUP(B1616,Products!$A:$E,2,FALSE)</f>
        <v>Product_418</v>
      </c>
      <c r="E1616" t="str">
        <f>VLOOKUP(B1616,Products!$A:$E,3,FALSE)</f>
        <v>Office Supplies</v>
      </c>
    </row>
    <row r="1617" spans="1:5" x14ac:dyDescent="0.3">
      <c r="A1617" t="s">
        <v>2627</v>
      </c>
      <c r="B1617" t="s">
        <v>66</v>
      </c>
      <c r="C1617">
        <v>33</v>
      </c>
      <c r="D1617" t="str">
        <f>VLOOKUP(B1617,Products!$A:$E,2,FALSE)</f>
        <v>Product_29</v>
      </c>
      <c r="E1617" t="str">
        <f>VLOOKUP(B1617,Products!$A:$E,3,FALSE)</f>
        <v>Electronics</v>
      </c>
    </row>
    <row r="1618" spans="1:5" x14ac:dyDescent="0.3">
      <c r="A1618" t="s">
        <v>2628</v>
      </c>
      <c r="B1618" t="s">
        <v>598</v>
      </c>
      <c r="C1618">
        <v>54</v>
      </c>
      <c r="D1618" t="str">
        <f>VLOOKUP(B1618,Products!$A:$E,2,FALSE)</f>
        <v>Product_295</v>
      </c>
      <c r="E1618" t="str">
        <f>VLOOKUP(B1618,Products!$A:$E,3,FALSE)</f>
        <v>Networking</v>
      </c>
    </row>
    <row r="1619" spans="1:5" x14ac:dyDescent="0.3">
      <c r="A1619" t="s">
        <v>2629</v>
      </c>
      <c r="B1619" t="s">
        <v>372</v>
      </c>
      <c r="C1619">
        <v>27</v>
      </c>
      <c r="D1619" t="str">
        <f>VLOOKUP(B1619,Products!$A:$E,2,FALSE)</f>
        <v>Product_182</v>
      </c>
      <c r="E1619" t="str">
        <f>VLOOKUP(B1619,Products!$A:$E,3,FALSE)</f>
        <v>Storage</v>
      </c>
    </row>
    <row r="1620" spans="1:5" x14ac:dyDescent="0.3">
      <c r="A1620" t="s">
        <v>2630</v>
      </c>
      <c r="B1620" t="s">
        <v>190</v>
      </c>
      <c r="C1620">
        <v>35</v>
      </c>
      <c r="D1620" t="str">
        <f>VLOOKUP(B1620,Products!$A:$E,2,FALSE)</f>
        <v>Product_91</v>
      </c>
      <c r="E1620" t="str">
        <f>VLOOKUP(B1620,Products!$A:$E,3,FALSE)</f>
        <v>Networking</v>
      </c>
    </row>
    <row r="1621" spans="1:5" x14ac:dyDescent="0.3">
      <c r="A1621" t="s">
        <v>2631</v>
      </c>
      <c r="B1621" t="s">
        <v>616</v>
      </c>
      <c r="C1621">
        <v>45</v>
      </c>
      <c r="D1621" t="str">
        <f>VLOOKUP(B1621,Products!$A:$E,2,FALSE)</f>
        <v>Product_304</v>
      </c>
      <c r="E1621" t="str">
        <f>VLOOKUP(B1621,Products!$A:$E,3,FALSE)</f>
        <v>Electronics</v>
      </c>
    </row>
    <row r="1622" spans="1:5" x14ac:dyDescent="0.3">
      <c r="A1622" t="s">
        <v>2632</v>
      </c>
      <c r="B1622" t="s">
        <v>834</v>
      </c>
      <c r="C1622">
        <v>99</v>
      </c>
      <c r="D1622" t="str">
        <f>VLOOKUP(B1622,Products!$A:$E,2,FALSE)</f>
        <v>Product_413</v>
      </c>
      <c r="E1622" t="str">
        <f>VLOOKUP(B1622,Products!$A:$E,3,FALSE)</f>
        <v>Accessories</v>
      </c>
    </row>
    <row r="1623" spans="1:5" x14ac:dyDescent="0.3">
      <c r="A1623" t="s">
        <v>2633</v>
      </c>
      <c r="B1623" t="s">
        <v>724</v>
      </c>
      <c r="C1623">
        <v>50</v>
      </c>
      <c r="D1623" t="str">
        <f>VLOOKUP(B1623,Products!$A:$E,2,FALSE)</f>
        <v>Product_358</v>
      </c>
      <c r="E1623" t="str">
        <f>VLOOKUP(B1623,Products!$A:$E,3,FALSE)</f>
        <v>Storage</v>
      </c>
    </row>
    <row r="1624" spans="1:5" x14ac:dyDescent="0.3">
      <c r="A1624" t="s">
        <v>2634</v>
      </c>
      <c r="B1624" t="s">
        <v>944</v>
      </c>
      <c r="C1624">
        <v>80</v>
      </c>
      <c r="D1624" t="str">
        <f>VLOOKUP(B1624,Products!$A:$E,2,FALSE)</f>
        <v>Product_468</v>
      </c>
      <c r="E1624" t="str">
        <f>VLOOKUP(B1624,Products!$A:$E,3,FALSE)</f>
        <v>Office Supplies</v>
      </c>
    </row>
    <row r="1625" spans="1:5" x14ac:dyDescent="0.3">
      <c r="A1625" t="s">
        <v>2635</v>
      </c>
      <c r="B1625" t="s">
        <v>38</v>
      </c>
      <c r="C1625">
        <v>95</v>
      </c>
      <c r="D1625" t="str">
        <f>VLOOKUP(B1625,Products!$A:$E,2,FALSE)</f>
        <v>Product_15</v>
      </c>
      <c r="E1625" t="str">
        <f>VLOOKUP(B1625,Products!$A:$E,3,FALSE)</f>
        <v>Electronics</v>
      </c>
    </row>
    <row r="1626" spans="1:5" x14ac:dyDescent="0.3">
      <c r="A1626" t="s">
        <v>2636</v>
      </c>
      <c r="B1626" t="s">
        <v>726</v>
      </c>
      <c r="C1626">
        <v>50</v>
      </c>
      <c r="D1626" t="str">
        <f>VLOOKUP(B1626,Products!$A:$E,2,FALSE)</f>
        <v>Product_359</v>
      </c>
      <c r="E1626" t="str">
        <f>VLOOKUP(B1626,Products!$A:$E,3,FALSE)</f>
        <v>Electronics</v>
      </c>
    </row>
    <row r="1627" spans="1:5" x14ac:dyDescent="0.3">
      <c r="A1627" t="s">
        <v>2637</v>
      </c>
      <c r="B1627" t="s">
        <v>980</v>
      </c>
      <c r="C1627">
        <v>77</v>
      </c>
      <c r="D1627" t="str">
        <f>VLOOKUP(B1627,Products!$A:$E,2,FALSE)</f>
        <v>Product_486</v>
      </c>
      <c r="E1627" t="str">
        <f>VLOOKUP(B1627,Products!$A:$E,3,FALSE)</f>
        <v>Electronics</v>
      </c>
    </row>
    <row r="1628" spans="1:5" x14ac:dyDescent="0.3">
      <c r="A1628" t="s">
        <v>2638</v>
      </c>
      <c r="B1628" t="s">
        <v>586</v>
      </c>
      <c r="C1628">
        <v>23</v>
      </c>
      <c r="D1628" t="str">
        <f>VLOOKUP(B1628,Products!$A:$E,2,FALSE)</f>
        <v>Product_289</v>
      </c>
      <c r="E1628" t="str">
        <f>VLOOKUP(B1628,Products!$A:$E,3,FALSE)</f>
        <v>Storage</v>
      </c>
    </row>
    <row r="1629" spans="1:5" x14ac:dyDescent="0.3">
      <c r="A1629" t="s">
        <v>2639</v>
      </c>
      <c r="B1629" t="s">
        <v>586</v>
      </c>
      <c r="C1629">
        <v>29</v>
      </c>
      <c r="D1629" t="str">
        <f>VLOOKUP(B1629,Products!$A:$E,2,FALSE)</f>
        <v>Product_289</v>
      </c>
      <c r="E1629" t="str">
        <f>VLOOKUP(B1629,Products!$A:$E,3,FALSE)</f>
        <v>Storage</v>
      </c>
    </row>
    <row r="1630" spans="1:5" x14ac:dyDescent="0.3">
      <c r="A1630" t="s">
        <v>2640</v>
      </c>
      <c r="B1630" t="s">
        <v>866</v>
      </c>
      <c r="C1630">
        <v>68</v>
      </c>
      <c r="D1630" t="str">
        <f>VLOOKUP(B1630,Products!$A:$E,2,FALSE)</f>
        <v>Product_429</v>
      </c>
      <c r="E1630" t="str">
        <f>VLOOKUP(B1630,Products!$A:$E,3,FALSE)</f>
        <v>Office Supplies</v>
      </c>
    </row>
    <row r="1631" spans="1:5" x14ac:dyDescent="0.3">
      <c r="A1631" t="s">
        <v>2641</v>
      </c>
      <c r="B1631" t="s">
        <v>564</v>
      </c>
      <c r="C1631">
        <v>44</v>
      </c>
      <c r="D1631" t="str">
        <f>VLOOKUP(B1631,Products!$A:$E,2,FALSE)</f>
        <v>Product_278</v>
      </c>
      <c r="E1631" t="str">
        <f>VLOOKUP(B1631,Products!$A:$E,3,FALSE)</f>
        <v>Electronics</v>
      </c>
    </row>
    <row r="1632" spans="1:5" x14ac:dyDescent="0.3">
      <c r="A1632" t="s">
        <v>2642</v>
      </c>
      <c r="B1632" t="s">
        <v>188</v>
      </c>
      <c r="C1632">
        <v>67</v>
      </c>
      <c r="D1632" t="str">
        <f>VLOOKUP(B1632,Products!$A:$E,2,FALSE)</f>
        <v>Product_90</v>
      </c>
      <c r="E1632" t="str">
        <f>VLOOKUP(B1632,Products!$A:$E,3,FALSE)</f>
        <v>Accessories</v>
      </c>
    </row>
    <row r="1633" spans="1:5" x14ac:dyDescent="0.3">
      <c r="A1633" t="s">
        <v>2643</v>
      </c>
      <c r="B1633" t="s">
        <v>48</v>
      </c>
      <c r="C1633">
        <v>16</v>
      </c>
      <c r="D1633" t="str">
        <f>VLOOKUP(B1633,Products!$A:$E,2,FALSE)</f>
        <v>Product_20</v>
      </c>
      <c r="E1633" t="str">
        <f>VLOOKUP(B1633,Products!$A:$E,3,FALSE)</f>
        <v>Office Supplies</v>
      </c>
    </row>
    <row r="1634" spans="1:5" x14ac:dyDescent="0.3">
      <c r="A1634" t="s">
        <v>2644</v>
      </c>
      <c r="B1634" t="s">
        <v>66</v>
      </c>
      <c r="C1634">
        <v>34</v>
      </c>
      <c r="D1634" t="str">
        <f>VLOOKUP(B1634,Products!$A:$E,2,FALSE)</f>
        <v>Product_29</v>
      </c>
      <c r="E1634" t="str">
        <f>VLOOKUP(B1634,Products!$A:$E,3,FALSE)</f>
        <v>Electronics</v>
      </c>
    </row>
    <row r="1635" spans="1:5" x14ac:dyDescent="0.3">
      <c r="A1635" t="s">
        <v>2645</v>
      </c>
      <c r="B1635" t="s">
        <v>626</v>
      </c>
      <c r="C1635">
        <v>33</v>
      </c>
      <c r="D1635" t="str">
        <f>VLOOKUP(B1635,Products!$A:$E,2,FALSE)</f>
        <v>Product_309</v>
      </c>
      <c r="E1635" t="str">
        <f>VLOOKUP(B1635,Products!$A:$E,3,FALSE)</f>
        <v>Networking</v>
      </c>
    </row>
    <row r="1636" spans="1:5" x14ac:dyDescent="0.3">
      <c r="A1636" t="s">
        <v>2646</v>
      </c>
      <c r="B1636" t="s">
        <v>30</v>
      </c>
      <c r="C1636">
        <v>72</v>
      </c>
      <c r="D1636" t="str">
        <f>VLOOKUP(B1636,Products!$A:$E,2,FALSE)</f>
        <v>Product_11</v>
      </c>
      <c r="E1636" t="str">
        <f>VLOOKUP(B1636,Products!$A:$E,3,FALSE)</f>
        <v>Electronics</v>
      </c>
    </row>
    <row r="1637" spans="1:5" x14ac:dyDescent="0.3">
      <c r="A1637" t="s">
        <v>2647</v>
      </c>
      <c r="B1637" t="s">
        <v>498</v>
      </c>
      <c r="C1637">
        <v>5</v>
      </c>
      <c r="D1637" t="str">
        <f>VLOOKUP(B1637,Products!$A:$E,2,FALSE)</f>
        <v>Product_245</v>
      </c>
      <c r="E1637" t="str">
        <f>VLOOKUP(B1637,Products!$A:$E,3,FALSE)</f>
        <v>Office Supplies</v>
      </c>
    </row>
    <row r="1638" spans="1:5" x14ac:dyDescent="0.3">
      <c r="A1638" t="s">
        <v>2648</v>
      </c>
      <c r="B1638" t="s">
        <v>348</v>
      </c>
      <c r="C1638">
        <v>83</v>
      </c>
      <c r="D1638" t="str">
        <f>VLOOKUP(B1638,Products!$A:$E,2,FALSE)</f>
        <v>Product_170</v>
      </c>
      <c r="E1638" t="str">
        <f>VLOOKUP(B1638,Products!$A:$E,3,FALSE)</f>
        <v>Office Supplies</v>
      </c>
    </row>
    <row r="1639" spans="1:5" x14ac:dyDescent="0.3">
      <c r="A1639" t="s">
        <v>2649</v>
      </c>
      <c r="B1639" t="s">
        <v>216</v>
      </c>
      <c r="C1639">
        <v>21</v>
      </c>
      <c r="D1639" t="str">
        <f>VLOOKUP(B1639,Products!$A:$E,2,FALSE)</f>
        <v>Product_104</v>
      </c>
      <c r="E1639" t="str">
        <f>VLOOKUP(B1639,Products!$A:$E,3,FALSE)</f>
        <v>Networking</v>
      </c>
    </row>
    <row r="1640" spans="1:5" x14ac:dyDescent="0.3">
      <c r="A1640" t="s">
        <v>2650</v>
      </c>
      <c r="B1640" t="s">
        <v>358</v>
      </c>
      <c r="C1640">
        <v>96</v>
      </c>
      <c r="D1640" t="str">
        <f>VLOOKUP(B1640,Products!$A:$E,2,FALSE)</f>
        <v>Product_175</v>
      </c>
      <c r="E1640" t="str">
        <f>VLOOKUP(B1640,Products!$A:$E,3,FALSE)</f>
        <v>Storage</v>
      </c>
    </row>
    <row r="1641" spans="1:5" x14ac:dyDescent="0.3">
      <c r="A1641" t="s">
        <v>2651</v>
      </c>
      <c r="B1641" t="s">
        <v>190</v>
      </c>
      <c r="C1641">
        <v>46</v>
      </c>
      <c r="D1641" t="str">
        <f>VLOOKUP(B1641,Products!$A:$E,2,FALSE)</f>
        <v>Product_91</v>
      </c>
      <c r="E1641" t="str">
        <f>VLOOKUP(B1641,Products!$A:$E,3,FALSE)</f>
        <v>Networking</v>
      </c>
    </row>
    <row r="1642" spans="1:5" x14ac:dyDescent="0.3">
      <c r="A1642" t="s">
        <v>2652</v>
      </c>
      <c r="B1642" t="s">
        <v>70</v>
      </c>
      <c r="C1642">
        <v>7</v>
      </c>
      <c r="D1642" t="str">
        <f>VLOOKUP(B1642,Products!$A:$E,2,FALSE)</f>
        <v>Product_31</v>
      </c>
      <c r="E1642" t="str">
        <f>VLOOKUP(B1642,Products!$A:$E,3,FALSE)</f>
        <v>Accessories</v>
      </c>
    </row>
    <row r="1643" spans="1:5" x14ac:dyDescent="0.3">
      <c r="A1643" t="s">
        <v>2653</v>
      </c>
      <c r="B1643" t="s">
        <v>160</v>
      </c>
      <c r="C1643">
        <v>80</v>
      </c>
      <c r="D1643" t="str">
        <f>VLOOKUP(B1643,Products!$A:$E,2,FALSE)</f>
        <v>Product_76</v>
      </c>
      <c r="E1643" t="str">
        <f>VLOOKUP(B1643,Products!$A:$E,3,FALSE)</f>
        <v>Accessories</v>
      </c>
    </row>
    <row r="1644" spans="1:5" x14ac:dyDescent="0.3">
      <c r="A1644" t="s">
        <v>2654</v>
      </c>
      <c r="B1644" t="s">
        <v>730</v>
      </c>
      <c r="C1644">
        <v>23</v>
      </c>
      <c r="D1644" t="str">
        <f>VLOOKUP(B1644,Products!$A:$E,2,FALSE)</f>
        <v>Product_361</v>
      </c>
      <c r="E1644" t="str">
        <f>VLOOKUP(B1644,Products!$A:$E,3,FALSE)</f>
        <v>Office Supplies</v>
      </c>
    </row>
    <row r="1645" spans="1:5" x14ac:dyDescent="0.3">
      <c r="A1645" t="s">
        <v>2655</v>
      </c>
      <c r="B1645" t="s">
        <v>802</v>
      </c>
      <c r="C1645">
        <v>19</v>
      </c>
      <c r="D1645" t="str">
        <f>VLOOKUP(B1645,Products!$A:$E,2,FALSE)</f>
        <v>Product_397</v>
      </c>
      <c r="E1645" t="str">
        <f>VLOOKUP(B1645,Products!$A:$E,3,FALSE)</f>
        <v>Office Supplies</v>
      </c>
    </row>
    <row r="1646" spans="1:5" x14ac:dyDescent="0.3">
      <c r="A1646" t="s">
        <v>2656</v>
      </c>
      <c r="B1646" t="s">
        <v>876</v>
      </c>
      <c r="C1646">
        <v>72</v>
      </c>
      <c r="D1646" t="str">
        <f>VLOOKUP(B1646,Products!$A:$E,2,FALSE)</f>
        <v>Product_434</v>
      </c>
      <c r="E1646" t="str">
        <f>VLOOKUP(B1646,Products!$A:$E,3,FALSE)</f>
        <v>Office Supplies</v>
      </c>
    </row>
    <row r="1647" spans="1:5" x14ac:dyDescent="0.3">
      <c r="A1647" t="s">
        <v>2657</v>
      </c>
      <c r="B1647" t="s">
        <v>890</v>
      </c>
      <c r="C1647">
        <v>51</v>
      </c>
      <c r="D1647" t="str">
        <f>VLOOKUP(B1647,Products!$A:$E,2,FALSE)</f>
        <v>Product_441</v>
      </c>
      <c r="E1647" t="str">
        <f>VLOOKUP(B1647,Products!$A:$E,3,FALSE)</f>
        <v>Storage</v>
      </c>
    </row>
    <row r="1648" spans="1:5" x14ac:dyDescent="0.3">
      <c r="A1648" t="s">
        <v>2658</v>
      </c>
      <c r="B1648" t="s">
        <v>992</v>
      </c>
      <c r="C1648">
        <v>14</v>
      </c>
      <c r="D1648" t="str">
        <f>VLOOKUP(B1648,Products!$A:$E,2,FALSE)</f>
        <v>Product_492</v>
      </c>
      <c r="E1648" t="str">
        <f>VLOOKUP(B1648,Products!$A:$E,3,FALSE)</f>
        <v>Electronics</v>
      </c>
    </row>
    <row r="1649" spans="1:5" x14ac:dyDescent="0.3">
      <c r="A1649" t="s">
        <v>2659</v>
      </c>
      <c r="B1649" t="s">
        <v>392</v>
      </c>
      <c r="C1649">
        <v>95</v>
      </c>
      <c r="D1649" t="str">
        <f>VLOOKUP(B1649,Products!$A:$E,2,FALSE)</f>
        <v>Product_192</v>
      </c>
      <c r="E1649" t="str">
        <f>VLOOKUP(B1649,Products!$A:$E,3,FALSE)</f>
        <v>Office Supplies</v>
      </c>
    </row>
    <row r="1650" spans="1:5" x14ac:dyDescent="0.3">
      <c r="A1650" t="s">
        <v>2660</v>
      </c>
      <c r="B1650" t="s">
        <v>974</v>
      </c>
      <c r="C1650">
        <v>89</v>
      </c>
      <c r="D1650" t="str">
        <f>VLOOKUP(B1650,Products!$A:$E,2,FALSE)</f>
        <v>Product_483</v>
      </c>
      <c r="E1650" t="str">
        <f>VLOOKUP(B1650,Products!$A:$E,3,FALSE)</f>
        <v>Electronics</v>
      </c>
    </row>
    <row r="1651" spans="1:5" x14ac:dyDescent="0.3">
      <c r="A1651" t="s">
        <v>2661</v>
      </c>
      <c r="B1651" t="s">
        <v>414</v>
      </c>
      <c r="C1651">
        <v>80</v>
      </c>
      <c r="D1651" t="str">
        <f>VLOOKUP(B1651,Products!$A:$E,2,FALSE)</f>
        <v>Product_203</v>
      </c>
      <c r="E1651" t="str">
        <f>VLOOKUP(B1651,Products!$A:$E,3,FALSE)</f>
        <v>Accessories</v>
      </c>
    </row>
    <row r="1652" spans="1:5" x14ac:dyDescent="0.3">
      <c r="A1652" t="s">
        <v>2662</v>
      </c>
      <c r="B1652" t="s">
        <v>112</v>
      </c>
      <c r="C1652">
        <v>48</v>
      </c>
      <c r="D1652" t="str">
        <f>VLOOKUP(B1652,Products!$A:$E,2,FALSE)</f>
        <v>Product_52</v>
      </c>
      <c r="E1652" t="str">
        <f>VLOOKUP(B1652,Products!$A:$E,3,FALSE)</f>
        <v>Electronics</v>
      </c>
    </row>
    <row r="1653" spans="1:5" x14ac:dyDescent="0.3">
      <c r="A1653" t="s">
        <v>2663</v>
      </c>
      <c r="B1653" t="s">
        <v>318</v>
      </c>
      <c r="C1653">
        <v>46</v>
      </c>
      <c r="D1653" t="str">
        <f>VLOOKUP(B1653,Products!$A:$E,2,FALSE)</f>
        <v>Product_155</v>
      </c>
      <c r="E1653" t="str">
        <f>VLOOKUP(B1653,Products!$A:$E,3,FALSE)</f>
        <v>Office Supplies</v>
      </c>
    </row>
    <row r="1654" spans="1:5" x14ac:dyDescent="0.3">
      <c r="A1654" t="s">
        <v>2664</v>
      </c>
      <c r="B1654" t="s">
        <v>148</v>
      </c>
      <c r="C1654">
        <v>25</v>
      </c>
      <c r="D1654" t="str">
        <f>VLOOKUP(B1654,Products!$A:$E,2,FALSE)</f>
        <v>Product_70</v>
      </c>
      <c r="E1654" t="str">
        <f>VLOOKUP(B1654,Products!$A:$E,3,FALSE)</f>
        <v>Electronics</v>
      </c>
    </row>
    <row r="1655" spans="1:5" x14ac:dyDescent="0.3">
      <c r="A1655" t="s">
        <v>2665</v>
      </c>
      <c r="B1655" t="s">
        <v>758</v>
      </c>
      <c r="C1655">
        <v>60</v>
      </c>
      <c r="D1655" t="str">
        <f>VLOOKUP(B1655,Products!$A:$E,2,FALSE)</f>
        <v>Product_375</v>
      </c>
      <c r="E1655" t="str">
        <f>VLOOKUP(B1655,Products!$A:$E,3,FALSE)</f>
        <v>Accessories</v>
      </c>
    </row>
    <row r="1656" spans="1:5" x14ac:dyDescent="0.3">
      <c r="A1656" t="s">
        <v>2666</v>
      </c>
      <c r="B1656" t="s">
        <v>820</v>
      </c>
      <c r="C1656">
        <v>86</v>
      </c>
      <c r="D1656" t="str">
        <f>VLOOKUP(B1656,Products!$A:$E,2,FALSE)</f>
        <v>Product_406</v>
      </c>
      <c r="E1656" t="str">
        <f>VLOOKUP(B1656,Products!$A:$E,3,FALSE)</f>
        <v>Office Supplies</v>
      </c>
    </row>
    <row r="1657" spans="1:5" x14ac:dyDescent="0.3">
      <c r="A1657" t="s">
        <v>2667</v>
      </c>
      <c r="B1657" t="s">
        <v>992</v>
      </c>
      <c r="C1657">
        <v>67</v>
      </c>
      <c r="D1657" t="str">
        <f>VLOOKUP(B1657,Products!$A:$E,2,FALSE)</f>
        <v>Product_492</v>
      </c>
      <c r="E1657" t="str">
        <f>VLOOKUP(B1657,Products!$A:$E,3,FALSE)</f>
        <v>Electronics</v>
      </c>
    </row>
    <row r="1658" spans="1:5" x14ac:dyDescent="0.3">
      <c r="A1658" t="s">
        <v>2668</v>
      </c>
      <c r="B1658" t="s">
        <v>674</v>
      </c>
      <c r="C1658">
        <v>45</v>
      </c>
      <c r="D1658" t="str">
        <f>VLOOKUP(B1658,Products!$A:$E,2,FALSE)</f>
        <v>Product_333</v>
      </c>
      <c r="E1658" t="str">
        <f>VLOOKUP(B1658,Products!$A:$E,3,FALSE)</f>
        <v>Storage</v>
      </c>
    </row>
    <row r="1659" spans="1:5" x14ac:dyDescent="0.3">
      <c r="A1659" t="s">
        <v>2669</v>
      </c>
      <c r="B1659" t="s">
        <v>188</v>
      </c>
      <c r="C1659">
        <v>95</v>
      </c>
      <c r="D1659" t="str">
        <f>VLOOKUP(B1659,Products!$A:$E,2,FALSE)</f>
        <v>Product_90</v>
      </c>
      <c r="E1659" t="str">
        <f>VLOOKUP(B1659,Products!$A:$E,3,FALSE)</f>
        <v>Accessories</v>
      </c>
    </row>
    <row r="1660" spans="1:5" x14ac:dyDescent="0.3">
      <c r="A1660" t="s">
        <v>2670</v>
      </c>
      <c r="B1660" t="s">
        <v>1000</v>
      </c>
      <c r="C1660">
        <v>76</v>
      </c>
      <c r="D1660" t="str">
        <f>VLOOKUP(B1660,Products!$A:$E,2,FALSE)</f>
        <v>Product_496</v>
      </c>
      <c r="E1660" t="str">
        <f>VLOOKUP(B1660,Products!$A:$E,3,FALSE)</f>
        <v>Office Supplies</v>
      </c>
    </row>
    <row r="1661" spans="1:5" x14ac:dyDescent="0.3">
      <c r="A1661" t="s">
        <v>2671</v>
      </c>
      <c r="B1661" t="s">
        <v>720</v>
      </c>
      <c r="C1661">
        <v>83</v>
      </c>
      <c r="D1661" t="str">
        <f>VLOOKUP(B1661,Products!$A:$E,2,FALSE)</f>
        <v>Product_356</v>
      </c>
      <c r="E1661" t="str">
        <f>VLOOKUP(B1661,Products!$A:$E,3,FALSE)</f>
        <v>Accessories</v>
      </c>
    </row>
    <row r="1662" spans="1:5" x14ac:dyDescent="0.3">
      <c r="A1662" t="s">
        <v>2672</v>
      </c>
      <c r="B1662" t="s">
        <v>814</v>
      </c>
      <c r="C1662">
        <v>50</v>
      </c>
      <c r="D1662" t="str">
        <f>VLOOKUP(B1662,Products!$A:$E,2,FALSE)</f>
        <v>Product_403</v>
      </c>
      <c r="E1662" t="str">
        <f>VLOOKUP(B1662,Products!$A:$E,3,FALSE)</f>
        <v>Networking</v>
      </c>
    </row>
    <row r="1663" spans="1:5" x14ac:dyDescent="0.3">
      <c r="A1663" t="s">
        <v>2673</v>
      </c>
      <c r="B1663" t="s">
        <v>238</v>
      </c>
      <c r="C1663">
        <v>90</v>
      </c>
      <c r="D1663" t="str">
        <f>VLOOKUP(B1663,Products!$A:$E,2,FALSE)</f>
        <v>Product_115</v>
      </c>
      <c r="E1663" t="str">
        <f>VLOOKUP(B1663,Products!$A:$E,3,FALSE)</f>
        <v>Networking</v>
      </c>
    </row>
    <row r="1664" spans="1:5" x14ac:dyDescent="0.3">
      <c r="A1664" t="s">
        <v>2674</v>
      </c>
      <c r="B1664" t="s">
        <v>612</v>
      </c>
      <c r="C1664">
        <v>27</v>
      </c>
      <c r="D1664" t="str">
        <f>VLOOKUP(B1664,Products!$A:$E,2,FALSE)</f>
        <v>Product_302</v>
      </c>
      <c r="E1664" t="str">
        <f>VLOOKUP(B1664,Products!$A:$E,3,FALSE)</f>
        <v>Accessories</v>
      </c>
    </row>
    <row r="1665" spans="1:5" x14ac:dyDescent="0.3">
      <c r="A1665" t="s">
        <v>2675</v>
      </c>
      <c r="B1665" t="s">
        <v>396</v>
      </c>
      <c r="C1665">
        <v>44</v>
      </c>
      <c r="D1665" t="str">
        <f>VLOOKUP(B1665,Products!$A:$E,2,FALSE)</f>
        <v>Product_194</v>
      </c>
      <c r="E1665" t="str">
        <f>VLOOKUP(B1665,Products!$A:$E,3,FALSE)</f>
        <v>Networking</v>
      </c>
    </row>
    <row r="1666" spans="1:5" x14ac:dyDescent="0.3">
      <c r="A1666" t="s">
        <v>2676</v>
      </c>
      <c r="B1666" t="s">
        <v>760</v>
      </c>
      <c r="C1666">
        <v>93</v>
      </c>
      <c r="D1666" t="str">
        <f>VLOOKUP(B1666,Products!$A:$E,2,FALSE)</f>
        <v>Product_376</v>
      </c>
      <c r="E1666" t="str">
        <f>VLOOKUP(B1666,Products!$A:$E,3,FALSE)</f>
        <v>Networking</v>
      </c>
    </row>
    <row r="1667" spans="1:5" x14ac:dyDescent="0.3">
      <c r="A1667" t="s">
        <v>2677</v>
      </c>
      <c r="B1667" t="s">
        <v>310</v>
      </c>
      <c r="C1667">
        <v>21</v>
      </c>
      <c r="D1667" t="str">
        <f>VLOOKUP(B1667,Products!$A:$E,2,FALSE)</f>
        <v>Product_151</v>
      </c>
      <c r="E1667" t="str">
        <f>VLOOKUP(B1667,Products!$A:$E,3,FALSE)</f>
        <v>Storage</v>
      </c>
    </row>
    <row r="1668" spans="1:5" x14ac:dyDescent="0.3">
      <c r="A1668" t="s">
        <v>2678</v>
      </c>
      <c r="B1668" t="s">
        <v>190</v>
      </c>
      <c r="C1668">
        <v>98</v>
      </c>
      <c r="D1668" t="str">
        <f>VLOOKUP(B1668,Products!$A:$E,2,FALSE)</f>
        <v>Product_91</v>
      </c>
      <c r="E1668" t="str">
        <f>VLOOKUP(B1668,Products!$A:$E,3,FALSE)</f>
        <v>Networking</v>
      </c>
    </row>
    <row r="1669" spans="1:5" x14ac:dyDescent="0.3">
      <c r="A1669" t="s">
        <v>2679</v>
      </c>
      <c r="B1669" t="s">
        <v>5</v>
      </c>
      <c r="C1669">
        <v>94</v>
      </c>
      <c r="D1669" t="str">
        <f>VLOOKUP(B1669,Products!$A:$E,2,FALSE)</f>
        <v>Product_1</v>
      </c>
      <c r="E1669" t="str">
        <f>VLOOKUP(B1669,Products!$A:$E,3,FALSE)</f>
        <v>Electronics</v>
      </c>
    </row>
    <row r="1670" spans="1:5" x14ac:dyDescent="0.3">
      <c r="A1670" t="s">
        <v>2680</v>
      </c>
      <c r="B1670" t="s">
        <v>980</v>
      </c>
      <c r="C1670">
        <v>78</v>
      </c>
      <c r="D1670" t="str">
        <f>VLOOKUP(B1670,Products!$A:$E,2,FALSE)</f>
        <v>Product_486</v>
      </c>
      <c r="E1670" t="str">
        <f>VLOOKUP(B1670,Products!$A:$E,3,FALSE)</f>
        <v>Electronics</v>
      </c>
    </row>
    <row r="1671" spans="1:5" x14ac:dyDescent="0.3">
      <c r="A1671" t="s">
        <v>2681</v>
      </c>
      <c r="B1671" t="s">
        <v>410</v>
      </c>
      <c r="C1671">
        <v>77</v>
      </c>
      <c r="D1671" t="str">
        <f>VLOOKUP(B1671,Products!$A:$E,2,FALSE)</f>
        <v>Product_201</v>
      </c>
      <c r="E1671" t="str">
        <f>VLOOKUP(B1671,Products!$A:$E,3,FALSE)</f>
        <v>Networking</v>
      </c>
    </row>
    <row r="1672" spans="1:5" x14ac:dyDescent="0.3">
      <c r="A1672" t="s">
        <v>2682</v>
      </c>
      <c r="B1672" t="s">
        <v>42</v>
      </c>
      <c r="C1672">
        <v>28</v>
      </c>
      <c r="D1672" t="str">
        <f>VLOOKUP(B1672,Products!$A:$E,2,FALSE)</f>
        <v>Product_17</v>
      </c>
      <c r="E1672" t="str">
        <f>VLOOKUP(B1672,Products!$A:$E,3,FALSE)</f>
        <v>Office Supplies</v>
      </c>
    </row>
    <row r="1673" spans="1:5" x14ac:dyDescent="0.3">
      <c r="A1673" t="s">
        <v>2683</v>
      </c>
      <c r="B1673" t="s">
        <v>626</v>
      </c>
      <c r="C1673">
        <v>45</v>
      </c>
      <c r="D1673" t="str">
        <f>VLOOKUP(B1673,Products!$A:$E,2,FALSE)</f>
        <v>Product_309</v>
      </c>
      <c r="E1673" t="str">
        <f>VLOOKUP(B1673,Products!$A:$E,3,FALSE)</f>
        <v>Networking</v>
      </c>
    </row>
    <row r="1674" spans="1:5" x14ac:dyDescent="0.3">
      <c r="A1674" t="s">
        <v>2684</v>
      </c>
      <c r="B1674" t="s">
        <v>952</v>
      </c>
      <c r="C1674">
        <v>83</v>
      </c>
      <c r="D1674" t="str">
        <f>VLOOKUP(B1674,Products!$A:$E,2,FALSE)</f>
        <v>Product_472</v>
      </c>
      <c r="E1674" t="str">
        <f>VLOOKUP(B1674,Products!$A:$E,3,FALSE)</f>
        <v>Electronics</v>
      </c>
    </row>
    <row r="1675" spans="1:5" x14ac:dyDescent="0.3">
      <c r="A1675" t="s">
        <v>2685</v>
      </c>
      <c r="B1675" t="s">
        <v>236</v>
      </c>
      <c r="C1675">
        <v>86</v>
      </c>
      <c r="D1675" t="str">
        <f>VLOOKUP(B1675,Products!$A:$E,2,FALSE)</f>
        <v>Product_114</v>
      </c>
      <c r="E1675" t="str">
        <f>VLOOKUP(B1675,Products!$A:$E,3,FALSE)</f>
        <v>Electronics</v>
      </c>
    </row>
    <row r="1676" spans="1:5" x14ac:dyDescent="0.3">
      <c r="A1676" t="s">
        <v>2686</v>
      </c>
      <c r="B1676" t="s">
        <v>588</v>
      </c>
      <c r="C1676">
        <v>18</v>
      </c>
      <c r="D1676" t="str">
        <f>VLOOKUP(B1676,Products!$A:$E,2,FALSE)</f>
        <v>Product_290</v>
      </c>
      <c r="E1676" t="str">
        <f>VLOOKUP(B1676,Products!$A:$E,3,FALSE)</f>
        <v>Accessories</v>
      </c>
    </row>
    <row r="1677" spans="1:5" x14ac:dyDescent="0.3">
      <c r="A1677" t="s">
        <v>2687</v>
      </c>
      <c r="B1677" t="s">
        <v>968</v>
      </c>
      <c r="C1677">
        <v>68</v>
      </c>
      <c r="D1677" t="str">
        <f>VLOOKUP(B1677,Products!$A:$E,2,FALSE)</f>
        <v>Product_480</v>
      </c>
      <c r="E1677" t="str">
        <f>VLOOKUP(B1677,Products!$A:$E,3,FALSE)</f>
        <v>Accessories</v>
      </c>
    </row>
    <row r="1678" spans="1:5" x14ac:dyDescent="0.3">
      <c r="A1678" t="s">
        <v>2688</v>
      </c>
      <c r="B1678" t="s">
        <v>154</v>
      </c>
      <c r="C1678">
        <v>47</v>
      </c>
      <c r="D1678" t="str">
        <f>VLOOKUP(B1678,Products!$A:$E,2,FALSE)</f>
        <v>Product_73</v>
      </c>
      <c r="E1678" t="str">
        <f>VLOOKUP(B1678,Products!$A:$E,3,FALSE)</f>
        <v>Office Supplies</v>
      </c>
    </row>
    <row r="1679" spans="1:5" x14ac:dyDescent="0.3">
      <c r="A1679" t="s">
        <v>2689</v>
      </c>
      <c r="B1679" t="s">
        <v>772</v>
      </c>
      <c r="C1679">
        <v>14</v>
      </c>
      <c r="D1679" t="str">
        <f>VLOOKUP(B1679,Products!$A:$E,2,FALSE)</f>
        <v>Product_382</v>
      </c>
      <c r="E1679" t="str">
        <f>VLOOKUP(B1679,Products!$A:$E,3,FALSE)</f>
        <v>Storage</v>
      </c>
    </row>
    <row r="1680" spans="1:5" x14ac:dyDescent="0.3">
      <c r="A1680" t="s">
        <v>2690</v>
      </c>
      <c r="B1680" t="s">
        <v>252</v>
      </c>
      <c r="C1680">
        <v>49</v>
      </c>
      <c r="D1680" t="str">
        <f>VLOOKUP(B1680,Products!$A:$E,2,FALSE)</f>
        <v>Product_122</v>
      </c>
      <c r="E1680" t="str">
        <f>VLOOKUP(B1680,Products!$A:$E,3,FALSE)</f>
        <v>Storage</v>
      </c>
    </row>
    <row r="1681" spans="1:5" x14ac:dyDescent="0.3">
      <c r="A1681" t="s">
        <v>2691</v>
      </c>
      <c r="B1681" t="s">
        <v>336</v>
      </c>
      <c r="C1681">
        <v>26</v>
      </c>
      <c r="D1681" t="str">
        <f>VLOOKUP(B1681,Products!$A:$E,2,FALSE)</f>
        <v>Product_164</v>
      </c>
      <c r="E1681" t="str">
        <f>VLOOKUP(B1681,Products!$A:$E,3,FALSE)</f>
        <v>Networking</v>
      </c>
    </row>
    <row r="1682" spans="1:5" x14ac:dyDescent="0.3">
      <c r="A1682" t="s">
        <v>2692</v>
      </c>
      <c r="B1682" t="s">
        <v>660</v>
      </c>
      <c r="C1682">
        <v>16</v>
      </c>
      <c r="D1682" t="str">
        <f>VLOOKUP(B1682,Products!$A:$E,2,FALSE)</f>
        <v>Product_326</v>
      </c>
      <c r="E1682" t="str">
        <f>VLOOKUP(B1682,Products!$A:$E,3,FALSE)</f>
        <v>Electronics</v>
      </c>
    </row>
    <row r="1683" spans="1:5" x14ac:dyDescent="0.3">
      <c r="A1683" t="s">
        <v>2693</v>
      </c>
      <c r="B1683" t="s">
        <v>850</v>
      </c>
      <c r="C1683">
        <v>95</v>
      </c>
      <c r="D1683" t="str">
        <f>VLOOKUP(B1683,Products!$A:$E,2,FALSE)</f>
        <v>Product_421</v>
      </c>
      <c r="E1683" t="str">
        <f>VLOOKUP(B1683,Products!$A:$E,3,FALSE)</f>
        <v>Accessories</v>
      </c>
    </row>
    <row r="1684" spans="1:5" x14ac:dyDescent="0.3">
      <c r="A1684" t="s">
        <v>2694</v>
      </c>
      <c r="B1684" t="s">
        <v>696</v>
      </c>
      <c r="C1684">
        <v>86</v>
      </c>
      <c r="D1684" t="str">
        <f>VLOOKUP(B1684,Products!$A:$E,2,FALSE)</f>
        <v>Product_344</v>
      </c>
      <c r="E1684" t="str">
        <f>VLOOKUP(B1684,Products!$A:$E,3,FALSE)</f>
        <v>Accessories</v>
      </c>
    </row>
    <row r="1685" spans="1:5" x14ac:dyDescent="0.3">
      <c r="A1685" t="s">
        <v>2695</v>
      </c>
      <c r="B1685" t="s">
        <v>756</v>
      </c>
      <c r="C1685">
        <v>47</v>
      </c>
      <c r="D1685" t="str">
        <f>VLOOKUP(B1685,Products!$A:$E,2,FALSE)</f>
        <v>Product_374</v>
      </c>
      <c r="E1685" t="str">
        <f>VLOOKUP(B1685,Products!$A:$E,3,FALSE)</f>
        <v>Office Supplies</v>
      </c>
    </row>
    <row r="1686" spans="1:5" x14ac:dyDescent="0.3">
      <c r="A1686" t="s">
        <v>2696</v>
      </c>
      <c r="B1686" t="s">
        <v>466</v>
      </c>
      <c r="C1686">
        <v>6</v>
      </c>
      <c r="D1686" t="str">
        <f>VLOOKUP(B1686,Products!$A:$E,2,FALSE)</f>
        <v>Product_229</v>
      </c>
      <c r="E1686" t="str">
        <f>VLOOKUP(B1686,Products!$A:$E,3,FALSE)</f>
        <v>Accessories</v>
      </c>
    </row>
    <row r="1687" spans="1:5" x14ac:dyDescent="0.3">
      <c r="A1687" t="s">
        <v>2697</v>
      </c>
      <c r="B1687" t="s">
        <v>280</v>
      </c>
      <c r="C1687">
        <v>31</v>
      </c>
      <c r="D1687" t="str">
        <f>VLOOKUP(B1687,Products!$A:$E,2,FALSE)</f>
        <v>Product_136</v>
      </c>
      <c r="E1687" t="str">
        <f>VLOOKUP(B1687,Products!$A:$E,3,FALSE)</f>
        <v>Storage</v>
      </c>
    </row>
    <row r="1688" spans="1:5" x14ac:dyDescent="0.3">
      <c r="A1688" t="s">
        <v>2698</v>
      </c>
      <c r="B1688" t="s">
        <v>264</v>
      </c>
      <c r="C1688">
        <v>93</v>
      </c>
      <c r="D1688" t="str">
        <f>VLOOKUP(B1688,Products!$A:$E,2,FALSE)</f>
        <v>Product_128</v>
      </c>
      <c r="E1688" t="str">
        <f>VLOOKUP(B1688,Products!$A:$E,3,FALSE)</f>
        <v>Office Supplies</v>
      </c>
    </row>
    <row r="1689" spans="1:5" x14ac:dyDescent="0.3">
      <c r="A1689" t="s">
        <v>2699</v>
      </c>
      <c r="B1689" t="s">
        <v>78</v>
      </c>
      <c r="C1689">
        <v>49</v>
      </c>
      <c r="D1689" t="str">
        <f>VLOOKUP(B1689,Products!$A:$E,2,FALSE)</f>
        <v>Product_35</v>
      </c>
      <c r="E1689" t="str">
        <f>VLOOKUP(B1689,Products!$A:$E,3,FALSE)</f>
        <v>Electronics</v>
      </c>
    </row>
    <row r="1690" spans="1:5" x14ac:dyDescent="0.3">
      <c r="A1690" t="s">
        <v>2700</v>
      </c>
      <c r="B1690" t="s">
        <v>272</v>
      </c>
      <c r="C1690">
        <v>18</v>
      </c>
      <c r="D1690" t="str">
        <f>VLOOKUP(B1690,Products!$A:$E,2,FALSE)</f>
        <v>Product_132</v>
      </c>
      <c r="E1690" t="str">
        <f>VLOOKUP(B1690,Products!$A:$E,3,FALSE)</f>
        <v>Storage</v>
      </c>
    </row>
    <row r="1691" spans="1:5" x14ac:dyDescent="0.3">
      <c r="A1691" t="s">
        <v>2701</v>
      </c>
      <c r="B1691" t="s">
        <v>746</v>
      </c>
      <c r="C1691">
        <v>5</v>
      </c>
      <c r="D1691" t="str">
        <f>VLOOKUP(B1691,Products!$A:$E,2,FALSE)</f>
        <v>Product_369</v>
      </c>
      <c r="E1691" t="str">
        <f>VLOOKUP(B1691,Products!$A:$E,3,FALSE)</f>
        <v>Accessories</v>
      </c>
    </row>
    <row r="1692" spans="1:5" x14ac:dyDescent="0.3">
      <c r="A1692" t="s">
        <v>2702</v>
      </c>
      <c r="B1692" t="s">
        <v>58</v>
      </c>
      <c r="C1692">
        <v>54</v>
      </c>
      <c r="D1692" t="str">
        <f>VLOOKUP(B1692,Products!$A:$E,2,FALSE)</f>
        <v>Product_25</v>
      </c>
      <c r="E1692" t="str">
        <f>VLOOKUP(B1692,Products!$A:$E,3,FALSE)</f>
        <v>Office Supplies</v>
      </c>
    </row>
    <row r="1693" spans="1:5" x14ac:dyDescent="0.3">
      <c r="A1693" t="s">
        <v>2703</v>
      </c>
      <c r="B1693" t="s">
        <v>458</v>
      </c>
      <c r="C1693">
        <v>98</v>
      </c>
      <c r="D1693" t="str">
        <f>VLOOKUP(B1693,Products!$A:$E,2,FALSE)</f>
        <v>Product_225</v>
      </c>
      <c r="E1693" t="str">
        <f>VLOOKUP(B1693,Products!$A:$E,3,FALSE)</f>
        <v>Accessories</v>
      </c>
    </row>
    <row r="1694" spans="1:5" x14ac:dyDescent="0.3">
      <c r="A1694" t="s">
        <v>2704</v>
      </c>
      <c r="B1694" t="s">
        <v>438</v>
      </c>
      <c r="C1694">
        <v>26</v>
      </c>
      <c r="D1694" t="str">
        <f>VLOOKUP(B1694,Products!$A:$E,2,FALSE)</f>
        <v>Product_215</v>
      </c>
      <c r="E1694" t="str">
        <f>VLOOKUP(B1694,Products!$A:$E,3,FALSE)</f>
        <v>Electronics</v>
      </c>
    </row>
    <row r="1695" spans="1:5" x14ac:dyDescent="0.3">
      <c r="A1695" t="s">
        <v>2705</v>
      </c>
      <c r="B1695" t="s">
        <v>914</v>
      </c>
      <c r="C1695">
        <v>57</v>
      </c>
      <c r="D1695" t="str">
        <f>VLOOKUP(B1695,Products!$A:$E,2,FALSE)</f>
        <v>Product_453</v>
      </c>
      <c r="E1695" t="str">
        <f>VLOOKUP(B1695,Products!$A:$E,3,FALSE)</f>
        <v>Office Supplies</v>
      </c>
    </row>
    <row r="1696" spans="1:5" x14ac:dyDescent="0.3">
      <c r="A1696" t="s">
        <v>2706</v>
      </c>
      <c r="B1696" t="s">
        <v>514</v>
      </c>
      <c r="C1696">
        <v>53</v>
      </c>
      <c r="D1696" t="str">
        <f>VLOOKUP(B1696,Products!$A:$E,2,FALSE)</f>
        <v>Product_253</v>
      </c>
      <c r="E1696" t="str">
        <f>VLOOKUP(B1696,Products!$A:$E,3,FALSE)</f>
        <v>Networking</v>
      </c>
    </row>
    <row r="1697" spans="1:5" x14ac:dyDescent="0.3">
      <c r="A1697" t="s">
        <v>2707</v>
      </c>
      <c r="B1697" t="s">
        <v>368</v>
      </c>
      <c r="C1697">
        <v>74</v>
      </c>
      <c r="D1697" t="str">
        <f>VLOOKUP(B1697,Products!$A:$E,2,FALSE)</f>
        <v>Product_180</v>
      </c>
      <c r="E1697" t="str">
        <f>VLOOKUP(B1697,Products!$A:$E,3,FALSE)</f>
        <v>Office Supplies</v>
      </c>
    </row>
    <row r="1698" spans="1:5" x14ac:dyDescent="0.3">
      <c r="A1698" t="s">
        <v>2708</v>
      </c>
      <c r="B1698" t="s">
        <v>394</v>
      </c>
      <c r="C1698">
        <v>17</v>
      </c>
      <c r="D1698" t="str">
        <f>VLOOKUP(B1698,Products!$A:$E,2,FALSE)</f>
        <v>Product_193</v>
      </c>
      <c r="E1698" t="str">
        <f>VLOOKUP(B1698,Products!$A:$E,3,FALSE)</f>
        <v>Accessories</v>
      </c>
    </row>
    <row r="1699" spans="1:5" x14ac:dyDescent="0.3">
      <c r="A1699" t="s">
        <v>2709</v>
      </c>
      <c r="B1699" t="s">
        <v>858</v>
      </c>
      <c r="C1699">
        <v>66</v>
      </c>
      <c r="D1699" t="str">
        <f>VLOOKUP(B1699,Products!$A:$E,2,FALSE)</f>
        <v>Product_425</v>
      </c>
      <c r="E1699" t="str">
        <f>VLOOKUP(B1699,Products!$A:$E,3,FALSE)</f>
        <v>Office Supplies</v>
      </c>
    </row>
    <row r="1700" spans="1:5" x14ac:dyDescent="0.3">
      <c r="A1700" t="s">
        <v>2710</v>
      </c>
      <c r="B1700" t="s">
        <v>816</v>
      </c>
      <c r="C1700">
        <v>78</v>
      </c>
      <c r="D1700" t="str">
        <f>VLOOKUP(B1700,Products!$A:$E,2,FALSE)</f>
        <v>Product_404</v>
      </c>
      <c r="E1700" t="str">
        <f>VLOOKUP(B1700,Products!$A:$E,3,FALSE)</f>
        <v>Storage</v>
      </c>
    </row>
    <row r="1701" spans="1:5" x14ac:dyDescent="0.3">
      <c r="A1701" t="s">
        <v>2711</v>
      </c>
      <c r="B1701" t="s">
        <v>676</v>
      </c>
      <c r="C1701">
        <v>92</v>
      </c>
      <c r="D1701" t="str">
        <f>VLOOKUP(B1701,Products!$A:$E,2,FALSE)</f>
        <v>Product_334</v>
      </c>
      <c r="E1701" t="str">
        <f>VLOOKUP(B1701,Products!$A:$E,3,FALSE)</f>
        <v>Accessories</v>
      </c>
    </row>
    <row r="1702" spans="1:5" x14ac:dyDescent="0.3">
      <c r="A1702" t="s">
        <v>2712</v>
      </c>
      <c r="B1702" t="s">
        <v>240</v>
      </c>
      <c r="C1702">
        <v>25</v>
      </c>
      <c r="D1702" t="str">
        <f>VLOOKUP(B1702,Products!$A:$E,2,FALSE)</f>
        <v>Product_116</v>
      </c>
      <c r="E1702" t="str">
        <f>VLOOKUP(B1702,Products!$A:$E,3,FALSE)</f>
        <v>Storage</v>
      </c>
    </row>
    <row r="1703" spans="1:5" x14ac:dyDescent="0.3">
      <c r="A1703" t="s">
        <v>2713</v>
      </c>
      <c r="B1703" t="s">
        <v>472</v>
      </c>
      <c r="C1703">
        <v>14</v>
      </c>
      <c r="D1703" t="str">
        <f>VLOOKUP(B1703,Products!$A:$E,2,FALSE)</f>
        <v>Product_232</v>
      </c>
      <c r="E1703" t="str">
        <f>VLOOKUP(B1703,Products!$A:$E,3,FALSE)</f>
        <v>Office Supplies</v>
      </c>
    </row>
    <row r="1704" spans="1:5" x14ac:dyDescent="0.3">
      <c r="A1704" t="s">
        <v>2714</v>
      </c>
      <c r="B1704" t="s">
        <v>828</v>
      </c>
      <c r="C1704">
        <v>9</v>
      </c>
      <c r="D1704" t="str">
        <f>VLOOKUP(B1704,Products!$A:$E,2,FALSE)</f>
        <v>Product_410</v>
      </c>
      <c r="E1704" t="str">
        <f>VLOOKUP(B1704,Products!$A:$E,3,FALSE)</f>
        <v>Storage</v>
      </c>
    </row>
    <row r="1705" spans="1:5" x14ac:dyDescent="0.3">
      <c r="A1705" t="s">
        <v>2715</v>
      </c>
      <c r="B1705" t="s">
        <v>310</v>
      </c>
      <c r="C1705">
        <v>7</v>
      </c>
      <c r="D1705" t="str">
        <f>VLOOKUP(B1705,Products!$A:$E,2,FALSE)</f>
        <v>Product_151</v>
      </c>
      <c r="E1705" t="str">
        <f>VLOOKUP(B1705,Products!$A:$E,3,FALSE)</f>
        <v>Storage</v>
      </c>
    </row>
    <row r="1706" spans="1:5" x14ac:dyDescent="0.3">
      <c r="A1706" t="s">
        <v>2716</v>
      </c>
      <c r="B1706" t="s">
        <v>336</v>
      </c>
      <c r="C1706">
        <v>38</v>
      </c>
      <c r="D1706" t="str">
        <f>VLOOKUP(B1706,Products!$A:$E,2,FALSE)</f>
        <v>Product_164</v>
      </c>
      <c r="E1706" t="str">
        <f>VLOOKUP(B1706,Products!$A:$E,3,FALSE)</f>
        <v>Networking</v>
      </c>
    </row>
    <row r="1707" spans="1:5" x14ac:dyDescent="0.3">
      <c r="A1707" t="s">
        <v>2717</v>
      </c>
      <c r="B1707" t="s">
        <v>984</v>
      </c>
      <c r="C1707">
        <v>18</v>
      </c>
      <c r="D1707" t="str">
        <f>VLOOKUP(B1707,Products!$A:$E,2,FALSE)</f>
        <v>Product_488</v>
      </c>
      <c r="E1707" t="str">
        <f>VLOOKUP(B1707,Products!$A:$E,3,FALSE)</f>
        <v>Accessories</v>
      </c>
    </row>
    <row r="1708" spans="1:5" x14ac:dyDescent="0.3">
      <c r="A1708" t="s">
        <v>2718</v>
      </c>
      <c r="B1708" t="s">
        <v>84</v>
      </c>
      <c r="C1708">
        <v>48</v>
      </c>
      <c r="D1708" t="str">
        <f>VLOOKUP(B1708,Products!$A:$E,2,FALSE)</f>
        <v>Product_38</v>
      </c>
      <c r="E1708" t="str">
        <f>VLOOKUP(B1708,Products!$A:$E,3,FALSE)</f>
        <v>Accessories</v>
      </c>
    </row>
    <row r="1709" spans="1:5" x14ac:dyDescent="0.3">
      <c r="A1709" t="s">
        <v>2719</v>
      </c>
      <c r="B1709" t="s">
        <v>184</v>
      </c>
      <c r="C1709">
        <v>53</v>
      </c>
      <c r="D1709" t="str">
        <f>VLOOKUP(B1709,Products!$A:$E,2,FALSE)</f>
        <v>Product_88</v>
      </c>
      <c r="E1709" t="str">
        <f>VLOOKUP(B1709,Products!$A:$E,3,FALSE)</f>
        <v>Accessories</v>
      </c>
    </row>
    <row r="1710" spans="1:5" x14ac:dyDescent="0.3">
      <c r="A1710" t="s">
        <v>2720</v>
      </c>
      <c r="B1710" t="s">
        <v>174</v>
      </c>
      <c r="C1710">
        <v>98</v>
      </c>
      <c r="D1710" t="str">
        <f>VLOOKUP(B1710,Products!$A:$E,2,FALSE)</f>
        <v>Product_83</v>
      </c>
      <c r="E1710" t="str">
        <f>VLOOKUP(B1710,Products!$A:$E,3,FALSE)</f>
        <v>Accessories</v>
      </c>
    </row>
    <row r="1711" spans="1:5" x14ac:dyDescent="0.3">
      <c r="A1711" t="s">
        <v>2721</v>
      </c>
      <c r="B1711" t="s">
        <v>86</v>
      </c>
      <c r="C1711">
        <v>75</v>
      </c>
      <c r="D1711" t="str">
        <f>VLOOKUP(B1711,Products!$A:$E,2,FALSE)</f>
        <v>Product_39</v>
      </c>
      <c r="E1711" t="str">
        <f>VLOOKUP(B1711,Products!$A:$E,3,FALSE)</f>
        <v>Networking</v>
      </c>
    </row>
    <row r="1712" spans="1:5" x14ac:dyDescent="0.3">
      <c r="A1712" t="s">
        <v>2722</v>
      </c>
      <c r="B1712" t="s">
        <v>974</v>
      </c>
      <c r="C1712">
        <v>16</v>
      </c>
      <c r="D1712" t="str">
        <f>VLOOKUP(B1712,Products!$A:$E,2,FALSE)</f>
        <v>Product_483</v>
      </c>
      <c r="E1712" t="str">
        <f>VLOOKUP(B1712,Products!$A:$E,3,FALSE)</f>
        <v>Electronics</v>
      </c>
    </row>
    <row r="1713" spans="1:5" x14ac:dyDescent="0.3">
      <c r="A1713" t="s">
        <v>2723</v>
      </c>
      <c r="B1713" t="s">
        <v>356</v>
      </c>
      <c r="C1713">
        <v>81</v>
      </c>
      <c r="D1713" t="str">
        <f>VLOOKUP(B1713,Products!$A:$E,2,FALSE)</f>
        <v>Product_174</v>
      </c>
      <c r="E1713" t="str">
        <f>VLOOKUP(B1713,Products!$A:$E,3,FALSE)</f>
        <v>Storage</v>
      </c>
    </row>
    <row r="1714" spans="1:5" x14ac:dyDescent="0.3">
      <c r="A1714" t="s">
        <v>2724</v>
      </c>
      <c r="B1714" t="s">
        <v>638</v>
      </c>
      <c r="C1714">
        <v>66</v>
      </c>
      <c r="D1714" t="str">
        <f>VLOOKUP(B1714,Products!$A:$E,2,FALSE)</f>
        <v>Product_315</v>
      </c>
      <c r="E1714" t="str">
        <f>VLOOKUP(B1714,Products!$A:$E,3,FALSE)</f>
        <v>Accessories</v>
      </c>
    </row>
    <row r="1715" spans="1:5" x14ac:dyDescent="0.3">
      <c r="A1715" t="s">
        <v>2725</v>
      </c>
      <c r="B1715" t="s">
        <v>730</v>
      </c>
      <c r="C1715">
        <v>8</v>
      </c>
      <c r="D1715" t="str">
        <f>VLOOKUP(B1715,Products!$A:$E,2,FALSE)</f>
        <v>Product_361</v>
      </c>
      <c r="E1715" t="str">
        <f>VLOOKUP(B1715,Products!$A:$E,3,FALSE)</f>
        <v>Office Supplies</v>
      </c>
    </row>
    <row r="1716" spans="1:5" x14ac:dyDescent="0.3">
      <c r="A1716" t="s">
        <v>2726</v>
      </c>
      <c r="B1716" t="s">
        <v>450</v>
      </c>
      <c r="C1716">
        <v>88</v>
      </c>
      <c r="D1716" t="str">
        <f>VLOOKUP(B1716,Products!$A:$E,2,FALSE)</f>
        <v>Product_221</v>
      </c>
      <c r="E1716" t="str">
        <f>VLOOKUP(B1716,Products!$A:$E,3,FALSE)</f>
        <v>Office Supplies</v>
      </c>
    </row>
    <row r="1717" spans="1:5" x14ac:dyDescent="0.3">
      <c r="A1717" t="s">
        <v>2727</v>
      </c>
      <c r="B1717" t="s">
        <v>178</v>
      </c>
      <c r="C1717">
        <v>82</v>
      </c>
      <c r="D1717" t="str">
        <f>VLOOKUP(B1717,Products!$A:$E,2,FALSE)</f>
        <v>Product_85</v>
      </c>
      <c r="E1717" t="str">
        <f>VLOOKUP(B1717,Products!$A:$E,3,FALSE)</f>
        <v>Electronics</v>
      </c>
    </row>
    <row r="1718" spans="1:5" x14ac:dyDescent="0.3">
      <c r="A1718" t="s">
        <v>2728</v>
      </c>
      <c r="B1718" t="s">
        <v>920</v>
      </c>
      <c r="C1718">
        <v>60</v>
      </c>
      <c r="D1718" t="str">
        <f>VLOOKUP(B1718,Products!$A:$E,2,FALSE)</f>
        <v>Product_456</v>
      </c>
      <c r="E1718" t="str">
        <f>VLOOKUP(B1718,Products!$A:$E,3,FALSE)</f>
        <v>Electronics</v>
      </c>
    </row>
    <row r="1719" spans="1:5" x14ac:dyDescent="0.3">
      <c r="A1719" t="s">
        <v>2729</v>
      </c>
      <c r="B1719" t="s">
        <v>170</v>
      </c>
      <c r="C1719">
        <v>11</v>
      </c>
      <c r="D1719" t="str">
        <f>VLOOKUP(B1719,Products!$A:$E,2,FALSE)</f>
        <v>Product_81</v>
      </c>
      <c r="E1719" t="str">
        <f>VLOOKUP(B1719,Products!$A:$E,3,FALSE)</f>
        <v>Office Supplies</v>
      </c>
    </row>
    <row r="1720" spans="1:5" x14ac:dyDescent="0.3">
      <c r="A1720" t="s">
        <v>2730</v>
      </c>
      <c r="B1720" t="s">
        <v>112</v>
      </c>
      <c r="C1720">
        <v>47</v>
      </c>
      <c r="D1720" t="str">
        <f>VLOOKUP(B1720,Products!$A:$E,2,FALSE)</f>
        <v>Product_52</v>
      </c>
      <c r="E1720" t="str">
        <f>VLOOKUP(B1720,Products!$A:$E,3,FALSE)</f>
        <v>Electronics</v>
      </c>
    </row>
    <row r="1721" spans="1:5" x14ac:dyDescent="0.3">
      <c r="A1721" t="s">
        <v>2731</v>
      </c>
      <c r="B1721" t="s">
        <v>220</v>
      </c>
      <c r="C1721">
        <v>29</v>
      </c>
      <c r="D1721" t="str">
        <f>VLOOKUP(B1721,Products!$A:$E,2,FALSE)</f>
        <v>Product_106</v>
      </c>
      <c r="E1721" t="str">
        <f>VLOOKUP(B1721,Products!$A:$E,3,FALSE)</f>
        <v>Networking</v>
      </c>
    </row>
    <row r="1722" spans="1:5" x14ac:dyDescent="0.3">
      <c r="A1722" t="s">
        <v>2732</v>
      </c>
      <c r="B1722" t="s">
        <v>428</v>
      </c>
      <c r="C1722">
        <v>94</v>
      </c>
      <c r="D1722" t="str">
        <f>VLOOKUP(B1722,Products!$A:$E,2,FALSE)</f>
        <v>Product_210</v>
      </c>
      <c r="E1722" t="str">
        <f>VLOOKUP(B1722,Products!$A:$E,3,FALSE)</f>
        <v>Electronics</v>
      </c>
    </row>
    <row r="1723" spans="1:5" x14ac:dyDescent="0.3">
      <c r="A1723" t="s">
        <v>2733</v>
      </c>
      <c r="B1723" t="s">
        <v>576</v>
      </c>
      <c r="C1723">
        <v>97</v>
      </c>
      <c r="D1723" t="str">
        <f>VLOOKUP(B1723,Products!$A:$E,2,FALSE)</f>
        <v>Product_284</v>
      </c>
      <c r="E1723" t="str">
        <f>VLOOKUP(B1723,Products!$A:$E,3,FALSE)</f>
        <v>Networking</v>
      </c>
    </row>
    <row r="1724" spans="1:5" x14ac:dyDescent="0.3">
      <c r="A1724" t="s">
        <v>2734</v>
      </c>
      <c r="B1724" t="s">
        <v>956</v>
      </c>
      <c r="C1724">
        <v>98</v>
      </c>
      <c r="D1724" t="str">
        <f>VLOOKUP(B1724,Products!$A:$E,2,FALSE)</f>
        <v>Product_474</v>
      </c>
      <c r="E1724" t="str">
        <f>VLOOKUP(B1724,Products!$A:$E,3,FALSE)</f>
        <v>Networking</v>
      </c>
    </row>
    <row r="1725" spans="1:5" x14ac:dyDescent="0.3">
      <c r="A1725" t="s">
        <v>2735</v>
      </c>
      <c r="B1725" t="s">
        <v>562</v>
      </c>
      <c r="C1725">
        <v>38</v>
      </c>
      <c r="D1725" t="str">
        <f>VLOOKUP(B1725,Products!$A:$E,2,FALSE)</f>
        <v>Product_277</v>
      </c>
      <c r="E1725" t="str">
        <f>VLOOKUP(B1725,Products!$A:$E,3,FALSE)</f>
        <v>Electronics</v>
      </c>
    </row>
    <row r="1726" spans="1:5" x14ac:dyDescent="0.3">
      <c r="A1726" t="s">
        <v>2736</v>
      </c>
      <c r="B1726" t="s">
        <v>686</v>
      </c>
      <c r="C1726">
        <v>41</v>
      </c>
      <c r="D1726" t="str">
        <f>VLOOKUP(B1726,Products!$A:$E,2,FALSE)</f>
        <v>Product_339</v>
      </c>
      <c r="E1726" t="str">
        <f>VLOOKUP(B1726,Products!$A:$E,3,FALSE)</f>
        <v>Storage</v>
      </c>
    </row>
    <row r="1727" spans="1:5" x14ac:dyDescent="0.3">
      <c r="A1727" t="s">
        <v>2737</v>
      </c>
      <c r="B1727" t="s">
        <v>314</v>
      </c>
      <c r="C1727">
        <v>35</v>
      </c>
      <c r="D1727" t="str">
        <f>VLOOKUP(B1727,Products!$A:$E,2,FALSE)</f>
        <v>Product_153</v>
      </c>
      <c r="E1727" t="str">
        <f>VLOOKUP(B1727,Products!$A:$E,3,FALSE)</f>
        <v>Electronics</v>
      </c>
    </row>
    <row r="1728" spans="1:5" x14ac:dyDescent="0.3">
      <c r="A1728" t="s">
        <v>2738</v>
      </c>
      <c r="B1728" t="s">
        <v>108</v>
      </c>
      <c r="C1728">
        <v>11</v>
      </c>
      <c r="D1728" t="str">
        <f>VLOOKUP(B1728,Products!$A:$E,2,FALSE)</f>
        <v>Product_50</v>
      </c>
      <c r="E1728" t="str">
        <f>VLOOKUP(B1728,Products!$A:$E,3,FALSE)</f>
        <v>Networking</v>
      </c>
    </row>
    <row r="1729" spans="1:5" x14ac:dyDescent="0.3">
      <c r="A1729" t="s">
        <v>2739</v>
      </c>
      <c r="B1729" t="s">
        <v>412</v>
      </c>
      <c r="C1729">
        <v>78</v>
      </c>
      <c r="D1729" t="str">
        <f>VLOOKUP(B1729,Products!$A:$E,2,FALSE)</f>
        <v>Product_202</v>
      </c>
      <c r="E1729" t="str">
        <f>VLOOKUP(B1729,Products!$A:$E,3,FALSE)</f>
        <v>Storage</v>
      </c>
    </row>
    <row r="1730" spans="1:5" x14ac:dyDescent="0.3">
      <c r="A1730" t="s">
        <v>2740</v>
      </c>
      <c r="B1730" t="s">
        <v>572</v>
      </c>
      <c r="C1730">
        <v>67</v>
      </c>
      <c r="D1730" t="str">
        <f>VLOOKUP(B1730,Products!$A:$E,2,FALSE)</f>
        <v>Product_282</v>
      </c>
      <c r="E1730" t="str">
        <f>VLOOKUP(B1730,Products!$A:$E,3,FALSE)</f>
        <v>Networking</v>
      </c>
    </row>
    <row r="1731" spans="1:5" x14ac:dyDescent="0.3">
      <c r="A1731" t="s">
        <v>2741</v>
      </c>
      <c r="B1731" t="s">
        <v>166</v>
      </c>
      <c r="C1731">
        <v>11</v>
      </c>
      <c r="D1731" t="str">
        <f>VLOOKUP(B1731,Products!$A:$E,2,FALSE)</f>
        <v>Product_79</v>
      </c>
      <c r="E1731" t="str">
        <f>VLOOKUP(B1731,Products!$A:$E,3,FALSE)</f>
        <v>Storage</v>
      </c>
    </row>
    <row r="1732" spans="1:5" x14ac:dyDescent="0.3">
      <c r="A1732" t="s">
        <v>2742</v>
      </c>
      <c r="B1732" t="s">
        <v>378</v>
      </c>
      <c r="C1732">
        <v>5</v>
      </c>
      <c r="D1732" t="str">
        <f>VLOOKUP(B1732,Products!$A:$E,2,FALSE)</f>
        <v>Product_185</v>
      </c>
      <c r="E1732" t="str">
        <f>VLOOKUP(B1732,Products!$A:$E,3,FALSE)</f>
        <v>Storage</v>
      </c>
    </row>
    <row r="1733" spans="1:5" x14ac:dyDescent="0.3">
      <c r="A1733" t="s">
        <v>2743</v>
      </c>
      <c r="B1733" t="s">
        <v>446</v>
      </c>
      <c r="C1733">
        <v>16</v>
      </c>
      <c r="D1733" t="str">
        <f>VLOOKUP(B1733,Products!$A:$E,2,FALSE)</f>
        <v>Product_219</v>
      </c>
      <c r="E1733" t="str">
        <f>VLOOKUP(B1733,Products!$A:$E,3,FALSE)</f>
        <v>Accessories</v>
      </c>
    </row>
    <row r="1734" spans="1:5" x14ac:dyDescent="0.3">
      <c r="A1734" t="s">
        <v>2744</v>
      </c>
      <c r="B1734" t="s">
        <v>310</v>
      </c>
      <c r="C1734">
        <v>89</v>
      </c>
      <c r="D1734" t="str">
        <f>VLOOKUP(B1734,Products!$A:$E,2,FALSE)</f>
        <v>Product_151</v>
      </c>
      <c r="E1734" t="str">
        <f>VLOOKUP(B1734,Products!$A:$E,3,FALSE)</f>
        <v>Storage</v>
      </c>
    </row>
    <row r="1735" spans="1:5" x14ac:dyDescent="0.3">
      <c r="A1735" t="s">
        <v>2745</v>
      </c>
      <c r="B1735" t="s">
        <v>650</v>
      </c>
      <c r="C1735">
        <v>81</v>
      </c>
      <c r="D1735" t="str">
        <f>VLOOKUP(B1735,Products!$A:$E,2,FALSE)</f>
        <v>Product_321</v>
      </c>
      <c r="E1735" t="str">
        <f>VLOOKUP(B1735,Products!$A:$E,3,FALSE)</f>
        <v>Electronics</v>
      </c>
    </row>
    <row r="1736" spans="1:5" x14ac:dyDescent="0.3">
      <c r="A1736" t="s">
        <v>2746</v>
      </c>
      <c r="B1736" t="s">
        <v>500</v>
      </c>
      <c r="C1736">
        <v>30</v>
      </c>
      <c r="D1736" t="str">
        <f>VLOOKUP(B1736,Products!$A:$E,2,FALSE)</f>
        <v>Product_246</v>
      </c>
      <c r="E1736" t="str">
        <f>VLOOKUP(B1736,Products!$A:$E,3,FALSE)</f>
        <v>Electronics</v>
      </c>
    </row>
    <row r="1737" spans="1:5" x14ac:dyDescent="0.3">
      <c r="A1737" t="s">
        <v>2747</v>
      </c>
      <c r="B1737" t="s">
        <v>108</v>
      </c>
      <c r="C1737">
        <v>8</v>
      </c>
      <c r="D1737" t="str">
        <f>VLOOKUP(B1737,Products!$A:$E,2,FALSE)</f>
        <v>Product_50</v>
      </c>
      <c r="E1737" t="str">
        <f>VLOOKUP(B1737,Products!$A:$E,3,FALSE)</f>
        <v>Networking</v>
      </c>
    </row>
    <row r="1738" spans="1:5" x14ac:dyDescent="0.3">
      <c r="A1738" t="s">
        <v>2748</v>
      </c>
      <c r="B1738" t="s">
        <v>220</v>
      </c>
      <c r="C1738">
        <v>26</v>
      </c>
      <c r="D1738" t="str">
        <f>VLOOKUP(B1738,Products!$A:$E,2,FALSE)</f>
        <v>Product_106</v>
      </c>
      <c r="E1738" t="str">
        <f>VLOOKUP(B1738,Products!$A:$E,3,FALSE)</f>
        <v>Networking</v>
      </c>
    </row>
    <row r="1739" spans="1:5" x14ac:dyDescent="0.3">
      <c r="A1739" t="s">
        <v>2749</v>
      </c>
      <c r="B1739" t="s">
        <v>662</v>
      </c>
      <c r="C1739">
        <v>42</v>
      </c>
      <c r="D1739" t="str">
        <f>VLOOKUP(B1739,Products!$A:$E,2,FALSE)</f>
        <v>Product_327</v>
      </c>
      <c r="E1739" t="str">
        <f>VLOOKUP(B1739,Products!$A:$E,3,FALSE)</f>
        <v>Networking</v>
      </c>
    </row>
    <row r="1740" spans="1:5" x14ac:dyDescent="0.3">
      <c r="A1740" t="s">
        <v>2750</v>
      </c>
      <c r="B1740" t="s">
        <v>92</v>
      </c>
      <c r="C1740">
        <v>65</v>
      </c>
      <c r="D1740" t="str">
        <f>VLOOKUP(B1740,Products!$A:$E,2,FALSE)</f>
        <v>Product_42</v>
      </c>
      <c r="E1740" t="str">
        <f>VLOOKUP(B1740,Products!$A:$E,3,FALSE)</f>
        <v>Storage</v>
      </c>
    </row>
    <row r="1741" spans="1:5" x14ac:dyDescent="0.3">
      <c r="A1741" t="s">
        <v>2751</v>
      </c>
      <c r="B1741" t="s">
        <v>874</v>
      </c>
      <c r="C1741">
        <v>19</v>
      </c>
      <c r="D1741" t="str">
        <f>VLOOKUP(B1741,Products!$A:$E,2,FALSE)</f>
        <v>Product_433</v>
      </c>
      <c r="E1741" t="str">
        <f>VLOOKUP(B1741,Products!$A:$E,3,FALSE)</f>
        <v>Office Supplies</v>
      </c>
    </row>
    <row r="1742" spans="1:5" x14ac:dyDescent="0.3">
      <c r="A1742" t="s">
        <v>2752</v>
      </c>
      <c r="B1742" t="s">
        <v>324</v>
      </c>
      <c r="C1742">
        <v>55</v>
      </c>
      <c r="D1742" t="str">
        <f>VLOOKUP(B1742,Products!$A:$E,2,FALSE)</f>
        <v>Product_158</v>
      </c>
      <c r="E1742" t="str">
        <f>VLOOKUP(B1742,Products!$A:$E,3,FALSE)</f>
        <v>Electronics</v>
      </c>
    </row>
    <row r="1743" spans="1:5" x14ac:dyDescent="0.3">
      <c r="A1743" t="s">
        <v>2753</v>
      </c>
      <c r="B1743" t="s">
        <v>492</v>
      </c>
      <c r="C1743">
        <v>67</v>
      </c>
      <c r="D1743" t="str">
        <f>VLOOKUP(B1743,Products!$A:$E,2,FALSE)</f>
        <v>Product_242</v>
      </c>
      <c r="E1743" t="str">
        <f>VLOOKUP(B1743,Products!$A:$E,3,FALSE)</f>
        <v>Networking</v>
      </c>
    </row>
    <row r="1744" spans="1:5" x14ac:dyDescent="0.3">
      <c r="A1744" t="s">
        <v>2754</v>
      </c>
      <c r="B1744" t="s">
        <v>926</v>
      </c>
      <c r="C1744">
        <v>89</v>
      </c>
      <c r="D1744" t="str">
        <f>VLOOKUP(B1744,Products!$A:$E,2,FALSE)</f>
        <v>Product_459</v>
      </c>
      <c r="E1744" t="str">
        <f>VLOOKUP(B1744,Products!$A:$E,3,FALSE)</f>
        <v>Office Supplies</v>
      </c>
    </row>
    <row r="1745" spans="1:5" x14ac:dyDescent="0.3">
      <c r="A1745" t="s">
        <v>2755</v>
      </c>
      <c r="B1745" t="s">
        <v>280</v>
      </c>
      <c r="C1745">
        <v>16</v>
      </c>
      <c r="D1745" t="str">
        <f>VLOOKUP(B1745,Products!$A:$E,2,FALSE)</f>
        <v>Product_136</v>
      </c>
      <c r="E1745" t="str">
        <f>VLOOKUP(B1745,Products!$A:$E,3,FALSE)</f>
        <v>Storage</v>
      </c>
    </row>
    <row r="1746" spans="1:5" x14ac:dyDescent="0.3">
      <c r="A1746" t="s">
        <v>2756</v>
      </c>
      <c r="B1746" t="s">
        <v>666</v>
      </c>
      <c r="C1746">
        <v>74</v>
      </c>
      <c r="D1746" t="str">
        <f>VLOOKUP(B1746,Products!$A:$E,2,FALSE)</f>
        <v>Product_329</v>
      </c>
      <c r="E1746" t="str">
        <f>VLOOKUP(B1746,Products!$A:$E,3,FALSE)</f>
        <v>Office Supplies</v>
      </c>
    </row>
    <row r="1747" spans="1:5" x14ac:dyDescent="0.3">
      <c r="A1747" t="s">
        <v>2757</v>
      </c>
      <c r="B1747" t="s">
        <v>406</v>
      </c>
      <c r="C1747">
        <v>28</v>
      </c>
      <c r="D1747" t="str">
        <f>VLOOKUP(B1747,Products!$A:$E,2,FALSE)</f>
        <v>Product_199</v>
      </c>
      <c r="E1747" t="str">
        <f>VLOOKUP(B1747,Products!$A:$E,3,FALSE)</f>
        <v>Storage</v>
      </c>
    </row>
    <row r="1748" spans="1:5" x14ac:dyDescent="0.3">
      <c r="A1748" t="s">
        <v>2758</v>
      </c>
      <c r="B1748" t="s">
        <v>388</v>
      </c>
      <c r="C1748">
        <v>53</v>
      </c>
      <c r="D1748" t="str">
        <f>VLOOKUP(B1748,Products!$A:$E,2,FALSE)</f>
        <v>Product_190</v>
      </c>
      <c r="E1748" t="str">
        <f>VLOOKUP(B1748,Products!$A:$E,3,FALSE)</f>
        <v>Office Supplies</v>
      </c>
    </row>
    <row r="1749" spans="1:5" x14ac:dyDescent="0.3">
      <c r="A1749" t="s">
        <v>2759</v>
      </c>
      <c r="B1749" t="s">
        <v>388</v>
      </c>
      <c r="C1749">
        <v>28</v>
      </c>
      <c r="D1749" t="str">
        <f>VLOOKUP(B1749,Products!$A:$E,2,FALSE)</f>
        <v>Product_190</v>
      </c>
      <c r="E1749" t="str">
        <f>VLOOKUP(B1749,Products!$A:$E,3,FALSE)</f>
        <v>Office Supplies</v>
      </c>
    </row>
    <row r="1750" spans="1:5" x14ac:dyDescent="0.3">
      <c r="A1750" t="s">
        <v>2760</v>
      </c>
      <c r="B1750" t="s">
        <v>466</v>
      </c>
      <c r="C1750">
        <v>10</v>
      </c>
      <c r="D1750" t="str">
        <f>VLOOKUP(B1750,Products!$A:$E,2,FALSE)</f>
        <v>Product_229</v>
      </c>
      <c r="E1750" t="str">
        <f>VLOOKUP(B1750,Products!$A:$E,3,FALSE)</f>
        <v>Accessories</v>
      </c>
    </row>
    <row r="1751" spans="1:5" x14ac:dyDescent="0.3">
      <c r="A1751" t="s">
        <v>2761</v>
      </c>
      <c r="B1751" t="s">
        <v>278</v>
      </c>
      <c r="C1751">
        <v>61</v>
      </c>
      <c r="D1751" t="str">
        <f>VLOOKUP(B1751,Products!$A:$E,2,FALSE)</f>
        <v>Product_135</v>
      </c>
      <c r="E1751" t="str">
        <f>VLOOKUP(B1751,Products!$A:$E,3,FALSE)</f>
        <v>Accessories</v>
      </c>
    </row>
    <row r="1752" spans="1:5" x14ac:dyDescent="0.3">
      <c r="A1752" t="s">
        <v>2762</v>
      </c>
      <c r="B1752" t="s">
        <v>486</v>
      </c>
      <c r="C1752">
        <v>38</v>
      </c>
      <c r="D1752" t="str">
        <f>VLOOKUP(B1752,Products!$A:$E,2,FALSE)</f>
        <v>Product_239</v>
      </c>
      <c r="E1752" t="str">
        <f>VLOOKUP(B1752,Products!$A:$E,3,FALSE)</f>
        <v>Storage</v>
      </c>
    </row>
    <row r="1753" spans="1:5" x14ac:dyDescent="0.3">
      <c r="A1753" t="s">
        <v>2763</v>
      </c>
      <c r="B1753" t="s">
        <v>240</v>
      </c>
      <c r="C1753">
        <v>39</v>
      </c>
      <c r="D1753" t="str">
        <f>VLOOKUP(B1753,Products!$A:$E,2,FALSE)</f>
        <v>Product_116</v>
      </c>
      <c r="E1753" t="str">
        <f>VLOOKUP(B1753,Products!$A:$E,3,FALSE)</f>
        <v>Storage</v>
      </c>
    </row>
    <row r="1754" spans="1:5" x14ac:dyDescent="0.3">
      <c r="A1754" t="s">
        <v>2764</v>
      </c>
      <c r="B1754" t="s">
        <v>586</v>
      </c>
      <c r="C1754">
        <v>12</v>
      </c>
      <c r="D1754" t="str">
        <f>VLOOKUP(B1754,Products!$A:$E,2,FALSE)</f>
        <v>Product_289</v>
      </c>
      <c r="E1754" t="str">
        <f>VLOOKUP(B1754,Products!$A:$E,3,FALSE)</f>
        <v>Storage</v>
      </c>
    </row>
    <row r="1755" spans="1:5" x14ac:dyDescent="0.3">
      <c r="A1755" t="s">
        <v>2765</v>
      </c>
      <c r="B1755" t="s">
        <v>164</v>
      </c>
      <c r="C1755">
        <v>94</v>
      </c>
      <c r="D1755" t="str">
        <f>VLOOKUP(B1755,Products!$A:$E,2,FALSE)</f>
        <v>Product_78</v>
      </c>
      <c r="E1755" t="str">
        <f>VLOOKUP(B1755,Products!$A:$E,3,FALSE)</f>
        <v>Office Supplies</v>
      </c>
    </row>
    <row r="1756" spans="1:5" x14ac:dyDescent="0.3">
      <c r="A1756" t="s">
        <v>2766</v>
      </c>
      <c r="B1756" t="s">
        <v>692</v>
      </c>
      <c r="C1756">
        <v>17</v>
      </c>
      <c r="D1756" t="str">
        <f>VLOOKUP(B1756,Products!$A:$E,2,FALSE)</f>
        <v>Product_342</v>
      </c>
      <c r="E1756" t="str">
        <f>VLOOKUP(B1756,Products!$A:$E,3,FALSE)</f>
        <v>Accessories</v>
      </c>
    </row>
    <row r="1757" spans="1:5" x14ac:dyDescent="0.3">
      <c r="A1757" t="s">
        <v>2767</v>
      </c>
      <c r="B1757" t="s">
        <v>96</v>
      </c>
      <c r="C1757">
        <v>90</v>
      </c>
      <c r="D1757" t="str">
        <f>VLOOKUP(B1757,Products!$A:$E,2,FALSE)</f>
        <v>Product_44</v>
      </c>
      <c r="E1757" t="str">
        <f>VLOOKUP(B1757,Products!$A:$E,3,FALSE)</f>
        <v>Storage</v>
      </c>
    </row>
    <row r="1758" spans="1:5" x14ac:dyDescent="0.3">
      <c r="A1758" t="s">
        <v>2768</v>
      </c>
      <c r="B1758" t="s">
        <v>362</v>
      </c>
      <c r="C1758">
        <v>74</v>
      </c>
      <c r="D1758" t="str">
        <f>VLOOKUP(B1758,Products!$A:$E,2,FALSE)</f>
        <v>Product_177</v>
      </c>
      <c r="E1758" t="str">
        <f>VLOOKUP(B1758,Products!$A:$E,3,FALSE)</f>
        <v>Office Supplies</v>
      </c>
    </row>
    <row r="1759" spans="1:5" x14ac:dyDescent="0.3">
      <c r="A1759" t="s">
        <v>2769</v>
      </c>
      <c r="B1759" t="s">
        <v>432</v>
      </c>
      <c r="C1759">
        <v>80</v>
      </c>
      <c r="D1759" t="str">
        <f>VLOOKUP(B1759,Products!$A:$E,2,FALSE)</f>
        <v>Product_212</v>
      </c>
      <c r="E1759" t="str">
        <f>VLOOKUP(B1759,Products!$A:$E,3,FALSE)</f>
        <v>Networking</v>
      </c>
    </row>
    <row r="1760" spans="1:5" x14ac:dyDescent="0.3">
      <c r="A1760" t="s">
        <v>2770</v>
      </c>
      <c r="B1760" t="s">
        <v>242</v>
      </c>
      <c r="C1760">
        <v>75</v>
      </c>
      <c r="D1760" t="str">
        <f>VLOOKUP(B1760,Products!$A:$E,2,FALSE)</f>
        <v>Product_117</v>
      </c>
      <c r="E1760" t="str">
        <f>VLOOKUP(B1760,Products!$A:$E,3,FALSE)</f>
        <v>Storage</v>
      </c>
    </row>
    <row r="1761" spans="1:5" x14ac:dyDescent="0.3">
      <c r="A1761" t="s">
        <v>2771</v>
      </c>
      <c r="B1761" t="s">
        <v>72</v>
      </c>
      <c r="C1761">
        <v>54</v>
      </c>
      <c r="D1761" t="str">
        <f>VLOOKUP(B1761,Products!$A:$E,2,FALSE)</f>
        <v>Product_32</v>
      </c>
      <c r="E1761" t="str">
        <f>VLOOKUP(B1761,Products!$A:$E,3,FALSE)</f>
        <v>Networking</v>
      </c>
    </row>
    <row r="1762" spans="1:5" x14ac:dyDescent="0.3">
      <c r="A1762" t="s">
        <v>2772</v>
      </c>
      <c r="B1762" t="s">
        <v>848</v>
      </c>
      <c r="C1762">
        <v>71</v>
      </c>
      <c r="D1762" t="str">
        <f>VLOOKUP(B1762,Products!$A:$E,2,FALSE)</f>
        <v>Product_420</v>
      </c>
      <c r="E1762" t="str">
        <f>VLOOKUP(B1762,Products!$A:$E,3,FALSE)</f>
        <v>Networking</v>
      </c>
    </row>
    <row r="1763" spans="1:5" x14ac:dyDescent="0.3">
      <c r="A1763" t="s">
        <v>2773</v>
      </c>
      <c r="B1763" t="s">
        <v>438</v>
      </c>
      <c r="C1763">
        <v>73</v>
      </c>
      <c r="D1763" t="str">
        <f>VLOOKUP(B1763,Products!$A:$E,2,FALSE)</f>
        <v>Product_215</v>
      </c>
      <c r="E1763" t="str">
        <f>VLOOKUP(B1763,Products!$A:$E,3,FALSE)</f>
        <v>Electronics</v>
      </c>
    </row>
    <row r="1764" spans="1:5" x14ac:dyDescent="0.3">
      <c r="A1764" t="s">
        <v>2774</v>
      </c>
      <c r="B1764" t="s">
        <v>712</v>
      </c>
      <c r="C1764">
        <v>65</v>
      </c>
      <c r="D1764" t="str">
        <f>VLOOKUP(B1764,Products!$A:$E,2,FALSE)</f>
        <v>Product_352</v>
      </c>
      <c r="E1764" t="str">
        <f>VLOOKUP(B1764,Products!$A:$E,3,FALSE)</f>
        <v>Storage</v>
      </c>
    </row>
    <row r="1765" spans="1:5" x14ac:dyDescent="0.3">
      <c r="A1765" t="s">
        <v>2775</v>
      </c>
      <c r="B1765" t="s">
        <v>596</v>
      </c>
      <c r="C1765">
        <v>35</v>
      </c>
      <c r="D1765" t="str">
        <f>VLOOKUP(B1765,Products!$A:$E,2,FALSE)</f>
        <v>Product_294</v>
      </c>
      <c r="E1765" t="str">
        <f>VLOOKUP(B1765,Products!$A:$E,3,FALSE)</f>
        <v>Networking</v>
      </c>
    </row>
    <row r="1766" spans="1:5" x14ac:dyDescent="0.3">
      <c r="A1766" t="s">
        <v>2776</v>
      </c>
      <c r="B1766" t="s">
        <v>496</v>
      </c>
      <c r="C1766">
        <v>43</v>
      </c>
      <c r="D1766" t="str">
        <f>VLOOKUP(B1766,Products!$A:$E,2,FALSE)</f>
        <v>Product_244</v>
      </c>
      <c r="E1766" t="str">
        <f>VLOOKUP(B1766,Products!$A:$E,3,FALSE)</f>
        <v>Accessories</v>
      </c>
    </row>
    <row r="1767" spans="1:5" x14ac:dyDescent="0.3">
      <c r="A1767" t="s">
        <v>2777</v>
      </c>
      <c r="B1767" t="s">
        <v>90</v>
      </c>
      <c r="C1767">
        <v>55</v>
      </c>
      <c r="D1767" t="str">
        <f>VLOOKUP(B1767,Products!$A:$E,2,FALSE)</f>
        <v>Product_41</v>
      </c>
      <c r="E1767" t="str">
        <f>VLOOKUP(B1767,Products!$A:$E,3,FALSE)</f>
        <v>Accessories</v>
      </c>
    </row>
    <row r="1768" spans="1:5" x14ac:dyDescent="0.3">
      <c r="A1768" t="s">
        <v>2778</v>
      </c>
      <c r="B1768" t="s">
        <v>934</v>
      </c>
      <c r="C1768">
        <v>96</v>
      </c>
      <c r="D1768" t="str">
        <f>VLOOKUP(B1768,Products!$A:$E,2,FALSE)</f>
        <v>Product_463</v>
      </c>
      <c r="E1768" t="str">
        <f>VLOOKUP(B1768,Products!$A:$E,3,FALSE)</f>
        <v>Networking</v>
      </c>
    </row>
    <row r="1769" spans="1:5" x14ac:dyDescent="0.3">
      <c r="A1769" t="s">
        <v>2779</v>
      </c>
      <c r="B1769" t="s">
        <v>44</v>
      </c>
      <c r="C1769">
        <v>69</v>
      </c>
      <c r="D1769" t="str">
        <f>VLOOKUP(B1769,Products!$A:$E,2,FALSE)</f>
        <v>Product_18</v>
      </c>
      <c r="E1769" t="str">
        <f>VLOOKUP(B1769,Products!$A:$E,3,FALSE)</f>
        <v>Networking</v>
      </c>
    </row>
    <row r="1770" spans="1:5" x14ac:dyDescent="0.3">
      <c r="A1770" t="s">
        <v>2780</v>
      </c>
      <c r="B1770" t="s">
        <v>594</v>
      </c>
      <c r="C1770">
        <v>71</v>
      </c>
      <c r="D1770" t="str">
        <f>VLOOKUP(B1770,Products!$A:$E,2,FALSE)</f>
        <v>Product_293</v>
      </c>
      <c r="E1770" t="str">
        <f>VLOOKUP(B1770,Products!$A:$E,3,FALSE)</f>
        <v>Networking</v>
      </c>
    </row>
    <row r="1771" spans="1:5" x14ac:dyDescent="0.3">
      <c r="A1771" t="s">
        <v>2781</v>
      </c>
      <c r="B1771" t="s">
        <v>828</v>
      </c>
      <c r="C1771">
        <v>78</v>
      </c>
      <c r="D1771" t="str">
        <f>VLOOKUP(B1771,Products!$A:$E,2,FALSE)</f>
        <v>Product_410</v>
      </c>
      <c r="E1771" t="str">
        <f>VLOOKUP(B1771,Products!$A:$E,3,FALSE)</f>
        <v>Storage</v>
      </c>
    </row>
    <row r="1772" spans="1:5" x14ac:dyDescent="0.3">
      <c r="A1772" t="s">
        <v>2782</v>
      </c>
      <c r="B1772" t="s">
        <v>702</v>
      </c>
      <c r="C1772">
        <v>84</v>
      </c>
      <c r="D1772" t="str">
        <f>VLOOKUP(B1772,Products!$A:$E,2,FALSE)</f>
        <v>Product_347</v>
      </c>
      <c r="E1772" t="str">
        <f>VLOOKUP(B1772,Products!$A:$E,3,FALSE)</f>
        <v>Storage</v>
      </c>
    </row>
    <row r="1773" spans="1:5" x14ac:dyDescent="0.3">
      <c r="A1773" t="s">
        <v>2783</v>
      </c>
      <c r="B1773" t="s">
        <v>160</v>
      </c>
      <c r="C1773">
        <v>20</v>
      </c>
      <c r="D1773" t="str">
        <f>VLOOKUP(B1773,Products!$A:$E,2,FALSE)</f>
        <v>Product_76</v>
      </c>
      <c r="E1773" t="str">
        <f>VLOOKUP(B1773,Products!$A:$E,3,FALSE)</f>
        <v>Accessories</v>
      </c>
    </row>
    <row r="1774" spans="1:5" x14ac:dyDescent="0.3">
      <c r="A1774" t="s">
        <v>2784</v>
      </c>
      <c r="B1774" t="s">
        <v>982</v>
      </c>
      <c r="C1774">
        <v>62</v>
      </c>
      <c r="D1774" t="str">
        <f>VLOOKUP(B1774,Products!$A:$E,2,FALSE)</f>
        <v>Product_487</v>
      </c>
      <c r="E1774" t="str">
        <f>VLOOKUP(B1774,Products!$A:$E,3,FALSE)</f>
        <v>Networking</v>
      </c>
    </row>
    <row r="1775" spans="1:5" x14ac:dyDescent="0.3">
      <c r="A1775" t="s">
        <v>2785</v>
      </c>
      <c r="B1775" t="s">
        <v>186</v>
      </c>
      <c r="C1775">
        <v>26</v>
      </c>
      <c r="D1775" t="str">
        <f>VLOOKUP(B1775,Products!$A:$E,2,FALSE)</f>
        <v>Product_89</v>
      </c>
      <c r="E1775" t="str">
        <f>VLOOKUP(B1775,Products!$A:$E,3,FALSE)</f>
        <v>Storage</v>
      </c>
    </row>
    <row r="1776" spans="1:5" x14ac:dyDescent="0.3">
      <c r="A1776" t="s">
        <v>2786</v>
      </c>
      <c r="B1776" t="s">
        <v>1004</v>
      </c>
      <c r="C1776">
        <v>32</v>
      </c>
      <c r="D1776" t="str">
        <f>VLOOKUP(B1776,Products!$A:$E,2,FALSE)</f>
        <v>Product_498</v>
      </c>
      <c r="E1776" t="str">
        <f>VLOOKUP(B1776,Products!$A:$E,3,FALSE)</f>
        <v>Office Supplies</v>
      </c>
    </row>
    <row r="1777" spans="1:5" x14ac:dyDescent="0.3">
      <c r="A1777" t="s">
        <v>2787</v>
      </c>
      <c r="B1777" t="s">
        <v>836</v>
      </c>
      <c r="C1777">
        <v>29</v>
      </c>
      <c r="D1777" t="str">
        <f>VLOOKUP(B1777,Products!$A:$E,2,FALSE)</f>
        <v>Product_414</v>
      </c>
      <c r="E1777" t="str">
        <f>VLOOKUP(B1777,Products!$A:$E,3,FALSE)</f>
        <v>Office Supplies</v>
      </c>
    </row>
    <row r="1778" spans="1:5" x14ac:dyDescent="0.3">
      <c r="A1778" t="s">
        <v>2788</v>
      </c>
      <c r="B1778" t="s">
        <v>138</v>
      </c>
      <c r="C1778">
        <v>10</v>
      </c>
      <c r="D1778" t="str">
        <f>VLOOKUP(B1778,Products!$A:$E,2,FALSE)</f>
        <v>Product_65</v>
      </c>
      <c r="E1778" t="str">
        <f>VLOOKUP(B1778,Products!$A:$E,3,FALSE)</f>
        <v>Office Supplies</v>
      </c>
    </row>
    <row r="1779" spans="1:5" x14ac:dyDescent="0.3">
      <c r="A1779" t="s">
        <v>2789</v>
      </c>
      <c r="B1779" t="s">
        <v>442</v>
      </c>
      <c r="C1779">
        <v>15</v>
      </c>
      <c r="D1779" t="str">
        <f>VLOOKUP(B1779,Products!$A:$E,2,FALSE)</f>
        <v>Product_217</v>
      </c>
      <c r="E1779" t="str">
        <f>VLOOKUP(B1779,Products!$A:$E,3,FALSE)</f>
        <v>Networking</v>
      </c>
    </row>
    <row r="1780" spans="1:5" x14ac:dyDescent="0.3">
      <c r="A1780" t="s">
        <v>2790</v>
      </c>
      <c r="B1780" t="s">
        <v>708</v>
      </c>
      <c r="C1780">
        <v>60</v>
      </c>
      <c r="D1780" t="str">
        <f>VLOOKUP(B1780,Products!$A:$E,2,FALSE)</f>
        <v>Product_350</v>
      </c>
      <c r="E1780" t="str">
        <f>VLOOKUP(B1780,Products!$A:$E,3,FALSE)</f>
        <v>Networking</v>
      </c>
    </row>
    <row r="1781" spans="1:5" x14ac:dyDescent="0.3">
      <c r="A1781" t="s">
        <v>2791</v>
      </c>
      <c r="B1781" t="s">
        <v>216</v>
      </c>
      <c r="C1781">
        <v>85</v>
      </c>
      <c r="D1781" t="str">
        <f>VLOOKUP(B1781,Products!$A:$E,2,FALSE)</f>
        <v>Product_104</v>
      </c>
      <c r="E1781" t="str">
        <f>VLOOKUP(B1781,Products!$A:$E,3,FALSE)</f>
        <v>Networking</v>
      </c>
    </row>
    <row r="1782" spans="1:5" x14ac:dyDescent="0.3">
      <c r="A1782" t="s">
        <v>2792</v>
      </c>
      <c r="B1782" t="s">
        <v>160</v>
      </c>
      <c r="C1782">
        <v>81</v>
      </c>
      <c r="D1782" t="str">
        <f>VLOOKUP(B1782,Products!$A:$E,2,FALSE)</f>
        <v>Product_76</v>
      </c>
      <c r="E1782" t="str">
        <f>VLOOKUP(B1782,Products!$A:$E,3,FALSE)</f>
        <v>Accessories</v>
      </c>
    </row>
    <row r="1783" spans="1:5" x14ac:dyDescent="0.3">
      <c r="A1783" t="s">
        <v>2793</v>
      </c>
      <c r="B1783" t="s">
        <v>274</v>
      </c>
      <c r="C1783">
        <v>45</v>
      </c>
      <c r="D1783" t="str">
        <f>VLOOKUP(B1783,Products!$A:$E,2,FALSE)</f>
        <v>Product_133</v>
      </c>
      <c r="E1783" t="str">
        <f>VLOOKUP(B1783,Products!$A:$E,3,FALSE)</f>
        <v>Office Supplies</v>
      </c>
    </row>
    <row r="1784" spans="1:5" x14ac:dyDescent="0.3">
      <c r="A1784" t="s">
        <v>2794</v>
      </c>
      <c r="B1784" t="s">
        <v>942</v>
      </c>
      <c r="C1784">
        <v>98</v>
      </c>
      <c r="D1784" t="str">
        <f>VLOOKUP(B1784,Products!$A:$E,2,FALSE)</f>
        <v>Product_467</v>
      </c>
      <c r="E1784" t="str">
        <f>VLOOKUP(B1784,Products!$A:$E,3,FALSE)</f>
        <v>Accessories</v>
      </c>
    </row>
    <row r="1785" spans="1:5" x14ac:dyDescent="0.3">
      <c r="A1785" t="s">
        <v>2795</v>
      </c>
      <c r="B1785" t="s">
        <v>946</v>
      </c>
      <c r="C1785">
        <v>13</v>
      </c>
      <c r="D1785" t="str">
        <f>VLOOKUP(B1785,Products!$A:$E,2,FALSE)</f>
        <v>Product_469</v>
      </c>
      <c r="E1785" t="str">
        <f>VLOOKUP(B1785,Products!$A:$E,3,FALSE)</f>
        <v>Office Supplies</v>
      </c>
    </row>
    <row r="1786" spans="1:5" x14ac:dyDescent="0.3">
      <c r="A1786" t="s">
        <v>2796</v>
      </c>
      <c r="B1786" t="s">
        <v>98</v>
      </c>
      <c r="C1786">
        <v>54</v>
      </c>
      <c r="D1786" t="str">
        <f>VLOOKUP(B1786,Products!$A:$E,2,FALSE)</f>
        <v>Product_45</v>
      </c>
      <c r="E1786" t="str">
        <f>VLOOKUP(B1786,Products!$A:$E,3,FALSE)</f>
        <v>Accessories</v>
      </c>
    </row>
    <row r="1787" spans="1:5" x14ac:dyDescent="0.3">
      <c r="A1787" t="s">
        <v>2797</v>
      </c>
      <c r="B1787" t="s">
        <v>578</v>
      </c>
      <c r="C1787">
        <v>55</v>
      </c>
      <c r="D1787" t="str">
        <f>VLOOKUP(B1787,Products!$A:$E,2,FALSE)</f>
        <v>Product_285</v>
      </c>
      <c r="E1787" t="str">
        <f>VLOOKUP(B1787,Products!$A:$E,3,FALSE)</f>
        <v>Networking</v>
      </c>
    </row>
    <row r="1788" spans="1:5" x14ac:dyDescent="0.3">
      <c r="A1788" t="s">
        <v>2798</v>
      </c>
      <c r="B1788" t="s">
        <v>574</v>
      </c>
      <c r="C1788">
        <v>46</v>
      </c>
      <c r="D1788" t="str">
        <f>VLOOKUP(B1788,Products!$A:$E,2,FALSE)</f>
        <v>Product_283</v>
      </c>
      <c r="E1788" t="str">
        <f>VLOOKUP(B1788,Products!$A:$E,3,FALSE)</f>
        <v>Networking</v>
      </c>
    </row>
    <row r="1789" spans="1:5" x14ac:dyDescent="0.3">
      <c r="A1789" t="s">
        <v>2799</v>
      </c>
      <c r="B1789" t="s">
        <v>886</v>
      </c>
      <c r="C1789">
        <v>40</v>
      </c>
      <c r="D1789" t="str">
        <f>VLOOKUP(B1789,Products!$A:$E,2,FALSE)</f>
        <v>Product_439</v>
      </c>
      <c r="E1789" t="str">
        <f>VLOOKUP(B1789,Products!$A:$E,3,FALSE)</f>
        <v>Networking</v>
      </c>
    </row>
    <row r="1790" spans="1:5" x14ac:dyDescent="0.3">
      <c r="A1790" t="s">
        <v>2800</v>
      </c>
      <c r="B1790" t="s">
        <v>542</v>
      </c>
      <c r="C1790">
        <v>63</v>
      </c>
      <c r="D1790" t="str">
        <f>VLOOKUP(B1790,Products!$A:$E,2,FALSE)</f>
        <v>Product_267</v>
      </c>
      <c r="E1790" t="str">
        <f>VLOOKUP(B1790,Products!$A:$E,3,FALSE)</f>
        <v>Networking</v>
      </c>
    </row>
    <row r="1791" spans="1:5" x14ac:dyDescent="0.3">
      <c r="A1791" t="s">
        <v>2801</v>
      </c>
      <c r="B1791" t="s">
        <v>948</v>
      </c>
      <c r="C1791">
        <v>6</v>
      </c>
      <c r="D1791" t="str">
        <f>VLOOKUP(B1791,Products!$A:$E,2,FALSE)</f>
        <v>Product_470</v>
      </c>
      <c r="E1791" t="str">
        <f>VLOOKUP(B1791,Products!$A:$E,3,FALSE)</f>
        <v>Networking</v>
      </c>
    </row>
    <row r="1792" spans="1:5" x14ac:dyDescent="0.3">
      <c r="A1792" t="s">
        <v>2802</v>
      </c>
      <c r="B1792" t="s">
        <v>814</v>
      </c>
      <c r="C1792">
        <v>94</v>
      </c>
      <c r="D1792" t="str">
        <f>VLOOKUP(B1792,Products!$A:$E,2,FALSE)</f>
        <v>Product_403</v>
      </c>
      <c r="E1792" t="str">
        <f>VLOOKUP(B1792,Products!$A:$E,3,FALSE)</f>
        <v>Networking</v>
      </c>
    </row>
    <row r="1793" spans="1:5" x14ac:dyDescent="0.3">
      <c r="A1793" t="s">
        <v>2803</v>
      </c>
      <c r="B1793" t="s">
        <v>648</v>
      </c>
      <c r="C1793">
        <v>80</v>
      </c>
      <c r="D1793" t="str">
        <f>VLOOKUP(B1793,Products!$A:$E,2,FALSE)</f>
        <v>Product_320</v>
      </c>
      <c r="E1793" t="str">
        <f>VLOOKUP(B1793,Products!$A:$E,3,FALSE)</f>
        <v>Office Supplies</v>
      </c>
    </row>
    <row r="1794" spans="1:5" x14ac:dyDescent="0.3">
      <c r="A1794" t="s">
        <v>2804</v>
      </c>
      <c r="B1794" t="s">
        <v>544</v>
      </c>
      <c r="C1794">
        <v>58</v>
      </c>
      <c r="D1794" t="str">
        <f>VLOOKUP(B1794,Products!$A:$E,2,FALSE)</f>
        <v>Product_268</v>
      </c>
      <c r="E1794" t="str">
        <f>VLOOKUP(B1794,Products!$A:$E,3,FALSE)</f>
        <v>Office Supplies</v>
      </c>
    </row>
    <row r="1795" spans="1:5" x14ac:dyDescent="0.3">
      <c r="A1795" t="s">
        <v>2805</v>
      </c>
      <c r="B1795" t="s">
        <v>124</v>
      </c>
      <c r="C1795">
        <v>58</v>
      </c>
      <c r="D1795" t="str">
        <f>VLOOKUP(B1795,Products!$A:$E,2,FALSE)</f>
        <v>Product_58</v>
      </c>
      <c r="E1795" t="str">
        <f>VLOOKUP(B1795,Products!$A:$E,3,FALSE)</f>
        <v>Office Supplies</v>
      </c>
    </row>
    <row r="1796" spans="1:5" x14ac:dyDescent="0.3">
      <c r="A1796" t="s">
        <v>2806</v>
      </c>
      <c r="B1796" t="s">
        <v>162</v>
      </c>
      <c r="C1796">
        <v>23</v>
      </c>
      <c r="D1796" t="str">
        <f>VLOOKUP(B1796,Products!$A:$E,2,FALSE)</f>
        <v>Product_77</v>
      </c>
      <c r="E1796" t="str">
        <f>VLOOKUP(B1796,Products!$A:$E,3,FALSE)</f>
        <v>Networking</v>
      </c>
    </row>
    <row r="1797" spans="1:5" x14ac:dyDescent="0.3">
      <c r="A1797" t="s">
        <v>2807</v>
      </c>
      <c r="B1797" t="s">
        <v>590</v>
      </c>
      <c r="C1797">
        <v>80</v>
      </c>
      <c r="D1797" t="str">
        <f>VLOOKUP(B1797,Products!$A:$E,2,FALSE)</f>
        <v>Product_291</v>
      </c>
      <c r="E1797" t="str">
        <f>VLOOKUP(B1797,Products!$A:$E,3,FALSE)</f>
        <v>Networking</v>
      </c>
    </row>
    <row r="1798" spans="1:5" x14ac:dyDescent="0.3">
      <c r="A1798" t="s">
        <v>2808</v>
      </c>
      <c r="B1798" t="s">
        <v>606</v>
      </c>
      <c r="C1798">
        <v>17</v>
      </c>
      <c r="D1798" t="str">
        <f>VLOOKUP(B1798,Products!$A:$E,2,FALSE)</f>
        <v>Product_299</v>
      </c>
      <c r="E1798" t="str">
        <f>VLOOKUP(B1798,Products!$A:$E,3,FALSE)</f>
        <v>Storage</v>
      </c>
    </row>
    <row r="1799" spans="1:5" x14ac:dyDescent="0.3">
      <c r="A1799" t="s">
        <v>2809</v>
      </c>
      <c r="B1799" t="s">
        <v>956</v>
      </c>
      <c r="C1799">
        <v>18</v>
      </c>
      <c r="D1799" t="str">
        <f>VLOOKUP(B1799,Products!$A:$E,2,FALSE)</f>
        <v>Product_474</v>
      </c>
      <c r="E1799" t="str">
        <f>VLOOKUP(B1799,Products!$A:$E,3,FALSE)</f>
        <v>Networking</v>
      </c>
    </row>
    <row r="1800" spans="1:5" x14ac:dyDescent="0.3">
      <c r="A1800" t="s">
        <v>2810</v>
      </c>
      <c r="B1800" t="s">
        <v>586</v>
      </c>
      <c r="C1800">
        <v>17</v>
      </c>
      <c r="D1800" t="str">
        <f>VLOOKUP(B1800,Products!$A:$E,2,FALSE)</f>
        <v>Product_289</v>
      </c>
      <c r="E1800" t="str">
        <f>VLOOKUP(B1800,Products!$A:$E,3,FALSE)</f>
        <v>Storage</v>
      </c>
    </row>
    <row r="1801" spans="1:5" x14ac:dyDescent="0.3">
      <c r="A1801" t="s">
        <v>2811</v>
      </c>
      <c r="B1801" t="s">
        <v>814</v>
      </c>
      <c r="C1801">
        <v>41</v>
      </c>
      <c r="D1801" t="str">
        <f>VLOOKUP(B1801,Products!$A:$E,2,FALSE)</f>
        <v>Product_403</v>
      </c>
      <c r="E1801" t="str">
        <f>VLOOKUP(B1801,Products!$A:$E,3,FALSE)</f>
        <v>Networking</v>
      </c>
    </row>
    <row r="1802" spans="1:5" x14ac:dyDescent="0.3">
      <c r="A1802" t="s">
        <v>2812</v>
      </c>
      <c r="B1802" t="s">
        <v>898</v>
      </c>
      <c r="C1802">
        <v>73</v>
      </c>
      <c r="D1802" t="str">
        <f>VLOOKUP(B1802,Products!$A:$E,2,FALSE)</f>
        <v>Product_445</v>
      </c>
      <c r="E1802" t="str">
        <f>VLOOKUP(B1802,Products!$A:$E,3,FALSE)</f>
        <v>Office Supplies</v>
      </c>
    </row>
    <row r="1803" spans="1:5" x14ac:dyDescent="0.3">
      <c r="A1803" t="s">
        <v>2813</v>
      </c>
      <c r="B1803" t="s">
        <v>910</v>
      </c>
      <c r="C1803">
        <v>49</v>
      </c>
      <c r="D1803" t="str">
        <f>VLOOKUP(B1803,Products!$A:$E,2,FALSE)</f>
        <v>Product_451</v>
      </c>
      <c r="E1803" t="str">
        <f>VLOOKUP(B1803,Products!$A:$E,3,FALSE)</f>
        <v>Accessories</v>
      </c>
    </row>
    <row r="1804" spans="1:5" x14ac:dyDescent="0.3">
      <c r="A1804" t="s">
        <v>2814</v>
      </c>
      <c r="B1804" t="s">
        <v>908</v>
      </c>
      <c r="C1804">
        <v>57</v>
      </c>
      <c r="D1804" t="str">
        <f>VLOOKUP(B1804,Products!$A:$E,2,FALSE)</f>
        <v>Product_450</v>
      </c>
      <c r="E1804" t="str">
        <f>VLOOKUP(B1804,Products!$A:$E,3,FALSE)</f>
        <v>Networking</v>
      </c>
    </row>
    <row r="1805" spans="1:5" x14ac:dyDescent="0.3">
      <c r="A1805" t="s">
        <v>2815</v>
      </c>
      <c r="B1805" t="s">
        <v>280</v>
      </c>
      <c r="C1805">
        <v>54</v>
      </c>
      <c r="D1805" t="str">
        <f>VLOOKUP(B1805,Products!$A:$E,2,FALSE)</f>
        <v>Product_136</v>
      </c>
      <c r="E1805" t="str">
        <f>VLOOKUP(B1805,Products!$A:$E,3,FALSE)</f>
        <v>Storage</v>
      </c>
    </row>
    <row r="1806" spans="1:5" x14ac:dyDescent="0.3">
      <c r="A1806" t="s">
        <v>2816</v>
      </c>
      <c r="B1806" t="s">
        <v>680</v>
      </c>
      <c r="C1806">
        <v>67</v>
      </c>
      <c r="D1806" t="str">
        <f>VLOOKUP(B1806,Products!$A:$E,2,FALSE)</f>
        <v>Product_336</v>
      </c>
      <c r="E1806" t="str">
        <f>VLOOKUP(B1806,Products!$A:$E,3,FALSE)</f>
        <v>Storage</v>
      </c>
    </row>
    <row r="1807" spans="1:5" x14ac:dyDescent="0.3">
      <c r="A1807" t="s">
        <v>2817</v>
      </c>
      <c r="B1807" t="s">
        <v>594</v>
      </c>
      <c r="C1807">
        <v>82</v>
      </c>
      <c r="D1807" t="str">
        <f>VLOOKUP(B1807,Products!$A:$E,2,FALSE)</f>
        <v>Product_293</v>
      </c>
      <c r="E1807" t="str">
        <f>VLOOKUP(B1807,Products!$A:$E,3,FALSE)</f>
        <v>Networking</v>
      </c>
    </row>
    <row r="1808" spans="1:5" x14ac:dyDescent="0.3">
      <c r="A1808" t="s">
        <v>2818</v>
      </c>
      <c r="B1808" t="s">
        <v>494</v>
      </c>
      <c r="C1808">
        <v>9</v>
      </c>
      <c r="D1808" t="str">
        <f>VLOOKUP(B1808,Products!$A:$E,2,FALSE)</f>
        <v>Product_243</v>
      </c>
      <c r="E1808" t="str">
        <f>VLOOKUP(B1808,Products!$A:$E,3,FALSE)</f>
        <v>Storage</v>
      </c>
    </row>
    <row r="1809" spans="1:5" x14ac:dyDescent="0.3">
      <c r="A1809" t="s">
        <v>2819</v>
      </c>
      <c r="B1809" t="s">
        <v>186</v>
      </c>
      <c r="C1809">
        <v>40</v>
      </c>
      <c r="D1809" t="str">
        <f>VLOOKUP(B1809,Products!$A:$E,2,FALSE)</f>
        <v>Product_89</v>
      </c>
      <c r="E1809" t="str">
        <f>VLOOKUP(B1809,Products!$A:$E,3,FALSE)</f>
        <v>Storage</v>
      </c>
    </row>
    <row r="1810" spans="1:5" x14ac:dyDescent="0.3">
      <c r="A1810" t="s">
        <v>2820</v>
      </c>
      <c r="B1810" t="s">
        <v>422</v>
      </c>
      <c r="C1810">
        <v>23</v>
      </c>
      <c r="D1810" t="str">
        <f>VLOOKUP(B1810,Products!$A:$E,2,FALSE)</f>
        <v>Product_207</v>
      </c>
      <c r="E1810" t="str">
        <f>VLOOKUP(B1810,Products!$A:$E,3,FALSE)</f>
        <v>Accessories</v>
      </c>
    </row>
    <row r="1811" spans="1:5" x14ac:dyDescent="0.3">
      <c r="A1811" t="s">
        <v>2821</v>
      </c>
      <c r="B1811" t="s">
        <v>642</v>
      </c>
      <c r="C1811">
        <v>82</v>
      </c>
      <c r="D1811" t="str">
        <f>VLOOKUP(B1811,Products!$A:$E,2,FALSE)</f>
        <v>Product_317</v>
      </c>
      <c r="E1811" t="str">
        <f>VLOOKUP(B1811,Products!$A:$E,3,FALSE)</f>
        <v>Storage</v>
      </c>
    </row>
    <row r="1812" spans="1:5" x14ac:dyDescent="0.3">
      <c r="A1812" t="s">
        <v>2822</v>
      </c>
      <c r="B1812" t="s">
        <v>706</v>
      </c>
      <c r="C1812">
        <v>93</v>
      </c>
      <c r="D1812" t="str">
        <f>VLOOKUP(B1812,Products!$A:$E,2,FALSE)</f>
        <v>Product_349</v>
      </c>
      <c r="E1812" t="str">
        <f>VLOOKUP(B1812,Products!$A:$E,3,FALSE)</f>
        <v>Office Supplies</v>
      </c>
    </row>
    <row r="1813" spans="1:5" x14ac:dyDescent="0.3">
      <c r="A1813" t="s">
        <v>2823</v>
      </c>
      <c r="B1813" t="s">
        <v>420</v>
      </c>
      <c r="C1813">
        <v>9</v>
      </c>
      <c r="D1813" t="str">
        <f>VLOOKUP(B1813,Products!$A:$E,2,FALSE)</f>
        <v>Product_206</v>
      </c>
      <c r="E1813" t="str">
        <f>VLOOKUP(B1813,Products!$A:$E,3,FALSE)</f>
        <v>Accessories</v>
      </c>
    </row>
    <row r="1814" spans="1:5" x14ac:dyDescent="0.3">
      <c r="A1814" t="s">
        <v>2824</v>
      </c>
      <c r="B1814" t="s">
        <v>414</v>
      </c>
      <c r="C1814">
        <v>47</v>
      </c>
      <c r="D1814" t="str">
        <f>VLOOKUP(B1814,Products!$A:$E,2,FALSE)</f>
        <v>Product_203</v>
      </c>
      <c r="E1814" t="str">
        <f>VLOOKUP(B1814,Products!$A:$E,3,FALSE)</f>
        <v>Accessories</v>
      </c>
    </row>
    <row r="1815" spans="1:5" x14ac:dyDescent="0.3">
      <c r="A1815" t="s">
        <v>2825</v>
      </c>
      <c r="B1815" t="s">
        <v>716</v>
      </c>
      <c r="C1815">
        <v>35</v>
      </c>
      <c r="D1815" t="str">
        <f>VLOOKUP(B1815,Products!$A:$E,2,FALSE)</f>
        <v>Product_354</v>
      </c>
      <c r="E1815" t="str">
        <f>VLOOKUP(B1815,Products!$A:$E,3,FALSE)</f>
        <v>Storage</v>
      </c>
    </row>
    <row r="1816" spans="1:5" x14ac:dyDescent="0.3">
      <c r="A1816" t="s">
        <v>2826</v>
      </c>
      <c r="B1816" t="s">
        <v>60</v>
      </c>
      <c r="C1816">
        <v>100</v>
      </c>
      <c r="D1816" t="str">
        <f>VLOOKUP(B1816,Products!$A:$E,2,FALSE)</f>
        <v>Product_26</v>
      </c>
      <c r="E1816" t="str">
        <f>VLOOKUP(B1816,Products!$A:$E,3,FALSE)</f>
        <v>Office Supplies</v>
      </c>
    </row>
    <row r="1817" spans="1:5" x14ac:dyDescent="0.3">
      <c r="A1817" t="s">
        <v>2827</v>
      </c>
      <c r="B1817" t="s">
        <v>496</v>
      </c>
      <c r="C1817">
        <v>39</v>
      </c>
      <c r="D1817" t="str">
        <f>VLOOKUP(B1817,Products!$A:$E,2,FALSE)</f>
        <v>Product_244</v>
      </c>
      <c r="E1817" t="str">
        <f>VLOOKUP(B1817,Products!$A:$E,3,FALSE)</f>
        <v>Accessories</v>
      </c>
    </row>
    <row r="1818" spans="1:5" x14ac:dyDescent="0.3">
      <c r="A1818" t="s">
        <v>2828</v>
      </c>
      <c r="B1818" t="s">
        <v>928</v>
      </c>
      <c r="C1818">
        <v>52</v>
      </c>
      <c r="D1818" t="str">
        <f>VLOOKUP(B1818,Products!$A:$E,2,FALSE)</f>
        <v>Product_460</v>
      </c>
      <c r="E1818" t="str">
        <f>VLOOKUP(B1818,Products!$A:$E,3,FALSE)</f>
        <v>Accessories</v>
      </c>
    </row>
    <row r="1819" spans="1:5" x14ac:dyDescent="0.3">
      <c r="A1819" t="s">
        <v>2829</v>
      </c>
      <c r="B1819" t="s">
        <v>30</v>
      </c>
      <c r="C1819">
        <v>48</v>
      </c>
      <c r="D1819" t="str">
        <f>VLOOKUP(B1819,Products!$A:$E,2,FALSE)</f>
        <v>Product_11</v>
      </c>
      <c r="E1819" t="str">
        <f>VLOOKUP(B1819,Products!$A:$E,3,FALSE)</f>
        <v>Electronics</v>
      </c>
    </row>
    <row r="1820" spans="1:5" x14ac:dyDescent="0.3">
      <c r="A1820" t="s">
        <v>2830</v>
      </c>
      <c r="B1820" t="s">
        <v>846</v>
      </c>
      <c r="C1820">
        <v>43</v>
      </c>
      <c r="D1820" t="str">
        <f>VLOOKUP(B1820,Products!$A:$E,2,FALSE)</f>
        <v>Product_419</v>
      </c>
      <c r="E1820" t="str">
        <f>VLOOKUP(B1820,Products!$A:$E,3,FALSE)</f>
        <v>Networking</v>
      </c>
    </row>
    <row r="1821" spans="1:5" x14ac:dyDescent="0.3">
      <c r="A1821" t="s">
        <v>2831</v>
      </c>
      <c r="B1821" t="s">
        <v>328</v>
      </c>
      <c r="C1821">
        <v>40</v>
      </c>
      <c r="D1821" t="str">
        <f>VLOOKUP(B1821,Products!$A:$E,2,FALSE)</f>
        <v>Product_160</v>
      </c>
      <c r="E1821" t="str">
        <f>VLOOKUP(B1821,Products!$A:$E,3,FALSE)</f>
        <v>Office Supplies</v>
      </c>
    </row>
    <row r="1822" spans="1:5" x14ac:dyDescent="0.3">
      <c r="A1822" t="s">
        <v>2832</v>
      </c>
      <c r="B1822" t="s">
        <v>872</v>
      </c>
      <c r="C1822">
        <v>67</v>
      </c>
      <c r="D1822" t="str">
        <f>VLOOKUP(B1822,Products!$A:$E,2,FALSE)</f>
        <v>Product_432</v>
      </c>
      <c r="E1822" t="str">
        <f>VLOOKUP(B1822,Products!$A:$E,3,FALSE)</f>
        <v>Office Supplies</v>
      </c>
    </row>
    <row r="1823" spans="1:5" x14ac:dyDescent="0.3">
      <c r="A1823" t="s">
        <v>2833</v>
      </c>
      <c r="B1823" t="s">
        <v>888</v>
      </c>
      <c r="C1823">
        <v>94</v>
      </c>
      <c r="D1823" t="str">
        <f>VLOOKUP(B1823,Products!$A:$E,2,FALSE)</f>
        <v>Product_440</v>
      </c>
      <c r="E1823" t="str">
        <f>VLOOKUP(B1823,Products!$A:$E,3,FALSE)</f>
        <v>Accessories</v>
      </c>
    </row>
    <row r="1824" spans="1:5" x14ac:dyDescent="0.3">
      <c r="A1824" t="s">
        <v>2834</v>
      </c>
      <c r="B1824" t="s">
        <v>710</v>
      </c>
      <c r="C1824">
        <v>17</v>
      </c>
      <c r="D1824" t="str">
        <f>VLOOKUP(B1824,Products!$A:$E,2,FALSE)</f>
        <v>Product_351</v>
      </c>
      <c r="E1824" t="str">
        <f>VLOOKUP(B1824,Products!$A:$E,3,FALSE)</f>
        <v>Accessories</v>
      </c>
    </row>
    <row r="1825" spans="1:5" x14ac:dyDescent="0.3">
      <c r="A1825" t="s">
        <v>2835</v>
      </c>
      <c r="B1825" t="s">
        <v>1004</v>
      </c>
      <c r="C1825">
        <v>34</v>
      </c>
      <c r="D1825" t="str">
        <f>VLOOKUP(B1825,Products!$A:$E,2,FALSE)</f>
        <v>Product_498</v>
      </c>
      <c r="E1825" t="str">
        <f>VLOOKUP(B1825,Products!$A:$E,3,FALSE)</f>
        <v>Office Supplies</v>
      </c>
    </row>
    <row r="1826" spans="1:5" x14ac:dyDescent="0.3">
      <c r="A1826" t="s">
        <v>2836</v>
      </c>
      <c r="B1826" t="s">
        <v>146</v>
      </c>
      <c r="C1826">
        <v>43</v>
      </c>
      <c r="D1826" t="str">
        <f>VLOOKUP(B1826,Products!$A:$E,2,FALSE)</f>
        <v>Product_69</v>
      </c>
      <c r="E1826" t="str">
        <f>VLOOKUP(B1826,Products!$A:$E,3,FALSE)</f>
        <v>Electronics</v>
      </c>
    </row>
    <row r="1827" spans="1:5" x14ac:dyDescent="0.3">
      <c r="A1827" t="s">
        <v>2837</v>
      </c>
      <c r="B1827" t="s">
        <v>1006</v>
      </c>
      <c r="C1827">
        <v>100</v>
      </c>
      <c r="D1827" t="str">
        <f>VLOOKUP(B1827,Products!$A:$E,2,FALSE)</f>
        <v>Product_499</v>
      </c>
      <c r="E1827" t="str">
        <f>VLOOKUP(B1827,Products!$A:$E,3,FALSE)</f>
        <v>Office Supplies</v>
      </c>
    </row>
    <row r="1828" spans="1:5" x14ac:dyDescent="0.3">
      <c r="A1828" t="s">
        <v>2838</v>
      </c>
      <c r="B1828" t="s">
        <v>462</v>
      </c>
      <c r="C1828">
        <v>46</v>
      </c>
      <c r="D1828" t="str">
        <f>VLOOKUP(B1828,Products!$A:$E,2,FALSE)</f>
        <v>Product_227</v>
      </c>
      <c r="E1828" t="str">
        <f>VLOOKUP(B1828,Products!$A:$E,3,FALSE)</f>
        <v>Accessories</v>
      </c>
    </row>
    <row r="1829" spans="1:5" x14ac:dyDescent="0.3">
      <c r="A1829" t="s">
        <v>2839</v>
      </c>
      <c r="B1829" t="s">
        <v>284</v>
      </c>
      <c r="C1829">
        <v>98</v>
      </c>
      <c r="D1829" t="str">
        <f>VLOOKUP(B1829,Products!$A:$E,2,FALSE)</f>
        <v>Product_138</v>
      </c>
      <c r="E1829" t="str">
        <f>VLOOKUP(B1829,Products!$A:$E,3,FALSE)</f>
        <v>Electronics</v>
      </c>
    </row>
    <row r="1830" spans="1:5" x14ac:dyDescent="0.3">
      <c r="A1830" t="s">
        <v>2840</v>
      </c>
      <c r="B1830" t="s">
        <v>436</v>
      </c>
      <c r="C1830">
        <v>82</v>
      </c>
      <c r="D1830" t="str">
        <f>VLOOKUP(B1830,Products!$A:$E,2,FALSE)</f>
        <v>Product_214</v>
      </c>
      <c r="E1830" t="str">
        <f>VLOOKUP(B1830,Products!$A:$E,3,FALSE)</f>
        <v>Electronics</v>
      </c>
    </row>
    <row r="1831" spans="1:5" x14ac:dyDescent="0.3">
      <c r="A1831" t="s">
        <v>2841</v>
      </c>
      <c r="B1831" t="s">
        <v>670</v>
      </c>
      <c r="C1831">
        <v>16</v>
      </c>
      <c r="D1831" t="str">
        <f>VLOOKUP(B1831,Products!$A:$E,2,FALSE)</f>
        <v>Product_331</v>
      </c>
      <c r="E1831" t="str">
        <f>VLOOKUP(B1831,Products!$A:$E,3,FALSE)</f>
        <v>Electronics</v>
      </c>
    </row>
    <row r="1832" spans="1:5" x14ac:dyDescent="0.3">
      <c r="A1832" t="s">
        <v>2842</v>
      </c>
      <c r="B1832" t="s">
        <v>202</v>
      </c>
      <c r="C1832">
        <v>61</v>
      </c>
      <c r="D1832" t="str">
        <f>VLOOKUP(B1832,Products!$A:$E,2,FALSE)</f>
        <v>Product_97</v>
      </c>
      <c r="E1832" t="str">
        <f>VLOOKUP(B1832,Products!$A:$E,3,FALSE)</f>
        <v>Accessories</v>
      </c>
    </row>
    <row r="1833" spans="1:5" x14ac:dyDescent="0.3">
      <c r="A1833" t="s">
        <v>2843</v>
      </c>
      <c r="B1833" t="s">
        <v>226</v>
      </c>
      <c r="C1833">
        <v>57</v>
      </c>
      <c r="D1833" t="str">
        <f>VLOOKUP(B1833,Products!$A:$E,2,FALSE)</f>
        <v>Product_109</v>
      </c>
      <c r="E1833" t="str">
        <f>VLOOKUP(B1833,Products!$A:$E,3,FALSE)</f>
        <v>Storage</v>
      </c>
    </row>
    <row r="1834" spans="1:5" x14ac:dyDescent="0.3">
      <c r="A1834" t="s">
        <v>2844</v>
      </c>
      <c r="B1834" t="s">
        <v>768</v>
      </c>
      <c r="C1834">
        <v>67</v>
      </c>
      <c r="D1834" t="str">
        <f>VLOOKUP(B1834,Products!$A:$E,2,FALSE)</f>
        <v>Product_380</v>
      </c>
      <c r="E1834" t="str">
        <f>VLOOKUP(B1834,Products!$A:$E,3,FALSE)</f>
        <v>Electronics</v>
      </c>
    </row>
    <row r="1835" spans="1:5" x14ac:dyDescent="0.3">
      <c r="A1835" t="s">
        <v>2845</v>
      </c>
      <c r="B1835" t="s">
        <v>786</v>
      </c>
      <c r="C1835">
        <v>71</v>
      </c>
      <c r="D1835" t="str">
        <f>VLOOKUP(B1835,Products!$A:$E,2,FALSE)</f>
        <v>Product_389</v>
      </c>
      <c r="E1835" t="str">
        <f>VLOOKUP(B1835,Products!$A:$E,3,FALSE)</f>
        <v>Networking</v>
      </c>
    </row>
    <row r="1836" spans="1:5" x14ac:dyDescent="0.3">
      <c r="A1836" t="s">
        <v>2846</v>
      </c>
      <c r="B1836" t="s">
        <v>898</v>
      </c>
      <c r="C1836">
        <v>52</v>
      </c>
      <c r="D1836" t="str">
        <f>VLOOKUP(B1836,Products!$A:$E,2,FALSE)</f>
        <v>Product_445</v>
      </c>
      <c r="E1836" t="str">
        <f>VLOOKUP(B1836,Products!$A:$E,3,FALSE)</f>
        <v>Office Supplies</v>
      </c>
    </row>
    <row r="1837" spans="1:5" x14ac:dyDescent="0.3">
      <c r="A1837" t="s">
        <v>2847</v>
      </c>
      <c r="B1837" t="s">
        <v>850</v>
      </c>
      <c r="C1837">
        <v>12</v>
      </c>
      <c r="D1837" t="str">
        <f>VLOOKUP(B1837,Products!$A:$E,2,FALSE)</f>
        <v>Product_421</v>
      </c>
      <c r="E1837" t="str">
        <f>VLOOKUP(B1837,Products!$A:$E,3,FALSE)</f>
        <v>Accessories</v>
      </c>
    </row>
    <row r="1838" spans="1:5" x14ac:dyDescent="0.3">
      <c r="A1838" t="s">
        <v>2848</v>
      </c>
      <c r="B1838" t="s">
        <v>536</v>
      </c>
      <c r="C1838">
        <v>25</v>
      </c>
      <c r="D1838" t="str">
        <f>VLOOKUP(B1838,Products!$A:$E,2,FALSE)</f>
        <v>Product_264</v>
      </c>
      <c r="E1838" t="str">
        <f>VLOOKUP(B1838,Products!$A:$E,3,FALSE)</f>
        <v>Electronics</v>
      </c>
    </row>
    <row r="1839" spans="1:5" x14ac:dyDescent="0.3">
      <c r="A1839" t="s">
        <v>2849</v>
      </c>
      <c r="B1839" t="s">
        <v>76</v>
      </c>
      <c r="C1839">
        <v>44</v>
      </c>
      <c r="D1839" t="str">
        <f>VLOOKUP(B1839,Products!$A:$E,2,FALSE)</f>
        <v>Product_34</v>
      </c>
      <c r="E1839" t="str">
        <f>VLOOKUP(B1839,Products!$A:$E,3,FALSE)</f>
        <v>Office Supplies</v>
      </c>
    </row>
    <row r="1840" spans="1:5" x14ac:dyDescent="0.3">
      <c r="A1840" t="s">
        <v>2850</v>
      </c>
      <c r="B1840" t="s">
        <v>736</v>
      </c>
      <c r="C1840">
        <v>69</v>
      </c>
      <c r="D1840" t="str">
        <f>VLOOKUP(B1840,Products!$A:$E,2,FALSE)</f>
        <v>Product_364</v>
      </c>
      <c r="E1840" t="str">
        <f>VLOOKUP(B1840,Products!$A:$E,3,FALSE)</f>
        <v>Networking</v>
      </c>
    </row>
    <row r="1841" spans="1:5" x14ac:dyDescent="0.3">
      <c r="A1841" t="s">
        <v>2851</v>
      </c>
      <c r="B1841" t="s">
        <v>422</v>
      </c>
      <c r="C1841">
        <v>22</v>
      </c>
      <c r="D1841" t="str">
        <f>VLOOKUP(B1841,Products!$A:$E,2,FALSE)</f>
        <v>Product_207</v>
      </c>
      <c r="E1841" t="str">
        <f>VLOOKUP(B1841,Products!$A:$E,3,FALSE)</f>
        <v>Accessories</v>
      </c>
    </row>
    <row r="1842" spans="1:5" x14ac:dyDescent="0.3">
      <c r="A1842" t="s">
        <v>2852</v>
      </c>
      <c r="B1842" t="s">
        <v>808</v>
      </c>
      <c r="C1842">
        <v>72</v>
      </c>
      <c r="D1842" t="str">
        <f>VLOOKUP(B1842,Products!$A:$E,2,FALSE)</f>
        <v>Product_400</v>
      </c>
      <c r="E1842" t="str">
        <f>VLOOKUP(B1842,Products!$A:$E,3,FALSE)</f>
        <v>Networking</v>
      </c>
    </row>
    <row r="1843" spans="1:5" x14ac:dyDescent="0.3">
      <c r="A1843" t="s">
        <v>2853</v>
      </c>
      <c r="B1843" t="s">
        <v>910</v>
      </c>
      <c r="C1843">
        <v>77</v>
      </c>
      <c r="D1843" t="str">
        <f>VLOOKUP(B1843,Products!$A:$E,2,FALSE)</f>
        <v>Product_451</v>
      </c>
      <c r="E1843" t="str">
        <f>VLOOKUP(B1843,Products!$A:$E,3,FALSE)</f>
        <v>Accessories</v>
      </c>
    </row>
    <row r="1844" spans="1:5" x14ac:dyDescent="0.3">
      <c r="A1844" t="s">
        <v>2854</v>
      </c>
      <c r="B1844" t="s">
        <v>38</v>
      </c>
      <c r="C1844">
        <v>27</v>
      </c>
      <c r="D1844" t="str">
        <f>VLOOKUP(B1844,Products!$A:$E,2,FALSE)</f>
        <v>Product_15</v>
      </c>
      <c r="E1844" t="str">
        <f>VLOOKUP(B1844,Products!$A:$E,3,FALSE)</f>
        <v>Electronics</v>
      </c>
    </row>
    <row r="1845" spans="1:5" x14ac:dyDescent="0.3">
      <c r="A1845" t="s">
        <v>2855</v>
      </c>
      <c r="B1845" t="s">
        <v>206</v>
      </c>
      <c r="C1845">
        <v>30</v>
      </c>
      <c r="D1845" t="str">
        <f>VLOOKUP(B1845,Products!$A:$E,2,FALSE)</f>
        <v>Product_99</v>
      </c>
      <c r="E1845" t="str">
        <f>VLOOKUP(B1845,Products!$A:$E,3,FALSE)</f>
        <v>Accessories</v>
      </c>
    </row>
    <row r="1846" spans="1:5" x14ac:dyDescent="0.3">
      <c r="A1846" t="s">
        <v>2856</v>
      </c>
      <c r="B1846" t="s">
        <v>866</v>
      </c>
      <c r="C1846">
        <v>12</v>
      </c>
      <c r="D1846" t="str">
        <f>VLOOKUP(B1846,Products!$A:$E,2,FALSE)</f>
        <v>Product_429</v>
      </c>
      <c r="E1846" t="str">
        <f>VLOOKUP(B1846,Products!$A:$E,3,FALSE)</f>
        <v>Office Supplies</v>
      </c>
    </row>
    <row r="1847" spans="1:5" x14ac:dyDescent="0.3">
      <c r="A1847" t="s">
        <v>2857</v>
      </c>
      <c r="B1847" t="s">
        <v>264</v>
      </c>
      <c r="C1847">
        <v>9</v>
      </c>
      <c r="D1847" t="str">
        <f>VLOOKUP(B1847,Products!$A:$E,2,FALSE)</f>
        <v>Product_128</v>
      </c>
      <c r="E1847" t="str">
        <f>VLOOKUP(B1847,Products!$A:$E,3,FALSE)</f>
        <v>Office Supplies</v>
      </c>
    </row>
    <row r="1848" spans="1:5" x14ac:dyDescent="0.3">
      <c r="A1848" t="s">
        <v>2858</v>
      </c>
      <c r="B1848" t="s">
        <v>476</v>
      </c>
      <c r="C1848">
        <v>11</v>
      </c>
      <c r="D1848" t="str">
        <f>VLOOKUP(B1848,Products!$A:$E,2,FALSE)</f>
        <v>Product_234</v>
      </c>
      <c r="E1848" t="str">
        <f>VLOOKUP(B1848,Products!$A:$E,3,FALSE)</f>
        <v>Networking</v>
      </c>
    </row>
    <row r="1849" spans="1:5" x14ac:dyDescent="0.3">
      <c r="A1849" t="s">
        <v>2859</v>
      </c>
      <c r="B1849" t="s">
        <v>950</v>
      </c>
      <c r="C1849">
        <v>51</v>
      </c>
      <c r="D1849" t="str">
        <f>VLOOKUP(B1849,Products!$A:$E,2,FALSE)</f>
        <v>Product_471</v>
      </c>
      <c r="E1849" t="str">
        <f>VLOOKUP(B1849,Products!$A:$E,3,FALSE)</f>
        <v>Office Supplies</v>
      </c>
    </row>
    <row r="1850" spans="1:5" x14ac:dyDescent="0.3">
      <c r="A1850" t="s">
        <v>2860</v>
      </c>
      <c r="B1850" t="s">
        <v>730</v>
      </c>
      <c r="C1850">
        <v>30</v>
      </c>
      <c r="D1850" t="str">
        <f>VLOOKUP(B1850,Products!$A:$E,2,FALSE)</f>
        <v>Product_361</v>
      </c>
      <c r="E1850" t="str">
        <f>VLOOKUP(B1850,Products!$A:$E,3,FALSE)</f>
        <v>Office Supplies</v>
      </c>
    </row>
    <row r="1851" spans="1:5" x14ac:dyDescent="0.3">
      <c r="A1851" t="s">
        <v>2861</v>
      </c>
      <c r="B1851" t="s">
        <v>290</v>
      </c>
      <c r="C1851">
        <v>52</v>
      </c>
      <c r="D1851" t="str">
        <f>VLOOKUP(B1851,Products!$A:$E,2,FALSE)</f>
        <v>Product_141</v>
      </c>
      <c r="E1851" t="str">
        <f>VLOOKUP(B1851,Products!$A:$E,3,FALSE)</f>
        <v>Electronics</v>
      </c>
    </row>
    <row r="1852" spans="1:5" x14ac:dyDescent="0.3">
      <c r="A1852" t="s">
        <v>2862</v>
      </c>
      <c r="B1852" t="s">
        <v>852</v>
      </c>
      <c r="C1852">
        <v>64</v>
      </c>
      <c r="D1852" t="str">
        <f>VLOOKUP(B1852,Products!$A:$E,2,FALSE)</f>
        <v>Product_422</v>
      </c>
      <c r="E1852" t="str">
        <f>VLOOKUP(B1852,Products!$A:$E,3,FALSE)</f>
        <v>Accessories</v>
      </c>
    </row>
    <row r="1853" spans="1:5" x14ac:dyDescent="0.3">
      <c r="A1853" t="s">
        <v>2863</v>
      </c>
      <c r="B1853" t="s">
        <v>526</v>
      </c>
      <c r="C1853">
        <v>55</v>
      </c>
      <c r="D1853" t="str">
        <f>VLOOKUP(B1853,Products!$A:$E,2,FALSE)</f>
        <v>Product_259</v>
      </c>
      <c r="E1853" t="str">
        <f>VLOOKUP(B1853,Products!$A:$E,3,FALSE)</f>
        <v>Electronics</v>
      </c>
    </row>
    <row r="1854" spans="1:5" x14ac:dyDescent="0.3">
      <c r="A1854" t="s">
        <v>2864</v>
      </c>
      <c r="B1854" t="s">
        <v>660</v>
      </c>
      <c r="C1854">
        <v>20</v>
      </c>
      <c r="D1854" t="str">
        <f>VLOOKUP(B1854,Products!$A:$E,2,FALSE)</f>
        <v>Product_326</v>
      </c>
      <c r="E1854" t="str">
        <f>VLOOKUP(B1854,Products!$A:$E,3,FALSE)</f>
        <v>Electronics</v>
      </c>
    </row>
    <row r="1855" spans="1:5" x14ac:dyDescent="0.3">
      <c r="A1855" t="s">
        <v>2865</v>
      </c>
      <c r="B1855" t="s">
        <v>706</v>
      </c>
      <c r="C1855">
        <v>8</v>
      </c>
      <c r="D1855" t="str">
        <f>VLOOKUP(B1855,Products!$A:$E,2,FALSE)</f>
        <v>Product_349</v>
      </c>
      <c r="E1855" t="str">
        <f>VLOOKUP(B1855,Products!$A:$E,3,FALSE)</f>
        <v>Office Supplies</v>
      </c>
    </row>
    <row r="1856" spans="1:5" x14ac:dyDescent="0.3">
      <c r="A1856" t="s">
        <v>2866</v>
      </c>
      <c r="B1856" t="s">
        <v>256</v>
      </c>
      <c r="C1856">
        <v>52</v>
      </c>
      <c r="D1856" t="str">
        <f>VLOOKUP(B1856,Products!$A:$E,2,FALSE)</f>
        <v>Product_124</v>
      </c>
      <c r="E1856" t="str">
        <f>VLOOKUP(B1856,Products!$A:$E,3,FALSE)</f>
        <v>Storage</v>
      </c>
    </row>
    <row r="1857" spans="1:5" x14ac:dyDescent="0.3">
      <c r="A1857" t="s">
        <v>2867</v>
      </c>
      <c r="B1857" t="s">
        <v>510</v>
      </c>
      <c r="C1857">
        <v>81</v>
      </c>
      <c r="D1857" t="str">
        <f>VLOOKUP(B1857,Products!$A:$E,2,FALSE)</f>
        <v>Product_251</v>
      </c>
      <c r="E1857" t="str">
        <f>VLOOKUP(B1857,Products!$A:$E,3,FALSE)</f>
        <v>Electronics</v>
      </c>
    </row>
    <row r="1858" spans="1:5" x14ac:dyDescent="0.3">
      <c r="A1858" t="s">
        <v>2868</v>
      </c>
      <c r="B1858" t="s">
        <v>466</v>
      </c>
      <c r="C1858">
        <v>27</v>
      </c>
      <c r="D1858" t="str">
        <f>VLOOKUP(B1858,Products!$A:$E,2,FALSE)</f>
        <v>Product_229</v>
      </c>
      <c r="E1858" t="str">
        <f>VLOOKUP(B1858,Products!$A:$E,3,FALSE)</f>
        <v>Accessories</v>
      </c>
    </row>
    <row r="1859" spans="1:5" x14ac:dyDescent="0.3">
      <c r="A1859" t="s">
        <v>2869</v>
      </c>
      <c r="B1859" t="s">
        <v>992</v>
      </c>
      <c r="C1859">
        <v>65</v>
      </c>
      <c r="D1859" t="str">
        <f>VLOOKUP(B1859,Products!$A:$E,2,FALSE)</f>
        <v>Product_492</v>
      </c>
      <c r="E1859" t="str">
        <f>VLOOKUP(B1859,Products!$A:$E,3,FALSE)</f>
        <v>Electronics</v>
      </c>
    </row>
    <row r="1860" spans="1:5" x14ac:dyDescent="0.3">
      <c r="A1860" t="s">
        <v>2870</v>
      </c>
      <c r="B1860" t="s">
        <v>610</v>
      </c>
      <c r="C1860">
        <v>75</v>
      </c>
      <c r="D1860" t="str">
        <f>VLOOKUP(B1860,Products!$A:$E,2,FALSE)</f>
        <v>Product_301</v>
      </c>
      <c r="E1860" t="str">
        <f>VLOOKUP(B1860,Products!$A:$E,3,FALSE)</f>
        <v>Networking</v>
      </c>
    </row>
    <row r="1861" spans="1:5" x14ac:dyDescent="0.3">
      <c r="A1861" t="s">
        <v>2871</v>
      </c>
      <c r="B1861" t="s">
        <v>368</v>
      </c>
      <c r="C1861">
        <v>49</v>
      </c>
      <c r="D1861" t="str">
        <f>VLOOKUP(B1861,Products!$A:$E,2,FALSE)</f>
        <v>Product_180</v>
      </c>
      <c r="E1861" t="str">
        <f>VLOOKUP(B1861,Products!$A:$E,3,FALSE)</f>
        <v>Office Supplies</v>
      </c>
    </row>
    <row r="1862" spans="1:5" x14ac:dyDescent="0.3">
      <c r="A1862" t="s">
        <v>2872</v>
      </c>
      <c r="B1862" t="s">
        <v>176</v>
      </c>
      <c r="C1862">
        <v>38</v>
      </c>
      <c r="D1862" t="str">
        <f>VLOOKUP(B1862,Products!$A:$E,2,FALSE)</f>
        <v>Product_84</v>
      </c>
      <c r="E1862" t="str">
        <f>VLOOKUP(B1862,Products!$A:$E,3,FALSE)</f>
        <v>Electronics</v>
      </c>
    </row>
    <row r="1863" spans="1:5" x14ac:dyDescent="0.3">
      <c r="A1863" t="s">
        <v>2873</v>
      </c>
      <c r="B1863" t="s">
        <v>776</v>
      </c>
      <c r="C1863">
        <v>93</v>
      </c>
      <c r="D1863" t="str">
        <f>VLOOKUP(B1863,Products!$A:$E,2,FALSE)</f>
        <v>Product_384</v>
      </c>
      <c r="E1863" t="str">
        <f>VLOOKUP(B1863,Products!$A:$E,3,FALSE)</f>
        <v>Office Supplies</v>
      </c>
    </row>
    <row r="1864" spans="1:5" x14ac:dyDescent="0.3">
      <c r="A1864" t="s">
        <v>2874</v>
      </c>
      <c r="B1864" t="s">
        <v>102</v>
      </c>
      <c r="C1864">
        <v>41</v>
      </c>
      <c r="D1864" t="str">
        <f>VLOOKUP(B1864,Products!$A:$E,2,FALSE)</f>
        <v>Product_47</v>
      </c>
      <c r="E1864" t="str">
        <f>VLOOKUP(B1864,Products!$A:$E,3,FALSE)</f>
        <v>Electronics</v>
      </c>
    </row>
    <row r="1865" spans="1:5" x14ac:dyDescent="0.3">
      <c r="A1865" t="s">
        <v>2875</v>
      </c>
      <c r="B1865" t="s">
        <v>38</v>
      </c>
      <c r="C1865">
        <v>54</v>
      </c>
      <c r="D1865" t="str">
        <f>VLOOKUP(B1865,Products!$A:$E,2,FALSE)</f>
        <v>Product_15</v>
      </c>
      <c r="E1865" t="str">
        <f>VLOOKUP(B1865,Products!$A:$E,3,FALSE)</f>
        <v>Electronics</v>
      </c>
    </row>
    <row r="1866" spans="1:5" x14ac:dyDescent="0.3">
      <c r="A1866" t="s">
        <v>2876</v>
      </c>
      <c r="B1866" t="s">
        <v>60</v>
      </c>
      <c r="C1866">
        <v>25</v>
      </c>
      <c r="D1866" t="str">
        <f>VLOOKUP(B1866,Products!$A:$E,2,FALSE)</f>
        <v>Product_26</v>
      </c>
      <c r="E1866" t="str">
        <f>VLOOKUP(B1866,Products!$A:$E,3,FALSE)</f>
        <v>Office Supplies</v>
      </c>
    </row>
    <row r="1867" spans="1:5" x14ac:dyDescent="0.3">
      <c r="A1867" t="s">
        <v>2877</v>
      </c>
      <c r="B1867" t="s">
        <v>884</v>
      </c>
      <c r="C1867">
        <v>78</v>
      </c>
      <c r="D1867" t="str">
        <f>VLOOKUP(B1867,Products!$A:$E,2,FALSE)</f>
        <v>Product_438</v>
      </c>
      <c r="E1867" t="str">
        <f>VLOOKUP(B1867,Products!$A:$E,3,FALSE)</f>
        <v>Electronics</v>
      </c>
    </row>
    <row r="1868" spans="1:5" x14ac:dyDescent="0.3">
      <c r="A1868" t="s">
        <v>2878</v>
      </c>
      <c r="B1868" t="s">
        <v>808</v>
      </c>
      <c r="C1868">
        <v>32</v>
      </c>
      <c r="D1868" t="str">
        <f>VLOOKUP(B1868,Products!$A:$E,2,FALSE)</f>
        <v>Product_400</v>
      </c>
      <c r="E1868" t="str">
        <f>VLOOKUP(B1868,Products!$A:$E,3,FALSE)</f>
        <v>Networking</v>
      </c>
    </row>
    <row r="1869" spans="1:5" x14ac:dyDescent="0.3">
      <c r="A1869" t="s">
        <v>2879</v>
      </c>
      <c r="B1869" t="s">
        <v>886</v>
      </c>
      <c r="C1869">
        <v>33</v>
      </c>
      <c r="D1869" t="str">
        <f>VLOOKUP(B1869,Products!$A:$E,2,FALSE)</f>
        <v>Product_439</v>
      </c>
      <c r="E1869" t="str">
        <f>VLOOKUP(B1869,Products!$A:$E,3,FALSE)</f>
        <v>Networking</v>
      </c>
    </row>
    <row r="1870" spans="1:5" x14ac:dyDescent="0.3">
      <c r="A1870" t="s">
        <v>2880</v>
      </c>
      <c r="B1870" t="s">
        <v>672</v>
      </c>
      <c r="C1870">
        <v>33</v>
      </c>
      <c r="D1870" t="str">
        <f>VLOOKUP(B1870,Products!$A:$E,2,FALSE)</f>
        <v>Product_332</v>
      </c>
      <c r="E1870" t="str">
        <f>VLOOKUP(B1870,Products!$A:$E,3,FALSE)</f>
        <v>Electronics</v>
      </c>
    </row>
    <row r="1871" spans="1:5" x14ac:dyDescent="0.3">
      <c r="A1871" t="s">
        <v>2881</v>
      </c>
      <c r="B1871" t="s">
        <v>702</v>
      </c>
      <c r="C1871">
        <v>31</v>
      </c>
      <c r="D1871" t="str">
        <f>VLOOKUP(B1871,Products!$A:$E,2,FALSE)</f>
        <v>Product_347</v>
      </c>
      <c r="E1871" t="str">
        <f>VLOOKUP(B1871,Products!$A:$E,3,FALSE)</f>
        <v>Storage</v>
      </c>
    </row>
    <row r="1872" spans="1:5" x14ac:dyDescent="0.3">
      <c r="A1872" t="s">
        <v>2882</v>
      </c>
      <c r="B1872" t="s">
        <v>284</v>
      </c>
      <c r="C1872">
        <v>88</v>
      </c>
      <c r="D1872" t="str">
        <f>VLOOKUP(B1872,Products!$A:$E,2,FALSE)</f>
        <v>Product_138</v>
      </c>
      <c r="E1872" t="str">
        <f>VLOOKUP(B1872,Products!$A:$E,3,FALSE)</f>
        <v>Electronics</v>
      </c>
    </row>
    <row r="1873" spans="1:5" x14ac:dyDescent="0.3">
      <c r="A1873" t="s">
        <v>2883</v>
      </c>
      <c r="B1873" t="s">
        <v>428</v>
      </c>
      <c r="C1873">
        <v>70</v>
      </c>
      <c r="D1873" t="str">
        <f>VLOOKUP(B1873,Products!$A:$E,2,FALSE)</f>
        <v>Product_210</v>
      </c>
      <c r="E1873" t="str">
        <f>VLOOKUP(B1873,Products!$A:$E,3,FALSE)</f>
        <v>Electronics</v>
      </c>
    </row>
    <row r="1874" spans="1:5" x14ac:dyDescent="0.3">
      <c r="A1874" t="s">
        <v>2884</v>
      </c>
      <c r="B1874" t="s">
        <v>30</v>
      </c>
      <c r="C1874">
        <v>92</v>
      </c>
      <c r="D1874" t="str">
        <f>VLOOKUP(B1874,Products!$A:$E,2,FALSE)</f>
        <v>Product_11</v>
      </c>
      <c r="E1874" t="str">
        <f>VLOOKUP(B1874,Products!$A:$E,3,FALSE)</f>
        <v>Electronics</v>
      </c>
    </row>
    <row r="1875" spans="1:5" x14ac:dyDescent="0.3">
      <c r="A1875" t="s">
        <v>2885</v>
      </c>
      <c r="B1875" t="s">
        <v>17</v>
      </c>
      <c r="C1875">
        <v>65</v>
      </c>
      <c r="D1875" t="str">
        <f>VLOOKUP(B1875,Products!$A:$E,2,FALSE)</f>
        <v>Product_5</v>
      </c>
      <c r="E1875" t="str">
        <f>VLOOKUP(B1875,Products!$A:$E,3,FALSE)</f>
        <v>Networking</v>
      </c>
    </row>
    <row r="1876" spans="1:5" x14ac:dyDescent="0.3">
      <c r="A1876" t="s">
        <v>2886</v>
      </c>
      <c r="B1876" t="s">
        <v>942</v>
      </c>
      <c r="C1876">
        <v>21</v>
      </c>
      <c r="D1876" t="str">
        <f>VLOOKUP(B1876,Products!$A:$E,2,FALSE)</f>
        <v>Product_467</v>
      </c>
      <c r="E1876" t="str">
        <f>VLOOKUP(B1876,Products!$A:$E,3,FALSE)</f>
        <v>Accessories</v>
      </c>
    </row>
    <row r="1877" spans="1:5" x14ac:dyDescent="0.3">
      <c r="A1877" t="s">
        <v>2887</v>
      </c>
      <c r="B1877" t="s">
        <v>672</v>
      </c>
      <c r="C1877">
        <v>27</v>
      </c>
      <c r="D1877" t="str">
        <f>VLOOKUP(B1877,Products!$A:$E,2,FALSE)</f>
        <v>Product_332</v>
      </c>
      <c r="E1877" t="str">
        <f>VLOOKUP(B1877,Products!$A:$E,3,FALSE)</f>
        <v>Electronics</v>
      </c>
    </row>
    <row r="1878" spans="1:5" x14ac:dyDescent="0.3">
      <c r="A1878" t="s">
        <v>2888</v>
      </c>
      <c r="B1878" t="s">
        <v>624</v>
      </c>
      <c r="C1878">
        <v>6</v>
      </c>
      <c r="D1878" t="str">
        <f>VLOOKUP(B1878,Products!$A:$E,2,FALSE)</f>
        <v>Product_308</v>
      </c>
      <c r="E1878" t="str">
        <f>VLOOKUP(B1878,Products!$A:$E,3,FALSE)</f>
        <v>Storage</v>
      </c>
    </row>
    <row r="1879" spans="1:5" x14ac:dyDescent="0.3">
      <c r="A1879" t="s">
        <v>2889</v>
      </c>
      <c r="B1879" t="s">
        <v>238</v>
      </c>
      <c r="C1879">
        <v>37</v>
      </c>
      <c r="D1879" t="str">
        <f>VLOOKUP(B1879,Products!$A:$E,2,FALSE)</f>
        <v>Product_115</v>
      </c>
      <c r="E1879" t="str">
        <f>VLOOKUP(B1879,Products!$A:$E,3,FALSE)</f>
        <v>Networking</v>
      </c>
    </row>
    <row r="1880" spans="1:5" x14ac:dyDescent="0.3">
      <c r="A1880" t="s">
        <v>2890</v>
      </c>
      <c r="B1880" t="s">
        <v>632</v>
      </c>
      <c r="C1880">
        <v>44</v>
      </c>
      <c r="D1880" t="str">
        <f>VLOOKUP(B1880,Products!$A:$E,2,FALSE)</f>
        <v>Product_312</v>
      </c>
      <c r="E1880" t="str">
        <f>VLOOKUP(B1880,Products!$A:$E,3,FALSE)</f>
        <v>Office Supplies</v>
      </c>
    </row>
    <row r="1881" spans="1:5" x14ac:dyDescent="0.3">
      <c r="A1881" t="s">
        <v>2891</v>
      </c>
      <c r="B1881" t="s">
        <v>738</v>
      </c>
      <c r="C1881">
        <v>95</v>
      </c>
      <c r="D1881" t="str">
        <f>VLOOKUP(B1881,Products!$A:$E,2,FALSE)</f>
        <v>Product_365</v>
      </c>
      <c r="E1881" t="str">
        <f>VLOOKUP(B1881,Products!$A:$E,3,FALSE)</f>
        <v>Storage</v>
      </c>
    </row>
    <row r="1882" spans="1:5" x14ac:dyDescent="0.3">
      <c r="A1882" t="s">
        <v>2892</v>
      </c>
      <c r="B1882" t="s">
        <v>668</v>
      </c>
      <c r="C1882">
        <v>40</v>
      </c>
      <c r="D1882" t="str">
        <f>VLOOKUP(B1882,Products!$A:$E,2,FALSE)</f>
        <v>Product_330</v>
      </c>
      <c r="E1882" t="str">
        <f>VLOOKUP(B1882,Products!$A:$E,3,FALSE)</f>
        <v>Electronics</v>
      </c>
    </row>
    <row r="1883" spans="1:5" x14ac:dyDescent="0.3">
      <c r="A1883" t="s">
        <v>2893</v>
      </c>
      <c r="B1883" t="s">
        <v>442</v>
      </c>
      <c r="C1883">
        <v>53</v>
      </c>
      <c r="D1883" t="str">
        <f>VLOOKUP(B1883,Products!$A:$E,2,FALSE)</f>
        <v>Product_217</v>
      </c>
      <c r="E1883" t="str">
        <f>VLOOKUP(B1883,Products!$A:$E,3,FALSE)</f>
        <v>Networking</v>
      </c>
    </row>
    <row r="1884" spans="1:5" x14ac:dyDescent="0.3">
      <c r="A1884" t="s">
        <v>2894</v>
      </c>
      <c r="B1884" t="s">
        <v>882</v>
      </c>
      <c r="C1884">
        <v>49</v>
      </c>
      <c r="D1884" t="str">
        <f>VLOOKUP(B1884,Products!$A:$E,2,FALSE)</f>
        <v>Product_437</v>
      </c>
      <c r="E1884" t="str">
        <f>VLOOKUP(B1884,Products!$A:$E,3,FALSE)</f>
        <v>Accessories</v>
      </c>
    </row>
    <row r="1885" spans="1:5" x14ac:dyDescent="0.3">
      <c r="A1885" t="s">
        <v>2895</v>
      </c>
      <c r="B1885" t="s">
        <v>480</v>
      </c>
      <c r="C1885">
        <v>37</v>
      </c>
      <c r="D1885" t="str">
        <f>VLOOKUP(B1885,Products!$A:$E,2,FALSE)</f>
        <v>Product_236</v>
      </c>
      <c r="E1885" t="str">
        <f>VLOOKUP(B1885,Products!$A:$E,3,FALSE)</f>
        <v>Networking</v>
      </c>
    </row>
    <row r="1886" spans="1:5" x14ac:dyDescent="0.3">
      <c r="A1886" t="s">
        <v>2896</v>
      </c>
      <c r="B1886" t="s">
        <v>232</v>
      </c>
      <c r="C1886">
        <v>64</v>
      </c>
      <c r="D1886" t="str">
        <f>VLOOKUP(B1886,Products!$A:$E,2,FALSE)</f>
        <v>Product_112</v>
      </c>
      <c r="E1886" t="str">
        <f>VLOOKUP(B1886,Products!$A:$E,3,FALSE)</f>
        <v>Storage</v>
      </c>
    </row>
    <row r="1887" spans="1:5" x14ac:dyDescent="0.3">
      <c r="A1887" t="s">
        <v>2897</v>
      </c>
      <c r="B1887" t="s">
        <v>318</v>
      </c>
      <c r="C1887">
        <v>91</v>
      </c>
      <c r="D1887" t="str">
        <f>VLOOKUP(B1887,Products!$A:$E,2,FALSE)</f>
        <v>Product_155</v>
      </c>
      <c r="E1887" t="str">
        <f>VLOOKUP(B1887,Products!$A:$E,3,FALSE)</f>
        <v>Office Supplies</v>
      </c>
    </row>
    <row r="1888" spans="1:5" x14ac:dyDescent="0.3">
      <c r="A1888" t="s">
        <v>2898</v>
      </c>
      <c r="B1888" t="s">
        <v>542</v>
      </c>
      <c r="C1888">
        <v>84</v>
      </c>
      <c r="D1888" t="str">
        <f>VLOOKUP(B1888,Products!$A:$E,2,FALSE)</f>
        <v>Product_267</v>
      </c>
      <c r="E1888" t="str">
        <f>VLOOKUP(B1888,Products!$A:$E,3,FALSE)</f>
        <v>Networking</v>
      </c>
    </row>
    <row r="1889" spans="1:5" x14ac:dyDescent="0.3">
      <c r="A1889" t="s">
        <v>2899</v>
      </c>
      <c r="B1889" t="s">
        <v>416</v>
      </c>
      <c r="C1889">
        <v>79</v>
      </c>
      <c r="D1889" t="str">
        <f>VLOOKUP(B1889,Products!$A:$E,2,FALSE)</f>
        <v>Product_204</v>
      </c>
      <c r="E1889" t="str">
        <f>VLOOKUP(B1889,Products!$A:$E,3,FALSE)</f>
        <v>Office Supplies</v>
      </c>
    </row>
    <row r="1890" spans="1:5" x14ac:dyDescent="0.3">
      <c r="A1890" t="s">
        <v>2900</v>
      </c>
      <c r="B1890" t="s">
        <v>114</v>
      </c>
      <c r="C1890">
        <v>5</v>
      </c>
      <c r="D1890" t="str">
        <f>VLOOKUP(B1890,Products!$A:$E,2,FALSE)</f>
        <v>Product_53</v>
      </c>
      <c r="E1890" t="str">
        <f>VLOOKUP(B1890,Products!$A:$E,3,FALSE)</f>
        <v>Electronics</v>
      </c>
    </row>
    <row r="1891" spans="1:5" x14ac:dyDescent="0.3">
      <c r="A1891" t="s">
        <v>2901</v>
      </c>
      <c r="B1891" t="s">
        <v>532</v>
      </c>
      <c r="C1891">
        <v>89</v>
      </c>
      <c r="D1891" t="str">
        <f>VLOOKUP(B1891,Products!$A:$E,2,FALSE)</f>
        <v>Product_262</v>
      </c>
      <c r="E1891" t="str">
        <f>VLOOKUP(B1891,Products!$A:$E,3,FALSE)</f>
        <v>Electronics</v>
      </c>
    </row>
    <row r="1892" spans="1:5" x14ac:dyDescent="0.3">
      <c r="A1892" t="s">
        <v>2902</v>
      </c>
      <c r="B1892" t="s">
        <v>998</v>
      </c>
      <c r="C1892">
        <v>52</v>
      </c>
      <c r="D1892" t="str">
        <f>VLOOKUP(B1892,Products!$A:$E,2,FALSE)</f>
        <v>Product_495</v>
      </c>
      <c r="E1892" t="str">
        <f>VLOOKUP(B1892,Products!$A:$E,3,FALSE)</f>
        <v>Networking</v>
      </c>
    </row>
    <row r="1893" spans="1:5" x14ac:dyDescent="0.3">
      <c r="A1893" t="s">
        <v>2903</v>
      </c>
      <c r="B1893" t="s">
        <v>584</v>
      </c>
      <c r="C1893">
        <v>87</v>
      </c>
      <c r="D1893" t="str">
        <f>VLOOKUP(B1893,Products!$A:$E,2,FALSE)</f>
        <v>Product_288</v>
      </c>
      <c r="E1893" t="str">
        <f>VLOOKUP(B1893,Products!$A:$E,3,FALSE)</f>
        <v>Networking</v>
      </c>
    </row>
    <row r="1894" spans="1:5" x14ac:dyDescent="0.3">
      <c r="A1894" t="s">
        <v>2904</v>
      </c>
      <c r="B1894" t="s">
        <v>618</v>
      </c>
      <c r="C1894">
        <v>82</v>
      </c>
      <c r="D1894" t="str">
        <f>VLOOKUP(B1894,Products!$A:$E,2,FALSE)</f>
        <v>Product_305</v>
      </c>
      <c r="E1894" t="str">
        <f>VLOOKUP(B1894,Products!$A:$E,3,FALSE)</f>
        <v>Accessories</v>
      </c>
    </row>
    <row r="1895" spans="1:5" x14ac:dyDescent="0.3">
      <c r="A1895" t="s">
        <v>2905</v>
      </c>
      <c r="B1895" t="s">
        <v>298</v>
      </c>
      <c r="C1895">
        <v>43</v>
      </c>
      <c r="D1895" t="str">
        <f>VLOOKUP(B1895,Products!$A:$E,2,FALSE)</f>
        <v>Product_145</v>
      </c>
      <c r="E1895" t="str">
        <f>VLOOKUP(B1895,Products!$A:$E,3,FALSE)</f>
        <v>Office Supplies</v>
      </c>
    </row>
    <row r="1896" spans="1:5" x14ac:dyDescent="0.3">
      <c r="A1896" t="s">
        <v>2906</v>
      </c>
      <c r="B1896" t="s">
        <v>710</v>
      </c>
      <c r="C1896">
        <v>18</v>
      </c>
      <c r="D1896" t="str">
        <f>VLOOKUP(B1896,Products!$A:$E,2,FALSE)</f>
        <v>Product_351</v>
      </c>
      <c r="E1896" t="str">
        <f>VLOOKUP(B1896,Products!$A:$E,3,FALSE)</f>
        <v>Accessories</v>
      </c>
    </row>
    <row r="1897" spans="1:5" x14ac:dyDescent="0.3">
      <c r="A1897" t="s">
        <v>2907</v>
      </c>
      <c r="B1897" t="s">
        <v>502</v>
      </c>
      <c r="C1897">
        <v>13</v>
      </c>
      <c r="D1897" t="str">
        <f>VLOOKUP(B1897,Products!$A:$E,2,FALSE)</f>
        <v>Product_247</v>
      </c>
      <c r="E1897" t="str">
        <f>VLOOKUP(B1897,Products!$A:$E,3,FALSE)</f>
        <v>Networking</v>
      </c>
    </row>
    <row r="1898" spans="1:5" x14ac:dyDescent="0.3">
      <c r="A1898" t="s">
        <v>2908</v>
      </c>
      <c r="B1898" t="s">
        <v>354</v>
      </c>
      <c r="C1898">
        <v>40</v>
      </c>
      <c r="D1898" t="str">
        <f>VLOOKUP(B1898,Products!$A:$E,2,FALSE)</f>
        <v>Product_173</v>
      </c>
      <c r="E1898" t="str">
        <f>VLOOKUP(B1898,Products!$A:$E,3,FALSE)</f>
        <v>Electronics</v>
      </c>
    </row>
    <row r="1899" spans="1:5" x14ac:dyDescent="0.3">
      <c r="A1899" t="s">
        <v>2909</v>
      </c>
      <c r="B1899" t="s">
        <v>664</v>
      </c>
      <c r="C1899">
        <v>46</v>
      </c>
      <c r="D1899" t="str">
        <f>VLOOKUP(B1899,Products!$A:$E,2,FALSE)</f>
        <v>Product_328</v>
      </c>
      <c r="E1899" t="str">
        <f>VLOOKUP(B1899,Products!$A:$E,3,FALSE)</f>
        <v>Office Supplies</v>
      </c>
    </row>
    <row r="1900" spans="1:5" x14ac:dyDescent="0.3">
      <c r="A1900" t="s">
        <v>2910</v>
      </c>
      <c r="B1900" t="s">
        <v>892</v>
      </c>
      <c r="C1900">
        <v>40</v>
      </c>
      <c r="D1900" t="str">
        <f>VLOOKUP(B1900,Products!$A:$E,2,FALSE)</f>
        <v>Product_442</v>
      </c>
      <c r="E1900" t="str">
        <f>VLOOKUP(B1900,Products!$A:$E,3,FALSE)</f>
        <v>Networking</v>
      </c>
    </row>
    <row r="1901" spans="1:5" x14ac:dyDescent="0.3">
      <c r="A1901" t="s">
        <v>2911</v>
      </c>
      <c r="B1901" t="s">
        <v>276</v>
      </c>
      <c r="C1901">
        <v>88</v>
      </c>
      <c r="D1901" t="str">
        <f>VLOOKUP(B1901,Products!$A:$E,2,FALSE)</f>
        <v>Product_134</v>
      </c>
      <c r="E1901" t="str">
        <f>VLOOKUP(B1901,Products!$A:$E,3,FALSE)</f>
        <v>Accessories</v>
      </c>
    </row>
    <row r="1902" spans="1:5" x14ac:dyDescent="0.3">
      <c r="A1902" t="s">
        <v>2912</v>
      </c>
      <c r="B1902" t="s">
        <v>738</v>
      </c>
      <c r="C1902">
        <v>88</v>
      </c>
      <c r="D1902" t="str">
        <f>VLOOKUP(B1902,Products!$A:$E,2,FALSE)</f>
        <v>Product_365</v>
      </c>
      <c r="E1902" t="str">
        <f>VLOOKUP(B1902,Products!$A:$E,3,FALSE)</f>
        <v>Storage</v>
      </c>
    </row>
    <row r="1903" spans="1:5" x14ac:dyDescent="0.3">
      <c r="A1903" t="s">
        <v>2913</v>
      </c>
      <c r="B1903" t="s">
        <v>314</v>
      </c>
      <c r="C1903">
        <v>29</v>
      </c>
      <c r="D1903" t="str">
        <f>VLOOKUP(B1903,Products!$A:$E,2,FALSE)</f>
        <v>Product_153</v>
      </c>
      <c r="E1903" t="str">
        <f>VLOOKUP(B1903,Products!$A:$E,3,FALSE)</f>
        <v>Electronics</v>
      </c>
    </row>
    <row r="1904" spans="1:5" x14ac:dyDescent="0.3">
      <c r="A1904" t="s">
        <v>2914</v>
      </c>
      <c r="B1904" t="s">
        <v>162</v>
      </c>
      <c r="C1904">
        <v>71</v>
      </c>
      <c r="D1904" t="str">
        <f>VLOOKUP(B1904,Products!$A:$E,2,FALSE)</f>
        <v>Product_77</v>
      </c>
      <c r="E1904" t="str">
        <f>VLOOKUP(B1904,Products!$A:$E,3,FALSE)</f>
        <v>Networking</v>
      </c>
    </row>
    <row r="1905" spans="1:5" x14ac:dyDescent="0.3">
      <c r="A1905" t="s">
        <v>2915</v>
      </c>
      <c r="B1905" t="s">
        <v>792</v>
      </c>
      <c r="C1905">
        <v>35</v>
      </c>
      <c r="D1905" t="str">
        <f>VLOOKUP(B1905,Products!$A:$E,2,FALSE)</f>
        <v>Product_392</v>
      </c>
      <c r="E1905" t="str">
        <f>VLOOKUP(B1905,Products!$A:$E,3,FALSE)</f>
        <v>Electronics</v>
      </c>
    </row>
    <row r="1906" spans="1:5" x14ac:dyDescent="0.3">
      <c r="A1906" t="s">
        <v>2916</v>
      </c>
      <c r="B1906" t="s">
        <v>930</v>
      </c>
      <c r="C1906">
        <v>12</v>
      </c>
      <c r="D1906" t="str">
        <f>VLOOKUP(B1906,Products!$A:$E,2,FALSE)</f>
        <v>Product_461</v>
      </c>
      <c r="E1906" t="str">
        <f>VLOOKUP(B1906,Products!$A:$E,3,FALSE)</f>
        <v>Accessories</v>
      </c>
    </row>
    <row r="1907" spans="1:5" x14ac:dyDescent="0.3">
      <c r="A1907" t="s">
        <v>2917</v>
      </c>
      <c r="B1907" t="s">
        <v>834</v>
      </c>
      <c r="C1907">
        <v>81</v>
      </c>
      <c r="D1907" t="str">
        <f>VLOOKUP(B1907,Products!$A:$E,2,FALSE)</f>
        <v>Product_413</v>
      </c>
      <c r="E1907" t="str">
        <f>VLOOKUP(B1907,Products!$A:$E,3,FALSE)</f>
        <v>Accessories</v>
      </c>
    </row>
    <row r="1908" spans="1:5" x14ac:dyDescent="0.3">
      <c r="A1908" t="s">
        <v>2918</v>
      </c>
      <c r="B1908" t="s">
        <v>422</v>
      </c>
      <c r="C1908">
        <v>89</v>
      </c>
      <c r="D1908" t="str">
        <f>VLOOKUP(B1908,Products!$A:$E,2,FALSE)</f>
        <v>Product_207</v>
      </c>
      <c r="E1908" t="str">
        <f>VLOOKUP(B1908,Products!$A:$E,3,FALSE)</f>
        <v>Accessories</v>
      </c>
    </row>
    <row r="1909" spans="1:5" x14ac:dyDescent="0.3">
      <c r="A1909" t="s">
        <v>2919</v>
      </c>
      <c r="B1909" t="s">
        <v>336</v>
      </c>
      <c r="C1909">
        <v>92</v>
      </c>
      <c r="D1909" t="str">
        <f>VLOOKUP(B1909,Products!$A:$E,2,FALSE)</f>
        <v>Product_164</v>
      </c>
      <c r="E1909" t="str">
        <f>VLOOKUP(B1909,Products!$A:$E,3,FALSE)</f>
        <v>Networking</v>
      </c>
    </row>
    <row r="1910" spans="1:5" x14ac:dyDescent="0.3">
      <c r="A1910" t="s">
        <v>2920</v>
      </c>
      <c r="B1910" t="s">
        <v>152</v>
      </c>
      <c r="C1910">
        <v>97</v>
      </c>
      <c r="D1910" t="str">
        <f>VLOOKUP(B1910,Products!$A:$E,2,FALSE)</f>
        <v>Product_72</v>
      </c>
      <c r="E1910" t="str">
        <f>VLOOKUP(B1910,Products!$A:$E,3,FALSE)</f>
        <v>Networking</v>
      </c>
    </row>
    <row r="1911" spans="1:5" x14ac:dyDescent="0.3">
      <c r="A1911" t="s">
        <v>2921</v>
      </c>
      <c r="B1911" t="s">
        <v>36</v>
      </c>
      <c r="C1911">
        <v>88</v>
      </c>
      <c r="D1911" t="str">
        <f>VLOOKUP(B1911,Products!$A:$E,2,FALSE)</f>
        <v>Product_14</v>
      </c>
      <c r="E1911" t="str">
        <f>VLOOKUP(B1911,Products!$A:$E,3,FALSE)</f>
        <v>Accessories</v>
      </c>
    </row>
    <row r="1912" spans="1:5" x14ac:dyDescent="0.3">
      <c r="A1912" t="s">
        <v>2922</v>
      </c>
      <c r="B1912" t="s">
        <v>518</v>
      </c>
      <c r="C1912">
        <v>42</v>
      </c>
      <c r="D1912" t="str">
        <f>VLOOKUP(B1912,Products!$A:$E,2,FALSE)</f>
        <v>Product_255</v>
      </c>
      <c r="E1912" t="str">
        <f>VLOOKUP(B1912,Products!$A:$E,3,FALSE)</f>
        <v>Accessories</v>
      </c>
    </row>
    <row r="1913" spans="1:5" x14ac:dyDescent="0.3">
      <c r="A1913" t="s">
        <v>2923</v>
      </c>
      <c r="B1913" t="s">
        <v>274</v>
      </c>
      <c r="C1913">
        <v>58</v>
      </c>
      <c r="D1913" t="str">
        <f>VLOOKUP(B1913,Products!$A:$E,2,FALSE)</f>
        <v>Product_133</v>
      </c>
      <c r="E1913" t="str">
        <f>VLOOKUP(B1913,Products!$A:$E,3,FALSE)</f>
        <v>Office Supplies</v>
      </c>
    </row>
    <row r="1914" spans="1:5" x14ac:dyDescent="0.3">
      <c r="A1914" t="s">
        <v>2924</v>
      </c>
      <c r="B1914" t="s">
        <v>424</v>
      </c>
      <c r="C1914">
        <v>54</v>
      </c>
      <c r="D1914" t="str">
        <f>VLOOKUP(B1914,Products!$A:$E,2,FALSE)</f>
        <v>Product_208</v>
      </c>
      <c r="E1914" t="str">
        <f>VLOOKUP(B1914,Products!$A:$E,3,FALSE)</f>
        <v>Electronics</v>
      </c>
    </row>
    <row r="1915" spans="1:5" x14ac:dyDescent="0.3">
      <c r="A1915" t="s">
        <v>2925</v>
      </c>
      <c r="B1915" t="s">
        <v>764</v>
      </c>
      <c r="C1915">
        <v>9</v>
      </c>
      <c r="D1915" t="str">
        <f>VLOOKUP(B1915,Products!$A:$E,2,FALSE)</f>
        <v>Product_378</v>
      </c>
      <c r="E1915" t="str">
        <f>VLOOKUP(B1915,Products!$A:$E,3,FALSE)</f>
        <v>Electronics</v>
      </c>
    </row>
    <row r="1916" spans="1:5" x14ac:dyDescent="0.3">
      <c r="A1916" t="s">
        <v>2926</v>
      </c>
      <c r="B1916" t="s">
        <v>606</v>
      </c>
      <c r="C1916">
        <v>95</v>
      </c>
      <c r="D1916" t="str">
        <f>VLOOKUP(B1916,Products!$A:$E,2,FALSE)</f>
        <v>Product_299</v>
      </c>
      <c r="E1916" t="str">
        <f>VLOOKUP(B1916,Products!$A:$E,3,FALSE)</f>
        <v>Storage</v>
      </c>
    </row>
    <row r="1917" spans="1:5" x14ac:dyDescent="0.3">
      <c r="A1917" t="s">
        <v>2927</v>
      </c>
      <c r="B1917" t="s">
        <v>594</v>
      </c>
      <c r="C1917">
        <v>29</v>
      </c>
      <c r="D1917" t="str">
        <f>VLOOKUP(B1917,Products!$A:$E,2,FALSE)</f>
        <v>Product_293</v>
      </c>
      <c r="E1917" t="str">
        <f>VLOOKUP(B1917,Products!$A:$E,3,FALSE)</f>
        <v>Networking</v>
      </c>
    </row>
    <row r="1918" spans="1:5" x14ac:dyDescent="0.3">
      <c r="A1918" t="s">
        <v>2928</v>
      </c>
      <c r="B1918" t="s">
        <v>360</v>
      </c>
      <c r="C1918">
        <v>97</v>
      </c>
      <c r="D1918" t="str">
        <f>VLOOKUP(B1918,Products!$A:$E,2,FALSE)</f>
        <v>Product_176</v>
      </c>
      <c r="E1918" t="str">
        <f>VLOOKUP(B1918,Products!$A:$E,3,FALSE)</f>
        <v>Electronics</v>
      </c>
    </row>
    <row r="1919" spans="1:5" x14ac:dyDescent="0.3">
      <c r="A1919" t="s">
        <v>2929</v>
      </c>
      <c r="B1919" t="s">
        <v>740</v>
      </c>
      <c r="C1919">
        <v>33</v>
      </c>
      <c r="D1919" t="str">
        <f>VLOOKUP(B1919,Products!$A:$E,2,FALSE)</f>
        <v>Product_366</v>
      </c>
      <c r="E1919" t="str">
        <f>VLOOKUP(B1919,Products!$A:$E,3,FALSE)</f>
        <v>Electronics</v>
      </c>
    </row>
    <row r="1920" spans="1:5" x14ac:dyDescent="0.3">
      <c r="A1920" t="s">
        <v>2930</v>
      </c>
      <c r="B1920" t="s">
        <v>712</v>
      </c>
      <c r="C1920">
        <v>73</v>
      </c>
      <c r="D1920" t="str">
        <f>VLOOKUP(B1920,Products!$A:$E,2,FALSE)</f>
        <v>Product_352</v>
      </c>
      <c r="E1920" t="str">
        <f>VLOOKUP(B1920,Products!$A:$E,3,FALSE)</f>
        <v>Storage</v>
      </c>
    </row>
    <row r="1921" spans="1:5" x14ac:dyDescent="0.3">
      <c r="A1921" t="s">
        <v>2931</v>
      </c>
      <c r="B1921" t="s">
        <v>662</v>
      </c>
      <c r="C1921">
        <v>65</v>
      </c>
      <c r="D1921" t="str">
        <f>VLOOKUP(B1921,Products!$A:$E,2,FALSE)</f>
        <v>Product_327</v>
      </c>
      <c r="E1921" t="str">
        <f>VLOOKUP(B1921,Products!$A:$E,3,FALSE)</f>
        <v>Networking</v>
      </c>
    </row>
    <row r="1922" spans="1:5" x14ac:dyDescent="0.3">
      <c r="A1922" t="s">
        <v>2932</v>
      </c>
      <c r="B1922" t="s">
        <v>938</v>
      </c>
      <c r="C1922">
        <v>90</v>
      </c>
      <c r="D1922" t="str">
        <f>VLOOKUP(B1922,Products!$A:$E,2,FALSE)</f>
        <v>Product_465</v>
      </c>
      <c r="E1922" t="str">
        <f>VLOOKUP(B1922,Products!$A:$E,3,FALSE)</f>
        <v>Electronics</v>
      </c>
    </row>
    <row r="1923" spans="1:5" x14ac:dyDescent="0.3">
      <c r="A1923" t="s">
        <v>2933</v>
      </c>
      <c r="B1923" t="s">
        <v>376</v>
      </c>
      <c r="C1923">
        <v>69</v>
      </c>
      <c r="D1923" t="str">
        <f>VLOOKUP(B1923,Products!$A:$E,2,FALSE)</f>
        <v>Product_184</v>
      </c>
      <c r="E1923" t="str">
        <f>VLOOKUP(B1923,Products!$A:$E,3,FALSE)</f>
        <v>Electronics</v>
      </c>
    </row>
    <row r="1924" spans="1:5" x14ac:dyDescent="0.3">
      <c r="A1924" t="s">
        <v>2934</v>
      </c>
      <c r="B1924" t="s">
        <v>316</v>
      </c>
      <c r="C1924">
        <v>26</v>
      </c>
      <c r="D1924" t="str">
        <f>VLOOKUP(B1924,Products!$A:$E,2,FALSE)</f>
        <v>Product_154</v>
      </c>
      <c r="E1924" t="str">
        <f>VLOOKUP(B1924,Products!$A:$E,3,FALSE)</f>
        <v>Accessories</v>
      </c>
    </row>
    <row r="1925" spans="1:5" x14ac:dyDescent="0.3">
      <c r="A1925" t="s">
        <v>2935</v>
      </c>
      <c r="B1925" t="s">
        <v>870</v>
      </c>
      <c r="C1925">
        <v>89</v>
      </c>
      <c r="D1925" t="str">
        <f>VLOOKUP(B1925,Products!$A:$E,2,FALSE)</f>
        <v>Product_431</v>
      </c>
      <c r="E1925" t="str">
        <f>VLOOKUP(B1925,Products!$A:$E,3,FALSE)</f>
        <v>Electronics</v>
      </c>
    </row>
    <row r="1926" spans="1:5" x14ac:dyDescent="0.3">
      <c r="A1926" t="s">
        <v>2936</v>
      </c>
      <c r="B1926" t="s">
        <v>906</v>
      </c>
      <c r="C1926">
        <v>76</v>
      </c>
      <c r="D1926" t="str">
        <f>VLOOKUP(B1926,Products!$A:$E,2,FALSE)</f>
        <v>Product_449</v>
      </c>
      <c r="E1926" t="str">
        <f>VLOOKUP(B1926,Products!$A:$E,3,FALSE)</f>
        <v>Networking</v>
      </c>
    </row>
    <row r="1927" spans="1:5" x14ac:dyDescent="0.3">
      <c r="A1927" t="s">
        <v>2937</v>
      </c>
      <c r="B1927" t="s">
        <v>194</v>
      </c>
      <c r="C1927">
        <v>42</v>
      </c>
      <c r="D1927" t="str">
        <f>VLOOKUP(B1927,Products!$A:$E,2,FALSE)</f>
        <v>Product_93</v>
      </c>
      <c r="E1927" t="str">
        <f>VLOOKUP(B1927,Products!$A:$E,3,FALSE)</f>
        <v>Office Supplies</v>
      </c>
    </row>
    <row r="1928" spans="1:5" x14ac:dyDescent="0.3">
      <c r="A1928" t="s">
        <v>2938</v>
      </c>
      <c r="B1928" t="s">
        <v>108</v>
      </c>
      <c r="C1928">
        <v>65</v>
      </c>
      <c r="D1928" t="str">
        <f>VLOOKUP(B1928,Products!$A:$E,2,FALSE)</f>
        <v>Product_50</v>
      </c>
      <c r="E1928" t="str">
        <f>VLOOKUP(B1928,Products!$A:$E,3,FALSE)</f>
        <v>Networking</v>
      </c>
    </row>
    <row r="1929" spans="1:5" x14ac:dyDescent="0.3">
      <c r="A1929" t="s">
        <v>2939</v>
      </c>
      <c r="B1929" t="s">
        <v>140</v>
      </c>
      <c r="C1929">
        <v>99</v>
      </c>
      <c r="D1929" t="str">
        <f>VLOOKUP(B1929,Products!$A:$E,2,FALSE)</f>
        <v>Product_66</v>
      </c>
      <c r="E1929" t="str">
        <f>VLOOKUP(B1929,Products!$A:$E,3,FALSE)</f>
        <v>Electronics</v>
      </c>
    </row>
    <row r="1930" spans="1:5" x14ac:dyDescent="0.3">
      <c r="A1930" t="s">
        <v>2940</v>
      </c>
      <c r="B1930" t="s">
        <v>274</v>
      </c>
      <c r="C1930">
        <v>97</v>
      </c>
      <c r="D1930" t="str">
        <f>VLOOKUP(B1930,Products!$A:$E,2,FALSE)</f>
        <v>Product_133</v>
      </c>
      <c r="E1930" t="str">
        <f>VLOOKUP(B1930,Products!$A:$E,3,FALSE)</f>
        <v>Office Supplies</v>
      </c>
    </row>
    <row r="1931" spans="1:5" x14ac:dyDescent="0.3">
      <c r="A1931" t="s">
        <v>2941</v>
      </c>
      <c r="B1931" t="s">
        <v>836</v>
      </c>
      <c r="C1931">
        <v>76</v>
      </c>
      <c r="D1931" t="str">
        <f>VLOOKUP(B1931,Products!$A:$E,2,FALSE)</f>
        <v>Product_414</v>
      </c>
      <c r="E1931" t="str">
        <f>VLOOKUP(B1931,Products!$A:$E,3,FALSE)</f>
        <v>Office Supplies</v>
      </c>
    </row>
    <row r="1932" spans="1:5" x14ac:dyDescent="0.3">
      <c r="A1932" t="s">
        <v>2942</v>
      </c>
      <c r="B1932" t="s">
        <v>790</v>
      </c>
      <c r="C1932">
        <v>28</v>
      </c>
      <c r="D1932" t="str">
        <f>VLOOKUP(B1932,Products!$A:$E,2,FALSE)</f>
        <v>Product_391</v>
      </c>
      <c r="E1932" t="str">
        <f>VLOOKUP(B1932,Products!$A:$E,3,FALSE)</f>
        <v>Accessories</v>
      </c>
    </row>
    <row r="1933" spans="1:5" x14ac:dyDescent="0.3">
      <c r="A1933" t="s">
        <v>2943</v>
      </c>
      <c r="B1933" t="s">
        <v>978</v>
      </c>
      <c r="C1933">
        <v>92</v>
      </c>
      <c r="D1933" t="str">
        <f>VLOOKUP(B1933,Products!$A:$E,2,FALSE)</f>
        <v>Product_485</v>
      </c>
      <c r="E1933" t="str">
        <f>VLOOKUP(B1933,Products!$A:$E,3,FALSE)</f>
        <v>Networking</v>
      </c>
    </row>
    <row r="1934" spans="1:5" x14ac:dyDescent="0.3">
      <c r="A1934" t="s">
        <v>2944</v>
      </c>
      <c r="B1934" t="s">
        <v>930</v>
      </c>
      <c r="C1934">
        <v>47</v>
      </c>
      <c r="D1934" t="str">
        <f>VLOOKUP(B1934,Products!$A:$E,2,FALSE)</f>
        <v>Product_461</v>
      </c>
      <c r="E1934" t="str">
        <f>VLOOKUP(B1934,Products!$A:$E,3,FALSE)</f>
        <v>Accessories</v>
      </c>
    </row>
    <row r="1935" spans="1:5" x14ac:dyDescent="0.3">
      <c r="A1935" t="s">
        <v>2945</v>
      </c>
      <c r="B1935" t="s">
        <v>680</v>
      </c>
      <c r="C1935">
        <v>16</v>
      </c>
      <c r="D1935" t="str">
        <f>VLOOKUP(B1935,Products!$A:$E,2,FALSE)</f>
        <v>Product_336</v>
      </c>
      <c r="E1935" t="str">
        <f>VLOOKUP(B1935,Products!$A:$E,3,FALSE)</f>
        <v>Storage</v>
      </c>
    </row>
    <row r="1936" spans="1:5" x14ac:dyDescent="0.3">
      <c r="A1936" t="s">
        <v>2946</v>
      </c>
      <c r="B1936" t="s">
        <v>236</v>
      </c>
      <c r="C1936">
        <v>50</v>
      </c>
      <c r="D1936" t="str">
        <f>VLOOKUP(B1936,Products!$A:$E,2,FALSE)</f>
        <v>Product_114</v>
      </c>
      <c r="E1936" t="str">
        <f>VLOOKUP(B1936,Products!$A:$E,3,FALSE)</f>
        <v>Electronics</v>
      </c>
    </row>
    <row r="1937" spans="1:5" x14ac:dyDescent="0.3">
      <c r="A1937" t="s">
        <v>2947</v>
      </c>
      <c r="B1937" t="s">
        <v>238</v>
      </c>
      <c r="C1937">
        <v>100</v>
      </c>
      <c r="D1937" t="str">
        <f>VLOOKUP(B1937,Products!$A:$E,2,FALSE)</f>
        <v>Product_115</v>
      </c>
      <c r="E1937" t="str">
        <f>VLOOKUP(B1937,Products!$A:$E,3,FALSE)</f>
        <v>Networking</v>
      </c>
    </row>
    <row r="1938" spans="1:5" x14ac:dyDescent="0.3">
      <c r="A1938" t="s">
        <v>2948</v>
      </c>
      <c r="B1938" t="s">
        <v>902</v>
      </c>
      <c r="C1938">
        <v>44</v>
      </c>
      <c r="D1938" t="str">
        <f>VLOOKUP(B1938,Products!$A:$E,2,FALSE)</f>
        <v>Product_447</v>
      </c>
      <c r="E1938" t="str">
        <f>VLOOKUP(B1938,Products!$A:$E,3,FALSE)</f>
        <v>Office Supplies</v>
      </c>
    </row>
    <row r="1939" spans="1:5" x14ac:dyDescent="0.3">
      <c r="A1939" t="s">
        <v>2949</v>
      </c>
      <c r="B1939" t="s">
        <v>440</v>
      </c>
      <c r="C1939">
        <v>47</v>
      </c>
      <c r="D1939" t="str">
        <f>VLOOKUP(B1939,Products!$A:$E,2,FALSE)</f>
        <v>Product_216</v>
      </c>
      <c r="E1939" t="str">
        <f>VLOOKUP(B1939,Products!$A:$E,3,FALSE)</f>
        <v>Accessories</v>
      </c>
    </row>
    <row r="1940" spans="1:5" x14ac:dyDescent="0.3">
      <c r="A1940" t="s">
        <v>2950</v>
      </c>
      <c r="B1940" t="s">
        <v>390</v>
      </c>
      <c r="C1940">
        <v>38</v>
      </c>
      <c r="D1940" t="str">
        <f>VLOOKUP(B1940,Products!$A:$E,2,FALSE)</f>
        <v>Product_191</v>
      </c>
      <c r="E1940" t="str">
        <f>VLOOKUP(B1940,Products!$A:$E,3,FALSE)</f>
        <v>Networking</v>
      </c>
    </row>
    <row r="1941" spans="1:5" x14ac:dyDescent="0.3">
      <c r="A1941" t="s">
        <v>2951</v>
      </c>
      <c r="B1941" t="s">
        <v>608</v>
      </c>
      <c r="C1941">
        <v>42</v>
      </c>
      <c r="D1941" t="str">
        <f>VLOOKUP(B1941,Products!$A:$E,2,FALSE)</f>
        <v>Product_300</v>
      </c>
      <c r="E1941" t="str">
        <f>VLOOKUP(B1941,Products!$A:$E,3,FALSE)</f>
        <v>Accessories</v>
      </c>
    </row>
    <row r="1942" spans="1:5" x14ac:dyDescent="0.3">
      <c r="A1942" t="s">
        <v>2952</v>
      </c>
      <c r="B1942" t="s">
        <v>484</v>
      </c>
      <c r="C1942">
        <v>20</v>
      </c>
      <c r="D1942" t="str">
        <f>VLOOKUP(B1942,Products!$A:$E,2,FALSE)</f>
        <v>Product_238</v>
      </c>
      <c r="E1942" t="str">
        <f>VLOOKUP(B1942,Products!$A:$E,3,FALSE)</f>
        <v>Accessories</v>
      </c>
    </row>
    <row r="1943" spans="1:5" x14ac:dyDescent="0.3">
      <c r="A1943" t="s">
        <v>2953</v>
      </c>
      <c r="B1943" t="s">
        <v>490</v>
      </c>
      <c r="C1943">
        <v>11</v>
      </c>
      <c r="D1943" t="str">
        <f>VLOOKUP(B1943,Products!$A:$E,2,FALSE)</f>
        <v>Product_241</v>
      </c>
      <c r="E1943" t="str">
        <f>VLOOKUP(B1943,Products!$A:$E,3,FALSE)</f>
        <v>Electronics</v>
      </c>
    </row>
    <row r="1944" spans="1:5" x14ac:dyDescent="0.3">
      <c r="A1944" t="s">
        <v>2954</v>
      </c>
      <c r="B1944" t="s">
        <v>896</v>
      </c>
      <c r="C1944">
        <v>86</v>
      </c>
      <c r="D1944" t="str">
        <f>VLOOKUP(B1944,Products!$A:$E,2,FALSE)</f>
        <v>Product_444</v>
      </c>
      <c r="E1944" t="str">
        <f>VLOOKUP(B1944,Products!$A:$E,3,FALSE)</f>
        <v>Electronics</v>
      </c>
    </row>
    <row r="1945" spans="1:5" x14ac:dyDescent="0.3">
      <c r="A1945" t="s">
        <v>2955</v>
      </c>
      <c r="B1945" t="s">
        <v>606</v>
      </c>
      <c r="C1945">
        <v>79</v>
      </c>
      <c r="D1945" t="str">
        <f>VLOOKUP(B1945,Products!$A:$E,2,FALSE)</f>
        <v>Product_299</v>
      </c>
      <c r="E1945" t="str">
        <f>VLOOKUP(B1945,Products!$A:$E,3,FALSE)</f>
        <v>Storage</v>
      </c>
    </row>
    <row r="1946" spans="1:5" x14ac:dyDescent="0.3">
      <c r="A1946" t="s">
        <v>2956</v>
      </c>
      <c r="B1946" t="s">
        <v>976</v>
      </c>
      <c r="C1946">
        <v>84</v>
      </c>
      <c r="D1946" t="str">
        <f>VLOOKUP(B1946,Products!$A:$E,2,FALSE)</f>
        <v>Product_484</v>
      </c>
      <c r="E1946" t="str">
        <f>VLOOKUP(B1946,Products!$A:$E,3,FALSE)</f>
        <v>Networking</v>
      </c>
    </row>
    <row r="1947" spans="1:5" x14ac:dyDescent="0.3">
      <c r="A1947" t="s">
        <v>2957</v>
      </c>
      <c r="B1947" t="s">
        <v>82</v>
      </c>
      <c r="C1947">
        <v>65</v>
      </c>
      <c r="D1947" t="str">
        <f>VLOOKUP(B1947,Products!$A:$E,2,FALSE)</f>
        <v>Product_37</v>
      </c>
      <c r="E1947" t="str">
        <f>VLOOKUP(B1947,Products!$A:$E,3,FALSE)</f>
        <v>Storage</v>
      </c>
    </row>
    <row r="1948" spans="1:5" x14ac:dyDescent="0.3">
      <c r="A1948" t="s">
        <v>2958</v>
      </c>
      <c r="B1948" t="s">
        <v>920</v>
      </c>
      <c r="C1948">
        <v>29</v>
      </c>
      <c r="D1948" t="str">
        <f>VLOOKUP(B1948,Products!$A:$E,2,FALSE)</f>
        <v>Product_456</v>
      </c>
      <c r="E1948" t="str">
        <f>VLOOKUP(B1948,Products!$A:$E,3,FALSE)</f>
        <v>Electronics</v>
      </c>
    </row>
    <row r="1949" spans="1:5" x14ac:dyDescent="0.3">
      <c r="A1949" t="s">
        <v>2959</v>
      </c>
      <c r="B1949" t="s">
        <v>522</v>
      </c>
      <c r="C1949">
        <v>20</v>
      </c>
      <c r="D1949" t="str">
        <f>VLOOKUP(B1949,Products!$A:$E,2,FALSE)</f>
        <v>Product_257</v>
      </c>
      <c r="E1949" t="str">
        <f>VLOOKUP(B1949,Products!$A:$E,3,FALSE)</f>
        <v>Networking</v>
      </c>
    </row>
    <row r="1950" spans="1:5" x14ac:dyDescent="0.3">
      <c r="A1950" t="s">
        <v>2960</v>
      </c>
      <c r="B1950" t="s">
        <v>898</v>
      </c>
      <c r="C1950">
        <v>92</v>
      </c>
      <c r="D1950" t="str">
        <f>VLOOKUP(B1950,Products!$A:$E,2,FALSE)</f>
        <v>Product_445</v>
      </c>
      <c r="E1950" t="str">
        <f>VLOOKUP(B1950,Products!$A:$E,3,FALSE)</f>
        <v>Office Supplies</v>
      </c>
    </row>
    <row r="1951" spans="1:5" x14ac:dyDescent="0.3">
      <c r="A1951" t="s">
        <v>2961</v>
      </c>
      <c r="B1951" t="s">
        <v>400</v>
      </c>
      <c r="C1951">
        <v>72</v>
      </c>
      <c r="D1951" t="str">
        <f>VLOOKUP(B1951,Products!$A:$E,2,FALSE)</f>
        <v>Product_196</v>
      </c>
      <c r="E1951" t="str">
        <f>VLOOKUP(B1951,Products!$A:$E,3,FALSE)</f>
        <v>Office Supplies</v>
      </c>
    </row>
    <row r="1952" spans="1:5" x14ac:dyDescent="0.3">
      <c r="A1952" t="s">
        <v>2962</v>
      </c>
      <c r="B1952" t="s">
        <v>314</v>
      </c>
      <c r="C1952">
        <v>57</v>
      </c>
      <c r="D1952" t="str">
        <f>VLOOKUP(B1952,Products!$A:$E,2,FALSE)</f>
        <v>Product_153</v>
      </c>
      <c r="E1952" t="str">
        <f>VLOOKUP(B1952,Products!$A:$E,3,FALSE)</f>
        <v>Electronics</v>
      </c>
    </row>
    <row r="1953" spans="1:5" x14ac:dyDescent="0.3">
      <c r="A1953" t="s">
        <v>2963</v>
      </c>
      <c r="B1953" t="s">
        <v>64</v>
      </c>
      <c r="C1953">
        <v>24</v>
      </c>
      <c r="D1953" t="str">
        <f>VLOOKUP(B1953,Products!$A:$E,2,FALSE)</f>
        <v>Product_28</v>
      </c>
      <c r="E1953" t="str">
        <f>VLOOKUP(B1953,Products!$A:$E,3,FALSE)</f>
        <v>Office Supplies</v>
      </c>
    </row>
    <row r="1954" spans="1:5" x14ac:dyDescent="0.3">
      <c r="A1954" t="s">
        <v>2964</v>
      </c>
      <c r="B1954" t="s">
        <v>150</v>
      </c>
      <c r="C1954">
        <v>30</v>
      </c>
      <c r="D1954" t="str">
        <f>VLOOKUP(B1954,Products!$A:$E,2,FALSE)</f>
        <v>Product_71</v>
      </c>
      <c r="E1954" t="str">
        <f>VLOOKUP(B1954,Products!$A:$E,3,FALSE)</f>
        <v>Accessories</v>
      </c>
    </row>
    <row r="1955" spans="1:5" x14ac:dyDescent="0.3">
      <c r="A1955" t="s">
        <v>2965</v>
      </c>
      <c r="B1955" t="s">
        <v>360</v>
      </c>
      <c r="C1955">
        <v>57</v>
      </c>
      <c r="D1955" t="str">
        <f>VLOOKUP(B1955,Products!$A:$E,2,FALSE)</f>
        <v>Product_176</v>
      </c>
      <c r="E1955" t="str">
        <f>VLOOKUP(B1955,Products!$A:$E,3,FALSE)</f>
        <v>Electronics</v>
      </c>
    </row>
    <row r="1956" spans="1:5" x14ac:dyDescent="0.3">
      <c r="A1956" t="s">
        <v>2966</v>
      </c>
      <c r="B1956" t="s">
        <v>592</v>
      </c>
      <c r="C1956">
        <v>63</v>
      </c>
      <c r="D1956" t="str">
        <f>VLOOKUP(B1956,Products!$A:$E,2,FALSE)</f>
        <v>Product_292</v>
      </c>
      <c r="E1956" t="str">
        <f>VLOOKUP(B1956,Products!$A:$E,3,FALSE)</f>
        <v>Networking</v>
      </c>
    </row>
    <row r="1957" spans="1:5" x14ac:dyDescent="0.3">
      <c r="A1957" t="s">
        <v>2967</v>
      </c>
      <c r="B1957" t="s">
        <v>156</v>
      </c>
      <c r="C1957">
        <v>45</v>
      </c>
      <c r="D1957" t="str">
        <f>VLOOKUP(B1957,Products!$A:$E,2,FALSE)</f>
        <v>Product_74</v>
      </c>
      <c r="E1957" t="str">
        <f>VLOOKUP(B1957,Products!$A:$E,3,FALSE)</f>
        <v>Storage</v>
      </c>
    </row>
    <row r="1958" spans="1:5" x14ac:dyDescent="0.3">
      <c r="A1958" t="s">
        <v>2968</v>
      </c>
      <c r="B1958" t="s">
        <v>892</v>
      </c>
      <c r="C1958">
        <v>96</v>
      </c>
      <c r="D1958" t="str">
        <f>VLOOKUP(B1958,Products!$A:$E,2,FALSE)</f>
        <v>Product_442</v>
      </c>
      <c r="E1958" t="str">
        <f>VLOOKUP(B1958,Products!$A:$E,3,FALSE)</f>
        <v>Networking</v>
      </c>
    </row>
    <row r="1959" spans="1:5" x14ac:dyDescent="0.3">
      <c r="A1959" t="s">
        <v>2969</v>
      </c>
      <c r="B1959" t="s">
        <v>194</v>
      </c>
      <c r="C1959">
        <v>15</v>
      </c>
      <c r="D1959" t="str">
        <f>VLOOKUP(B1959,Products!$A:$E,2,FALSE)</f>
        <v>Product_93</v>
      </c>
      <c r="E1959" t="str">
        <f>VLOOKUP(B1959,Products!$A:$E,3,FALSE)</f>
        <v>Office Supplies</v>
      </c>
    </row>
    <row r="1960" spans="1:5" x14ac:dyDescent="0.3">
      <c r="A1960" t="s">
        <v>2970</v>
      </c>
      <c r="B1960" t="s">
        <v>508</v>
      </c>
      <c r="C1960">
        <v>47</v>
      </c>
      <c r="D1960" t="str">
        <f>VLOOKUP(B1960,Products!$A:$E,2,FALSE)</f>
        <v>Product_250</v>
      </c>
      <c r="E1960" t="str">
        <f>VLOOKUP(B1960,Products!$A:$E,3,FALSE)</f>
        <v>Networking</v>
      </c>
    </row>
    <row r="1961" spans="1:5" x14ac:dyDescent="0.3">
      <c r="A1961" t="s">
        <v>2971</v>
      </c>
      <c r="B1961" t="s">
        <v>656</v>
      </c>
      <c r="C1961">
        <v>27</v>
      </c>
      <c r="D1961" t="str">
        <f>VLOOKUP(B1961,Products!$A:$E,2,FALSE)</f>
        <v>Product_324</v>
      </c>
      <c r="E1961" t="str">
        <f>VLOOKUP(B1961,Products!$A:$E,3,FALSE)</f>
        <v>Accessories</v>
      </c>
    </row>
    <row r="1962" spans="1:5" x14ac:dyDescent="0.3">
      <c r="A1962" t="s">
        <v>2972</v>
      </c>
      <c r="B1962" t="s">
        <v>330</v>
      </c>
      <c r="C1962">
        <v>86</v>
      </c>
      <c r="D1962" t="str">
        <f>VLOOKUP(B1962,Products!$A:$E,2,FALSE)</f>
        <v>Product_161</v>
      </c>
      <c r="E1962" t="str">
        <f>VLOOKUP(B1962,Products!$A:$E,3,FALSE)</f>
        <v>Networking</v>
      </c>
    </row>
    <row r="1963" spans="1:5" x14ac:dyDescent="0.3">
      <c r="A1963" t="s">
        <v>2973</v>
      </c>
      <c r="B1963" t="s">
        <v>68</v>
      </c>
      <c r="C1963">
        <v>5</v>
      </c>
      <c r="D1963" t="str">
        <f>VLOOKUP(B1963,Products!$A:$E,2,FALSE)</f>
        <v>Product_30</v>
      </c>
      <c r="E1963" t="str">
        <f>VLOOKUP(B1963,Products!$A:$E,3,FALSE)</f>
        <v>Accessories</v>
      </c>
    </row>
    <row r="1964" spans="1:5" x14ac:dyDescent="0.3">
      <c r="A1964" t="s">
        <v>2974</v>
      </c>
      <c r="B1964" t="s">
        <v>472</v>
      </c>
      <c r="C1964">
        <v>40</v>
      </c>
      <c r="D1964" t="str">
        <f>VLOOKUP(B1964,Products!$A:$E,2,FALSE)</f>
        <v>Product_232</v>
      </c>
      <c r="E1964" t="str">
        <f>VLOOKUP(B1964,Products!$A:$E,3,FALSE)</f>
        <v>Office Supplies</v>
      </c>
    </row>
    <row r="1965" spans="1:5" x14ac:dyDescent="0.3">
      <c r="A1965" t="s">
        <v>2975</v>
      </c>
      <c r="B1965" t="s">
        <v>224</v>
      </c>
      <c r="C1965">
        <v>26</v>
      </c>
      <c r="D1965" t="str">
        <f>VLOOKUP(B1965,Products!$A:$E,2,FALSE)</f>
        <v>Product_108</v>
      </c>
      <c r="E1965" t="str">
        <f>VLOOKUP(B1965,Products!$A:$E,3,FALSE)</f>
        <v>Networking</v>
      </c>
    </row>
    <row r="1966" spans="1:5" x14ac:dyDescent="0.3">
      <c r="A1966" t="s">
        <v>2976</v>
      </c>
      <c r="B1966" t="s">
        <v>600</v>
      </c>
      <c r="C1966">
        <v>25</v>
      </c>
      <c r="D1966" t="str">
        <f>VLOOKUP(B1966,Products!$A:$E,2,FALSE)</f>
        <v>Product_296</v>
      </c>
      <c r="E1966" t="str">
        <f>VLOOKUP(B1966,Products!$A:$E,3,FALSE)</f>
        <v>Office Supplies</v>
      </c>
    </row>
    <row r="1967" spans="1:5" x14ac:dyDescent="0.3">
      <c r="A1967" t="s">
        <v>2977</v>
      </c>
      <c r="B1967" t="s">
        <v>510</v>
      </c>
      <c r="C1967">
        <v>16</v>
      </c>
      <c r="D1967" t="str">
        <f>VLOOKUP(B1967,Products!$A:$E,2,FALSE)</f>
        <v>Product_251</v>
      </c>
      <c r="E1967" t="str">
        <f>VLOOKUP(B1967,Products!$A:$E,3,FALSE)</f>
        <v>Electronics</v>
      </c>
    </row>
    <row r="1968" spans="1:5" x14ac:dyDescent="0.3">
      <c r="A1968" t="s">
        <v>2978</v>
      </c>
      <c r="B1968" t="s">
        <v>142</v>
      </c>
      <c r="C1968">
        <v>83</v>
      </c>
      <c r="D1968" t="str">
        <f>VLOOKUP(B1968,Products!$A:$E,2,FALSE)</f>
        <v>Product_67</v>
      </c>
      <c r="E1968" t="str">
        <f>VLOOKUP(B1968,Products!$A:$E,3,FALSE)</f>
        <v>Office Supplies</v>
      </c>
    </row>
    <row r="1969" spans="1:5" x14ac:dyDescent="0.3">
      <c r="A1969" t="s">
        <v>2979</v>
      </c>
      <c r="B1969" t="s">
        <v>454</v>
      </c>
      <c r="C1969">
        <v>86</v>
      </c>
      <c r="D1969" t="str">
        <f>VLOOKUP(B1969,Products!$A:$E,2,FALSE)</f>
        <v>Product_223</v>
      </c>
      <c r="E1969" t="str">
        <f>VLOOKUP(B1969,Products!$A:$E,3,FALSE)</f>
        <v>Storage</v>
      </c>
    </row>
    <row r="1970" spans="1:5" x14ac:dyDescent="0.3">
      <c r="A1970" t="s">
        <v>2980</v>
      </c>
      <c r="B1970" t="s">
        <v>448</v>
      </c>
      <c r="C1970">
        <v>56</v>
      </c>
      <c r="D1970" t="str">
        <f>VLOOKUP(B1970,Products!$A:$E,2,FALSE)</f>
        <v>Product_220</v>
      </c>
      <c r="E1970" t="str">
        <f>VLOOKUP(B1970,Products!$A:$E,3,FALSE)</f>
        <v>Storage</v>
      </c>
    </row>
    <row r="1971" spans="1:5" x14ac:dyDescent="0.3">
      <c r="A1971" t="s">
        <v>2981</v>
      </c>
      <c r="B1971" t="s">
        <v>448</v>
      </c>
      <c r="C1971">
        <v>66</v>
      </c>
      <c r="D1971" t="str">
        <f>VLOOKUP(B1971,Products!$A:$E,2,FALSE)</f>
        <v>Product_220</v>
      </c>
      <c r="E1971" t="str">
        <f>VLOOKUP(B1971,Products!$A:$E,3,FALSE)</f>
        <v>Storage</v>
      </c>
    </row>
    <row r="1972" spans="1:5" x14ac:dyDescent="0.3">
      <c r="A1972" t="s">
        <v>2982</v>
      </c>
      <c r="B1972" t="s">
        <v>402</v>
      </c>
      <c r="C1972">
        <v>5</v>
      </c>
      <c r="D1972" t="str">
        <f>VLOOKUP(B1972,Products!$A:$E,2,FALSE)</f>
        <v>Product_197</v>
      </c>
      <c r="E1972" t="str">
        <f>VLOOKUP(B1972,Products!$A:$E,3,FALSE)</f>
        <v>Electronics</v>
      </c>
    </row>
    <row r="1973" spans="1:5" x14ac:dyDescent="0.3">
      <c r="A1973" t="s">
        <v>2983</v>
      </c>
      <c r="B1973" t="s">
        <v>48</v>
      </c>
      <c r="C1973">
        <v>73</v>
      </c>
      <c r="D1973" t="str">
        <f>VLOOKUP(B1973,Products!$A:$E,2,FALSE)</f>
        <v>Product_20</v>
      </c>
      <c r="E1973" t="str">
        <f>VLOOKUP(B1973,Products!$A:$E,3,FALSE)</f>
        <v>Office Supplies</v>
      </c>
    </row>
    <row r="1974" spans="1:5" x14ac:dyDescent="0.3">
      <c r="A1974" t="s">
        <v>2984</v>
      </c>
      <c r="B1974" t="s">
        <v>214</v>
      </c>
      <c r="C1974">
        <v>98</v>
      </c>
      <c r="D1974" t="str">
        <f>VLOOKUP(B1974,Products!$A:$E,2,FALSE)</f>
        <v>Product_103</v>
      </c>
      <c r="E1974" t="str">
        <f>VLOOKUP(B1974,Products!$A:$E,3,FALSE)</f>
        <v>Accessories</v>
      </c>
    </row>
    <row r="1975" spans="1:5" x14ac:dyDescent="0.3">
      <c r="A1975" t="s">
        <v>2985</v>
      </c>
      <c r="B1975" t="s">
        <v>392</v>
      </c>
      <c r="C1975">
        <v>6</v>
      </c>
      <c r="D1975" t="str">
        <f>VLOOKUP(B1975,Products!$A:$E,2,FALSE)</f>
        <v>Product_192</v>
      </c>
      <c r="E1975" t="str">
        <f>VLOOKUP(B1975,Products!$A:$E,3,FALSE)</f>
        <v>Office Supplies</v>
      </c>
    </row>
    <row r="1976" spans="1:5" x14ac:dyDescent="0.3">
      <c r="A1976" t="s">
        <v>2986</v>
      </c>
      <c r="B1976" t="s">
        <v>922</v>
      </c>
      <c r="C1976">
        <v>46</v>
      </c>
      <c r="D1976" t="str">
        <f>VLOOKUP(B1976,Products!$A:$E,2,FALSE)</f>
        <v>Product_457</v>
      </c>
      <c r="E1976" t="str">
        <f>VLOOKUP(B1976,Products!$A:$E,3,FALSE)</f>
        <v>Networking</v>
      </c>
    </row>
    <row r="1977" spans="1:5" x14ac:dyDescent="0.3">
      <c r="A1977" t="s">
        <v>2987</v>
      </c>
      <c r="B1977" t="s">
        <v>784</v>
      </c>
      <c r="C1977">
        <v>72</v>
      </c>
      <c r="D1977" t="str">
        <f>VLOOKUP(B1977,Products!$A:$E,2,FALSE)</f>
        <v>Product_388</v>
      </c>
      <c r="E1977" t="str">
        <f>VLOOKUP(B1977,Products!$A:$E,3,FALSE)</f>
        <v>Office Supplies</v>
      </c>
    </row>
    <row r="1978" spans="1:5" x14ac:dyDescent="0.3">
      <c r="A1978" t="s">
        <v>2988</v>
      </c>
      <c r="B1978" t="s">
        <v>204</v>
      </c>
      <c r="C1978">
        <v>7</v>
      </c>
      <c r="D1978" t="str">
        <f>VLOOKUP(B1978,Products!$A:$E,2,FALSE)</f>
        <v>Product_98</v>
      </c>
      <c r="E1978" t="str">
        <f>VLOOKUP(B1978,Products!$A:$E,3,FALSE)</f>
        <v>Networking</v>
      </c>
    </row>
    <row r="1979" spans="1:5" x14ac:dyDescent="0.3">
      <c r="A1979" t="s">
        <v>2989</v>
      </c>
      <c r="B1979" t="s">
        <v>702</v>
      </c>
      <c r="C1979">
        <v>5</v>
      </c>
      <c r="D1979" t="str">
        <f>VLOOKUP(B1979,Products!$A:$E,2,FALSE)</f>
        <v>Product_347</v>
      </c>
      <c r="E1979" t="str">
        <f>VLOOKUP(B1979,Products!$A:$E,3,FALSE)</f>
        <v>Storage</v>
      </c>
    </row>
    <row r="1980" spans="1:5" x14ac:dyDescent="0.3">
      <c r="A1980" t="s">
        <v>2990</v>
      </c>
      <c r="B1980" t="s">
        <v>650</v>
      </c>
      <c r="C1980">
        <v>98</v>
      </c>
      <c r="D1980" t="str">
        <f>VLOOKUP(B1980,Products!$A:$E,2,FALSE)</f>
        <v>Product_321</v>
      </c>
      <c r="E1980" t="str">
        <f>VLOOKUP(B1980,Products!$A:$E,3,FALSE)</f>
        <v>Electronics</v>
      </c>
    </row>
    <row r="1981" spans="1:5" x14ac:dyDescent="0.3">
      <c r="A1981" t="s">
        <v>2991</v>
      </c>
      <c r="B1981" t="s">
        <v>264</v>
      </c>
      <c r="C1981">
        <v>33</v>
      </c>
      <c r="D1981" t="str">
        <f>VLOOKUP(B1981,Products!$A:$E,2,FALSE)</f>
        <v>Product_128</v>
      </c>
      <c r="E1981" t="str">
        <f>VLOOKUP(B1981,Products!$A:$E,3,FALSE)</f>
        <v>Office Supplies</v>
      </c>
    </row>
    <row r="1982" spans="1:5" x14ac:dyDescent="0.3">
      <c r="A1982" t="s">
        <v>2992</v>
      </c>
      <c r="B1982" t="s">
        <v>720</v>
      </c>
      <c r="C1982">
        <v>49</v>
      </c>
      <c r="D1982" t="str">
        <f>VLOOKUP(B1982,Products!$A:$E,2,FALSE)</f>
        <v>Product_356</v>
      </c>
      <c r="E1982" t="str">
        <f>VLOOKUP(B1982,Products!$A:$E,3,FALSE)</f>
        <v>Accessories</v>
      </c>
    </row>
    <row r="1983" spans="1:5" x14ac:dyDescent="0.3">
      <c r="A1983" t="s">
        <v>2993</v>
      </c>
      <c r="B1983" t="s">
        <v>328</v>
      </c>
      <c r="C1983">
        <v>21</v>
      </c>
      <c r="D1983" t="str">
        <f>VLOOKUP(B1983,Products!$A:$E,2,FALSE)</f>
        <v>Product_160</v>
      </c>
      <c r="E1983" t="str">
        <f>VLOOKUP(B1983,Products!$A:$E,3,FALSE)</f>
        <v>Office Supplies</v>
      </c>
    </row>
    <row r="1984" spans="1:5" x14ac:dyDescent="0.3">
      <c r="A1984" t="s">
        <v>2994</v>
      </c>
      <c r="B1984" t="s">
        <v>114</v>
      </c>
      <c r="C1984">
        <v>54</v>
      </c>
      <c r="D1984" t="str">
        <f>VLOOKUP(B1984,Products!$A:$E,2,FALSE)</f>
        <v>Product_53</v>
      </c>
      <c r="E1984" t="str">
        <f>VLOOKUP(B1984,Products!$A:$E,3,FALSE)</f>
        <v>Electronics</v>
      </c>
    </row>
    <row r="1985" spans="1:5" x14ac:dyDescent="0.3">
      <c r="A1985" t="s">
        <v>2995</v>
      </c>
      <c r="B1985" t="s">
        <v>524</v>
      </c>
      <c r="C1985">
        <v>80</v>
      </c>
      <c r="D1985" t="str">
        <f>VLOOKUP(B1985,Products!$A:$E,2,FALSE)</f>
        <v>Product_258</v>
      </c>
      <c r="E1985" t="str">
        <f>VLOOKUP(B1985,Products!$A:$E,3,FALSE)</f>
        <v>Networking</v>
      </c>
    </row>
    <row r="1986" spans="1:5" x14ac:dyDescent="0.3">
      <c r="A1986" t="s">
        <v>2996</v>
      </c>
      <c r="B1986" t="s">
        <v>322</v>
      </c>
      <c r="C1986">
        <v>26</v>
      </c>
      <c r="D1986" t="str">
        <f>VLOOKUP(B1986,Products!$A:$E,2,FALSE)</f>
        <v>Product_157</v>
      </c>
      <c r="E1986" t="str">
        <f>VLOOKUP(B1986,Products!$A:$E,3,FALSE)</f>
        <v>Electronics</v>
      </c>
    </row>
    <row r="1987" spans="1:5" x14ac:dyDescent="0.3">
      <c r="A1987" t="s">
        <v>2997</v>
      </c>
      <c r="B1987" t="s">
        <v>76</v>
      </c>
      <c r="C1987">
        <v>10</v>
      </c>
      <c r="D1987" t="str">
        <f>VLOOKUP(B1987,Products!$A:$E,2,FALSE)</f>
        <v>Product_34</v>
      </c>
      <c r="E1987" t="str">
        <f>VLOOKUP(B1987,Products!$A:$E,3,FALSE)</f>
        <v>Office Supplies</v>
      </c>
    </row>
    <row r="1988" spans="1:5" x14ac:dyDescent="0.3">
      <c r="A1988" t="s">
        <v>2998</v>
      </c>
      <c r="B1988" t="s">
        <v>314</v>
      </c>
      <c r="C1988">
        <v>42</v>
      </c>
      <c r="D1988" t="str">
        <f>VLOOKUP(B1988,Products!$A:$E,2,FALSE)</f>
        <v>Product_153</v>
      </c>
      <c r="E1988" t="str">
        <f>VLOOKUP(B1988,Products!$A:$E,3,FALSE)</f>
        <v>Electronics</v>
      </c>
    </row>
    <row r="1989" spans="1:5" x14ac:dyDescent="0.3">
      <c r="A1989" t="s">
        <v>2999</v>
      </c>
      <c r="B1989" t="s">
        <v>476</v>
      </c>
      <c r="C1989">
        <v>98</v>
      </c>
      <c r="D1989" t="str">
        <f>VLOOKUP(B1989,Products!$A:$E,2,FALSE)</f>
        <v>Product_234</v>
      </c>
      <c r="E1989" t="str">
        <f>VLOOKUP(B1989,Products!$A:$E,3,FALSE)</f>
        <v>Networking</v>
      </c>
    </row>
    <row r="1990" spans="1:5" x14ac:dyDescent="0.3">
      <c r="A1990" t="s">
        <v>3000</v>
      </c>
      <c r="B1990" t="s">
        <v>542</v>
      </c>
      <c r="C1990">
        <v>81</v>
      </c>
      <c r="D1990" t="str">
        <f>VLOOKUP(B1990,Products!$A:$E,2,FALSE)</f>
        <v>Product_267</v>
      </c>
      <c r="E1990" t="str">
        <f>VLOOKUP(B1990,Products!$A:$E,3,FALSE)</f>
        <v>Networking</v>
      </c>
    </row>
    <row r="1991" spans="1:5" x14ac:dyDescent="0.3">
      <c r="A1991" t="s">
        <v>3001</v>
      </c>
      <c r="B1991" t="s">
        <v>546</v>
      </c>
      <c r="C1991">
        <v>48</v>
      </c>
      <c r="D1991" t="str">
        <f>VLOOKUP(B1991,Products!$A:$E,2,FALSE)</f>
        <v>Product_269</v>
      </c>
      <c r="E1991" t="str">
        <f>VLOOKUP(B1991,Products!$A:$E,3,FALSE)</f>
        <v>Storage</v>
      </c>
    </row>
    <row r="1992" spans="1:5" x14ac:dyDescent="0.3">
      <c r="A1992" t="s">
        <v>3002</v>
      </c>
      <c r="B1992" t="s">
        <v>454</v>
      </c>
      <c r="C1992">
        <v>92</v>
      </c>
      <c r="D1992" t="str">
        <f>VLOOKUP(B1992,Products!$A:$E,2,FALSE)</f>
        <v>Product_223</v>
      </c>
      <c r="E1992" t="str">
        <f>VLOOKUP(B1992,Products!$A:$E,3,FALSE)</f>
        <v>Storage</v>
      </c>
    </row>
    <row r="1993" spans="1:5" x14ac:dyDescent="0.3">
      <c r="A1993" t="s">
        <v>3003</v>
      </c>
      <c r="B1993" t="s">
        <v>146</v>
      </c>
      <c r="C1993">
        <v>48</v>
      </c>
      <c r="D1993" t="str">
        <f>VLOOKUP(B1993,Products!$A:$E,2,FALSE)</f>
        <v>Product_69</v>
      </c>
      <c r="E1993" t="str">
        <f>VLOOKUP(B1993,Products!$A:$E,3,FALSE)</f>
        <v>Electronics</v>
      </c>
    </row>
    <row r="1994" spans="1:5" x14ac:dyDescent="0.3">
      <c r="A1994" t="s">
        <v>3004</v>
      </c>
      <c r="B1994" t="s">
        <v>932</v>
      </c>
      <c r="C1994">
        <v>67</v>
      </c>
      <c r="D1994" t="str">
        <f>VLOOKUP(B1994,Products!$A:$E,2,FALSE)</f>
        <v>Product_462</v>
      </c>
      <c r="E1994" t="str">
        <f>VLOOKUP(B1994,Products!$A:$E,3,FALSE)</f>
        <v>Electronics</v>
      </c>
    </row>
    <row r="1995" spans="1:5" x14ac:dyDescent="0.3">
      <c r="A1995" t="s">
        <v>3005</v>
      </c>
      <c r="B1995" t="s">
        <v>376</v>
      </c>
      <c r="C1995">
        <v>29</v>
      </c>
      <c r="D1995" t="str">
        <f>VLOOKUP(B1995,Products!$A:$E,2,FALSE)</f>
        <v>Product_184</v>
      </c>
      <c r="E1995" t="str">
        <f>VLOOKUP(B1995,Products!$A:$E,3,FALSE)</f>
        <v>Electronics</v>
      </c>
    </row>
    <row r="1996" spans="1:5" x14ac:dyDescent="0.3">
      <c r="A1996" t="s">
        <v>3006</v>
      </c>
      <c r="B1996" t="s">
        <v>178</v>
      </c>
      <c r="C1996">
        <v>56</v>
      </c>
      <c r="D1996" t="str">
        <f>VLOOKUP(B1996,Products!$A:$E,2,FALSE)</f>
        <v>Product_85</v>
      </c>
      <c r="E1996" t="str">
        <f>VLOOKUP(B1996,Products!$A:$E,3,FALSE)</f>
        <v>Electronics</v>
      </c>
    </row>
    <row r="1997" spans="1:5" x14ac:dyDescent="0.3">
      <c r="A1997" t="s">
        <v>3007</v>
      </c>
      <c r="B1997" t="s">
        <v>28</v>
      </c>
      <c r="C1997">
        <v>34</v>
      </c>
      <c r="D1997" t="str">
        <f>VLOOKUP(B1997,Products!$A:$E,2,FALSE)</f>
        <v>Product_10</v>
      </c>
      <c r="E1997" t="str">
        <f>VLOOKUP(B1997,Products!$A:$E,3,FALSE)</f>
        <v>Networking</v>
      </c>
    </row>
    <row r="1998" spans="1:5" x14ac:dyDescent="0.3">
      <c r="A1998" t="s">
        <v>3008</v>
      </c>
      <c r="B1998" t="s">
        <v>238</v>
      </c>
      <c r="C1998">
        <v>98</v>
      </c>
      <c r="D1998" t="str">
        <f>VLOOKUP(B1998,Products!$A:$E,2,FALSE)</f>
        <v>Product_115</v>
      </c>
      <c r="E1998" t="str">
        <f>VLOOKUP(B1998,Products!$A:$E,3,FALSE)</f>
        <v>Networking</v>
      </c>
    </row>
    <row r="1999" spans="1:5" x14ac:dyDescent="0.3">
      <c r="A1999" t="s">
        <v>3009</v>
      </c>
      <c r="B1999" t="s">
        <v>144</v>
      </c>
      <c r="C1999">
        <v>32</v>
      </c>
      <c r="D1999" t="str">
        <f>VLOOKUP(B1999,Products!$A:$E,2,FALSE)</f>
        <v>Product_68</v>
      </c>
      <c r="E1999" t="str">
        <f>VLOOKUP(B1999,Products!$A:$E,3,FALSE)</f>
        <v>Accessories</v>
      </c>
    </row>
    <row r="2000" spans="1:5" x14ac:dyDescent="0.3">
      <c r="A2000" t="s">
        <v>3010</v>
      </c>
      <c r="B2000" t="s">
        <v>760</v>
      </c>
      <c r="C2000">
        <v>7</v>
      </c>
      <c r="D2000" t="str">
        <f>VLOOKUP(B2000,Products!$A:$E,2,FALSE)</f>
        <v>Product_376</v>
      </c>
      <c r="E2000" t="str">
        <f>VLOOKUP(B2000,Products!$A:$E,3,FALSE)</f>
        <v>Networking</v>
      </c>
    </row>
    <row r="2001" spans="1:5" x14ac:dyDescent="0.3">
      <c r="A2001" t="s">
        <v>3011</v>
      </c>
      <c r="B2001" t="s">
        <v>612</v>
      </c>
      <c r="C2001">
        <v>69</v>
      </c>
      <c r="D2001" t="str">
        <f>VLOOKUP(B2001,Products!$A:$E,2,FALSE)</f>
        <v>Product_302</v>
      </c>
      <c r="E2001" t="str">
        <f>VLOOKUP(B2001,Products!$A:$E,3,FALSE)</f>
        <v>Accessories</v>
      </c>
    </row>
    <row r="2002" spans="1:5" x14ac:dyDescent="0.3">
      <c r="A2002" t="s">
        <v>3012</v>
      </c>
      <c r="B2002" t="s">
        <v>182</v>
      </c>
      <c r="C2002">
        <v>20</v>
      </c>
      <c r="D2002" t="str">
        <f>VLOOKUP(B2002,Products!$A:$E,2,FALSE)</f>
        <v>Product_87</v>
      </c>
      <c r="E2002" t="str">
        <f>VLOOKUP(B2002,Products!$A:$E,3,FALSE)</f>
        <v>Networking</v>
      </c>
    </row>
    <row r="2003" spans="1:5" x14ac:dyDescent="0.3">
      <c r="A2003" t="s">
        <v>3013</v>
      </c>
      <c r="B2003" t="s">
        <v>384</v>
      </c>
      <c r="C2003">
        <v>96</v>
      </c>
      <c r="D2003" t="str">
        <f>VLOOKUP(B2003,Products!$A:$E,2,FALSE)</f>
        <v>Product_188</v>
      </c>
      <c r="E2003" t="str">
        <f>VLOOKUP(B2003,Products!$A:$E,3,FALSE)</f>
        <v>Office Supplies</v>
      </c>
    </row>
    <row r="2004" spans="1:5" x14ac:dyDescent="0.3">
      <c r="A2004" t="s">
        <v>3014</v>
      </c>
      <c r="B2004" t="s">
        <v>676</v>
      </c>
      <c r="C2004">
        <v>9</v>
      </c>
      <c r="D2004" t="str">
        <f>VLOOKUP(B2004,Products!$A:$E,2,FALSE)</f>
        <v>Product_334</v>
      </c>
      <c r="E2004" t="str">
        <f>VLOOKUP(B2004,Products!$A:$E,3,FALSE)</f>
        <v>Accessories</v>
      </c>
    </row>
    <row r="2005" spans="1:5" x14ac:dyDescent="0.3">
      <c r="A2005" t="s">
        <v>3015</v>
      </c>
      <c r="B2005" t="s">
        <v>394</v>
      </c>
      <c r="C2005">
        <v>86</v>
      </c>
      <c r="D2005" t="str">
        <f>VLOOKUP(B2005,Products!$A:$E,2,FALSE)</f>
        <v>Product_193</v>
      </c>
      <c r="E2005" t="str">
        <f>VLOOKUP(B2005,Products!$A:$E,3,FALSE)</f>
        <v>Accessories</v>
      </c>
    </row>
    <row r="2006" spans="1:5" x14ac:dyDescent="0.3">
      <c r="A2006" t="s">
        <v>3016</v>
      </c>
      <c r="B2006" t="s">
        <v>270</v>
      </c>
      <c r="C2006">
        <v>73</v>
      </c>
      <c r="D2006" t="str">
        <f>VLOOKUP(B2006,Products!$A:$E,2,FALSE)</f>
        <v>Product_131</v>
      </c>
      <c r="E2006" t="str">
        <f>VLOOKUP(B2006,Products!$A:$E,3,FALSE)</f>
        <v>Electronics</v>
      </c>
    </row>
    <row r="2007" spans="1:5" x14ac:dyDescent="0.3">
      <c r="A2007" t="s">
        <v>3017</v>
      </c>
      <c r="B2007" t="s">
        <v>648</v>
      </c>
      <c r="C2007">
        <v>11</v>
      </c>
      <c r="D2007" t="str">
        <f>VLOOKUP(B2007,Products!$A:$E,2,FALSE)</f>
        <v>Product_320</v>
      </c>
      <c r="E2007" t="str">
        <f>VLOOKUP(B2007,Products!$A:$E,3,FALSE)</f>
        <v>Office Supplies</v>
      </c>
    </row>
    <row r="2008" spans="1:5" x14ac:dyDescent="0.3">
      <c r="A2008" t="s">
        <v>3018</v>
      </c>
      <c r="B2008" t="s">
        <v>618</v>
      </c>
      <c r="C2008">
        <v>11</v>
      </c>
      <c r="D2008" t="str">
        <f>VLOOKUP(B2008,Products!$A:$E,2,FALSE)</f>
        <v>Product_305</v>
      </c>
      <c r="E2008" t="str">
        <f>VLOOKUP(B2008,Products!$A:$E,3,FALSE)</f>
        <v>Accessories</v>
      </c>
    </row>
    <row r="2009" spans="1:5" x14ac:dyDescent="0.3">
      <c r="A2009" t="s">
        <v>3019</v>
      </c>
      <c r="B2009" t="s">
        <v>686</v>
      </c>
      <c r="C2009">
        <v>18</v>
      </c>
      <c r="D2009" t="str">
        <f>VLOOKUP(B2009,Products!$A:$E,2,FALSE)</f>
        <v>Product_339</v>
      </c>
      <c r="E2009" t="str">
        <f>VLOOKUP(B2009,Products!$A:$E,3,FALSE)</f>
        <v>Storage</v>
      </c>
    </row>
    <row r="2010" spans="1:5" x14ac:dyDescent="0.3">
      <c r="A2010" t="s">
        <v>3020</v>
      </c>
      <c r="B2010" t="s">
        <v>678</v>
      </c>
      <c r="C2010">
        <v>7</v>
      </c>
      <c r="D2010" t="str">
        <f>VLOOKUP(B2010,Products!$A:$E,2,FALSE)</f>
        <v>Product_335</v>
      </c>
      <c r="E2010" t="str">
        <f>VLOOKUP(B2010,Products!$A:$E,3,FALSE)</f>
        <v>Networking</v>
      </c>
    </row>
    <row r="2011" spans="1:5" x14ac:dyDescent="0.3">
      <c r="A2011" t="s">
        <v>3021</v>
      </c>
      <c r="B2011" t="s">
        <v>58</v>
      </c>
      <c r="C2011">
        <v>93</v>
      </c>
      <c r="D2011" t="str">
        <f>VLOOKUP(B2011,Products!$A:$E,2,FALSE)</f>
        <v>Product_25</v>
      </c>
      <c r="E2011" t="str">
        <f>VLOOKUP(B2011,Products!$A:$E,3,FALSE)</f>
        <v>Office Supplies</v>
      </c>
    </row>
    <row r="2012" spans="1:5" x14ac:dyDescent="0.3">
      <c r="A2012" t="s">
        <v>3022</v>
      </c>
      <c r="B2012" t="s">
        <v>128</v>
      </c>
      <c r="C2012">
        <v>58</v>
      </c>
      <c r="D2012" t="str">
        <f>VLOOKUP(B2012,Products!$A:$E,2,FALSE)</f>
        <v>Product_60</v>
      </c>
      <c r="E2012" t="str">
        <f>VLOOKUP(B2012,Products!$A:$E,3,FALSE)</f>
        <v>Electronics</v>
      </c>
    </row>
    <row r="2013" spans="1:5" x14ac:dyDescent="0.3">
      <c r="A2013" t="s">
        <v>3023</v>
      </c>
      <c r="B2013" t="s">
        <v>464</v>
      </c>
      <c r="C2013">
        <v>53</v>
      </c>
      <c r="D2013" t="str">
        <f>VLOOKUP(B2013,Products!$A:$E,2,FALSE)</f>
        <v>Product_228</v>
      </c>
      <c r="E2013" t="str">
        <f>VLOOKUP(B2013,Products!$A:$E,3,FALSE)</f>
        <v>Storage</v>
      </c>
    </row>
    <row r="2014" spans="1:5" x14ac:dyDescent="0.3">
      <c r="A2014" t="s">
        <v>3024</v>
      </c>
      <c r="B2014" t="s">
        <v>136</v>
      </c>
      <c r="C2014">
        <v>75</v>
      </c>
      <c r="D2014" t="str">
        <f>VLOOKUP(B2014,Products!$A:$E,2,FALSE)</f>
        <v>Product_64</v>
      </c>
      <c r="E2014" t="str">
        <f>VLOOKUP(B2014,Products!$A:$E,3,FALSE)</f>
        <v>Storage</v>
      </c>
    </row>
    <row r="2015" spans="1:5" x14ac:dyDescent="0.3">
      <c r="A2015" t="s">
        <v>3025</v>
      </c>
      <c r="B2015" t="s">
        <v>268</v>
      </c>
      <c r="C2015">
        <v>65</v>
      </c>
      <c r="D2015" t="str">
        <f>VLOOKUP(B2015,Products!$A:$E,2,FALSE)</f>
        <v>Product_130</v>
      </c>
      <c r="E2015" t="str">
        <f>VLOOKUP(B2015,Products!$A:$E,3,FALSE)</f>
        <v>Storage</v>
      </c>
    </row>
    <row r="2016" spans="1:5" x14ac:dyDescent="0.3">
      <c r="A2016" t="s">
        <v>3026</v>
      </c>
      <c r="B2016" t="s">
        <v>728</v>
      </c>
      <c r="C2016">
        <v>24</v>
      </c>
      <c r="D2016" t="str">
        <f>VLOOKUP(B2016,Products!$A:$E,2,FALSE)</f>
        <v>Product_360</v>
      </c>
      <c r="E2016" t="str">
        <f>VLOOKUP(B2016,Products!$A:$E,3,FALSE)</f>
        <v>Office Supplies</v>
      </c>
    </row>
    <row r="2017" spans="1:5" x14ac:dyDescent="0.3">
      <c r="A2017" t="s">
        <v>3027</v>
      </c>
      <c r="B2017" t="s">
        <v>220</v>
      </c>
      <c r="C2017">
        <v>93</v>
      </c>
      <c r="D2017" t="str">
        <f>VLOOKUP(B2017,Products!$A:$E,2,FALSE)</f>
        <v>Product_106</v>
      </c>
      <c r="E2017" t="str">
        <f>VLOOKUP(B2017,Products!$A:$E,3,FALSE)</f>
        <v>Networking</v>
      </c>
    </row>
    <row r="2018" spans="1:5" x14ac:dyDescent="0.3">
      <c r="A2018" t="s">
        <v>3028</v>
      </c>
      <c r="B2018" t="s">
        <v>712</v>
      </c>
      <c r="C2018">
        <v>85</v>
      </c>
      <c r="D2018" t="str">
        <f>VLOOKUP(B2018,Products!$A:$E,2,FALSE)</f>
        <v>Product_352</v>
      </c>
      <c r="E2018" t="str">
        <f>VLOOKUP(B2018,Products!$A:$E,3,FALSE)</f>
        <v>Storage</v>
      </c>
    </row>
    <row r="2019" spans="1:5" x14ac:dyDescent="0.3">
      <c r="A2019" t="s">
        <v>3029</v>
      </c>
      <c r="B2019" t="s">
        <v>17</v>
      </c>
      <c r="C2019">
        <v>43</v>
      </c>
      <c r="D2019" t="str">
        <f>VLOOKUP(B2019,Products!$A:$E,2,FALSE)</f>
        <v>Product_5</v>
      </c>
      <c r="E2019" t="str">
        <f>VLOOKUP(B2019,Products!$A:$E,3,FALSE)</f>
        <v>Networking</v>
      </c>
    </row>
    <row r="2020" spans="1:5" x14ac:dyDescent="0.3">
      <c r="A2020" t="s">
        <v>3030</v>
      </c>
      <c r="B2020" t="s">
        <v>440</v>
      </c>
      <c r="C2020">
        <v>89</v>
      </c>
      <c r="D2020" t="str">
        <f>VLOOKUP(B2020,Products!$A:$E,2,FALSE)</f>
        <v>Product_216</v>
      </c>
      <c r="E2020" t="str">
        <f>VLOOKUP(B2020,Products!$A:$E,3,FALSE)</f>
        <v>Accessories</v>
      </c>
    </row>
    <row r="2021" spans="1:5" x14ac:dyDescent="0.3">
      <c r="A2021" t="s">
        <v>3031</v>
      </c>
      <c r="B2021" t="s">
        <v>112</v>
      </c>
      <c r="C2021">
        <v>89</v>
      </c>
      <c r="D2021" t="str">
        <f>VLOOKUP(B2021,Products!$A:$E,2,FALSE)</f>
        <v>Product_52</v>
      </c>
      <c r="E2021" t="str">
        <f>VLOOKUP(B2021,Products!$A:$E,3,FALSE)</f>
        <v>Electronics</v>
      </c>
    </row>
    <row r="2022" spans="1:5" x14ac:dyDescent="0.3">
      <c r="A2022" t="s">
        <v>3032</v>
      </c>
      <c r="B2022" t="s">
        <v>542</v>
      </c>
      <c r="C2022">
        <v>39</v>
      </c>
      <c r="D2022" t="str">
        <f>VLOOKUP(B2022,Products!$A:$E,2,FALSE)</f>
        <v>Product_267</v>
      </c>
      <c r="E2022" t="str">
        <f>VLOOKUP(B2022,Products!$A:$E,3,FALSE)</f>
        <v>Networking</v>
      </c>
    </row>
    <row r="2023" spans="1:5" x14ac:dyDescent="0.3">
      <c r="A2023" t="s">
        <v>3033</v>
      </c>
      <c r="B2023" t="s">
        <v>646</v>
      </c>
      <c r="C2023">
        <v>82</v>
      </c>
      <c r="D2023" t="str">
        <f>VLOOKUP(B2023,Products!$A:$E,2,FALSE)</f>
        <v>Product_319</v>
      </c>
      <c r="E2023" t="str">
        <f>VLOOKUP(B2023,Products!$A:$E,3,FALSE)</f>
        <v>Accessories</v>
      </c>
    </row>
    <row r="2024" spans="1:5" x14ac:dyDescent="0.3">
      <c r="A2024" t="s">
        <v>3034</v>
      </c>
      <c r="B2024" t="s">
        <v>726</v>
      </c>
      <c r="C2024">
        <v>22</v>
      </c>
      <c r="D2024" t="str">
        <f>VLOOKUP(B2024,Products!$A:$E,2,FALSE)</f>
        <v>Product_359</v>
      </c>
      <c r="E2024" t="str">
        <f>VLOOKUP(B2024,Products!$A:$E,3,FALSE)</f>
        <v>Electronics</v>
      </c>
    </row>
    <row r="2025" spans="1:5" x14ac:dyDescent="0.3">
      <c r="A2025" t="s">
        <v>3035</v>
      </c>
      <c r="B2025" t="s">
        <v>438</v>
      </c>
      <c r="C2025">
        <v>18</v>
      </c>
      <c r="D2025" t="str">
        <f>VLOOKUP(B2025,Products!$A:$E,2,FALSE)</f>
        <v>Product_215</v>
      </c>
      <c r="E2025" t="str">
        <f>VLOOKUP(B2025,Products!$A:$E,3,FALSE)</f>
        <v>Electronics</v>
      </c>
    </row>
    <row r="2026" spans="1:5" x14ac:dyDescent="0.3">
      <c r="A2026" t="s">
        <v>3036</v>
      </c>
      <c r="B2026" t="s">
        <v>532</v>
      </c>
      <c r="C2026">
        <v>97</v>
      </c>
      <c r="D2026" t="str">
        <f>VLOOKUP(B2026,Products!$A:$E,2,FALSE)</f>
        <v>Product_262</v>
      </c>
      <c r="E2026" t="str">
        <f>VLOOKUP(B2026,Products!$A:$E,3,FALSE)</f>
        <v>Electronics</v>
      </c>
    </row>
    <row r="2027" spans="1:5" x14ac:dyDescent="0.3">
      <c r="A2027" t="s">
        <v>3037</v>
      </c>
      <c r="B2027" t="s">
        <v>642</v>
      </c>
      <c r="C2027">
        <v>20</v>
      </c>
      <c r="D2027" t="str">
        <f>VLOOKUP(B2027,Products!$A:$E,2,FALSE)</f>
        <v>Product_317</v>
      </c>
      <c r="E2027" t="str">
        <f>VLOOKUP(B2027,Products!$A:$E,3,FALSE)</f>
        <v>Storage</v>
      </c>
    </row>
    <row r="2028" spans="1:5" x14ac:dyDescent="0.3">
      <c r="A2028" t="s">
        <v>3038</v>
      </c>
      <c r="B2028" t="s">
        <v>298</v>
      </c>
      <c r="C2028">
        <v>19</v>
      </c>
      <c r="D2028" t="str">
        <f>VLOOKUP(B2028,Products!$A:$E,2,FALSE)</f>
        <v>Product_145</v>
      </c>
      <c r="E2028" t="str">
        <f>VLOOKUP(B2028,Products!$A:$E,3,FALSE)</f>
        <v>Office Supplies</v>
      </c>
    </row>
    <row r="2029" spans="1:5" x14ac:dyDescent="0.3">
      <c r="A2029" t="s">
        <v>3039</v>
      </c>
      <c r="B2029" t="s">
        <v>812</v>
      </c>
      <c r="C2029">
        <v>18</v>
      </c>
      <c r="D2029" t="str">
        <f>VLOOKUP(B2029,Products!$A:$E,2,FALSE)</f>
        <v>Product_402</v>
      </c>
      <c r="E2029" t="str">
        <f>VLOOKUP(B2029,Products!$A:$E,3,FALSE)</f>
        <v>Accessories</v>
      </c>
    </row>
    <row r="2030" spans="1:5" x14ac:dyDescent="0.3">
      <c r="A2030" t="s">
        <v>3040</v>
      </c>
      <c r="B2030" t="s">
        <v>518</v>
      </c>
      <c r="C2030">
        <v>30</v>
      </c>
      <c r="D2030" t="str">
        <f>VLOOKUP(B2030,Products!$A:$E,2,FALSE)</f>
        <v>Product_255</v>
      </c>
      <c r="E2030" t="str">
        <f>VLOOKUP(B2030,Products!$A:$E,3,FALSE)</f>
        <v>Accessories</v>
      </c>
    </row>
    <row r="2031" spans="1:5" x14ac:dyDescent="0.3">
      <c r="A2031" t="s">
        <v>3041</v>
      </c>
      <c r="B2031" t="s">
        <v>632</v>
      </c>
      <c r="C2031">
        <v>30</v>
      </c>
      <c r="D2031" t="str">
        <f>VLOOKUP(B2031,Products!$A:$E,2,FALSE)</f>
        <v>Product_312</v>
      </c>
      <c r="E2031" t="str">
        <f>VLOOKUP(B2031,Products!$A:$E,3,FALSE)</f>
        <v>Office Supplies</v>
      </c>
    </row>
    <row r="2032" spans="1:5" x14ac:dyDescent="0.3">
      <c r="A2032" t="s">
        <v>3042</v>
      </c>
      <c r="B2032" t="s">
        <v>806</v>
      </c>
      <c r="C2032">
        <v>38</v>
      </c>
      <c r="D2032" t="str">
        <f>VLOOKUP(B2032,Products!$A:$E,2,FALSE)</f>
        <v>Product_399</v>
      </c>
      <c r="E2032" t="str">
        <f>VLOOKUP(B2032,Products!$A:$E,3,FALSE)</f>
        <v>Networking</v>
      </c>
    </row>
    <row r="2033" spans="1:5" x14ac:dyDescent="0.3">
      <c r="A2033" t="s">
        <v>3043</v>
      </c>
      <c r="B2033" t="s">
        <v>860</v>
      </c>
      <c r="C2033">
        <v>71</v>
      </c>
      <c r="D2033" t="str">
        <f>VLOOKUP(B2033,Products!$A:$E,2,FALSE)</f>
        <v>Product_426</v>
      </c>
      <c r="E2033" t="str">
        <f>VLOOKUP(B2033,Products!$A:$E,3,FALSE)</f>
        <v>Storage</v>
      </c>
    </row>
    <row r="2034" spans="1:5" x14ac:dyDescent="0.3">
      <c r="A2034" t="s">
        <v>3044</v>
      </c>
      <c r="B2034" t="s">
        <v>1006</v>
      </c>
      <c r="C2034">
        <v>30</v>
      </c>
      <c r="D2034" t="str">
        <f>VLOOKUP(B2034,Products!$A:$E,2,FALSE)</f>
        <v>Product_499</v>
      </c>
      <c r="E2034" t="str">
        <f>VLOOKUP(B2034,Products!$A:$E,3,FALSE)</f>
        <v>Office Supplies</v>
      </c>
    </row>
    <row r="2035" spans="1:5" x14ac:dyDescent="0.3">
      <c r="A2035" t="s">
        <v>3045</v>
      </c>
      <c r="B2035" t="s">
        <v>376</v>
      </c>
      <c r="C2035">
        <v>95</v>
      </c>
      <c r="D2035" t="str">
        <f>VLOOKUP(B2035,Products!$A:$E,2,FALSE)</f>
        <v>Product_184</v>
      </c>
      <c r="E2035" t="str">
        <f>VLOOKUP(B2035,Products!$A:$E,3,FALSE)</f>
        <v>Electronics</v>
      </c>
    </row>
    <row r="2036" spans="1:5" x14ac:dyDescent="0.3">
      <c r="A2036" t="s">
        <v>3046</v>
      </c>
      <c r="B2036" t="s">
        <v>428</v>
      </c>
      <c r="C2036">
        <v>42</v>
      </c>
      <c r="D2036" t="str">
        <f>VLOOKUP(B2036,Products!$A:$E,2,FALSE)</f>
        <v>Product_210</v>
      </c>
      <c r="E2036" t="str">
        <f>VLOOKUP(B2036,Products!$A:$E,3,FALSE)</f>
        <v>Electronics</v>
      </c>
    </row>
    <row r="2037" spans="1:5" x14ac:dyDescent="0.3">
      <c r="A2037" t="s">
        <v>3047</v>
      </c>
      <c r="B2037" t="s">
        <v>174</v>
      </c>
      <c r="C2037">
        <v>10</v>
      </c>
      <c r="D2037" t="str">
        <f>VLOOKUP(B2037,Products!$A:$E,2,FALSE)</f>
        <v>Product_83</v>
      </c>
      <c r="E2037" t="str">
        <f>VLOOKUP(B2037,Products!$A:$E,3,FALSE)</f>
        <v>Accessories</v>
      </c>
    </row>
    <row r="2038" spans="1:5" x14ac:dyDescent="0.3">
      <c r="A2038" t="s">
        <v>3048</v>
      </c>
      <c r="B2038" t="s">
        <v>570</v>
      </c>
      <c r="C2038">
        <v>68</v>
      </c>
      <c r="D2038" t="str">
        <f>VLOOKUP(B2038,Products!$A:$E,2,FALSE)</f>
        <v>Product_281</v>
      </c>
      <c r="E2038" t="str">
        <f>VLOOKUP(B2038,Products!$A:$E,3,FALSE)</f>
        <v>Office Supplies</v>
      </c>
    </row>
    <row r="2039" spans="1:5" x14ac:dyDescent="0.3">
      <c r="A2039" t="s">
        <v>3049</v>
      </c>
      <c r="B2039" t="s">
        <v>942</v>
      </c>
      <c r="C2039">
        <v>31</v>
      </c>
      <c r="D2039" t="str">
        <f>VLOOKUP(B2039,Products!$A:$E,2,FALSE)</f>
        <v>Product_467</v>
      </c>
      <c r="E2039" t="str">
        <f>VLOOKUP(B2039,Products!$A:$E,3,FALSE)</f>
        <v>Accessories</v>
      </c>
    </row>
    <row r="2040" spans="1:5" x14ac:dyDescent="0.3">
      <c r="A2040" t="s">
        <v>3050</v>
      </c>
      <c r="B2040" t="s">
        <v>714</v>
      </c>
      <c r="C2040">
        <v>66</v>
      </c>
      <c r="D2040" t="str">
        <f>VLOOKUP(B2040,Products!$A:$E,2,FALSE)</f>
        <v>Product_353</v>
      </c>
      <c r="E2040" t="str">
        <f>VLOOKUP(B2040,Products!$A:$E,3,FALSE)</f>
        <v>Accessories</v>
      </c>
    </row>
    <row r="2041" spans="1:5" x14ac:dyDescent="0.3">
      <c r="A2041" t="s">
        <v>3051</v>
      </c>
      <c r="B2041" t="s">
        <v>348</v>
      </c>
      <c r="C2041">
        <v>35</v>
      </c>
      <c r="D2041" t="str">
        <f>VLOOKUP(B2041,Products!$A:$E,2,FALSE)</f>
        <v>Product_170</v>
      </c>
      <c r="E2041" t="str">
        <f>VLOOKUP(B2041,Products!$A:$E,3,FALSE)</f>
        <v>Office Supplies</v>
      </c>
    </row>
    <row r="2042" spans="1:5" x14ac:dyDescent="0.3">
      <c r="A2042" t="s">
        <v>3052</v>
      </c>
      <c r="B2042" t="s">
        <v>8</v>
      </c>
      <c r="C2042">
        <v>6</v>
      </c>
      <c r="D2042" t="str">
        <f>VLOOKUP(B2042,Products!$A:$E,2,FALSE)</f>
        <v>Product_2</v>
      </c>
      <c r="E2042" t="str">
        <f>VLOOKUP(B2042,Products!$A:$E,3,FALSE)</f>
        <v>Office Supplies</v>
      </c>
    </row>
    <row r="2043" spans="1:5" x14ac:dyDescent="0.3">
      <c r="A2043" t="s">
        <v>3053</v>
      </c>
      <c r="B2043" t="s">
        <v>696</v>
      </c>
      <c r="C2043">
        <v>16</v>
      </c>
      <c r="D2043" t="str">
        <f>VLOOKUP(B2043,Products!$A:$E,2,FALSE)</f>
        <v>Product_344</v>
      </c>
      <c r="E2043" t="str">
        <f>VLOOKUP(B2043,Products!$A:$E,3,FALSE)</f>
        <v>Accessories</v>
      </c>
    </row>
    <row r="2044" spans="1:5" x14ac:dyDescent="0.3">
      <c r="A2044" t="s">
        <v>3054</v>
      </c>
      <c r="B2044" t="s">
        <v>938</v>
      </c>
      <c r="C2044">
        <v>19</v>
      </c>
      <c r="D2044" t="str">
        <f>VLOOKUP(B2044,Products!$A:$E,2,FALSE)</f>
        <v>Product_465</v>
      </c>
      <c r="E2044" t="str">
        <f>VLOOKUP(B2044,Products!$A:$E,3,FALSE)</f>
        <v>Electronics</v>
      </c>
    </row>
    <row r="2045" spans="1:5" x14ac:dyDescent="0.3">
      <c r="A2045" t="s">
        <v>3055</v>
      </c>
      <c r="B2045" t="s">
        <v>864</v>
      </c>
      <c r="C2045">
        <v>78</v>
      </c>
      <c r="D2045" t="str">
        <f>VLOOKUP(B2045,Products!$A:$E,2,FALSE)</f>
        <v>Product_428</v>
      </c>
      <c r="E2045" t="str">
        <f>VLOOKUP(B2045,Products!$A:$E,3,FALSE)</f>
        <v>Storage</v>
      </c>
    </row>
    <row r="2046" spans="1:5" x14ac:dyDescent="0.3">
      <c r="A2046" t="s">
        <v>3056</v>
      </c>
      <c r="B2046" t="s">
        <v>694</v>
      </c>
      <c r="C2046">
        <v>68</v>
      </c>
      <c r="D2046" t="str">
        <f>VLOOKUP(B2046,Products!$A:$E,2,FALSE)</f>
        <v>Product_343</v>
      </c>
      <c r="E2046" t="str">
        <f>VLOOKUP(B2046,Products!$A:$E,3,FALSE)</f>
        <v>Office Supplies</v>
      </c>
    </row>
    <row r="2047" spans="1:5" x14ac:dyDescent="0.3">
      <c r="A2047" t="s">
        <v>3057</v>
      </c>
      <c r="B2047" t="s">
        <v>162</v>
      </c>
      <c r="C2047">
        <v>16</v>
      </c>
      <c r="D2047" t="str">
        <f>VLOOKUP(B2047,Products!$A:$E,2,FALSE)</f>
        <v>Product_77</v>
      </c>
      <c r="E2047" t="str">
        <f>VLOOKUP(B2047,Products!$A:$E,3,FALSE)</f>
        <v>Networking</v>
      </c>
    </row>
    <row r="2048" spans="1:5" x14ac:dyDescent="0.3">
      <c r="A2048" t="s">
        <v>3058</v>
      </c>
      <c r="B2048" t="s">
        <v>808</v>
      </c>
      <c r="C2048">
        <v>70</v>
      </c>
      <c r="D2048" t="str">
        <f>VLOOKUP(B2048,Products!$A:$E,2,FALSE)</f>
        <v>Product_400</v>
      </c>
      <c r="E2048" t="str">
        <f>VLOOKUP(B2048,Products!$A:$E,3,FALSE)</f>
        <v>Networking</v>
      </c>
    </row>
    <row r="2049" spans="1:5" x14ac:dyDescent="0.3">
      <c r="A2049" t="s">
        <v>3059</v>
      </c>
      <c r="B2049" t="s">
        <v>86</v>
      </c>
      <c r="C2049">
        <v>97</v>
      </c>
      <c r="D2049" t="str">
        <f>VLOOKUP(B2049,Products!$A:$E,2,FALSE)</f>
        <v>Product_39</v>
      </c>
      <c r="E2049" t="str">
        <f>VLOOKUP(B2049,Products!$A:$E,3,FALSE)</f>
        <v>Networking</v>
      </c>
    </row>
    <row r="2050" spans="1:5" x14ac:dyDescent="0.3">
      <c r="A2050" t="s">
        <v>3060</v>
      </c>
      <c r="B2050" t="s">
        <v>750</v>
      </c>
      <c r="C2050">
        <v>17</v>
      </c>
      <c r="D2050" t="str">
        <f>VLOOKUP(B2050,Products!$A:$E,2,FALSE)</f>
        <v>Product_371</v>
      </c>
      <c r="E2050" t="str">
        <f>VLOOKUP(B2050,Products!$A:$E,3,FALSE)</f>
        <v>Storage</v>
      </c>
    </row>
    <row r="2051" spans="1:5" x14ac:dyDescent="0.3">
      <c r="A2051" t="s">
        <v>3061</v>
      </c>
      <c r="B2051" t="s">
        <v>936</v>
      </c>
      <c r="C2051">
        <v>37</v>
      </c>
      <c r="D2051" t="str">
        <f>VLOOKUP(B2051,Products!$A:$E,2,FALSE)</f>
        <v>Product_464</v>
      </c>
      <c r="E2051" t="str">
        <f>VLOOKUP(B2051,Products!$A:$E,3,FALSE)</f>
        <v>Office Supplies</v>
      </c>
    </row>
    <row r="2052" spans="1:5" x14ac:dyDescent="0.3">
      <c r="A2052" t="s">
        <v>3062</v>
      </c>
      <c r="B2052" t="s">
        <v>668</v>
      </c>
      <c r="C2052">
        <v>34</v>
      </c>
      <c r="D2052" t="str">
        <f>VLOOKUP(B2052,Products!$A:$E,2,FALSE)</f>
        <v>Product_330</v>
      </c>
      <c r="E2052" t="str">
        <f>VLOOKUP(B2052,Products!$A:$E,3,FALSE)</f>
        <v>Electronics</v>
      </c>
    </row>
    <row r="2053" spans="1:5" x14ac:dyDescent="0.3">
      <c r="A2053" t="s">
        <v>3063</v>
      </c>
      <c r="B2053" t="s">
        <v>476</v>
      </c>
      <c r="C2053">
        <v>42</v>
      </c>
      <c r="D2053" t="str">
        <f>VLOOKUP(B2053,Products!$A:$E,2,FALSE)</f>
        <v>Product_234</v>
      </c>
      <c r="E2053" t="str">
        <f>VLOOKUP(B2053,Products!$A:$E,3,FALSE)</f>
        <v>Networking</v>
      </c>
    </row>
    <row r="2054" spans="1:5" x14ac:dyDescent="0.3">
      <c r="A2054" t="s">
        <v>3064</v>
      </c>
      <c r="B2054" t="s">
        <v>280</v>
      </c>
      <c r="C2054">
        <v>64</v>
      </c>
      <c r="D2054" t="str">
        <f>VLOOKUP(B2054,Products!$A:$E,2,FALSE)</f>
        <v>Product_136</v>
      </c>
      <c r="E2054" t="str">
        <f>VLOOKUP(B2054,Products!$A:$E,3,FALSE)</f>
        <v>Storage</v>
      </c>
    </row>
    <row r="2055" spans="1:5" x14ac:dyDescent="0.3">
      <c r="A2055" t="s">
        <v>3065</v>
      </c>
      <c r="B2055" t="s">
        <v>60</v>
      </c>
      <c r="C2055">
        <v>17</v>
      </c>
      <c r="D2055" t="str">
        <f>VLOOKUP(B2055,Products!$A:$E,2,FALSE)</f>
        <v>Product_26</v>
      </c>
      <c r="E2055" t="str">
        <f>VLOOKUP(B2055,Products!$A:$E,3,FALSE)</f>
        <v>Office Supplies</v>
      </c>
    </row>
    <row r="2056" spans="1:5" x14ac:dyDescent="0.3">
      <c r="A2056" t="s">
        <v>3066</v>
      </c>
      <c r="B2056" t="s">
        <v>842</v>
      </c>
      <c r="C2056">
        <v>27</v>
      </c>
      <c r="D2056" t="str">
        <f>VLOOKUP(B2056,Products!$A:$E,2,FALSE)</f>
        <v>Product_417</v>
      </c>
      <c r="E2056" t="str">
        <f>VLOOKUP(B2056,Products!$A:$E,3,FALSE)</f>
        <v>Accessories</v>
      </c>
    </row>
    <row r="2057" spans="1:5" x14ac:dyDescent="0.3">
      <c r="A2057" t="s">
        <v>3067</v>
      </c>
      <c r="B2057" t="s">
        <v>904</v>
      </c>
      <c r="C2057">
        <v>10</v>
      </c>
      <c r="D2057" t="str">
        <f>VLOOKUP(B2057,Products!$A:$E,2,FALSE)</f>
        <v>Product_448</v>
      </c>
      <c r="E2057" t="str">
        <f>VLOOKUP(B2057,Products!$A:$E,3,FALSE)</f>
        <v>Networking</v>
      </c>
    </row>
    <row r="2058" spans="1:5" x14ac:dyDescent="0.3">
      <c r="A2058" t="s">
        <v>3068</v>
      </c>
      <c r="B2058" t="s">
        <v>882</v>
      </c>
      <c r="C2058">
        <v>42</v>
      </c>
      <c r="D2058" t="str">
        <f>VLOOKUP(B2058,Products!$A:$E,2,FALSE)</f>
        <v>Product_437</v>
      </c>
      <c r="E2058" t="str">
        <f>VLOOKUP(B2058,Products!$A:$E,3,FALSE)</f>
        <v>Accessories</v>
      </c>
    </row>
    <row r="2059" spans="1:5" x14ac:dyDescent="0.3">
      <c r="A2059" t="s">
        <v>3069</v>
      </c>
      <c r="B2059" t="s">
        <v>378</v>
      </c>
      <c r="C2059">
        <v>91</v>
      </c>
      <c r="D2059" t="str">
        <f>VLOOKUP(B2059,Products!$A:$E,2,FALSE)</f>
        <v>Product_185</v>
      </c>
      <c r="E2059" t="str">
        <f>VLOOKUP(B2059,Products!$A:$E,3,FALSE)</f>
        <v>Storage</v>
      </c>
    </row>
    <row r="2060" spans="1:5" x14ac:dyDescent="0.3">
      <c r="A2060" t="s">
        <v>3070</v>
      </c>
      <c r="B2060" t="s">
        <v>330</v>
      </c>
      <c r="C2060">
        <v>59</v>
      </c>
      <c r="D2060" t="str">
        <f>VLOOKUP(B2060,Products!$A:$E,2,FALSE)</f>
        <v>Product_161</v>
      </c>
      <c r="E2060" t="str">
        <f>VLOOKUP(B2060,Products!$A:$E,3,FALSE)</f>
        <v>Networking</v>
      </c>
    </row>
    <row r="2061" spans="1:5" x14ac:dyDescent="0.3">
      <c r="A2061" t="s">
        <v>3071</v>
      </c>
      <c r="B2061" t="s">
        <v>766</v>
      </c>
      <c r="C2061">
        <v>19</v>
      </c>
      <c r="D2061" t="str">
        <f>VLOOKUP(B2061,Products!$A:$E,2,FALSE)</f>
        <v>Product_379</v>
      </c>
      <c r="E2061" t="str">
        <f>VLOOKUP(B2061,Products!$A:$E,3,FALSE)</f>
        <v>Office Supplies</v>
      </c>
    </row>
    <row r="2062" spans="1:5" x14ac:dyDescent="0.3">
      <c r="A2062" t="s">
        <v>3072</v>
      </c>
      <c r="B2062" t="s">
        <v>106</v>
      </c>
      <c r="C2062">
        <v>10</v>
      </c>
      <c r="D2062" t="str">
        <f>VLOOKUP(B2062,Products!$A:$E,2,FALSE)</f>
        <v>Product_49</v>
      </c>
      <c r="E2062" t="str">
        <f>VLOOKUP(B2062,Products!$A:$E,3,FALSE)</f>
        <v>Storage</v>
      </c>
    </row>
    <row r="2063" spans="1:5" x14ac:dyDescent="0.3">
      <c r="A2063" t="s">
        <v>3073</v>
      </c>
      <c r="B2063" t="s">
        <v>17</v>
      </c>
      <c r="C2063">
        <v>22</v>
      </c>
      <c r="D2063" t="str">
        <f>VLOOKUP(B2063,Products!$A:$E,2,FALSE)</f>
        <v>Product_5</v>
      </c>
      <c r="E2063" t="str">
        <f>VLOOKUP(B2063,Products!$A:$E,3,FALSE)</f>
        <v>Networking</v>
      </c>
    </row>
    <row r="2064" spans="1:5" x14ac:dyDescent="0.3">
      <c r="A2064" t="s">
        <v>3074</v>
      </c>
      <c r="B2064" t="s">
        <v>688</v>
      </c>
      <c r="C2064">
        <v>87</v>
      </c>
      <c r="D2064" t="str">
        <f>VLOOKUP(B2064,Products!$A:$E,2,FALSE)</f>
        <v>Product_340</v>
      </c>
      <c r="E2064" t="str">
        <f>VLOOKUP(B2064,Products!$A:$E,3,FALSE)</f>
        <v>Storage</v>
      </c>
    </row>
    <row r="2065" spans="1:5" x14ac:dyDescent="0.3">
      <c r="A2065" t="s">
        <v>3075</v>
      </c>
      <c r="B2065" t="s">
        <v>184</v>
      </c>
      <c r="C2065">
        <v>47</v>
      </c>
      <c r="D2065" t="str">
        <f>VLOOKUP(B2065,Products!$A:$E,2,FALSE)</f>
        <v>Product_88</v>
      </c>
      <c r="E2065" t="str">
        <f>VLOOKUP(B2065,Products!$A:$E,3,FALSE)</f>
        <v>Accessories</v>
      </c>
    </row>
    <row r="2066" spans="1:5" x14ac:dyDescent="0.3">
      <c r="A2066" t="s">
        <v>3076</v>
      </c>
      <c r="B2066" t="s">
        <v>376</v>
      </c>
      <c r="C2066">
        <v>61</v>
      </c>
      <c r="D2066" t="str">
        <f>VLOOKUP(B2066,Products!$A:$E,2,FALSE)</f>
        <v>Product_184</v>
      </c>
      <c r="E2066" t="str">
        <f>VLOOKUP(B2066,Products!$A:$E,3,FALSE)</f>
        <v>Electronics</v>
      </c>
    </row>
    <row r="2067" spans="1:5" x14ac:dyDescent="0.3">
      <c r="A2067" t="s">
        <v>3077</v>
      </c>
      <c r="B2067" t="s">
        <v>988</v>
      </c>
      <c r="C2067">
        <v>84</v>
      </c>
      <c r="D2067" t="str">
        <f>VLOOKUP(B2067,Products!$A:$E,2,FALSE)</f>
        <v>Product_490</v>
      </c>
      <c r="E2067" t="str">
        <f>VLOOKUP(B2067,Products!$A:$E,3,FALSE)</f>
        <v>Storage</v>
      </c>
    </row>
    <row r="2068" spans="1:5" x14ac:dyDescent="0.3">
      <c r="A2068" t="s">
        <v>3078</v>
      </c>
      <c r="B2068" t="s">
        <v>284</v>
      </c>
      <c r="C2068">
        <v>98</v>
      </c>
      <c r="D2068" t="str">
        <f>VLOOKUP(B2068,Products!$A:$E,2,FALSE)</f>
        <v>Product_138</v>
      </c>
      <c r="E2068" t="str">
        <f>VLOOKUP(B2068,Products!$A:$E,3,FALSE)</f>
        <v>Electronics</v>
      </c>
    </row>
    <row r="2069" spans="1:5" x14ac:dyDescent="0.3">
      <c r="A2069" t="s">
        <v>3079</v>
      </c>
      <c r="B2069" t="s">
        <v>104</v>
      </c>
      <c r="C2069">
        <v>52</v>
      </c>
      <c r="D2069" t="str">
        <f>VLOOKUP(B2069,Products!$A:$E,2,FALSE)</f>
        <v>Product_48</v>
      </c>
      <c r="E2069" t="str">
        <f>VLOOKUP(B2069,Products!$A:$E,3,FALSE)</f>
        <v>Accessories</v>
      </c>
    </row>
    <row r="2070" spans="1:5" x14ac:dyDescent="0.3">
      <c r="A2070" t="s">
        <v>3080</v>
      </c>
      <c r="B2070" t="s">
        <v>844</v>
      </c>
      <c r="C2070">
        <v>48</v>
      </c>
      <c r="D2070" t="str">
        <f>VLOOKUP(B2070,Products!$A:$E,2,FALSE)</f>
        <v>Product_418</v>
      </c>
      <c r="E2070" t="str">
        <f>VLOOKUP(B2070,Products!$A:$E,3,FALSE)</f>
        <v>Office Supplies</v>
      </c>
    </row>
    <row r="2071" spans="1:5" x14ac:dyDescent="0.3">
      <c r="A2071" t="s">
        <v>3081</v>
      </c>
      <c r="B2071" t="s">
        <v>196</v>
      </c>
      <c r="C2071">
        <v>19</v>
      </c>
      <c r="D2071" t="str">
        <f>VLOOKUP(B2071,Products!$A:$E,2,FALSE)</f>
        <v>Product_94</v>
      </c>
      <c r="E2071" t="str">
        <f>VLOOKUP(B2071,Products!$A:$E,3,FALSE)</f>
        <v>Networking</v>
      </c>
    </row>
    <row r="2072" spans="1:5" x14ac:dyDescent="0.3">
      <c r="A2072" t="s">
        <v>3082</v>
      </c>
      <c r="B2072" t="s">
        <v>420</v>
      </c>
      <c r="C2072">
        <v>56</v>
      </c>
      <c r="D2072" t="str">
        <f>VLOOKUP(B2072,Products!$A:$E,2,FALSE)</f>
        <v>Product_206</v>
      </c>
      <c r="E2072" t="str">
        <f>VLOOKUP(B2072,Products!$A:$E,3,FALSE)</f>
        <v>Accessories</v>
      </c>
    </row>
    <row r="2073" spans="1:5" x14ac:dyDescent="0.3">
      <c r="A2073" t="s">
        <v>3083</v>
      </c>
      <c r="B2073" t="s">
        <v>994</v>
      </c>
      <c r="C2073">
        <v>63</v>
      </c>
      <c r="D2073" t="str">
        <f>VLOOKUP(B2073,Products!$A:$E,2,FALSE)</f>
        <v>Product_493</v>
      </c>
      <c r="E2073" t="str">
        <f>VLOOKUP(B2073,Products!$A:$E,3,FALSE)</f>
        <v>Networking</v>
      </c>
    </row>
    <row r="2074" spans="1:5" x14ac:dyDescent="0.3">
      <c r="A2074" t="s">
        <v>3084</v>
      </c>
      <c r="B2074" t="s">
        <v>288</v>
      </c>
      <c r="C2074">
        <v>54</v>
      </c>
      <c r="D2074" t="str">
        <f>VLOOKUP(B2074,Products!$A:$E,2,FALSE)</f>
        <v>Product_140</v>
      </c>
      <c r="E2074" t="str">
        <f>VLOOKUP(B2074,Products!$A:$E,3,FALSE)</f>
        <v>Electronics</v>
      </c>
    </row>
    <row r="2075" spans="1:5" x14ac:dyDescent="0.3">
      <c r="A2075" t="s">
        <v>3085</v>
      </c>
      <c r="B2075" t="s">
        <v>716</v>
      </c>
      <c r="C2075">
        <v>66</v>
      </c>
      <c r="D2075" t="str">
        <f>VLOOKUP(B2075,Products!$A:$E,2,FALSE)</f>
        <v>Product_354</v>
      </c>
      <c r="E2075" t="str">
        <f>VLOOKUP(B2075,Products!$A:$E,3,FALSE)</f>
        <v>Storage</v>
      </c>
    </row>
    <row r="2076" spans="1:5" x14ac:dyDescent="0.3">
      <c r="A2076" t="s">
        <v>3086</v>
      </c>
      <c r="B2076" t="s">
        <v>828</v>
      </c>
      <c r="C2076">
        <v>58</v>
      </c>
      <c r="D2076" t="str">
        <f>VLOOKUP(B2076,Products!$A:$E,2,FALSE)</f>
        <v>Product_410</v>
      </c>
      <c r="E2076" t="str">
        <f>VLOOKUP(B2076,Products!$A:$E,3,FALSE)</f>
        <v>Storage</v>
      </c>
    </row>
    <row r="2077" spans="1:5" x14ac:dyDescent="0.3">
      <c r="A2077" t="s">
        <v>3087</v>
      </c>
      <c r="B2077" t="s">
        <v>674</v>
      </c>
      <c r="C2077">
        <v>26</v>
      </c>
      <c r="D2077" t="str">
        <f>VLOOKUP(B2077,Products!$A:$E,2,FALSE)</f>
        <v>Product_333</v>
      </c>
      <c r="E2077" t="str">
        <f>VLOOKUP(B2077,Products!$A:$E,3,FALSE)</f>
        <v>Storage</v>
      </c>
    </row>
    <row r="2078" spans="1:5" x14ac:dyDescent="0.3">
      <c r="A2078" t="s">
        <v>3088</v>
      </c>
      <c r="B2078" t="s">
        <v>124</v>
      </c>
      <c r="C2078">
        <v>21</v>
      </c>
      <c r="D2078" t="str">
        <f>VLOOKUP(B2078,Products!$A:$E,2,FALSE)</f>
        <v>Product_58</v>
      </c>
      <c r="E2078" t="str">
        <f>VLOOKUP(B2078,Products!$A:$E,3,FALSE)</f>
        <v>Office Supplies</v>
      </c>
    </row>
    <row r="2079" spans="1:5" x14ac:dyDescent="0.3">
      <c r="A2079" t="s">
        <v>3089</v>
      </c>
      <c r="B2079" t="s">
        <v>722</v>
      </c>
      <c r="C2079">
        <v>97</v>
      </c>
      <c r="D2079" t="str">
        <f>VLOOKUP(B2079,Products!$A:$E,2,FALSE)</f>
        <v>Product_357</v>
      </c>
      <c r="E2079" t="str">
        <f>VLOOKUP(B2079,Products!$A:$E,3,FALSE)</f>
        <v>Accessories</v>
      </c>
    </row>
    <row r="2080" spans="1:5" x14ac:dyDescent="0.3">
      <c r="A2080" t="s">
        <v>3090</v>
      </c>
      <c r="B2080" t="s">
        <v>70</v>
      </c>
      <c r="C2080">
        <v>25</v>
      </c>
      <c r="D2080" t="str">
        <f>VLOOKUP(B2080,Products!$A:$E,2,FALSE)</f>
        <v>Product_31</v>
      </c>
      <c r="E2080" t="str">
        <f>VLOOKUP(B2080,Products!$A:$E,3,FALSE)</f>
        <v>Accessories</v>
      </c>
    </row>
    <row r="2081" spans="1:5" x14ac:dyDescent="0.3">
      <c r="A2081" t="s">
        <v>3091</v>
      </c>
      <c r="B2081" t="s">
        <v>116</v>
      </c>
      <c r="C2081">
        <v>58</v>
      </c>
      <c r="D2081" t="str">
        <f>VLOOKUP(B2081,Products!$A:$E,2,FALSE)</f>
        <v>Product_54</v>
      </c>
      <c r="E2081" t="str">
        <f>VLOOKUP(B2081,Products!$A:$E,3,FALSE)</f>
        <v>Storage</v>
      </c>
    </row>
    <row r="2082" spans="1:5" x14ac:dyDescent="0.3">
      <c r="A2082" t="s">
        <v>3092</v>
      </c>
      <c r="B2082" t="s">
        <v>942</v>
      </c>
      <c r="C2082">
        <v>80</v>
      </c>
      <c r="D2082" t="str">
        <f>VLOOKUP(B2082,Products!$A:$E,2,FALSE)</f>
        <v>Product_467</v>
      </c>
      <c r="E2082" t="str">
        <f>VLOOKUP(B2082,Products!$A:$E,3,FALSE)</f>
        <v>Accessories</v>
      </c>
    </row>
    <row r="2083" spans="1:5" x14ac:dyDescent="0.3">
      <c r="A2083" t="s">
        <v>3093</v>
      </c>
      <c r="B2083" t="s">
        <v>504</v>
      </c>
      <c r="C2083">
        <v>77</v>
      </c>
      <c r="D2083" t="str">
        <f>VLOOKUP(B2083,Products!$A:$E,2,FALSE)</f>
        <v>Product_248</v>
      </c>
      <c r="E2083" t="str">
        <f>VLOOKUP(B2083,Products!$A:$E,3,FALSE)</f>
        <v>Networking</v>
      </c>
    </row>
    <row r="2084" spans="1:5" x14ac:dyDescent="0.3">
      <c r="A2084" t="s">
        <v>3094</v>
      </c>
      <c r="B2084" t="s">
        <v>704</v>
      </c>
      <c r="C2084">
        <v>61</v>
      </c>
      <c r="D2084" t="str">
        <f>VLOOKUP(B2084,Products!$A:$E,2,FALSE)</f>
        <v>Product_348</v>
      </c>
      <c r="E2084" t="str">
        <f>VLOOKUP(B2084,Products!$A:$E,3,FALSE)</f>
        <v>Electronics</v>
      </c>
    </row>
    <row r="2085" spans="1:5" x14ac:dyDescent="0.3">
      <c r="A2085" t="s">
        <v>3095</v>
      </c>
      <c r="B2085" t="s">
        <v>194</v>
      </c>
      <c r="C2085">
        <v>83</v>
      </c>
      <c r="D2085" t="str">
        <f>VLOOKUP(B2085,Products!$A:$E,2,FALSE)</f>
        <v>Product_93</v>
      </c>
      <c r="E2085" t="str">
        <f>VLOOKUP(B2085,Products!$A:$E,3,FALSE)</f>
        <v>Office Supplies</v>
      </c>
    </row>
    <row r="2086" spans="1:5" x14ac:dyDescent="0.3">
      <c r="A2086" t="s">
        <v>3096</v>
      </c>
      <c r="B2086" t="s">
        <v>398</v>
      </c>
      <c r="C2086">
        <v>50</v>
      </c>
      <c r="D2086" t="str">
        <f>VLOOKUP(B2086,Products!$A:$E,2,FALSE)</f>
        <v>Product_195</v>
      </c>
      <c r="E2086" t="str">
        <f>VLOOKUP(B2086,Products!$A:$E,3,FALSE)</f>
        <v>Accessories</v>
      </c>
    </row>
    <row r="2087" spans="1:5" x14ac:dyDescent="0.3">
      <c r="A2087" t="s">
        <v>3097</v>
      </c>
      <c r="B2087" t="s">
        <v>636</v>
      </c>
      <c r="C2087">
        <v>8</v>
      </c>
      <c r="D2087" t="str">
        <f>VLOOKUP(B2087,Products!$A:$E,2,FALSE)</f>
        <v>Product_314</v>
      </c>
      <c r="E2087" t="str">
        <f>VLOOKUP(B2087,Products!$A:$E,3,FALSE)</f>
        <v>Storage</v>
      </c>
    </row>
    <row r="2088" spans="1:5" x14ac:dyDescent="0.3">
      <c r="A2088" t="s">
        <v>3098</v>
      </c>
      <c r="B2088" t="s">
        <v>892</v>
      </c>
      <c r="C2088">
        <v>92</v>
      </c>
      <c r="D2088" t="str">
        <f>VLOOKUP(B2088,Products!$A:$E,2,FALSE)</f>
        <v>Product_442</v>
      </c>
      <c r="E2088" t="str">
        <f>VLOOKUP(B2088,Products!$A:$E,3,FALSE)</f>
        <v>Networking</v>
      </c>
    </row>
    <row r="2089" spans="1:5" x14ac:dyDescent="0.3">
      <c r="A2089" t="s">
        <v>3099</v>
      </c>
      <c r="B2089" t="s">
        <v>910</v>
      </c>
      <c r="C2089">
        <v>98</v>
      </c>
      <c r="D2089" t="str">
        <f>VLOOKUP(B2089,Products!$A:$E,2,FALSE)</f>
        <v>Product_451</v>
      </c>
      <c r="E2089" t="str">
        <f>VLOOKUP(B2089,Products!$A:$E,3,FALSE)</f>
        <v>Accessories</v>
      </c>
    </row>
    <row r="2090" spans="1:5" x14ac:dyDescent="0.3">
      <c r="A2090" t="s">
        <v>3100</v>
      </c>
      <c r="B2090" t="s">
        <v>1006</v>
      </c>
      <c r="C2090">
        <v>21</v>
      </c>
      <c r="D2090" t="str">
        <f>VLOOKUP(B2090,Products!$A:$E,2,FALSE)</f>
        <v>Product_499</v>
      </c>
      <c r="E2090" t="str">
        <f>VLOOKUP(B2090,Products!$A:$E,3,FALSE)</f>
        <v>Office Supplies</v>
      </c>
    </row>
    <row r="2091" spans="1:5" x14ac:dyDescent="0.3">
      <c r="A2091" t="s">
        <v>3101</v>
      </c>
      <c r="B2091" t="s">
        <v>504</v>
      </c>
      <c r="C2091">
        <v>67</v>
      </c>
      <c r="D2091" t="str">
        <f>VLOOKUP(B2091,Products!$A:$E,2,FALSE)</f>
        <v>Product_248</v>
      </c>
      <c r="E2091" t="str">
        <f>VLOOKUP(B2091,Products!$A:$E,3,FALSE)</f>
        <v>Networking</v>
      </c>
    </row>
    <row r="2092" spans="1:5" x14ac:dyDescent="0.3">
      <c r="A2092" t="s">
        <v>3102</v>
      </c>
      <c r="B2092" t="s">
        <v>124</v>
      </c>
      <c r="C2092">
        <v>57</v>
      </c>
      <c r="D2092" t="str">
        <f>VLOOKUP(B2092,Products!$A:$E,2,FALSE)</f>
        <v>Product_58</v>
      </c>
      <c r="E2092" t="str">
        <f>VLOOKUP(B2092,Products!$A:$E,3,FALSE)</f>
        <v>Office Supplies</v>
      </c>
    </row>
    <row r="2093" spans="1:5" x14ac:dyDescent="0.3">
      <c r="A2093" t="s">
        <v>3103</v>
      </c>
      <c r="B2093" t="s">
        <v>460</v>
      </c>
      <c r="C2093">
        <v>10</v>
      </c>
      <c r="D2093" t="str">
        <f>VLOOKUP(B2093,Products!$A:$E,2,FALSE)</f>
        <v>Product_226</v>
      </c>
      <c r="E2093" t="str">
        <f>VLOOKUP(B2093,Products!$A:$E,3,FALSE)</f>
        <v>Networking</v>
      </c>
    </row>
    <row r="2094" spans="1:5" x14ac:dyDescent="0.3">
      <c r="A2094" t="s">
        <v>3104</v>
      </c>
      <c r="B2094" t="s">
        <v>74</v>
      </c>
      <c r="C2094">
        <v>38</v>
      </c>
      <c r="D2094" t="str">
        <f>VLOOKUP(B2094,Products!$A:$E,2,FALSE)</f>
        <v>Product_33</v>
      </c>
      <c r="E2094" t="str">
        <f>VLOOKUP(B2094,Products!$A:$E,3,FALSE)</f>
        <v>Storage</v>
      </c>
    </row>
    <row r="2095" spans="1:5" x14ac:dyDescent="0.3">
      <c r="A2095" t="s">
        <v>3105</v>
      </c>
      <c r="B2095" t="s">
        <v>680</v>
      </c>
      <c r="C2095">
        <v>45</v>
      </c>
      <c r="D2095" t="str">
        <f>VLOOKUP(B2095,Products!$A:$E,2,FALSE)</f>
        <v>Product_336</v>
      </c>
      <c r="E2095" t="str">
        <f>VLOOKUP(B2095,Products!$A:$E,3,FALSE)</f>
        <v>Storage</v>
      </c>
    </row>
    <row r="2096" spans="1:5" x14ac:dyDescent="0.3">
      <c r="A2096" t="s">
        <v>3106</v>
      </c>
      <c r="B2096" t="s">
        <v>22</v>
      </c>
      <c r="C2096">
        <v>95</v>
      </c>
      <c r="D2096" t="str">
        <f>VLOOKUP(B2096,Products!$A:$E,2,FALSE)</f>
        <v>Product_7</v>
      </c>
      <c r="E2096" t="str">
        <f>VLOOKUP(B2096,Products!$A:$E,3,FALSE)</f>
        <v>Storage</v>
      </c>
    </row>
    <row r="2097" spans="1:5" x14ac:dyDescent="0.3">
      <c r="A2097" t="s">
        <v>3107</v>
      </c>
      <c r="B2097" t="s">
        <v>898</v>
      </c>
      <c r="C2097">
        <v>91</v>
      </c>
      <c r="D2097" t="str">
        <f>VLOOKUP(B2097,Products!$A:$E,2,FALSE)</f>
        <v>Product_445</v>
      </c>
      <c r="E2097" t="str">
        <f>VLOOKUP(B2097,Products!$A:$E,3,FALSE)</f>
        <v>Office Supplies</v>
      </c>
    </row>
    <row r="2098" spans="1:5" x14ac:dyDescent="0.3">
      <c r="A2098" t="s">
        <v>3108</v>
      </c>
      <c r="B2098" t="s">
        <v>546</v>
      </c>
      <c r="C2098">
        <v>100</v>
      </c>
      <c r="D2098" t="str">
        <f>VLOOKUP(B2098,Products!$A:$E,2,FALSE)</f>
        <v>Product_269</v>
      </c>
      <c r="E2098" t="str">
        <f>VLOOKUP(B2098,Products!$A:$E,3,FALSE)</f>
        <v>Storage</v>
      </c>
    </row>
    <row r="2099" spans="1:5" x14ac:dyDescent="0.3">
      <c r="A2099" t="s">
        <v>3109</v>
      </c>
      <c r="B2099" t="s">
        <v>600</v>
      </c>
      <c r="C2099">
        <v>97</v>
      </c>
      <c r="D2099" t="str">
        <f>VLOOKUP(B2099,Products!$A:$E,2,FALSE)</f>
        <v>Product_296</v>
      </c>
      <c r="E2099" t="str">
        <f>VLOOKUP(B2099,Products!$A:$E,3,FALSE)</f>
        <v>Office Supplies</v>
      </c>
    </row>
    <row r="2100" spans="1:5" x14ac:dyDescent="0.3">
      <c r="A2100" t="s">
        <v>3110</v>
      </c>
      <c r="B2100" t="s">
        <v>588</v>
      </c>
      <c r="C2100">
        <v>33</v>
      </c>
      <c r="D2100" t="str">
        <f>VLOOKUP(B2100,Products!$A:$E,2,FALSE)</f>
        <v>Product_290</v>
      </c>
      <c r="E2100" t="str">
        <f>VLOOKUP(B2100,Products!$A:$E,3,FALSE)</f>
        <v>Accessories</v>
      </c>
    </row>
    <row r="2101" spans="1:5" x14ac:dyDescent="0.3">
      <c r="A2101" t="s">
        <v>3111</v>
      </c>
      <c r="B2101" t="s">
        <v>988</v>
      </c>
      <c r="C2101">
        <v>90</v>
      </c>
      <c r="D2101" t="str">
        <f>VLOOKUP(B2101,Products!$A:$E,2,FALSE)</f>
        <v>Product_490</v>
      </c>
      <c r="E2101" t="str">
        <f>VLOOKUP(B2101,Products!$A:$E,3,FALSE)</f>
        <v>Storage</v>
      </c>
    </row>
    <row r="2102" spans="1:5" x14ac:dyDescent="0.3">
      <c r="A2102" t="s">
        <v>3112</v>
      </c>
      <c r="B2102" t="s">
        <v>904</v>
      </c>
      <c r="C2102">
        <v>48</v>
      </c>
      <c r="D2102" t="str">
        <f>VLOOKUP(B2102,Products!$A:$E,2,FALSE)</f>
        <v>Product_448</v>
      </c>
      <c r="E2102" t="str">
        <f>VLOOKUP(B2102,Products!$A:$E,3,FALSE)</f>
        <v>Networking</v>
      </c>
    </row>
    <row r="2103" spans="1:5" x14ac:dyDescent="0.3">
      <c r="A2103" t="s">
        <v>3113</v>
      </c>
      <c r="B2103" t="s">
        <v>540</v>
      </c>
      <c r="C2103">
        <v>71</v>
      </c>
      <c r="D2103" t="str">
        <f>VLOOKUP(B2103,Products!$A:$E,2,FALSE)</f>
        <v>Product_266</v>
      </c>
      <c r="E2103" t="str">
        <f>VLOOKUP(B2103,Products!$A:$E,3,FALSE)</f>
        <v>Electronics</v>
      </c>
    </row>
    <row r="2104" spans="1:5" x14ac:dyDescent="0.3">
      <c r="A2104" t="s">
        <v>3114</v>
      </c>
      <c r="B2104" t="s">
        <v>714</v>
      </c>
      <c r="C2104">
        <v>94</v>
      </c>
      <c r="D2104" t="str">
        <f>VLOOKUP(B2104,Products!$A:$E,2,FALSE)</f>
        <v>Product_353</v>
      </c>
      <c r="E2104" t="str">
        <f>VLOOKUP(B2104,Products!$A:$E,3,FALSE)</f>
        <v>Accessories</v>
      </c>
    </row>
    <row r="2105" spans="1:5" x14ac:dyDescent="0.3">
      <c r="A2105" t="s">
        <v>3115</v>
      </c>
      <c r="B2105" t="s">
        <v>642</v>
      </c>
      <c r="C2105">
        <v>17</v>
      </c>
      <c r="D2105" t="str">
        <f>VLOOKUP(B2105,Products!$A:$E,2,FALSE)</f>
        <v>Product_317</v>
      </c>
      <c r="E2105" t="str">
        <f>VLOOKUP(B2105,Products!$A:$E,3,FALSE)</f>
        <v>Storage</v>
      </c>
    </row>
    <row r="2106" spans="1:5" x14ac:dyDescent="0.3">
      <c r="A2106" t="s">
        <v>3116</v>
      </c>
      <c r="B2106" t="s">
        <v>452</v>
      </c>
      <c r="C2106">
        <v>89</v>
      </c>
      <c r="D2106" t="str">
        <f>VLOOKUP(B2106,Products!$A:$E,2,FALSE)</f>
        <v>Product_222</v>
      </c>
      <c r="E2106" t="str">
        <f>VLOOKUP(B2106,Products!$A:$E,3,FALSE)</f>
        <v>Networking</v>
      </c>
    </row>
    <row r="2107" spans="1:5" x14ac:dyDescent="0.3">
      <c r="A2107" t="s">
        <v>3117</v>
      </c>
      <c r="B2107" t="s">
        <v>754</v>
      </c>
      <c r="C2107">
        <v>36</v>
      </c>
      <c r="D2107" t="str">
        <f>VLOOKUP(B2107,Products!$A:$E,2,FALSE)</f>
        <v>Product_373</v>
      </c>
      <c r="E2107" t="str">
        <f>VLOOKUP(B2107,Products!$A:$E,3,FALSE)</f>
        <v>Office Supplies</v>
      </c>
    </row>
    <row r="2108" spans="1:5" x14ac:dyDescent="0.3">
      <c r="A2108" t="s">
        <v>3118</v>
      </c>
      <c r="B2108" t="s">
        <v>502</v>
      </c>
      <c r="C2108">
        <v>49</v>
      </c>
      <c r="D2108" t="str">
        <f>VLOOKUP(B2108,Products!$A:$E,2,FALSE)</f>
        <v>Product_247</v>
      </c>
      <c r="E2108" t="str">
        <f>VLOOKUP(B2108,Products!$A:$E,3,FALSE)</f>
        <v>Networking</v>
      </c>
    </row>
    <row r="2109" spans="1:5" x14ac:dyDescent="0.3">
      <c r="A2109" t="s">
        <v>3119</v>
      </c>
      <c r="B2109" t="s">
        <v>688</v>
      </c>
      <c r="C2109">
        <v>91</v>
      </c>
      <c r="D2109" t="str">
        <f>VLOOKUP(B2109,Products!$A:$E,2,FALSE)</f>
        <v>Product_340</v>
      </c>
      <c r="E2109" t="str">
        <f>VLOOKUP(B2109,Products!$A:$E,3,FALSE)</f>
        <v>Storage</v>
      </c>
    </row>
    <row r="2110" spans="1:5" x14ac:dyDescent="0.3">
      <c r="A2110" t="s">
        <v>3120</v>
      </c>
      <c r="B2110" t="s">
        <v>666</v>
      </c>
      <c r="C2110">
        <v>54</v>
      </c>
      <c r="D2110" t="str">
        <f>VLOOKUP(B2110,Products!$A:$E,2,FALSE)</f>
        <v>Product_329</v>
      </c>
      <c r="E2110" t="str">
        <f>VLOOKUP(B2110,Products!$A:$E,3,FALSE)</f>
        <v>Office Supplies</v>
      </c>
    </row>
    <row r="2111" spans="1:5" x14ac:dyDescent="0.3">
      <c r="A2111" t="s">
        <v>3121</v>
      </c>
      <c r="B2111" t="s">
        <v>162</v>
      </c>
      <c r="C2111">
        <v>76</v>
      </c>
      <c r="D2111" t="str">
        <f>VLOOKUP(B2111,Products!$A:$E,2,FALSE)</f>
        <v>Product_77</v>
      </c>
      <c r="E2111" t="str">
        <f>VLOOKUP(B2111,Products!$A:$E,3,FALSE)</f>
        <v>Networking</v>
      </c>
    </row>
    <row r="2112" spans="1:5" x14ac:dyDescent="0.3">
      <c r="A2112" t="s">
        <v>3122</v>
      </c>
      <c r="B2112" t="s">
        <v>922</v>
      </c>
      <c r="C2112">
        <v>83</v>
      </c>
      <c r="D2112" t="str">
        <f>VLOOKUP(B2112,Products!$A:$E,2,FALSE)</f>
        <v>Product_457</v>
      </c>
      <c r="E2112" t="str">
        <f>VLOOKUP(B2112,Products!$A:$E,3,FALSE)</f>
        <v>Networking</v>
      </c>
    </row>
    <row r="2113" spans="1:5" x14ac:dyDescent="0.3">
      <c r="A2113" t="s">
        <v>3123</v>
      </c>
      <c r="B2113" t="s">
        <v>64</v>
      </c>
      <c r="C2113">
        <v>6</v>
      </c>
      <c r="D2113" t="str">
        <f>VLOOKUP(B2113,Products!$A:$E,2,FALSE)</f>
        <v>Product_28</v>
      </c>
      <c r="E2113" t="str">
        <f>VLOOKUP(B2113,Products!$A:$E,3,FALSE)</f>
        <v>Office Supplies</v>
      </c>
    </row>
    <row r="2114" spans="1:5" x14ac:dyDescent="0.3">
      <c r="A2114" t="s">
        <v>3124</v>
      </c>
      <c r="B2114" t="s">
        <v>668</v>
      </c>
      <c r="C2114">
        <v>25</v>
      </c>
      <c r="D2114" t="str">
        <f>VLOOKUP(B2114,Products!$A:$E,2,FALSE)</f>
        <v>Product_330</v>
      </c>
      <c r="E2114" t="str">
        <f>VLOOKUP(B2114,Products!$A:$E,3,FALSE)</f>
        <v>Electronics</v>
      </c>
    </row>
    <row r="2115" spans="1:5" x14ac:dyDescent="0.3">
      <c r="A2115" t="s">
        <v>3125</v>
      </c>
      <c r="B2115" t="s">
        <v>526</v>
      </c>
      <c r="C2115">
        <v>65</v>
      </c>
      <c r="D2115" t="str">
        <f>VLOOKUP(B2115,Products!$A:$E,2,FALSE)</f>
        <v>Product_259</v>
      </c>
      <c r="E2115" t="str">
        <f>VLOOKUP(B2115,Products!$A:$E,3,FALSE)</f>
        <v>Electronics</v>
      </c>
    </row>
    <row r="2116" spans="1:5" x14ac:dyDescent="0.3">
      <c r="A2116" t="s">
        <v>3126</v>
      </c>
      <c r="B2116" t="s">
        <v>882</v>
      </c>
      <c r="C2116">
        <v>68</v>
      </c>
      <c r="D2116" t="str">
        <f>VLOOKUP(B2116,Products!$A:$E,2,FALSE)</f>
        <v>Product_437</v>
      </c>
      <c r="E2116" t="str">
        <f>VLOOKUP(B2116,Products!$A:$E,3,FALSE)</f>
        <v>Accessories</v>
      </c>
    </row>
    <row r="2117" spans="1:5" x14ac:dyDescent="0.3">
      <c r="A2117" t="s">
        <v>3127</v>
      </c>
      <c r="B2117" t="s">
        <v>900</v>
      </c>
      <c r="C2117">
        <v>26</v>
      </c>
      <c r="D2117" t="str">
        <f>VLOOKUP(B2117,Products!$A:$E,2,FALSE)</f>
        <v>Product_446</v>
      </c>
      <c r="E2117" t="str">
        <f>VLOOKUP(B2117,Products!$A:$E,3,FALSE)</f>
        <v>Accessories</v>
      </c>
    </row>
    <row r="2118" spans="1:5" x14ac:dyDescent="0.3">
      <c r="A2118" t="s">
        <v>3128</v>
      </c>
      <c r="B2118" t="s">
        <v>86</v>
      </c>
      <c r="C2118">
        <v>67</v>
      </c>
      <c r="D2118" t="str">
        <f>VLOOKUP(B2118,Products!$A:$E,2,FALSE)</f>
        <v>Product_39</v>
      </c>
      <c r="E2118" t="str">
        <f>VLOOKUP(B2118,Products!$A:$E,3,FALSE)</f>
        <v>Networking</v>
      </c>
    </row>
    <row r="2119" spans="1:5" x14ac:dyDescent="0.3">
      <c r="A2119" t="s">
        <v>3129</v>
      </c>
      <c r="B2119" t="s">
        <v>338</v>
      </c>
      <c r="C2119">
        <v>35</v>
      </c>
      <c r="D2119" t="str">
        <f>VLOOKUP(B2119,Products!$A:$E,2,FALSE)</f>
        <v>Product_165</v>
      </c>
      <c r="E2119" t="str">
        <f>VLOOKUP(B2119,Products!$A:$E,3,FALSE)</f>
        <v>Office Supplies</v>
      </c>
    </row>
    <row r="2120" spans="1:5" x14ac:dyDescent="0.3">
      <c r="A2120" t="s">
        <v>3130</v>
      </c>
      <c r="B2120" t="s">
        <v>348</v>
      </c>
      <c r="C2120">
        <v>40</v>
      </c>
      <c r="D2120" t="str">
        <f>VLOOKUP(B2120,Products!$A:$E,2,FALSE)</f>
        <v>Product_170</v>
      </c>
      <c r="E2120" t="str">
        <f>VLOOKUP(B2120,Products!$A:$E,3,FALSE)</f>
        <v>Office Supplies</v>
      </c>
    </row>
    <row r="2121" spans="1:5" x14ac:dyDescent="0.3">
      <c r="A2121" t="s">
        <v>3131</v>
      </c>
      <c r="B2121" t="s">
        <v>60</v>
      </c>
      <c r="C2121">
        <v>69</v>
      </c>
      <c r="D2121" t="str">
        <f>VLOOKUP(B2121,Products!$A:$E,2,FALSE)</f>
        <v>Product_26</v>
      </c>
      <c r="E2121" t="str">
        <f>VLOOKUP(B2121,Products!$A:$E,3,FALSE)</f>
        <v>Office Supplies</v>
      </c>
    </row>
    <row r="2122" spans="1:5" x14ac:dyDescent="0.3">
      <c r="A2122" t="s">
        <v>3132</v>
      </c>
      <c r="B2122" t="s">
        <v>238</v>
      </c>
      <c r="C2122">
        <v>75</v>
      </c>
      <c r="D2122" t="str">
        <f>VLOOKUP(B2122,Products!$A:$E,2,FALSE)</f>
        <v>Product_115</v>
      </c>
      <c r="E2122" t="str">
        <f>VLOOKUP(B2122,Products!$A:$E,3,FALSE)</f>
        <v>Networking</v>
      </c>
    </row>
    <row r="2123" spans="1:5" x14ac:dyDescent="0.3">
      <c r="A2123" t="s">
        <v>3133</v>
      </c>
      <c r="B2123" t="s">
        <v>668</v>
      </c>
      <c r="C2123">
        <v>53</v>
      </c>
      <c r="D2123" t="str">
        <f>VLOOKUP(B2123,Products!$A:$E,2,FALSE)</f>
        <v>Product_330</v>
      </c>
      <c r="E2123" t="str">
        <f>VLOOKUP(B2123,Products!$A:$E,3,FALSE)</f>
        <v>Electronics</v>
      </c>
    </row>
    <row r="2124" spans="1:5" x14ac:dyDescent="0.3">
      <c r="A2124" t="s">
        <v>3134</v>
      </c>
      <c r="B2124" t="s">
        <v>422</v>
      </c>
      <c r="C2124">
        <v>35</v>
      </c>
      <c r="D2124" t="str">
        <f>VLOOKUP(B2124,Products!$A:$E,2,FALSE)</f>
        <v>Product_207</v>
      </c>
      <c r="E2124" t="str">
        <f>VLOOKUP(B2124,Products!$A:$E,3,FALSE)</f>
        <v>Accessories</v>
      </c>
    </row>
    <row r="2125" spans="1:5" x14ac:dyDescent="0.3">
      <c r="A2125" t="s">
        <v>3135</v>
      </c>
      <c r="B2125" t="s">
        <v>90</v>
      </c>
      <c r="C2125">
        <v>63</v>
      </c>
      <c r="D2125" t="str">
        <f>VLOOKUP(B2125,Products!$A:$E,2,FALSE)</f>
        <v>Product_41</v>
      </c>
      <c r="E2125" t="str">
        <f>VLOOKUP(B2125,Products!$A:$E,3,FALSE)</f>
        <v>Accessories</v>
      </c>
    </row>
    <row r="2126" spans="1:5" x14ac:dyDescent="0.3">
      <c r="A2126" t="s">
        <v>3136</v>
      </c>
      <c r="B2126" t="s">
        <v>464</v>
      </c>
      <c r="C2126">
        <v>78</v>
      </c>
      <c r="D2126" t="str">
        <f>VLOOKUP(B2126,Products!$A:$E,2,FALSE)</f>
        <v>Product_228</v>
      </c>
      <c r="E2126" t="str">
        <f>VLOOKUP(B2126,Products!$A:$E,3,FALSE)</f>
        <v>Storage</v>
      </c>
    </row>
    <row r="2127" spans="1:5" x14ac:dyDescent="0.3">
      <c r="A2127" t="s">
        <v>3137</v>
      </c>
      <c r="B2127" t="s">
        <v>468</v>
      </c>
      <c r="C2127">
        <v>16</v>
      </c>
      <c r="D2127" t="str">
        <f>VLOOKUP(B2127,Products!$A:$E,2,FALSE)</f>
        <v>Product_230</v>
      </c>
      <c r="E2127" t="str">
        <f>VLOOKUP(B2127,Products!$A:$E,3,FALSE)</f>
        <v>Electronics</v>
      </c>
    </row>
    <row r="2128" spans="1:5" x14ac:dyDescent="0.3">
      <c r="A2128" t="s">
        <v>3138</v>
      </c>
      <c r="B2128" t="s">
        <v>886</v>
      </c>
      <c r="C2128">
        <v>68</v>
      </c>
      <c r="D2128" t="str">
        <f>VLOOKUP(B2128,Products!$A:$E,2,FALSE)</f>
        <v>Product_439</v>
      </c>
      <c r="E2128" t="str">
        <f>VLOOKUP(B2128,Products!$A:$E,3,FALSE)</f>
        <v>Networking</v>
      </c>
    </row>
    <row r="2129" spans="1:5" x14ac:dyDescent="0.3">
      <c r="A2129" t="s">
        <v>3139</v>
      </c>
      <c r="B2129" t="s">
        <v>466</v>
      </c>
      <c r="C2129">
        <v>45</v>
      </c>
      <c r="D2129" t="str">
        <f>VLOOKUP(B2129,Products!$A:$E,2,FALSE)</f>
        <v>Product_229</v>
      </c>
      <c r="E2129" t="str">
        <f>VLOOKUP(B2129,Products!$A:$E,3,FALSE)</f>
        <v>Accessories</v>
      </c>
    </row>
    <row r="2130" spans="1:5" x14ac:dyDescent="0.3">
      <c r="A2130" t="s">
        <v>3140</v>
      </c>
      <c r="B2130" t="s">
        <v>130</v>
      </c>
      <c r="C2130">
        <v>68</v>
      </c>
      <c r="D2130" t="str">
        <f>VLOOKUP(B2130,Products!$A:$E,2,FALSE)</f>
        <v>Product_61</v>
      </c>
      <c r="E2130" t="str">
        <f>VLOOKUP(B2130,Products!$A:$E,3,FALSE)</f>
        <v>Storage</v>
      </c>
    </row>
    <row r="2131" spans="1:5" x14ac:dyDescent="0.3">
      <c r="A2131" t="s">
        <v>3141</v>
      </c>
      <c r="B2131" t="s">
        <v>772</v>
      </c>
      <c r="C2131">
        <v>88</v>
      </c>
      <c r="D2131" t="str">
        <f>VLOOKUP(B2131,Products!$A:$E,2,FALSE)</f>
        <v>Product_382</v>
      </c>
      <c r="E2131" t="str">
        <f>VLOOKUP(B2131,Products!$A:$E,3,FALSE)</f>
        <v>Storage</v>
      </c>
    </row>
    <row r="2132" spans="1:5" x14ac:dyDescent="0.3">
      <c r="A2132" t="s">
        <v>3142</v>
      </c>
      <c r="B2132" t="s">
        <v>28</v>
      </c>
      <c r="C2132">
        <v>18</v>
      </c>
      <c r="D2132" t="str">
        <f>VLOOKUP(B2132,Products!$A:$E,2,FALSE)</f>
        <v>Product_10</v>
      </c>
      <c r="E2132" t="str">
        <f>VLOOKUP(B2132,Products!$A:$E,3,FALSE)</f>
        <v>Networking</v>
      </c>
    </row>
    <row r="2133" spans="1:5" x14ac:dyDescent="0.3">
      <c r="A2133" t="s">
        <v>3143</v>
      </c>
      <c r="B2133" t="s">
        <v>422</v>
      </c>
      <c r="C2133">
        <v>57</v>
      </c>
      <c r="D2133" t="str">
        <f>VLOOKUP(B2133,Products!$A:$E,2,FALSE)</f>
        <v>Product_207</v>
      </c>
      <c r="E2133" t="str">
        <f>VLOOKUP(B2133,Products!$A:$E,3,FALSE)</f>
        <v>Accessories</v>
      </c>
    </row>
    <row r="2134" spans="1:5" x14ac:dyDescent="0.3">
      <c r="A2134" t="s">
        <v>3144</v>
      </c>
      <c r="B2134" t="s">
        <v>46</v>
      </c>
      <c r="C2134">
        <v>76</v>
      </c>
      <c r="D2134" t="str">
        <f>VLOOKUP(B2134,Products!$A:$E,2,FALSE)</f>
        <v>Product_19</v>
      </c>
      <c r="E2134" t="str">
        <f>VLOOKUP(B2134,Products!$A:$E,3,FALSE)</f>
        <v>Networking</v>
      </c>
    </row>
    <row r="2135" spans="1:5" x14ac:dyDescent="0.3">
      <c r="A2135" t="s">
        <v>3145</v>
      </c>
      <c r="B2135" t="s">
        <v>572</v>
      </c>
      <c r="C2135">
        <v>5</v>
      </c>
      <c r="D2135" t="str">
        <f>VLOOKUP(B2135,Products!$A:$E,2,FALSE)</f>
        <v>Product_282</v>
      </c>
      <c r="E2135" t="str">
        <f>VLOOKUP(B2135,Products!$A:$E,3,FALSE)</f>
        <v>Networking</v>
      </c>
    </row>
    <row r="2136" spans="1:5" x14ac:dyDescent="0.3">
      <c r="A2136" t="s">
        <v>3146</v>
      </c>
      <c r="B2136" t="s">
        <v>854</v>
      </c>
      <c r="C2136">
        <v>16</v>
      </c>
      <c r="D2136" t="str">
        <f>VLOOKUP(B2136,Products!$A:$E,2,FALSE)</f>
        <v>Product_423</v>
      </c>
      <c r="E2136" t="str">
        <f>VLOOKUP(B2136,Products!$A:$E,3,FALSE)</f>
        <v>Office Supplies</v>
      </c>
    </row>
    <row r="2137" spans="1:5" x14ac:dyDescent="0.3">
      <c r="A2137" t="s">
        <v>3147</v>
      </c>
      <c r="B2137" t="s">
        <v>820</v>
      </c>
      <c r="C2137">
        <v>82</v>
      </c>
      <c r="D2137" t="str">
        <f>VLOOKUP(B2137,Products!$A:$E,2,FALSE)</f>
        <v>Product_406</v>
      </c>
      <c r="E2137" t="str">
        <f>VLOOKUP(B2137,Products!$A:$E,3,FALSE)</f>
        <v>Office Supplies</v>
      </c>
    </row>
    <row r="2138" spans="1:5" x14ac:dyDescent="0.3">
      <c r="A2138" t="s">
        <v>3148</v>
      </c>
      <c r="B2138" t="s">
        <v>996</v>
      </c>
      <c r="C2138">
        <v>84</v>
      </c>
      <c r="D2138" t="str">
        <f>VLOOKUP(B2138,Products!$A:$E,2,FALSE)</f>
        <v>Product_494</v>
      </c>
      <c r="E2138" t="str">
        <f>VLOOKUP(B2138,Products!$A:$E,3,FALSE)</f>
        <v>Office Supplies</v>
      </c>
    </row>
    <row r="2139" spans="1:5" x14ac:dyDescent="0.3">
      <c r="A2139" t="s">
        <v>3149</v>
      </c>
      <c r="B2139" t="s">
        <v>662</v>
      </c>
      <c r="C2139">
        <v>43</v>
      </c>
      <c r="D2139" t="str">
        <f>VLOOKUP(B2139,Products!$A:$E,2,FALSE)</f>
        <v>Product_327</v>
      </c>
      <c r="E2139" t="str">
        <f>VLOOKUP(B2139,Products!$A:$E,3,FALSE)</f>
        <v>Networking</v>
      </c>
    </row>
    <row r="2140" spans="1:5" x14ac:dyDescent="0.3">
      <c r="A2140" t="s">
        <v>3150</v>
      </c>
      <c r="B2140" t="s">
        <v>920</v>
      </c>
      <c r="C2140">
        <v>70</v>
      </c>
      <c r="D2140" t="str">
        <f>VLOOKUP(B2140,Products!$A:$E,2,FALSE)</f>
        <v>Product_456</v>
      </c>
      <c r="E2140" t="str">
        <f>VLOOKUP(B2140,Products!$A:$E,3,FALSE)</f>
        <v>Electronics</v>
      </c>
    </row>
    <row r="2141" spans="1:5" x14ac:dyDescent="0.3">
      <c r="A2141" t="s">
        <v>3151</v>
      </c>
      <c r="B2141" t="s">
        <v>584</v>
      </c>
      <c r="C2141">
        <v>31</v>
      </c>
      <c r="D2141" t="str">
        <f>VLOOKUP(B2141,Products!$A:$E,2,FALSE)</f>
        <v>Product_288</v>
      </c>
      <c r="E2141" t="str">
        <f>VLOOKUP(B2141,Products!$A:$E,3,FALSE)</f>
        <v>Networking</v>
      </c>
    </row>
    <row r="2142" spans="1:5" x14ac:dyDescent="0.3">
      <c r="A2142" t="s">
        <v>3152</v>
      </c>
      <c r="B2142" t="s">
        <v>680</v>
      </c>
      <c r="C2142">
        <v>90</v>
      </c>
      <c r="D2142" t="str">
        <f>VLOOKUP(B2142,Products!$A:$E,2,FALSE)</f>
        <v>Product_336</v>
      </c>
      <c r="E2142" t="str">
        <f>VLOOKUP(B2142,Products!$A:$E,3,FALSE)</f>
        <v>Storage</v>
      </c>
    </row>
    <row r="2143" spans="1:5" x14ac:dyDescent="0.3">
      <c r="A2143" t="s">
        <v>3153</v>
      </c>
      <c r="B2143" t="s">
        <v>476</v>
      </c>
      <c r="C2143">
        <v>48</v>
      </c>
      <c r="D2143" t="str">
        <f>VLOOKUP(B2143,Products!$A:$E,2,FALSE)</f>
        <v>Product_234</v>
      </c>
      <c r="E2143" t="str">
        <f>VLOOKUP(B2143,Products!$A:$E,3,FALSE)</f>
        <v>Networking</v>
      </c>
    </row>
    <row r="2144" spans="1:5" x14ac:dyDescent="0.3">
      <c r="A2144" t="s">
        <v>3154</v>
      </c>
      <c r="B2144" t="s">
        <v>382</v>
      </c>
      <c r="C2144">
        <v>11</v>
      </c>
      <c r="D2144" t="str">
        <f>VLOOKUP(B2144,Products!$A:$E,2,FALSE)</f>
        <v>Product_187</v>
      </c>
      <c r="E2144" t="str">
        <f>VLOOKUP(B2144,Products!$A:$E,3,FALSE)</f>
        <v>Electronics</v>
      </c>
    </row>
    <row r="2145" spans="1:5" x14ac:dyDescent="0.3">
      <c r="A2145" t="s">
        <v>3155</v>
      </c>
      <c r="B2145" t="s">
        <v>846</v>
      </c>
      <c r="C2145">
        <v>33</v>
      </c>
      <c r="D2145" t="str">
        <f>VLOOKUP(B2145,Products!$A:$E,2,FALSE)</f>
        <v>Product_419</v>
      </c>
      <c r="E2145" t="str">
        <f>VLOOKUP(B2145,Products!$A:$E,3,FALSE)</f>
        <v>Networking</v>
      </c>
    </row>
    <row r="2146" spans="1:5" x14ac:dyDescent="0.3">
      <c r="A2146" t="s">
        <v>3156</v>
      </c>
      <c r="B2146" t="s">
        <v>874</v>
      </c>
      <c r="C2146">
        <v>63</v>
      </c>
      <c r="D2146" t="str">
        <f>VLOOKUP(B2146,Products!$A:$E,2,FALSE)</f>
        <v>Product_433</v>
      </c>
      <c r="E2146" t="str">
        <f>VLOOKUP(B2146,Products!$A:$E,3,FALSE)</f>
        <v>Office Supplies</v>
      </c>
    </row>
    <row r="2147" spans="1:5" x14ac:dyDescent="0.3">
      <c r="A2147" t="s">
        <v>3157</v>
      </c>
      <c r="B2147" t="s">
        <v>348</v>
      </c>
      <c r="C2147">
        <v>76</v>
      </c>
      <c r="D2147" t="str">
        <f>VLOOKUP(B2147,Products!$A:$E,2,FALSE)</f>
        <v>Product_170</v>
      </c>
      <c r="E2147" t="str">
        <f>VLOOKUP(B2147,Products!$A:$E,3,FALSE)</f>
        <v>Office Supplies</v>
      </c>
    </row>
    <row r="2148" spans="1:5" x14ac:dyDescent="0.3">
      <c r="A2148" t="s">
        <v>3158</v>
      </c>
      <c r="B2148" t="s">
        <v>794</v>
      </c>
      <c r="C2148">
        <v>84</v>
      </c>
      <c r="D2148" t="str">
        <f>VLOOKUP(B2148,Products!$A:$E,2,FALSE)</f>
        <v>Product_393</v>
      </c>
      <c r="E2148" t="str">
        <f>VLOOKUP(B2148,Products!$A:$E,3,FALSE)</f>
        <v>Electronics</v>
      </c>
    </row>
    <row r="2149" spans="1:5" x14ac:dyDescent="0.3">
      <c r="A2149" t="s">
        <v>3159</v>
      </c>
      <c r="B2149" t="s">
        <v>624</v>
      </c>
      <c r="C2149">
        <v>65</v>
      </c>
      <c r="D2149" t="str">
        <f>VLOOKUP(B2149,Products!$A:$E,2,FALSE)</f>
        <v>Product_308</v>
      </c>
      <c r="E2149" t="str">
        <f>VLOOKUP(B2149,Products!$A:$E,3,FALSE)</f>
        <v>Storage</v>
      </c>
    </row>
    <row r="2150" spans="1:5" x14ac:dyDescent="0.3">
      <c r="A2150" t="s">
        <v>3160</v>
      </c>
      <c r="B2150" t="s">
        <v>742</v>
      </c>
      <c r="C2150">
        <v>89</v>
      </c>
      <c r="D2150" t="str">
        <f>VLOOKUP(B2150,Products!$A:$E,2,FALSE)</f>
        <v>Product_367</v>
      </c>
      <c r="E2150" t="str">
        <f>VLOOKUP(B2150,Products!$A:$E,3,FALSE)</f>
        <v>Storage</v>
      </c>
    </row>
    <row r="2151" spans="1:5" x14ac:dyDescent="0.3">
      <c r="A2151" t="s">
        <v>3161</v>
      </c>
      <c r="B2151" t="s">
        <v>382</v>
      </c>
      <c r="C2151">
        <v>96</v>
      </c>
      <c r="D2151" t="str">
        <f>VLOOKUP(B2151,Products!$A:$E,2,FALSE)</f>
        <v>Product_187</v>
      </c>
      <c r="E2151" t="str">
        <f>VLOOKUP(B2151,Products!$A:$E,3,FALSE)</f>
        <v>Electronics</v>
      </c>
    </row>
    <row r="2152" spans="1:5" x14ac:dyDescent="0.3">
      <c r="A2152" t="s">
        <v>3162</v>
      </c>
      <c r="B2152" t="s">
        <v>472</v>
      </c>
      <c r="C2152">
        <v>19</v>
      </c>
      <c r="D2152" t="str">
        <f>VLOOKUP(B2152,Products!$A:$E,2,FALSE)</f>
        <v>Product_232</v>
      </c>
      <c r="E2152" t="str">
        <f>VLOOKUP(B2152,Products!$A:$E,3,FALSE)</f>
        <v>Office Supplies</v>
      </c>
    </row>
    <row r="2153" spans="1:5" x14ac:dyDescent="0.3">
      <c r="A2153" t="s">
        <v>3163</v>
      </c>
      <c r="B2153" t="s">
        <v>108</v>
      </c>
      <c r="C2153">
        <v>89</v>
      </c>
      <c r="D2153" t="str">
        <f>VLOOKUP(B2153,Products!$A:$E,2,FALSE)</f>
        <v>Product_50</v>
      </c>
      <c r="E2153" t="str">
        <f>VLOOKUP(B2153,Products!$A:$E,3,FALSE)</f>
        <v>Networking</v>
      </c>
    </row>
    <row r="2154" spans="1:5" x14ac:dyDescent="0.3">
      <c r="A2154" t="s">
        <v>3164</v>
      </c>
      <c r="B2154" t="s">
        <v>236</v>
      </c>
      <c r="C2154">
        <v>5</v>
      </c>
      <c r="D2154" t="str">
        <f>VLOOKUP(B2154,Products!$A:$E,2,FALSE)</f>
        <v>Product_114</v>
      </c>
      <c r="E2154" t="str">
        <f>VLOOKUP(B2154,Products!$A:$E,3,FALSE)</f>
        <v>Electronics</v>
      </c>
    </row>
    <row r="2155" spans="1:5" x14ac:dyDescent="0.3">
      <c r="A2155" t="s">
        <v>3165</v>
      </c>
      <c r="B2155" t="s">
        <v>358</v>
      </c>
      <c r="C2155">
        <v>50</v>
      </c>
      <c r="D2155" t="str">
        <f>VLOOKUP(B2155,Products!$A:$E,2,FALSE)</f>
        <v>Product_175</v>
      </c>
      <c r="E2155" t="str">
        <f>VLOOKUP(B2155,Products!$A:$E,3,FALSE)</f>
        <v>Storage</v>
      </c>
    </row>
    <row r="2156" spans="1:5" x14ac:dyDescent="0.3">
      <c r="A2156" t="s">
        <v>3166</v>
      </c>
      <c r="B2156" t="s">
        <v>858</v>
      </c>
      <c r="C2156">
        <v>86</v>
      </c>
      <c r="D2156" t="str">
        <f>VLOOKUP(B2156,Products!$A:$E,2,FALSE)</f>
        <v>Product_425</v>
      </c>
      <c r="E2156" t="str">
        <f>VLOOKUP(B2156,Products!$A:$E,3,FALSE)</f>
        <v>Office Supplies</v>
      </c>
    </row>
    <row r="2157" spans="1:5" x14ac:dyDescent="0.3">
      <c r="A2157" t="s">
        <v>3167</v>
      </c>
      <c r="B2157" t="s">
        <v>996</v>
      </c>
      <c r="C2157">
        <v>42</v>
      </c>
      <c r="D2157" t="str">
        <f>VLOOKUP(B2157,Products!$A:$E,2,FALSE)</f>
        <v>Product_494</v>
      </c>
      <c r="E2157" t="str">
        <f>VLOOKUP(B2157,Products!$A:$E,3,FALSE)</f>
        <v>Office Supplies</v>
      </c>
    </row>
    <row r="2158" spans="1:5" x14ac:dyDescent="0.3">
      <c r="A2158" t="s">
        <v>3168</v>
      </c>
      <c r="B2158" t="s">
        <v>570</v>
      </c>
      <c r="C2158">
        <v>71</v>
      </c>
      <c r="D2158" t="str">
        <f>VLOOKUP(B2158,Products!$A:$E,2,FALSE)</f>
        <v>Product_281</v>
      </c>
      <c r="E2158" t="str">
        <f>VLOOKUP(B2158,Products!$A:$E,3,FALSE)</f>
        <v>Office Supplies</v>
      </c>
    </row>
    <row r="2159" spans="1:5" x14ac:dyDescent="0.3">
      <c r="A2159" t="s">
        <v>3169</v>
      </c>
      <c r="B2159" t="s">
        <v>392</v>
      </c>
      <c r="C2159">
        <v>94</v>
      </c>
      <c r="D2159" t="str">
        <f>VLOOKUP(B2159,Products!$A:$E,2,FALSE)</f>
        <v>Product_192</v>
      </c>
      <c r="E2159" t="str">
        <f>VLOOKUP(B2159,Products!$A:$E,3,FALSE)</f>
        <v>Office Supplies</v>
      </c>
    </row>
    <row r="2160" spans="1:5" x14ac:dyDescent="0.3">
      <c r="A2160" t="s">
        <v>3170</v>
      </c>
      <c r="B2160" t="s">
        <v>118</v>
      </c>
      <c r="C2160">
        <v>10</v>
      </c>
      <c r="D2160" t="str">
        <f>VLOOKUP(B2160,Products!$A:$E,2,FALSE)</f>
        <v>Product_55</v>
      </c>
      <c r="E2160" t="str">
        <f>VLOOKUP(B2160,Products!$A:$E,3,FALSE)</f>
        <v>Office Supplies</v>
      </c>
    </row>
    <row r="2161" spans="1:5" x14ac:dyDescent="0.3">
      <c r="A2161" t="s">
        <v>3171</v>
      </c>
      <c r="B2161" t="s">
        <v>928</v>
      </c>
      <c r="C2161">
        <v>26</v>
      </c>
      <c r="D2161" t="str">
        <f>VLOOKUP(B2161,Products!$A:$E,2,FALSE)</f>
        <v>Product_460</v>
      </c>
      <c r="E2161" t="str">
        <f>VLOOKUP(B2161,Products!$A:$E,3,FALSE)</f>
        <v>Accessories</v>
      </c>
    </row>
    <row r="2162" spans="1:5" x14ac:dyDescent="0.3">
      <c r="A2162" t="s">
        <v>3172</v>
      </c>
      <c r="B2162" t="s">
        <v>514</v>
      </c>
      <c r="C2162">
        <v>22</v>
      </c>
      <c r="D2162" t="str">
        <f>VLOOKUP(B2162,Products!$A:$E,2,FALSE)</f>
        <v>Product_253</v>
      </c>
      <c r="E2162" t="str">
        <f>VLOOKUP(B2162,Products!$A:$E,3,FALSE)</f>
        <v>Networking</v>
      </c>
    </row>
    <row r="2163" spans="1:5" x14ac:dyDescent="0.3">
      <c r="A2163" t="s">
        <v>3173</v>
      </c>
      <c r="B2163" t="s">
        <v>850</v>
      </c>
      <c r="C2163">
        <v>96</v>
      </c>
      <c r="D2163" t="str">
        <f>VLOOKUP(B2163,Products!$A:$E,2,FALSE)</f>
        <v>Product_421</v>
      </c>
      <c r="E2163" t="str">
        <f>VLOOKUP(B2163,Products!$A:$E,3,FALSE)</f>
        <v>Accessories</v>
      </c>
    </row>
    <row r="2164" spans="1:5" x14ac:dyDescent="0.3">
      <c r="A2164" t="s">
        <v>3174</v>
      </c>
      <c r="B2164" t="s">
        <v>770</v>
      </c>
      <c r="C2164">
        <v>97</v>
      </c>
      <c r="D2164" t="str">
        <f>VLOOKUP(B2164,Products!$A:$E,2,FALSE)</f>
        <v>Product_381</v>
      </c>
      <c r="E2164" t="str">
        <f>VLOOKUP(B2164,Products!$A:$E,3,FALSE)</f>
        <v>Storage</v>
      </c>
    </row>
    <row r="2165" spans="1:5" x14ac:dyDescent="0.3">
      <c r="A2165" t="s">
        <v>3175</v>
      </c>
      <c r="B2165" t="s">
        <v>428</v>
      </c>
      <c r="C2165">
        <v>18</v>
      </c>
      <c r="D2165" t="str">
        <f>VLOOKUP(B2165,Products!$A:$E,2,FALSE)</f>
        <v>Product_210</v>
      </c>
      <c r="E2165" t="str">
        <f>VLOOKUP(B2165,Products!$A:$E,3,FALSE)</f>
        <v>Electronics</v>
      </c>
    </row>
    <row r="2166" spans="1:5" x14ac:dyDescent="0.3">
      <c r="A2166" t="s">
        <v>3176</v>
      </c>
      <c r="B2166" t="s">
        <v>270</v>
      </c>
      <c r="C2166">
        <v>83</v>
      </c>
      <c r="D2166" t="str">
        <f>VLOOKUP(B2166,Products!$A:$E,2,FALSE)</f>
        <v>Product_131</v>
      </c>
      <c r="E2166" t="str">
        <f>VLOOKUP(B2166,Products!$A:$E,3,FALSE)</f>
        <v>Electronics</v>
      </c>
    </row>
    <row r="2167" spans="1:5" x14ac:dyDescent="0.3">
      <c r="A2167" t="s">
        <v>3177</v>
      </c>
      <c r="B2167" t="s">
        <v>210</v>
      </c>
      <c r="C2167">
        <v>29</v>
      </c>
      <c r="D2167" t="str">
        <f>VLOOKUP(B2167,Products!$A:$E,2,FALSE)</f>
        <v>Product_101</v>
      </c>
      <c r="E2167" t="str">
        <f>VLOOKUP(B2167,Products!$A:$E,3,FALSE)</f>
        <v>Storage</v>
      </c>
    </row>
    <row r="2168" spans="1:5" x14ac:dyDescent="0.3">
      <c r="A2168" t="s">
        <v>3178</v>
      </c>
      <c r="B2168" t="s">
        <v>132</v>
      </c>
      <c r="C2168">
        <v>55</v>
      </c>
      <c r="D2168" t="str">
        <f>VLOOKUP(B2168,Products!$A:$E,2,FALSE)</f>
        <v>Product_62</v>
      </c>
      <c r="E2168" t="str">
        <f>VLOOKUP(B2168,Products!$A:$E,3,FALSE)</f>
        <v>Accessories</v>
      </c>
    </row>
    <row r="2169" spans="1:5" x14ac:dyDescent="0.3">
      <c r="A2169" t="s">
        <v>3179</v>
      </c>
      <c r="B2169" t="s">
        <v>230</v>
      </c>
      <c r="C2169">
        <v>63</v>
      </c>
      <c r="D2169" t="str">
        <f>VLOOKUP(B2169,Products!$A:$E,2,FALSE)</f>
        <v>Product_111</v>
      </c>
      <c r="E2169" t="str">
        <f>VLOOKUP(B2169,Products!$A:$E,3,FALSE)</f>
        <v>Office Supplies</v>
      </c>
    </row>
    <row r="2170" spans="1:5" x14ac:dyDescent="0.3">
      <c r="A2170" t="s">
        <v>3180</v>
      </c>
      <c r="B2170" t="s">
        <v>854</v>
      </c>
      <c r="C2170">
        <v>29</v>
      </c>
      <c r="D2170" t="str">
        <f>VLOOKUP(B2170,Products!$A:$E,2,FALSE)</f>
        <v>Product_423</v>
      </c>
      <c r="E2170" t="str">
        <f>VLOOKUP(B2170,Products!$A:$E,3,FALSE)</f>
        <v>Office Supplies</v>
      </c>
    </row>
    <row r="2171" spans="1:5" x14ac:dyDescent="0.3">
      <c r="A2171" t="s">
        <v>3181</v>
      </c>
      <c r="B2171" t="s">
        <v>742</v>
      </c>
      <c r="C2171">
        <v>48</v>
      </c>
      <c r="D2171" t="str">
        <f>VLOOKUP(B2171,Products!$A:$E,2,FALSE)</f>
        <v>Product_367</v>
      </c>
      <c r="E2171" t="str">
        <f>VLOOKUP(B2171,Products!$A:$E,3,FALSE)</f>
        <v>Storage</v>
      </c>
    </row>
    <row r="2172" spans="1:5" x14ac:dyDescent="0.3">
      <c r="A2172" t="s">
        <v>3182</v>
      </c>
      <c r="B2172" t="s">
        <v>120</v>
      </c>
      <c r="C2172">
        <v>58</v>
      </c>
      <c r="D2172" t="str">
        <f>VLOOKUP(B2172,Products!$A:$E,2,FALSE)</f>
        <v>Product_56</v>
      </c>
      <c r="E2172" t="str">
        <f>VLOOKUP(B2172,Products!$A:$E,3,FALSE)</f>
        <v>Networking</v>
      </c>
    </row>
    <row r="2173" spans="1:5" x14ac:dyDescent="0.3">
      <c r="A2173" t="s">
        <v>3183</v>
      </c>
      <c r="B2173" t="s">
        <v>56</v>
      </c>
      <c r="C2173">
        <v>86</v>
      </c>
      <c r="D2173" t="str">
        <f>VLOOKUP(B2173,Products!$A:$E,2,FALSE)</f>
        <v>Product_24</v>
      </c>
      <c r="E2173" t="str">
        <f>VLOOKUP(B2173,Products!$A:$E,3,FALSE)</f>
        <v>Accessories</v>
      </c>
    </row>
    <row r="2174" spans="1:5" x14ac:dyDescent="0.3">
      <c r="A2174" t="s">
        <v>3184</v>
      </c>
      <c r="B2174" t="s">
        <v>866</v>
      </c>
      <c r="C2174">
        <v>91</v>
      </c>
      <c r="D2174" t="str">
        <f>VLOOKUP(B2174,Products!$A:$E,2,FALSE)</f>
        <v>Product_429</v>
      </c>
      <c r="E2174" t="str">
        <f>VLOOKUP(B2174,Products!$A:$E,3,FALSE)</f>
        <v>Office Supplies</v>
      </c>
    </row>
    <row r="2175" spans="1:5" x14ac:dyDescent="0.3">
      <c r="A2175" t="s">
        <v>3185</v>
      </c>
      <c r="B2175" t="s">
        <v>612</v>
      </c>
      <c r="C2175">
        <v>20</v>
      </c>
      <c r="D2175" t="str">
        <f>VLOOKUP(B2175,Products!$A:$E,2,FALSE)</f>
        <v>Product_302</v>
      </c>
      <c r="E2175" t="str">
        <f>VLOOKUP(B2175,Products!$A:$E,3,FALSE)</f>
        <v>Accessories</v>
      </c>
    </row>
    <row r="2176" spans="1:5" x14ac:dyDescent="0.3">
      <c r="A2176" t="s">
        <v>3186</v>
      </c>
      <c r="B2176" t="s">
        <v>800</v>
      </c>
      <c r="C2176">
        <v>62</v>
      </c>
      <c r="D2176" t="str">
        <f>VLOOKUP(B2176,Products!$A:$E,2,FALSE)</f>
        <v>Product_396</v>
      </c>
      <c r="E2176" t="str">
        <f>VLOOKUP(B2176,Products!$A:$E,3,FALSE)</f>
        <v>Office Supplies</v>
      </c>
    </row>
    <row r="2177" spans="1:5" x14ac:dyDescent="0.3">
      <c r="A2177" t="s">
        <v>3187</v>
      </c>
      <c r="B2177" t="s">
        <v>478</v>
      </c>
      <c r="C2177">
        <v>89</v>
      </c>
      <c r="D2177" t="str">
        <f>VLOOKUP(B2177,Products!$A:$E,2,FALSE)</f>
        <v>Product_235</v>
      </c>
      <c r="E2177" t="str">
        <f>VLOOKUP(B2177,Products!$A:$E,3,FALSE)</f>
        <v>Accessories</v>
      </c>
    </row>
    <row r="2178" spans="1:5" x14ac:dyDescent="0.3">
      <c r="A2178" t="s">
        <v>3188</v>
      </c>
      <c r="B2178" t="s">
        <v>612</v>
      </c>
      <c r="C2178">
        <v>69</v>
      </c>
      <c r="D2178" t="str">
        <f>VLOOKUP(B2178,Products!$A:$E,2,FALSE)</f>
        <v>Product_302</v>
      </c>
      <c r="E2178" t="str">
        <f>VLOOKUP(B2178,Products!$A:$E,3,FALSE)</f>
        <v>Accessories</v>
      </c>
    </row>
    <row r="2179" spans="1:5" x14ac:dyDescent="0.3">
      <c r="A2179" t="s">
        <v>3189</v>
      </c>
      <c r="B2179" t="s">
        <v>146</v>
      </c>
      <c r="C2179">
        <v>68</v>
      </c>
      <c r="D2179" t="str">
        <f>VLOOKUP(B2179,Products!$A:$E,2,FALSE)</f>
        <v>Product_69</v>
      </c>
      <c r="E2179" t="str">
        <f>VLOOKUP(B2179,Products!$A:$E,3,FALSE)</f>
        <v>Electronics</v>
      </c>
    </row>
    <row r="2180" spans="1:5" x14ac:dyDescent="0.3">
      <c r="A2180" t="s">
        <v>3190</v>
      </c>
      <c r="B2180" t="s">
        <v>11</v>
      </c>
      <c r="C2180">
        <v>72</v>
      </c>
      <c r="D2180" t="str">
        <f>VLOOKUP(B2180,Products!$A:$E,2,FALSE)</f>
        <v>Product_3</v>
      </c>
      <c r="E2180" t="str">
        <f>VLOOKUP(B2180,Products!$A:$E,3,FALSE)</f>
        <v>Accessories</v>
      </c>
    </row>
    <row r="2181" spans="1:5" x14ac:dyDescent="0.3">
      <c r="A2181" t="s">
        <v>3191</v>
      </c>
      <c r="B2181" t="s">
        <v>762</v>
      </c>
      <c r="C2181">
        <v>11</v>
      </c>
      <c r="D2181" t="str">
        <f>VLOOKUP(B2181,Products!$A:$E,2,FALSE)</f>
        <v>Product_377</v>
      </c>
      <c r="E2181" t="str">
        <f>VLOOKUP(B2181,Products!$A:$E,3,FALSE)</f>
        <v>Networking</v>
      </c>
    </row>
    <row r="2182" spans="1:5" x14ac:dyDescent="0.3">
      <c r="A2182" t="s">
        <v>3192</v>
      </c>
      <c r="B2182" t="s">
        <v>576</v>
      </c>
      <c r="C2182">
        <v>60</v>
      </c>
      <c r="D2182" t="str">
        <f>VLOOKUP(B2182,Products!$A:$E,2,FALSE)</f>
        <v>Product_284</v>
      </c>
      <c r="E2182" t="str">
        <f>VLOOKUP(B2182,Products!$A:$E,3,FALSE)</f>
        <v>Networking</v>
      </c>
    </row>
    <row r="2183" spans="1:5" x14ac:dyDescent="0.3">
      <c r="A2183" t="s">
        <v>3193</v>
      </c>
      <c r="B2183" t="s">
        <v>868</v>
      </c>
      <c r="C2183">
        <v>79</v>
      </c>
      <c r="D2183" t="str">
        <f>VLOOKUP(B2183,Products!$A:$E,2,FALSE)</f>
        <v>Product_430</v>
      </c>
      <c r="E2183" t="str">
        <f>VLOOKUP(B2183,Products!$A:$E,3,FALSE)</f>
        <v>Electronics</v>
      </c>
    </row>
    <row r="2184" spans="1:5" x14ac:dyDescent="0.3">
      <c r="A2184" t="s">
        <v>3194</v>
      </c>
      <c r="B2184" t="s">
        <v>504</v>
      </c>
      <c r="C2184">
        <v>70</v>
      </c>
      <c r="D2184" t="str">
        <f>VLOOKUP(B2184,Products!$A:$E,2,FALSE)</f>
        <v>Product_248</v>
      </c>
      <c r="E2184" t="str">
        <f>VLOOKUP(B2184,Products!$A:$E,3,FALSE)</f>
        <v>Networking</v>
      </c>
    </row>
    <row r="2185" spans="1:5" x14ac:dyDescent="0.3">
      <c r="A2185" t="s">
        <v>3195</v>
      </c>
      <c r="B2185" t="s">
        <v>808</v>
      </c>
      <c r="C2185">
        <v>27</v>
      </c>
      <c r="D2185" t="str">
        <f>VLOOKUP(B2185,Products!$A:$E,2,FALSE)</f>
        <v>Product_400</v>
      </c>
      <c r="E2185" t="str">
        <f>VLOOKUP(B2185,Products!$A:$E,3,FALSE)</f>
        <v>Networking</v>
      </c>
    </row>
    <row r="2186" spans="1:5" x14ac:dyDescent="0.3">
      <c r="A2186" t="s">
        <v>3196</v>
      </c>
      <c r="B2186" t="s">
        <v>718</v>
      </c>
      <c r="C2186">
        <v>79</v>
      </c>
      <c r="D2186" t="str">
        <f>VLOOKUP(B2186,Products!$A:$E,2,FALSE)</f>
        <v>Product_355</v>
      </c>
      <c r="E2186" t="str">
        <f>VLOOKUP(B2186,Products!$A:$E,3,FALSE)</f>
        <v>Accessories</v>
      </c>
    </row>
    <row r="2187" spans="1:5" x14ac:dyDescent="0.3">
      <c r="A2187" t="s">
        <v>3197</v>
      </c>
      <c r="B2187" t="s">
        <v>186</v>
      </c>
      <c r="C2187">
        <v>98</v>
      </c>
      <c r="D2187" t="str">
        <f>VLOOKUP(B2187,Products!$A:$E,2,FALSE)</f>
        <v>Product_89</v>
      </c>
      <c r="E2187" t="str">
        <f>VLOOKUP(B2187,Products!$A:$E,3,FALSE)</f>
        <v>Storage</v>
      </c>
    </row>
    <row r="2188" spans="1:5" x14ac:dyDescent="0.3">
      <c r="A2188" t="s">
        <v>3198</v>
      </c>
      <c r="B2188" t="s">
        <v>844</v>
      </c>
      <c r="C2188">
        <v>21</v>
      </c>
      <c r="D2188" t="str">
        <f>VLOOKUP(B2188,Products!$A:$E,2,FALSE)</f>
        <v>Product_418</v>
      </c>
      <c r="E2188" t="str">
        <f>VLOOKUP(B2188,Products!$A:$E,3,FALSE)</f>
        <v>Office Supplies</v>
      </c>
    </row>
    <row r="2189" spans="1:5" x14ac:dyDescent="0.3">
      <c r="A2189" t="s">
        <v>3199</v>
      </c>
      <c r="B2189" t="s">
        <v>116</v>
      </c>
      <c r="C2189">
        <v>54</v>
      </c>
      <c r="D2189" t="str">
        <f>VLOOKUP(B2189,Products!$A:$E,2,FALSE)</f>
        <v>Product_54</v>
      </c>
      <c r="E2189" t="str">
        <f>VLOOKUP(B2189,Products!$A:$E,3,FALSE)</f>
        <v>Storage</v>
      </c>
    </row>
    <row r="2190" spans="1:5" x14ac:dyDescent="0.3">
      <c r="A2190" t="s">
        <v>3200</v>
      </c>
      <c r="B2190" t="s">
        <v>682</v>
      </c>
      <c r="C2190">
        <v>81</v>
      </c>
      <c r="D2190" t="str">
        <f>VLOOKUP(B2190,Products!$A:$E,2,FALSE)</f>
        <v>Product_337</v>
      </c>
      <c r="E2190" t="str">
        <f>VLOOKUP(B2190,Products!$A:$E,3,FALSE)</f>
        <v>Storage</v>
      </c>
    </row>
    <row r="2191" spans="1:5" x14ac:dyDescent="0.3">
      <c r="A2191" t="s">
        <v>3201</v>
      </c>
      <c r="B2191" t="s">
        <v>630</v>
      </c>
      <c r="C2191">
        <v>46</v>
      </c>
      <c r="D2191" t="str">
        <f>VLOOKUP(B2191,Products!$A:$E,2,FALSE)</f>
        <v>Product_311</v>
      </c>
      <c r="E2191" t="str">
        <f>VLOOKUP(B2191,Products!$A:$E,3,FALSE)</f>
        <v>Networking</v>
      </c>
    </row>
    <row r="2192" spans="1:5" x14ac:dyDescent="0.3">
      <c r="A2192" t="s">
        <v>3202</v>
      </c>
      <c r="B2192" t="s">
        <v>526</v>
      </c>
      <c r="C2192">
        <v>54</v>
      </c>
      <c r="D2192" t="str">
        <f>VLOOKUP(B2192,Products!$A:$E,2,FALSE)</f>
        <v>Product_259</v>
      </c>
      <c r="E2192" t="str">
        <f>VLOOKUP(B2192,Products!$A:$E,3,FALSE)</f>
        <v>Electronics</v>
      </c>
    </row>
    <row r="2193" spans="1:5" x14ac:dyDescent="0.3">
      <c r="A2193" t="s">
        <v>3203</v>
      </c>
      <c r="B2193" t="s">
        <v>438</v>
      </c>
      <c r="C2193">
        <v>82</v>
      </c>
      <c r="D2193" t="str">
        <f>VLOOKUP(B2193,Products!$A:$E,2,FALSE)</f>
        <v>Product_215</v>
      </c>
      <c r="E2193" t="str">
        <f>VLOOKUP(B2193,Products!$A:$E,3,FALSE)</f>
        <v>Electronics</v>
      </c>
    </row>
    <row r="2194" spans="1:5" x14ac:dyDescent="0.3">
      <c r="A2194" t="s">
        <v>3204</v>
      </c>
      <c r="B2194" t="s">
        <v>946</v>
      </c>
      <c r="C2194">
        <v>93</v>
      </c>
      <c r="D2194" t="str">
        <f>VLOOKUP(B2194,Products!$A:$E,2,FALSE)</f>
        <v>Product_469</v>
      </c>
      <c r="E2194" t="str">
        <f>VLOOKUP(B2194,Products!$A:$E,3,FALSE)</f>
        <v>Office Supplies</v>
      </c>
    </row>
    <row r="2195" spans="1:5" x14ac:dyDescent="0.3">
      <c r="A2195" t="s">
        <v>3205</v>
      </c>
      <c r="B2195" t="s">
        <v>790</v>
      </c>
      <c r="C2195">
        <v>36</v>
      </c>
      <c r="D2195" t="str">
        <f>VLOOKUP(B2195,Products!$A:$E,2,FALSE)</f>
        <v>Product_391</v>
      </c>
      <c r="E2195" t="str">
        <f>VLOOKUP(B2195,Products!$A:$E,3,FALSE)</f>
        <v>Accessories</v>
      </c>
    </row>
    <row r="2196" spans="1:5" x14ac:dyDescent="0.3">
      <c r="A2196" t="s">
        <v>3206</v>
      </c>
      <c r="B2196" t="s">
        <v>290</v>
      </c>
      <c r="C2196">
        <v>55</v>
      </c>
      <c r="D2196" t="str">
        <f>VLOOKUP(B2196,Products!$A:$E,2,FALSE)</f>
        <v>Product_141</v>
      </c>
      <c r="E2196" t="str">
        <f>VLOOKUP(B2196,Products!$A:$E,3,FALSE)</f>
        <v>Electronics</v>
      </c>
    </row>
    <row r="2197" spans="1:5" x14ac:dyDescent="0.3">
      <c r="A2197" t="s">
        <v>3207</v>
      </c>
      <c r="B2197" t="s">
        <v>996</v>
      </c>
      <c r="C2197">
        <v>48</v>
      </c>
      <c r="D2197" t="str">
        <f>VLOOKUP(B2197,Products!$A:$E,2,FALSE)</f>
        <v>Product_494</v>
      </c>
      <c r="E2197" t="str">
        <f>VLOOKUP(B2197,Products!$A:$E,3,FALSE)</f>
        <v>Office Supplies</v>
      </c>
    </row>
    <row r="2198" spans="1:5" x14ac:dyDescent="0.3">
      <c r="A2198" t="s">
        <v>3208</v>
      </c>
      <c r="B2198" t="s">
        <v>1002</v>
      </c>
      <c r="C2198">
        <v>42</v>
      </c>
      <c r="D2198" t="str">
        <f>VLOOKUP(B2198,Products!$A:$E,2,FALSE)</f>
        <v>Product_497</v>
      </c>
      <c r="E2198" t="str">
        <f>VLOOKUP(B2198,Products!$A:$E,3,FALSE)</f>
        <v>Office Supplies</v>
      </c>
    </row>
    <row r="2199" spans="1:5" x14ac:dyDescent="0.3">
      <c r="A2199" t="s">
        <v>3209</v>
      </c>
      <c r="B2199" t="s">
        <v>472</v>
      </c>
      <c r="C2199">
        <v>22</v>
      </c>
      <c r="D2199" t="str">
        <f>VLOOKUP(B2199,Products!$A:$E,2,FALSE)</f>
        <v>Product_232</v>
      </c>
      <c r="E2199" t="str">
        <f>VLOOKUP(B2199,Products!$A:$E,3,FALSE)</f>
        <v>Office Supplies</v>
      </c>
    </row>
    <row r="2200" spans="1:5" x14ac:dyDescent="0.3">
      <c r="A2200" t="s">
        <v>3210</v>
      </c>
      <c r="B2200" t="s">
        <v>150</v>
      </c>
      <c r="C2200">
        <v>57</v>
      </c>
      <c r="D2200" t="str">
        <f>VLOOKUP(B2200,Products!$A:$E,2,FALSE)</f>
        <v>Product_71</v>
      </c>
      <c r="E2200" t="str">
        <f>VLOOKUP(B2200,Products!$A:$E,3,FALSE)</f>
        <v>Accessories</v>
      </c>
    </row>
    <row r="2201" spans="1:5" x14ac:dyDescent="0.3">
      <c r="A2201" t="s">
        <v>3211</v>
      </c>
      <c r="B2201" t="s">
        <v>626</v>
      </c>
      <c r="C2201">
        <v>94</v>
      </c>
      <c r="D2201" t="str">
        <f>VLOOKUP(B2201,Products!$A:$E,2,FALSE)</f>
        <v>Product_309</v>
      </c>
      <c r="E2201" t="str">
        <f>VLOOKUP(B2201,Products!$A:$E,3,FALSE)</f>
        <v>Networking</v>
      </c>
    </row>
    <row r="2202" spans="1:5" x14ac:dyDescent="0.3">
      <c r="A2202" t="s">
        <v>3212</v>
      </c>
      <c r="B2202" t="s">
        <v>916</v>
      </c>
      <c r="C2202">
        <v>100</v>
      </c>
      <c r="D2202" t="str">
        <f>VLOOKUP(B2202,Products!$A:$E,2,FALSE)</f>
        <v>Product_454</v>
      </c>
      <c r="E2202" t="str">
        <f>VLOOKUP(B2202,Products!$A:$E,3,FALSE)</f>
        <v>Networking</v>
      </c>
    </row>
    <row r="2203" spans="1:5" x14ac:dyDescent="0.3">
      <c r="A2203" t="s">
        <v>3213</v>
      </c>
      <c r="B2203" t="s">
        <v>534</v>
      </c>
      <c r="C2203">
        <v>43</v>
      </c>
      <c r="D2203" t="str">
        <f>VLOOKUP(B2203,Products!$A:$E,2,FALSE)</f>
        <v>Product_263</v>
      </c>
      <c r="E2203" t="str">
        <f>VLOOKUP(B2203,Products!$A:$E,3,FALSE)</f>
        <v>Accessories</v>
      </c>
    </row>
    <row r="2204" spans="1:5" x14ac:dyDescent="0.3">
      <c r="A2204" t="s">
        <v>3214</v>
      </c>
      <c r="B2204" t="s">
        <v>872</v>
      </c>
      <c r="C2204">
        <v>94</v>
      </c>
      <c r="D2204" t="str">
        <f>VLOOKUP(B2204,Products!$A:$E,2,FALSE)</f>
        <v>Product_432</v>
      </c>
      <c r="E2204" t="str">
        <f>VLOOKUP(B2204,Products!$A:$E,3,FALSE)</f>
        <v>Office Supplies</v>
      </c>
    </row>
    <row r="2205" spans="1:5" x14ac:dyDescent="0.3">
      <c r="A2205" t="s">
        <v>3215</v>
      </c>
      <c r="B2205" t="s">
        <v>570</v>
      </c>
      <c r="C2205">
        <v>45</v>
      </c>
      <c r="D2205" t="str">
        <f>VLOOKUP(B2205,Products!$A:$E,2,FALSE)</f>
        <v>Product_281</v>
      </c>
      <c r="E2205" t="str">
        <f>VLOOKUP(B2205,Products!$A:$E,3,FALSE)</f>
        <v>Office Supplies</v>
      </c>
    </row>
    <row r="2206" spans="1:5" x14ac:dyDescent="0.3">
      <c r="A2206" t="s">
        <v>3216</v>
      </c>
      <c r="B2206" t="s">
        <v>738</v>
      </c>
      <c r="C2206">
        <v>99</v>
      </c>
      <c r="D2206" t="str">
        <f>VLOOKUP(B2206,Products!$A:$E,2,FALSE)</f>
        <v>Product_365</v>
      </c>
      <c r="E2206" t="str">
        <f>VLOOKUP(B2206,Products!$A:$E,3,FALSE)</f>
        <v>Storage</v>
      </c>
    </row>
    <row r="2207" spans="1:5" x14ac:dyDescent="0.3">
      <c r="A2207" t="s">
        <v>3217</v>
      </c>
      <c r="B2207" t="s">
        <v>966</v>
      </c>
      <c r="C2207">
        <v>75</v>
      </c>
      <c r="D2207" t="str">
        <f>VLOOKUP(B2207,Products!$A:$E,2,FALSE)</f>
        <v>Product_479</v>
      </c>
      <c r="E2207" t="str">
        <f>VLOOKUP(B2207,Products!$A:$E,3,FALSE)</f>
        <v>Office Supplies</v>
      </c>
    </row>
    <row r="2208" spans="1:5" x14ac:dyDescent="0.3">
      <c r="A2208" t="s">
        <v>3218</v>
      </c>
      <c r="B2208" t="s">
        <v>656</v>
      </c>
      <c r="C2208">
        <v>32</v>
      </c>
      <c r="D2208" t="str">
        <f>VLOOKUP(B2208,Products!$A:$E,2,FALSE)</f>
        <v>Product_324</v>
      </c>
      <c r="E2208" t="str">
        <f>VLOOKUP(B2208,Products!$A:$E,3,FALSE)</f>
        <v>Accessories</v>
      </c>
    </row>
    <row r="2209" spans="1:5" x14ac:dyDescent="0.3">
      <c r="A2209" t="s">
        <v>3219</v>
      </c>
      <c r="B2209" t="s">
        <v>214</v>
      </c>
      <c r="C2209">
        <v>31</v>
      </c>
      <c r="D2209" t="str">
        <f>VLOOKUP(B2209,Products!$A:$E,2,FALSE)</f>
        <v>Product_103</v>
      </c>
      <c r="E2209" t="str">
        <f>VLOOKUP(B2209,Products!$A:$E,3,FALSE)</f>
        <v>Accessories</v>
      </c>
    </row>
    <row r="2210" spans="1:5" x14ac:dyDescent="0.3">
      <c r="A2210" t="s">
        <v>3220</v>
      </c>
      <c r="B2210" t="s">
        <v>648</v>
      </c>
      <c r="C2210">
        <v>96</v>
      </c>
      <c r="D2210" t="str">
        <f>VLOOKUP(B2210,Products!$A:$E,2,FALSE)</f>
        <v>Product_320</v>
      </c>
      <c r="E2210" t="str">
        <f>VLOOKUP(B2210,Products!$A:$E,3,FALSE)</f>
        <v>Office Supplies</v>
      </c>
    </row>
    <row r="2211" spans="1:5" x14ac:dyDescent="0.3">
      <c r="A2211" t="s">
        <v>3221</v>
      </c>
      <c r="B2211" t="s">
        <v>306</v>
      </c>
      <c r="C2211">
        <v>92</v>
      </c>
      <c r="D2211" t="str">
        <f>VLOOKUP(B2211,Products!$A:$E,2,FALSE)</f>
        <v>Product_149</v>
      </c>
      <c r="E2211" t="str">
        <f>VLOOKUP(B2211,Products!$A:$E,3,FALSE)</f>
        <v>Accessories</v>
      </c>
    </row>
    <row r="2212" spans="1:5" x14ac:dyDescent="0.3">
      <c r="A2212" t="s">
        <v>3222</v>
      </c>
      <c r="B2212" t="s">
        <v>362</v>
      </c>
      <c r="C2212">
        <v>91</v>
      </c>
      <c r="D2212" t="str">
        <f>VLOOKUP(B2212,Products!$A:$E,2,FALSE)</f>
        <v>Product_177</v>
      </c>
      <c r="E2212" t="str">
        <f>VLOOKUP(B2212,Products!$A:$E,3,FALSE)</f>
        <v>Office Supplies</v>
      </c>
    </row>
    <row r="2213" spans="1:5" x14ac:dyDescent="0.3">
      <c r="A2213" t="s">
        <v>3223</v>
      </c>
      <c r="B2213" t="s">
        <v>144</v>
      </c>
      <c r="C2213">
        <v>95</v>
      </c>
      <c r="D2213" t="str">
        <f>VLOOKUP(B2213,Products!$A:$E,2,FALSE)</f>
        <v>Product_68</v>
      </c>
      <c r="E2213" t="str">
        <f>VLOOKUP(B2213,Products!$A:$E,3,FALSE)</f>
        <v>Accessories</v>
      </c>
    </row>
    <row r="2214" spans="1:5" x14ac:dyDescent="0.3">
      <c r="A2214" t="s">
        <v>3224</v>
      </c>
      <c r="B2214" t="s">
        <v>674</v>
      </c>
      <c r="C2214">
        <v>27</v>
      </c>
      <c r="D2214" t="str">
        <f>VLOOKUP(B2214,Products!$A:$E,2,FALSE)</f>
        <v>Product_333</v>
      </c>
      <c r="E2214" t="str">
        <f>VLOOKUP(B2214,Products!$A:$E,3,FALSE)</f>
        <v>Storage</v>
      </c>
    </row>
    <row r="2215" spans="1:5" x14ac:dyDescent="0.3">
      <c r="A2215" t="s">
        <v>3225</v>
      </c>
      <c r="B2215" t="s">
        <v>524</v>
      </c>
      <c r="C2215">
        <v>74</v>
      </c>
      <c r="D2215" t="str">
        <f>VLOOKUP(B2215,Products!$A:$E,2,FALSE)</f>
        <v>Product_258</v>
      </c>
      <c r="E2215" t="str">
        <f>VLOOKUP(B2215,Products!$A:$E,3,FALSE)</f>
        <v>Networking</v>
      </c>
    </row>
    <row r="2216" spans="1:5" x14ac:dyDescent="0.3">
      <c r="A2216" t="s">
        <v>3226</v>
      </c>
      <c r="B2216" t="s">
        <v>720</v>
      </c>
      <c r="C2216">
        <v>86</v>
      </c>
      <c r="D2216" t="str">
        <f>VLOOKUP(B2216,Products!$A:$E,2,FALSE)</f>
        <v>Product_356</v>
      </c>
      <c r="E2216" t="str">
        <f>VLOOKUP(B2216,Products!$A:$E,3,FALSE)</f>
        <v>Accessories</v>
      </c>
    </row>
    <row r="2217" spans="1:5" x14ac:dyDescent="0.3">
      <c r="A2217" t="s">
        <v>3227</v>
      </c>
      <c r="B2217" t="s">
        <v>340</v>
      </c>
      <c r="C2217">
        <v>95</v>
      </c>
      <c r="D2217" t="str">
        <f>VLOOKUP(B2217,Products!$A:$E,2,FALSE)</f>
        <v>Product_166</v>
      </c>
      <c r="E2217" t="str">
        <f>VLOOKUP(B2217,Products!$A:$E,3,FALSE)</f>
        <v>Accessories</v>
      </c>
    </row>
    <row r="2218" spans="1:5" x14ac:dyDescent="0.3">
      <c r="A2218" t="s">
        <v>3228</v>
      </c>
      <c r="B2218" t="s">
        <v>128</v>
      </c>
      <c r="C2218">
        <v>50</v>
      </c>
      <c r="D2218" t="str">
        <f>VLOOKUP(B2218,Products!$A:$E,2,FALSE)</f>
        <v>Product_60</v>
      </c>
      <c r="E2218" t="str">
        <f>VLOOKUP(B2218,Products!$A:$E,3,FALSE)</f>
        <v>Electronics</v>
      </c>
    </row>
    <row r="2219" spans="1:5" x14ac:dyDescent="0.3">
      <c r="A2219" t="s">
        <v>3229</v>
      </c>
      <c r="B2219" t="s">
        <v>584</v>
      </c>
      <c r="C2219">
        <v>66</v>
      </c>
      <c r="D2219" t="str">
        <f>VLOOKUP(B2219,Products!$A:$E,2,FALSE)</f>
        <v>Product_288</v>
      </c>
      <c r="E2219" t="str">
        <f>VLOOKUP(B2219,Products!$A:$E,3,FALSE)</f>
        <v>Networking</v>
      </c>
    </row>
    <row r="2220" spans="1:5" x14ac:dyDescent="0.3">
      <c r="A2220" t="s">
        <v>3230</v>
      </c>
      <c r="B2220" t="s">
        <v>606</v>
      </c>
      <c r="C2220">
        <v>78</v>
      </c>
      <c r="D2220" t="str">
        <f>VLOOKUP(B2220,Products!$A:$E,2,FALSE)</f>
        <v>Product_299</v>
      </c>
      <c r="E2220" t="str">
        <f>VLOOKUP(B2220,Products!$A:$E,3,FALSE)</f>
        <v>Storage</v>
      </c>
    </row>
    <row r="2221" spans="1:5" x14ac:dyDescent="0.3">
      <c r="A2221" t="s">
        <v>3231</v>
      </c>
      <c r="B2221" t="s">
        <v>974</v>
      </c>
      <c r="C2221">
        <v>90</v>
      </c>
      <c r="D2221" t="str">
        <f>VLOOKUP(B2221,Products!$A:$E,2,FALSE)</f>
        <v>Product_483</v>
      </c>
      <c r="E2221" t="str">
        <f>VLOOKUP(B2221,Products!$A:$E,3,FALSE)</f>
        <v>Electronics</v>
      </c>
    </row>
    <row r="2222" spans="1:5" x14ac:dyDescent="0.3">
      <c r="A2222" t="s">
        <v>3232</v>
      </c>
      <c r="B2222" t="s">
        <v>736</v>
      </c>
      <c r="C2222">
        <v>58</v>
      </c>
      <c r="D2222" t="str">
        <f>VLOOKUP(B2222,Products!$A:$E,2,FALSE)</f>
        <v>Product_364</v>
      </c>
      <c r="E2222" t="str">
        <f>VLOOKUP(B2222,Products!$A:$E,3,FALSE)</f>
        <v>Networking</v>
      </c>
    </row>
    <row r="2223" spans="1:5" x14ac:dyDescent="0.3">
      <c r="A2223" t="s">
        <v>3233</v>
      </c>
      <c r="B2223" t="s">
        <v>700</v>
      </c>
      <c r="C2223">
        <v>100</v>
      </c>
      <c r="D2223" t="str">
        <f>VLOOKUP(B2223,Products!$A:$E,2,FALSE)</f>
        <v>Product_346</v>
      </c>
      <c r="E2223" t="str">
        <f>VLOOKUP(B2223,Products!$A:$E,3,FALSE)</f>
        <v>Electronics</v>
      </c>
    </row>
    <row r="2224" spans="1:5" x14ac:dyDescent="0.3">
      <c r="A2224" t="s">
        <v>3234</v>
      </c>
      <c r="B2224" t="s">
        <v>924</v>
      </c>
      <c r="C2224">
        <v>73</v>
      </c>
      <c r="D2224" t="str">
        <f>VLOOKUP(B2224,Products!$A:$E,2,FALSE)</f>
        <v>Product_458</v>
      </c>
      <c r="E2224" t="str">
        <f>VLOOKUP(B2224,Products!$A:$E,3,FALSE)</f>
        <v>Accessories</v>
      </c>
    </row>
    <row r="2225" spans="1:5" x14ac:dyDescent="0.3">
      <c r="A2225" t="s">
        <v>3235</v>
      </c>
      <c r="B2225" t="s">
        <v>302</v>
      </c>
      <c r="C2225">
        <v>59</v>
      </c>
      <c r="D2225" t="str">
        <f>VLOOKUP(B2225,Products!$A:$E,2,FALSE)</f>
        <v>Product_147</v>
      </c>
      <c r="E2225" t="str">
        <f>VLOOKUP(B2225,Products!$A:$E,3,FALSE)</f>
        <v>Networking</v>
      </c>
    </row>
    <row r="2226" spans="1:5" x14ac:dyDescent="0.3">
      <c r="A2226" t="s">
        <v>3236</v>
      </c>
      <c r="B2226" t="s">
        <v>836</v>
      </c>
      <c r="C2226">
        <v>6</v>
      </c>
      <c r="D2226" t="str">
        <f>VLOOKUP(B2226,Products!$A:$E,2,FALSE)</f>
        <v>Product_414</v>
      </c>
      <c r="E2226" t="str">
        <f>VLOOKUP(B2226,Products!$A:$E,3,FALSE)</f>
        <v>Office Supplies</v>
      </c>
    </row>
    <row r="2227" spans="1:5" x14ac:dyDescent="0.3">
      <c r="A2227" t="s">
        <v>3237</v>
      </c>
      <c r="B2227" t="s">
        <v>544</v>
      </c>
      <c r="C2227">
        <v>18</v>
      </c>
      <c r="D2227" t="str">
        <f>VLOOKUP(B2227,Products!$A:$E,2,FALSE)</f>
        <v>Product_268</v>
      </c>
      <c r="E2227" t="str">
        <f>VLOOKUP(B2227,Products!$A:$E,3,FALSE)</f>
        <v>Office Supplies</v>
      </c>
    </row>
    <row r="2228" spans="1:5" x14ac:dyDescent="0.3">
      <c r="A2228" t="s">
        <v>3238</v>
      </c>
      <c r="B2228" t="s">
        <v>34</v>
      </c>
      <c r="C2228">
        <v>53</v>
      </c>
      <c r="D2228" t="str">
        <f>VLOOKUP(B2228,Products!$A:$E,2,FALSE)</f>
        <v>Product_13</v>
      </c>
      <c r="E2228" t="str">
        <f>VLOOKUP(B2228,Products!$A:$E,3,FALSE)</f>
        <v>Office Supplies</v>
      </c>
    </row>
    <row r="2229" spans="1:5" x14ac:dyDescent="0.3">
      <c r="A2229" t="s">
        <v>3239</v>
      </c>
      <c r="B2229" t="s">
        <v>158</v>
      </c>
      <c r="C2229">
        <v>11</v>
      </c>
      <c r="D2229" t="str">
        <f>VLOOKUP(B2229,Products!$A:$E,2,FALSE)</f>
        <v>Product_75</v>
      </c>
      <c r="E2229" t="str">
        <f>VLOOKUP(B2229,Products!$A:$E,3,FALSE)</f>
        <v>Storage</v>
      </c>
    </row>
    <row r="2230" spans="1:5" x14ac:dyDescent="0.3">
      <c r="A2230" t="s">
        <v>3240</v>
      </c>
      <c r="B2230" t="s">
        <v>696</v>
      </c>
      <c r="C2230">
        <v>12</v>
      </c>
      <c r="D2230" t="str">
        <f>VLOOKUP(B2230,Products!$A:$E,2,FALSE)</f>
        <v>Product_344</v>
      </c>
      <c r="E2230" t="str">
        <f>VLOOKUP(B2230,Products!$A:$E,3,FALSE)</f>
        <v>Accessories</v>
      </c>
    </row>
    <row r="2231" spans="1:5" x14ac:dyDescent="0.3">
      <c r="A2231" t="s">
        <v>3241</v>
      </c>
      <c r="B2231" t="s">
        <v>214</v>
      </c>
      <c r="C2231">
        <v>39</v>
      </c>
      <c r="D2231" t="str">
        <f>VLOOKUP(B2231,Products!$A:$E,2,FALSE)</f>
        <v>Product_103</v>
      </c>
      <c r="E2231" t="str">
        <f>VLOOKUP(B2231,Products!$A:$E,3,FALSE)</f>
        <v>Accessories</v>
      </c>
    </row>
    <row r="2232" spans="1:5" x14ac:dyDescent="0.3">
      <c r="A2232" t="s">
        <v>3242</v>
      </c>
      <c r="B2232" t="s">
        <v>778</v>
      </c>
      <c r="C2232">
        <v>25</v>
      </c>
      <c r="D2232" t="str">
        <f>VLOOKUP(B2232,Products!$A:$E,2,FALSE)</f>
        <v>Product_385</v>
      </c>
      <c r="E2232" t="str">
        <f>VLOOKUP(B2232,Products!$A:$E,3,FALSE)</f>
        <v>Networking</v>
      </c>
    </row>
    <row r="2233" spans="1:5" x14ac:dyDescent="0.3">
      <c r="A2233" t="s">
        <v>3243</v>
      </c>
      <c r="B2233" t="s">
        <v>302</v>
      </c>
      <c r="C2233">
        <v>92</v>
      </c>
      <c r="D2233" t="str">
        <f>VLOOKUP(B2233,Products!$A:$E,2,FALSE)</f>
        <v>Product_147</v>
      </c>
      <c r="E2233" t="str">
        <f>VLOOKUP(B2233,Products!$A:$E,3,FALSE)</f>
        <v>Networking</v>
      </c>
    </row>
    <row r="2234" spans="1:5" x14ac:dyDescent="0.3">
      <c r="A2234" t="s">
        <v>3244</v>
      </c>
      <c r="B2234" t="s">
        <v>266</v>
      </c>
      <c r="C2234">
        <v>23</v>
      </c>
      <c r="D2234" t="str">
        <f>VLOOKUP(B2234,Products!$A:$E,2,FALSE)</f>
        <v>Product_129</v>
      </c>
      <c r="E2234" t="str">
        <f>VLOOKUP(B2234,Products!$A:$E,3,FALSE)</f>
        <v>Electronics</v>
      </c>
    </row>
    <row r="2235" spans="1:5" x14ac:dyDescent="0.3">
      <c r="A2235" t="s">
        <v>3245</v>
      </c>
      <c r="B2235" t="s">
        <v>868</v>
      </c>
      <c r="C2235">
        <v>12</v>
      </c>
      <c r="D2235" t="str">
        <f>VLOOKUP(B2235,Products!$A:$E,2,FALSE)</f>
        <v>Product_430</v>
      </c>
      <c r="E2235" t="str">
        <f>VLOOKUP(B2235,Products!$A:$E,3,FALSE)</f>
        <v>Electronics</v>
      </c>
    </row>
    <row r="2236" spans="1:5" x14ac:dyDescent="0.3">
      <c r="A2236" t="s">
        <v>3246</v>
      </c>
      <c r="B2236" t="s">
        <v>716</v>
      </c>
      <c r="C2236">
        <v>42</v>
      </c>
      <c r="D2236" t="str">
        <f>VLOOKUP(B2236,Products!$A:$E,2,FALSE)</f>
        <v>Product_354</v>
      </c>
      <c r="E2236" t="str">
        <f>VLOOKUP(B2236,Products!$A:$E,3,FALSE)</f>
        <v>Storage</v>
      </c>
    </row>
    <row r="2237" spans="1:5" x14ac:dyDescent="0.3">
      <c r="A2237" t="s">
        <v>3247</v>
      </c>
      <c r="B2237" t="s">
        <v>218</v>
      </c>
      <c r="C2237">
        <v>74</v>
      </c>
      <c r="D2237" t="str">
        <f>VLOOKUP(B2237,Products!$A:$E,2,FALSE)</f>
        <v>Product_105</v>
      </c>
      <c r="E2237" t="str">
        <f>VLOOKUP(B2237,Products!$A:$E,3,FALSE)</f>
        <v>Networking</v>
      </c>
    </row>
    <row r="2238" spans="1:5" x14ac:dyDescent="0.3">
      <c r="A2238" t="s">
        <v>3248</v>
      </c>
      <c r="B2238" t="s">
        <v>42</v>
      </c>
      <c r="C2238">
        <v>50</v>
      </c>
      <c r="D2238" t="str">
        <f>VLOOKUP(B2238,Products!$A:$E,2,FALSE)</f>
        <v>Product_17</v>
      </c>
      <c r="E2238" t="str">
        <f>VLOOKUP(B2238,Products!$A:$E,3,FALSE)</f>
        <v>Office Supplies</v>
      </c>
    </row>
    <row r="2239" spans="1:5" x14ac:dyDescent="0.3">
      <c r="A2239" t="s">
        <v>3249</v>
      </c>
      <c r="B2239" t="s">
        <v>842</v>
      </c>
      <c r="C2239">
        <v>62</v>
      </c>
      <c r="D2239" t="str">
        <f>VLOOKUP(B2239,Products!$A:$E,2,FALSE)</f>
        <v>Product_417</v>
      </c>
      <c r="E2239" t="str">
        <f>VLOOKUP(B2239,Products!$A:$E,3,FALSE)</f>
        <v>Accessories</v>
      </c>
    </row>
    <row r="2240" spans="1:5" x14ac:dyDescent="0.3">
      <c r="A2240" t="s">
        <v>3250</v>
      </c>
      <c r="B2240" t="s">
        <v>114</v>
      </c>
      <c r="C2240">
        <v>83</v>
      </c>
      <c r="D2240" t="str">
        <f>VLOOKUP(B2240,Products!$A:$E,2,FALSE)</f>
        <v>Product_53</v>
      </c>
      <c r="E2240" t="str">
        <f>VLOOKUP(B2240,Products!$A:$E,3,FALSE)</f>
        <v>Electronics</v>
      </c>
    </row>
    <row r="2241" spans="1:5" x14ac:dyDescent="0.3">
      <c r="A2241" t="s">
        <v>3251</v>
      </c>
      <c r="B2241" t="s">
        <v>898</v>
      </c>
      <c r="C2241">
        <v>91</v>
      </c>
      <c r="D2241" t="str">
        <f>VLOOKUP(B2241,Products!$A:$E,2,FALSE)</f>
        <v>Product_445</v>
      </c>
      <c r="E2241" t="str">
        <f>VLOOKUP(B2241,Products!$A:$E,3,FALSE)</f>
        <v>Office Supplies</v>
      </c>
    </row>
    <row r="2242" spans="1:5" x14ac:dyDescent="0.3">
      <c r="A2242" t="s">
        <v>3252</v>
      </c>
      <c r="B2242" t="s">
        <v>766</v>
      </c>
      <c r="C2242">
        <v>76</v>
      </c>
      <c r="D2242" t="str">
        <f>VLOOKUP(B2242,Products!$A:$E,2,FALSE)</f>
        <v>Product_379</v>
      </c>
      <c r="E2242" t="str">
        <f>VLOOKUP(B2242,Products!$A:$E,3,FALSE)</f>
        <v>Office Supplies</v>
      </c>
    </row>
    <row r="2243" spans="1:5" x14ac:dyDescent="0.3">
      <c r="A2243" t="s">
        <v>3253</v>
      </c>
      <c r="B2243" t="s">
        <v>894</v>
      </c>
      <c r="C2243">
        <v>33</v>
      </c>
      <c r="D2243" t="str">
        <f>VLOOKUP(B2243,Products!$A:$E,2,FALSE)</f>
        <v>Product_443</v>
      </c>
      <c r="E2243" t="str">
        <f>VLOOKUP(B2243,Products!$A:$E,3,FALSE)</f>
        <v>Networking</v>
      </c>
    </row>
    <row r="2244" spans="1:5" x14ac:dyDescent="0.3">
      <c r="A2244" t="s">
        <v>3254</v>
      </c>
      <c r="B2244" t="s">
        <v>770</v>
      </c>
      <c r="C2244">
        <v>87</v>
      </c>
      <c r="D2244" t="str">
        <f>VLOOKUP(B2244,Products!$A:$E,2,FALSE)</f>
        <v>Product_381</v>
      </c>
      <c r="E2244" t="str">
        <f>VLOOKUP(B2244,Products!$A:$E,3,FALSE)</f>
        <v>Storage</v>
      </c>
    </row>
    <row r="2245" spans="1:5" x14ac:dyDescent="0.3">
      <c r="A2245" t="s">
        <v>3255</v>
      </c>
      <c r="B2245" t="s">
        <v>584</v>
      </c>
      <c r="C2245">
        <v>54</v>
      </c>
      <c r="D2245" t="str">
        <f>VLOOKUP(B2245,Products!$A:$E,2,FALSE)</f>
        <v>Product_288</v>
      </c>
      <c r="E2245" t="str">
        <f>VLOOKUP(B2245,Products!$A:$E,3,FALSE)</f>
        <v>Networking</v>
      </c>
    </row>
    <row r="2246" spans="1:5" x14ac:dyDescent="0.3">
      <c r="A2246" t="s">
        <v>3256</v>
      </c>
      <c r="B2246" t="s">
        <v>252</v>
      </c>
      <c r="C2246">
        <v>70</v>
      </c>
      <c r="D2246" t="str">
        <f>VLOOKUP(B2246,Products!$A:$E,2,FALSE)</f>
        <v>Product_122</v>
      </c>
      <c r="E2246" t="str">
        <f>VLOOKUP(B2246,Products!$A:$E,3,FALSE)</f>
        <v>Storage</v>
      </c>
    </row>
    <row r="2247" spans="1:5" x14ac:dyDescent="0.3">
      <c r="A2247" t="s">
        <v>3257</v>
      </c>
      <c r="B2247" t="s">
        <v>812</v>
      </c>
      <c r="C2247">
        <v>94</v>
      </c>
      <c r="D2247" t="str">
        <f>VLOOKUP(B2247,Products!$A:$E,2,FALSE)</f>
        <v>Product_402</v>
      </c>
      <c r="E2247" t="str">
        <f>VLOOKUP(B2247,Products!$A:$E,3,FALSE)</f>
        <v>Accessories</v>
      </c>
    </row>
    <row r="2248" spans="1:5" x14ac:dyDescent="0.3">
      <c r="A2248" t="s">
        <v>3258</v>
      </c>
      <c r="B2248" t="s">
        <v>304</v>
      </c>
      <c r="C2248">
        <v>93</v>
      </c>
      <c r="D2248" t="str">
        <f>VLOOKUP(B2248,Products!$A:$E,2,FALSE)</f>
        <v>Product_148</v>
      </c>
      <c r="E2248" t="str">
        <f>VLOOKUP(B2248,Products!$A:$E,3,FALSE)</f>
        <v>Electronics</v>
      </c>
    </row>
    <row r="2249" spans="1:5" x14ac:dyDescent="0.3">
      <c r="A2249" t="s">
        <v>3259</v>
      </c>
      <c r="B2249" t="s">
        <v>690</v>
      </c>
      <c r="C2249">
        <v>11</v>
      </c>
      <c r="D2249" t="str">
        <f>VLOOKUP(B2249,Products!$A:$E,2,FALSE)</f>
        <v>Product_341</v>
      </c>
      <c r="E2249" t="str">
        <f>VLOOKUP(B2249,Products!$A:$E,3,FALSE)</f>
        <v>Storage</v>
      </c>
    </row>
    <row r="2250" spans="1:5" x14ac:dyDescent="0.3">
      <c r="A2250" t="s">
        <v>3260</v>
      </c>
      <c r="B2250" t="s">
        <v>958</v>
      </c>
      <c r="C2250">
        <v>53</v>
      </c>
      <c r="D2250" t="str">
        <f>VLOOKUP(B2250,Products!$A:$E,2,FALSE)</f>
        <v>Product_475</v>
      </c>
      <c r="E2250" t="str">
        <f>VLOOKUP(B2250,Products!$A:$E,3,FALSE)</f>
        <v>Electronics</v>
      </c>
    </row>
    <row r="2251" spans="1:5" x14ac:dyDescent="0.3">
      <c r="A2251" t="s">
        <v>3261</v>
      </c>
      <c r="B2251" t="s">
        <v>406</v>
      </c>
      <c r="C2251">
        <v>58</v>
      </c>
      <c r="D2251" t="str">
        <f>VLOOKUP(B2251,Products!$A:$E,2,FALSE)</f>
        <v>Product_199</v>
      </c>
      <c r="E2251" t="str">
        <f>VLOOKUP(B2251,Products!$A:$E,3,FALSE)</f>
        <v>Storage</v>
      </c>
    </row>
    <row r="2252" spans="1:5" x14ac:dyDescent="0.3">
      <c r="A2252" t="s">
        <v>3262</v>
      </c>
      <c r="B2252" t="s">
        <v>988</v>
      </c>
      <c r="C2252">
        <v>92</v>
      </c>
      <c r="D2252" t="str">
        <f>VLOOKUP(B2252,Products!$A:$E,2,FALSE)</f>
        <v>Product_490</v>
      </c>
      <c r="E2252" t="str">
        <f>VLOOKUP(B2252,Products!$A:$E,3,FALSE)</f>
        <v>Storage</v>
      </c>
    </row>
    <row r="2253" spans="1:5" x14ac:dyDescent="0.3">
      <c r="A2253" t="s">
        <v>3263</v>
      </c>
      <c r="B2253" t="s">
        <v>330</v>
      </c>
      <c r="C2253">
        <v>75</v>
      </c>
      <c r="D2253" t="str">
        <f>VLOOKUP(B2253,Products!$A:$E,2,FALSE)</f>
        <v>Product_161</v>
      </c>
      <c r="E2253" t="str">
        <f>VLOOKUP(B2253,Products!$A:$E,3,FALSE)</f>
        <v>Networking</v>
      </c>
    </row>
    <row r="2254" spans="1:5" x14ac:dyDescent="0.3">
      <c r="A2254" t="s">
        <v>3264</v>
      </c>
      <c r="B2254" t="s">
        <v>64</v>
      </c>
      <c r="C2254">
        <v>6</v>
      </c>
      <c r="D2254" t="str">
        <f>VLOOKUP(B2254,Products!$A:$E,2,FALSE)</f>
        <v>Product_28</v>
      </c>
      <c r="E2254" t="str">
        <f>VLOOKUP(B2254,Products!$A:$E,3,FALSE)</f>
        <v>Office Supplies</v>
      </c>
    </row>
    <row r="2255" spans="1:5" x14ac:dyDescent="0.3">
      <c r="A2255" t="s">
        <v>3265</v>
      </c>
      <c r="B2255" t="s">
        <v>770</v>
      </c>
      <c r="C2255">
        <v>37</v>
      </c>
      <c r="D2255" t="str">
        <f>VLOOKUP(B2255,Products!$A:$E,2,FALSE)</f>
        <v>Product_381</v>
      </c>
      <c r="E2255" t="str">
        <f>VLOOKUP(B2255,Products!$A:$E,3,FALSE)</f>
        <v>Storage</v>
      </c>
    </row>
    <row r="2256" spans="1:5" x14ac:dyDescent="0.3">
      <c r="A2256" t="s">
        <v>3266</v>
      </c>
      <c r="B2256" t="s">
        <v>216</v>
      </c>
      <c r="C2256">
        <v>84</v>
      </c>
      <c r="D2256" t="str">
        <f>VLOOKUP(B2256,Products!$A:$E,2,FALSE)</f>
        <v>Product_104</v>
      </c>
      <c r="E2256" t="str">
        <f>VLOOKUP(B2256,Products!$A:$E,3,FALSE)</f>
        <v>Networking</v>
      </c>
    </row>
    <row r="2257" spans="1:5" x14ac:dyDescent="0.3">
      <c r="A2257" t="s">
        <v>3267</v>
      </c>
      <c r="B2257" t="s">
        <v>898</v>
      </c>
      <c r="C2257">
        <v>61</v>
      </c>
      <c r="D2257" t="str">
        <f>VLOOKUP(B2257,Products!$A:$E,2,FALSE)</f>
        <v>Product_445</v>
      </c>
      <c r="E2257" t="str">
        <f>VLOOKUP(B2257,Products!$A:$E,3,FALSE)</f>
        <v>Office Supplies</v>
      </c>
    </row>
    <row r="2258" spans="1:5" x14ac:dyDescent="0.3">
      <c r="A2258" t="s">
        <v>3268</v>
      </c>
      <c r="B2258" t="s">
        <v>858</v>
      </c>
      <c r="C2258">
        <v>33</v>
      </c>
      <c r="D2258" t="str">
        <f>VLOOKUP(B2258,Products!$A:$E,2,FALSE)</f>
        <v>Product_425</v>
      </c>
      <c r="E2258" t="str">
        <f>VLOOKUP(B2258,Products!$A:$E,3,FALSE)</f>
        <v>Office Supplies</v>
      </c>
    </row>
    <row r="2259" spans="1:5" x14ac:dyDescent="0.3">
      <c r="A2259" t="s">
        <v>3269</v>
      </c>
      <c r="B2259" t="s">
        <v>942</v>
      </c>
      <c r="C2259">
        <v>86</v>
      </c>
      <c r="D2259" t="str">
        <f>VLOOKUP(B2259,Products!$A:$E,2,FALSE)</f>
        <v>Product_467</v>
      </c>
      <c r="E2259" t="str">
        <f>VLOOKUP(B2259,Products!$A:$E,3,FALSE)</f>
        <v>Accessories</v>
      </c>
    </row>
    <row r="2260" spans="1:5" x14ac:dyDescent="0.3">
      <c r="A2260" t="s">
        <v>3270</v>
      </c>
      <c r="B2260" t="s">
        <v>730</v>
      </c>
      <c r="C2260">
        <v>95</v>
      </c>
      <c r="D2260" t="str">
        <f>VLOOKUP(B2260,Products!$A:$E,2,FALSE)</f>
        <v>Product_361</v>
      </c>
      <c r="E2260" t="str">
        <f>VLOOKUP(B2260,Products!$A:$E,3,FALSE)</f>
        <v>Office Supplies</v>
      </c>
    </row>
    <row r="2261" spans="1:5" x14ac:dyDescent="0.3">
      <c r="A2261" t="s">
        <v>3271</v>
      </c>
      <c r="B2261" t="s">
        <v>672</v>
      </c>
      <c r="C2261">
        <v>52</v>
      </c>
      <c r="D2261" t="str">
        <f>VLOOKUP(B2261,Products!$A:$E,2,FALSE)</f>
        <v>Product_332</v>
      </c>
      <c r="E2261" t="str">
        <f>VLOOKUP(B2261,Products!$A:$E,3,FALSE)</f>
        <v>Electronics</v>
      </c>
    </row>
    <row r="2262" spans="1:5" x14ac:dyDescent="0.3">
      <c r="A2262" t="s">
        <v>3272</v>
      </c>
      <c r="B2262" t="s">
        <v>782</v>
      </c>
      <c r="C2262">
        <v>80</v>
      </c>
      <c r="D2262" t="str">
        <f>VLOOKUP(B2262,Products!$A:$E,2,FALSE)</f>
        <v>Product_387</v>
      </c>
      <c r="E2262" t="str">
        <f>VLOOKUP(B2262,Products!$A:$E,3,FALSE)</f>
        <v>Storage</v>
      </c>
    </row>
    <row r="2263" spans="1:5" x14ac:dyDescent="0.3">
      <c r="A2263" t="s">
        <v>3273</v>
      </c>
      <c r="B2263" t="s">
        <v>568</v>
      </c>
      <c r="C2263">
        <v>99</v>
      </c>
      <c r="D2263" t="str">
        <f>VLOOKUP(B2263,Products!$A:$E,2,FALSE)</f>
        <v>Product_280</v>
      </c>
      <c r="E2263" t="str">
        <f>VLOOKUP(B2263,Products!$A:$E,3,FALSE)</f>
        <v>Electronics</v>
      </c>
    </row>
    <row r="2264" spans="1:5" x14ac:dyDescent="0.3">
      <c r="A2264" t="s">
        <v>3274</v>
      </c>
      <c r="B2264" t="s">
        <v>626</v>
      </c>
      <c r="C2264">
        <v>30</v>
      </c>
      <c r="D2264" t="str">
        <f>VLOOKUP(B2264,Products!$A:$E,2,FALSE)</f>
        <v>Product_309</v>
      </c>
      <c r="E2264" t="str">
        <f>VLOOKUP(B2264,Products!$A:$E,3,FALSE)</f>
        <v>Networking</v>
      </c>
    </row>
    <row r="2265" spans="1:5" x14ac:dyDescent="0.3">
      <c r="A2265" t="s">
        <v>3275</v>
      </c>
      <c r="B2265" t="s">
        <v>804</v>
      </c>
      <c r="C2265">
        <v>97</v>
      </c>
      <c r="D2265" t="str">
        <f>VLOOKUP(B2265,Products!$A:$E,2,FALSE)</f>
        <v>Product_398</v>
      </c>
      <c r="E2265" t="str">
        <f>VLOOKUP(B2265,Products!$A:$E,3,FALSE)</f>
        <v>Networking</v>
      </c>
    </row>
    <row r="2266" spans="1:5" x14ac:dyDescent="0.3">
      <c r="A2266" t="s">
        <v>3276</v>
      </c>
      <c r="B2266" t="s">
        <v>996</v>
      </c>
      <c r="C2266">
        <v>29</v>
      </c>
      <c r="D2266" t="str">
        <f>VLOOKUP(B2266,Products!$A:$E,2,FALSE)</f>
        <v>Product_494</v>
      </c>
      <c r="E2266" t="str">
        <f>VLOOKUP(B2266,Products!$A:$E,3,FALSE)</f>
        <v>Office Supplies</v>
      </c>
    </row>
    <row r="2267" spans="1:5" x14ac:dyDescent="0.3">
      <c r="A2267" t="s">
        <v>3277</v>
      </c>
      <c r="B2267" t="s">
        <v>310</v>
      </c>
      <c r="C2267">
        <v>62</v>
      </c>
      <c r="D2267" t="str">
        <f>VLOOKUP(B2267,Products!$A:$E,2,FALSE)</f>
        <v>Product_151</v>
      </c>
      <c r="E2267" t="str">
        <f>VLOOKUP(B2267,Products!$A:$E,3,FALSE)</f>
        <v>Storage</v>
      </c>
    </row>
    <row r="2268" spans="1:5" x14ac:dyDescent="0.3">
      <c r="A2268" t="s">
        <v>3278</v>
      </c>
      <c r="B2268" t="s">
        <v>190</v>
      </c>
      <c r="C2268">
        <v>92</v>
      </c>
      <c r="D2268" t="str">
        <f>VLOOKUP(B2268,Products!$A:$E,2,FALSE)</f>
        <v>Product_91</v>
      </c>
      <c r="E2268" t="str">
        <f>VLOOKUP(B2268,Products!$A:$E,3,FALSE)</f>
        <v>Networking</v>
      </c>
    </row>
    <row r="2269" spans="1:5" x14ac:dyDescent="0.3">
      <c r="A2269" t="s">
        <v>3279</v>
      </c>
      <c r="B2269" t="s">
        <v>86</v>
      </c>
      <c r="C2269">
        <v>28</v>
      </c>
      <c r="D2269" t="str">
        <f>VLOOKUP(B2269,Products!$A:$E,2,FALSE)</f>
        <v>Product_39</v>
      </c>
      <c r="E2269" t="str">
        <f>VLOOKUP(B2269,Products!$A:$E,3,FALSE)</f>
        <v>Networking</v>
      </c>
    </row>
    <row r="2270" spans="1:5" x14ac:dyDescent="0.3">
      <c r="A2270" t="s">
        <v>3280</v>
      </c>
      <c r="B2270" t="s">
        <v>994</v>
      </c>
      <c r="C2270">
        <v>27</v>
      </c>
      <c r="D2270" t="str">
        <f>VLOOKUP(B2270,Products!$A:$E,2,FALSE)</f>
        <v>Product_493</v>
      </c>
      <c r="E2270" t="str">
        <f>VLOOKUP(B2270,Products!$A:$E,3,FALSE)</f>
        <v>Networking</v>
      </c>
    </row>
    <row r="2271" spans="1:5" x14ac:dyDescent="0.3">
      <c r="A2271" t="s">
        <v>3281</v>
      </c>
      <c r="B2271" t="s">
        <v>762</v>
      </c>
      <c r="C2271">
        <v>70</v>
      </c>
      <c r="D2271" t="str">
        <f>VLOOKUP(B2271,Products!$A:$E,2,FALSE)</f>
        <v>Product_377</v>
      </c>
      <c r="E2271" t="str">
        <f>VLOOKUP(B2271,Products!$A:$E,3,FALSE)</f>
        <v>Networking</v>
      </c>
    </row>
    <row r="2272" spans="1:5" x14ac:dyDescent="0.3">
      <c r="A2272" t="s">
        <v>3282</v>
      </c>
      <c r="B2272" t="s">
        <v>132</v>
      </c>
      <c r="C2272">
        <v>53</v>
      </c>
      <c r="D2272" t="str">
        <f>VLOOKUP(B2272,Products!$A:$E,2,FALSE)</f>
        <v>Product_62</v>
      </c>
      <c r="E2272" t="str">
        <f>VLOOKUP(B2272,Products!$A:$E,3,FALSE)</f>
        <v>Accessories</v>
      </c>
    </row>
    <row r="2273" spans="1:5" x14ac:dyDescent="0.3">
      <c r="A2273" t="s">
        <v>3283</v>
      </c>
      <c r="B2273" t="s">
        <v>50</v>
      </c>
      <c r="C2273">
        <v>59</v>
      </c>
      <c r="D2273" t="str">
        <f>VLOOKUP(B2273,Products!$A:$E,2,FALSE)</f>
        <v>Product_21</v>
      </c>
      <c r="E2273" t="str">
        <f>VLOOKUP(B2273,Products!$A:$E,3,FALSE)</f>
        <v>Office Supplies</v>
      </c>
    </row>
    <row r="2274" spans="1:5" x14ac:dyDescent="0.3">
      <c r="A2274" t="s">
        <v>3284</v>
      </c>
      <c r="B2274" t="s">
        <v>294</v>
      </c>
      <c r="C2274">
        <v>76</v>
      </c>
      <c r="D2274" t="str">
        <f>VLOOKUP(B2274,Products!$A:$E,2,FALSE)</f>
        <v>Product_143</v>
      </c>
      <c r="E2274" t="str">
        <f>VLOOKUP(B2274,Products!$A:$E,3,FALSE)</f>
        <v>Office Supplies</v>
      </c>
    </row>
    <row r="2275" spans="1:5" x14ac:dyDescent="0.3">
      <c r="A2275" t="s">
        <v>3285</v>
      </c>
      <c r="B2275" t="s">
        <v>280</v>
      </c>
      <c r="C2275">
        <v>21</v>
      </c>
      <c r="D2275" t="str">
        <f>VLOOKUP(B2275,Products!$A:$E,2,FALSE)</f>
        <v>Product_136</v>
      </c>
      <c r="E2275" t="str">
        <f>VLOOKUP(B2275,Products!$A:$E,3,FALSE)</f>
        <v>Storage</v>
      </c>
    </row>
    <row r="2276" spans="1:5" x14ac:dyDescent="0.3">
      <c r="A2276" t="s">
        <v>3286</v>
      </c>
      <c r="B2276" t="s">
        <v>174</v>
      </c>
      <c r="C2276">
        <v>79</v>
      </c>
      <c r="D2276" t="str">
        <f>VLOOKUP(B2276,Products!$A:$E,2,FALSE)</f>
        <v>Product_83</v>
      </c>
      <c r="E2276" t="str">
        <f>VLOOKUP(B2276,Products!$A:$E,3,FALSE)</f>
        <v>Accessories</v>
      </c>
    </row>
    <row r="2277" spans="1:5" x14ac:dyDescent="0.3">
      <c r="A2277" t="s">
        <v>3287</v>
      </c>
      <c r="B2277" t="s">
        <v>876</v>
      </c>
      <c r="C2277">
        <v>37</v>
      </c>
      <c r="D2277" t="str">
        <f>VLOOKUP(B2277,Products!$A:$E,2,FALSE)</f>
        <v>Product_434</v>
      </c>
      <c r="E2277" t="str">
        <f>VLOOKUP(B2277,Products!$A:$E,3,FALSE)</f>
        <v>Office Supplies</v>
      </c>
    </row>
    <row r="2278" spans="1:5" x14ac:dyDescent="0.3">
      <c r="A2278" t="s">
        <v>3288</v>
      </c>
      <c r="B2278" t="s">
        <v>11</v>
      </c>
      <c r="C2278">
        <v>47</v>
      </c>
      <c r="D2278" t="str">
        <f>VLOOKUP(B2278,Products!$A:$E,2,FALSE)</f>
        <v>Product_3</v>
      </c>
      <c r="E2278" t="str">
        <f>VLOOKUP(B2278,Products!$A:$E,3,FALSE)</f>
        <v>Accessories</v>
      </c>
    </row>
    <row r="2279" spans="1:5" x14ac:dyDescent="0.3">
      <c r="A2279" t="s">
        <v>3289</v>
      </c>
      <c r="B2279" t="s">
        <v>486</v>
      </c>
      <c r="C2279">
        <v>95</v>
      </c>
      <c r="D2279" t="str">
        <f>VLOOKUP(B2279,Products!$A:$E,2,FALSE)</f>
        <v>Product_239</v>
      </c>
      <c r="E2279" t="str">
        <f>VLOOKUP(B2279,Products!$A:$E,3,FALSE)</f>
        <v>Storage</v>
      </c>
    </row>
    <row r="2280" spans="1:5" x14ac:dyDescent="0.3">
      <c r="A2280" t="s">
        <v>3290</v>
      </c>
      <c r="B2280" t="s">
        <v>968</v>
      </c>
      <c r="C2280">
        <v>24</v>
      </c>
      <c r="D2280" t="str">
        <f>VLOOKUP(B2280,Products!$A:$E,2,FALSE)</f>
        <v>Product_480</v>
      </c>
      <c r="E2280" t="str">
        <f>VLOOKUP(B2280,Products!$A:$E,3,FALSE)</f>
        <v>Accessories</v>
      </c>
    </row>
    <row r="2281" spans="1:5" x14ac:dyDescent="0.3">
      <c r="A2281" t="s">
        <v>3291</v>
      </c>
      <c r="B2281" t="s">
        <v>50</v>
      </c>
      <c r="C2281">
        <v>24</v>
      </c>
      <c r="D2281" t="str">
        <f>VLOOKUP(B2281,Products!$A:$E,2,FALSE)</f>
        <v>Product_21</v>
      </c>
      <c r="E2281" t="str">
        <f>VLOOKUP(B2281,Products!$A:$E,3,FALSE)</f>
        <v>Office Supplies</v>
      </c>
    </row>
    <row r="2282" spans="1:5" x14ac:dyDescent="0.3">
      <c r="A2282" t="s">
        <v>3292</v>
      </c>
      <c r="B2282" t="s">
        <v>960</v>
      </c>
      <c r="C2282">
        <v>46</v>
      </c>
      <c r="D2282" t="str">
        <f>VLOOKUP(B2282,Products!$A:$E,2,FALSE)</f>
        <v>Product_476</v>
      </c>
      <c r="E2282" t="str">
        <f>VLOOKUP(B2282,Products!$A:$E,3,FALSE)</f>
        <v>Office Supplies</v>
      </c>
    </row>
    <row r="2283" spans="1:5" x14ac:dyDescent="0.3">
      <c r="A2283" t="s">
        <v>3293</v>
      </c>
      <c r="B2283" t="s">
        <v>620</v>
      </c>
      <c r="C2283">
        <v>11</v>
      </c>
      <c r="D2283" t="str">
        <f>VLOOKUP(B2283,Products!$A:$E,2,FALSE)</f>
        <v>Product_306</v>
      </c>
      <c r="E2283" t="str">
        <f>VLOOKUP(B2283,Products!$A:$E,3,FALSE)</f>
        <v>Accessories</v>
      </c>
    </row>
    <row r="2284" spans="1:5" x14ac:dyDescent="0.3">
      <c r="A2284" t="s">
        <v>3294</v>
      </c>
      <c r="B2284" t="s">
        <v>802</v>
      </c>
      <c r="C2284">
        <v>85</v>
      </c>
      <c r="D2284" t="str">
        <f>VLOOKUP(B2284,Products!$A:$E,2,FALSE)</f>
        <v>Product_397</v>
      </c>
      <c r="E2284" t="str">
        <f>VLOOKUP(B2284,Products!$A:$E,3,FALSE)</f>
        <v>Office Supplies</v>
      </c>
    </row>
    <row r="2285" spans="1:5" x14ac:dyDescent="0.3">
      <c r="A2285" t="s">
        <v>3295</v>
      </c>
      <c r="B2285" t="s">
        <v>640</v>
      </c>
      <c r="C2285">
        <v>89</v>
      </c>
      <c r="D2285" t="str">
        <f>VLOOKUP(B2285,Products!$A:$E,2,FALSE)</f>
        <v>Product_316</v>
      </c>
      <c r="E2285" t="str">
        <f>VLOOKUP(B2285,Products!$A:$E,3,FALSE)</f>
        <v>Networking</v>
      </c>
    </row>
    <row r="2286" spans="1:5" x14ac:dyDescent="0.3">
      <c r="A2286" t="s">
        <v>3296</v>
      </c>
      <c r="B2286" t="s">
        <v>318</v>
      </c>
      <c r="C2286">
        <v>67</v>
      </c>
      <c r="D2286" t="str">
        <f>VLOOKUP(B2286,Products!$A:$E,2,FALSE)</f>
        <v>Product_155</v>
      </c>
      <c r="E2286" t="str">
        <f>VLOOKUP(B2286,Products!$A:$E,3,FALSE)</f>
        <v>Office Supplies</v>
      </c>
    </row>
    <row r="2287" spans="1:5" x14ac:dyDescent="0.3">
      <c r="A2287" t="s">
        <v>3297</v>
      </c>
      <c r="B2287" t="s">
        <v>818</v>
      </c>
      <c r="C2287">
        <v>78</v>
      </c>
      <c r="D2287" t="str">
        <f>VLOOKUP(B2287,Products!$A:$E,2,FALSE)</f>
        <v>Product_405</v>
      </c>
      <c r="E2287" t="str">
        <f>VLOOKUP(B2287,Products!$A:$E,3,FALSE)</f>
        <v>Electronics</v>
      </c>
    </row>
    <row r="2288" spans="1:5" x14ac:dyDescent="0.3">
      <c r="A2288" t="s">
        <v>3298</v>
      </c>
      <c r="B2288" t="s">
        <v>572</v>
      </c>
      <c r="C2288">
        <v>50</v>
      </c>
      <c r="D2288" t="str">
        <f>VLOOKUP(B2288,Products!$A:$E,2,FALSE)</f>
        <v>Product_282</v>
      </c>
      <c r="E2288" t="str">
        <f>VLOOKUP(B2288,Products!$A:$E,3,FALSE)</f>
        <v>Networking</v>
      </c>
    </row>
    <row r="2289" spans="1:5" x14ac:dyDescent="0.3">
      <c r="A2289" t="s">
        <v>3299</v>
      </c>
      <c r="B2289" t="s">
        <v>84</v>
      </c>
      <c r="C2289">
        <v>95</v>
      </c>
      <c r="D2289" t="str">
        <f>VLOOKUP(B2289,Products!$A:$E,2,FALSE)</f>
        <v>Product_38</v>
      </c>
      <c r="E2289" t="str">
        <f>VLOOKUP(B2289,Products!$A:$E,3,FALSE)</f>
        <v>Accessories</v>
      </c>
    </row>
    <row r="2290" spans="1:5" x14ac:dyDescent="0.3">
      <c r="A2290" t="s">
        <v>3300</v>
      </c>
      <c r="B2290" t="s">
        <v>334</v>
      </c>
      <c r="C2290">
        <v>72</v>
      </c>
      <c r="D2290" t="str">
        <f>VLOOKUP(B2290,Products!$A:$E,2,FALSE)</f>
        <v>Product_163</v>
      </c>
      <c r="E2290" t="str">
        <f>VLOOKUP(B2290,Products!$A:$E,3,FALSE)</f>
        <v>Accessories</v>
      </c>
    </row>
    <row r="2291" spans="1:5" x14ac:dyDescent="0.3">
      <c r="A2291" t="s">
        <v>3301</v>
      </c>
      <c r="B2291" t="s">
        <v>234</v>
      </c>
      <c r="C2291">
        <v>28</v>
      </c>
      <c r="D2291" t="str">
        <f>VLOOKUP(B2291,Products!$A:$E,2,FALSE)</f>
        <v>Product_113</v>
      </c>
      <c r="E2291" t="str">
        <f>VLOOKUP(B2291,Products!$A:$E,3,FALSE)</f>
        <v>Electronics</v>
      </c>
    </row>
    <row r="2292" spans="1:5" x14ac:dyDescent="0.3">
      <c r="A2292" t="s">
        <v>3302</v>
      </c>
      <c r="B2292" t="s">
        <v>542</v>
      </c>
      <c r="C2292">
        <v>13</v>
      </c>
      <c r="D2292" t="str">
        <f>VLOOKUP(B2292,Products!$A:$E,2,FALSE)</f>
        <v>Product_267</v>
      </c>
      <c r="E2292" t="str">
        <f>VLOOKUP(B2292,Products!$A:$E,3,FALSE)</f>
        <v>Networking</v>
      </c>
    </row>
    <row r="2293" spans="1:5" x14ac:dyDescent="0.3">
      <c r="A2293" t="s">
        <v>3303</v>
      </c>
      <c r="B2293" t="s">
        <v>814</v>
      </c>
      <c r="C2293">
        <v>69</v>
      </c>
      <c r="D2293" t="str">
        <f>VLOOKUP(B2293,Products!$A:$E,2,FALSE)</f>
        <v>Product_403</v>
      </c>
      <c r="E2293" t="str">
        <f>VLOOKUP(B2293,Products!$A:$E,3,FALSE)</f>
        <v>Networking</v>
      </c>
    </row>
    <row r="2294" spans="1:5" x14ac:dyDescent="0.3">
      <c r="A2294" t="s">
        <v>3304</v>
      </c>
      <c r="B2294" t="s">
        <v>172</v>
      </c>
      <c r="C2294">
        <v>58</v>
      </c>
      <c r="D2294" t="str">
        <f>VLOOKUP(B2294,Products!$A:$E,2,FALSE)</f>
        <v>Product_82</v>
      </c>
      <c r="E2294" t="str">
        <f>VLOOKUP(B2294,Products!$A:$E,3,FALSE)</f>
        <v>Storage</v>
      </c>
    </row>
    <row r="2295" spans="1:5" x14ac:dyDescent="0.3">
      <c r="A2295" t="s">
        <v>3305</v>
      </c>
      <c r="B2295" t="s">
        <v>566</v>
      </c>
      <c r="C2295">
        <v>73</v>
      </c>
      <c r="D2295" t="str">
        <f>VLOOKUP(B2295,Products!$A:$E,2,FALSE)</f>
        <v>Product_279</v>
      </c>
      <c r="E2295" t="str">
        <f>VLOOKUP(B2295,Products!$A:$E,3,FALSE)</f>
        <v>Networking</v>
      </c>
    </row>
    <row r="2296" spans="1:5" x14ac:dyDescent="0.3">
      <c r="A2296" t="s">
        <v>3306</v>
      </c>
      <c r="B2296" t="s">
        <v>422</v>
      </c>
      <c r="C2296">
        <v>16</v>
      </c>
      <c r="D2296" t="str">
        <f>VLOOKUP(B2296,Products!$A:$E,2,FALSE)</f>
        <v>Product_207</v>
      </c>
      <c r="E2296" t="str">
        <f>VLOOKUP(B2296,Products!$A:$E,3,FALSE)</f>
        <v>Accessories</v>
      </c>
    </row>
    <row r="2297" spans="1:5" x14ac:dyDescent="0.3">
      <c r="A2297" t="s">
        <v>3307</v>
      </c>
      <c r="B2297" t="s">
        <v>366</v>
      </c>
      <c r="C2297">
        <v>33</v>
      </c>
      <c r="D2297" t="str">
        <f>VLOOKUP(B2297,Products!$A:$E,2,FALSE)</f>
        <v>Product_179</v>
      </c>
      <c r="E2297" t="str">
        <f>VLOOKUP(B2297,Products!$A:$E,3,FALSE)</f>
        <v>Storage</v>
      </c>
    </row>
    <row r="2298" spans="1:5" x14ac:dyDescent="0.3">
      <c r="A2298" t="s">
        <v>3308</v>
      </c>
      <c r="B2298" t="s">
        <v>914</v>
      </c>
      <c r="C2298">
        <v>32</v>
      </c>
      <c r="D2298" t="str">
        <f>VLOOKUP(B2298,Products!$A:$E,2,FALSE)</f>
        <v>Product_453</v>
      </c>
      <c r="E2298" t="str">
        <f>VLOOKUP(B2298,Products!$A:$E,3,FALSE)</f>
        <v>Office Supplies</v>
      </c>
    </row>
    <row r="2299" spans="1:5" x14ac:dyDescent="0.3">
      <c r="A2299" t="s">
        <v>3309</v>
      </c>
      <c r="B2299" t="s">
        <v>688</v>
      </c>
      <c r="C2299">
        <v>47</v>
      </c>
      <c r="D2299" t="str">
        <f>VLOOKUP(B2299,Products!$A:$E,2,FALSE)</f>
        <v>Product_340</v>
      </c>
      <c r="E2299" t="str">
        <f>VLOOKUP(B2299,Products!$A:$E,3,FALSE)</f>
        <v>Storage</v>
      </c>
    </row>
    <row r="2300" spans="1:5" x14ac:dyDescent="0.3">
      <c r="A2300" t="s">
        <v>3310</v>
      </c>
      <c r="B2300" t="s">
        <v>348</v>
      </c>
      <c r="C2300">
        <v>51</v>
      </c>
      <c r="D2300" t="str">
        <f>VLOOKUP(B2300,Products!$A:$E,2,FALSE)</f>
        <v>Product_170</v>
      </c>
      <c r="E2300" t="str">
        <f>VLOOKUP(B2300,Products!$A:$E,3,FALSE)</f>
        <v>Office Supplies</v>
      </c>
    </row>
    <row r="2301" spans="1:5" x14ac:dyDescent="0.3">
      <c r="A2301" t="s">
        <v>3311</v>
      </c>
      <c r="B2301" t="s">
        <v>310</v>
      </c>
      <c r="C2301">
        <v>32</v>
      </c>
      <c r="D2301" t="str">
        <f>VLOOKUP(B2301,Products!$A:$E,2,FALSE)</f>
        <v>Product_151</v>
      </c>
      <c r="E2301" t="str">
        <f>VLOOKUP(B2301,Products!$A:$E,3,FALSE)</f>
        <v>Storage</v>
      </c>
    </row>
    <row r="2302" spans="1:5" x14ac:dyDescent="0.3">
      <c r="A2302" t="s">
        <v>3312</v>
      </c>
      <c r="B2302" t="s">
        <v>982</v>
      </c>
      <c r="C2302">
        <v>84</v>
      </c>
      <c r="D2302" t="str">
        <f>VLOOKUP(B2302,Products!$A:$E,2,FALSE)</f>
        <v>Product_487</v>
      </c>
      <c r="E2302" t="str">
        <f>VLOOKUP(B2302,Products!$A:$E,3,FALSE)</f>
        <v>Networking</v>
      </c>
    </row>
    <row r="2303" spans="1:5" x14ac:dyDescent="0.3">
      <c r="A2303" t="s">
        <v>3313</v>
      </c>
      <c r="B2303" t="s">
        <v>552</v>
      </c>
      <c r="C2303">
        <v>65</v>
      </c>
      <c r="D2303" t="str">
        <f>VLOOKUP(B2303,Products!$A:$E,2,FALSE)</f>
        <v>Product_272</v>
      </c>
      <c r="E2303" t="str">
        <f>VLOOKUP(B2303,Products!$A:$E,3,FALSE)</f>
        <v>Office Supplies</v>
      </c>
    </row>
    <row r="2304" spans="1:5" x14ac:dyDescent="0.3">
      <c r="A2304" t="s">
        <v>3314</v>
      </c>
      <c r="B2304" t="s">
        <v>584</v>
      </c>
      <c r="C2304">
        <v>88</v>
      </c>
      <c r="D2304" t="str">
        <f>VLOOKUP(B2304,Products!$A:$E,2,FALSE)</f>
        <v>Product_288</v>
      </c>
      <c r="E2304" t="str">
        <f>VLOOKUP(B2304,Products!$A:$E,3,FALSE)</f>
        <v>Networking</v>
      </c>
    </row>
    <row r="2305" spans="1:5" x14ac:dyDescent="0.3">
      <c r="A2305" t="s">
        <v>3315</v>
      </c>
      <c r="B2305" t="s">
        <v>17</v>
      </c>
      <c r="C2305">
        <v>19</v>
      </c>
      <c r="D2305" t="str">
        <f>VLOOKUP(B2305,Products!$A:$E,2,FALSE)</f>
        <v>Product_5</v>
      </c>
      <c r="E2305" t="str">
        <f>VLOOKUP(B2305,Products!$A:$E,3,FALSE)</f>
        <v>Networking</v>
      </c>
    </row>
    <row r="2306" spans="1:5" x14ac:dyDescent="0.3">
      <c r="A2306" t="s">
        <v>3316</v>
      </c>
      <c r="B2306" t="s">
        <v>694</v>
      </c>
      <c r="C2306">
        <v>49</v>
      </c>
      <c r="D2306" t="str">
        <f>VLOOKUP(B2306,Products!$A:$E,2,FALSE)</f>
        <v>Product_343</v>
      </c>
      <c r="E2306" t="str">
        <f>VLOOKUP(B2306,Products!$A:$E,3,FALSE)</f>
        <v>Office Supplies</v>
      </c>
    </row>
    <row r="2307" spans="1:5" x14ac:dyDescent="0.3">
      <c r="A2307" t="s">
        <v>3317</v>
      </c>
      <c r="B2307" t="s">
        <v>466</v>
      </c>
      <c r="C2307">
        <v>35</v>
      </c>
      <c r="D2307" t="str">
        <f>VLOOKUP(B2307,Products!$A:$E,2,FALSE)</f>
        <v>Product_229</v>
      </c>
      <c r="E2307" t="str">
        <f>VLOOKUP(B2307,Products!$A:$E,3,FALSE)</f>
        <v>Accessories</v>
      </c>
    </row>
    <row r="2308" spans="1:5" x14ac:dyDescent="0.3">
      <c r="A2308" t="s">
        <v>3318</v>
      </c>
      <c r="B2308" t="s">
        <v>936</v>
      </c>
      <c r="C2308">
        <v>87</v>
      </c>
      <c r="D2308" t="str">
        <f>VLOOKUP(B2308,Products!$A:$E,2,FALSE)</f>
        <v>Product_464</v>
      </c>
      <c r="E2308" t="str">
        <f>VLOOKUP(B2308,Products!$A:$E,3,FALSE)</f>
        <v>Office Supplies</v>
      </c>
    </row>
    <row r="2309" spans="1:5" x14ac:dyDescent="0.3">
      <c r="A2309" t="s">
        <v>3319</v>
      </c>
      <c r="B2309" t="s">
        <v>638</v>
      </c>
      <c r="C2309">
        <v>84</v>
      </c>
      <c r="D2309" t="str">
        <f>VLOOKUP(B2309,Products!$A:$E,2,FALSE)</f>
        <v>Product_315</v>
      </c>
      <c r="E2309" t="str">
        <f>VLOOKUP(B2309,Products!$A:$E,3,FALSE)</f>
        <v>Accessories</v>
      </c>
    </row>
    <row r="2310" spans="1:5" x14ac:dyDescent="0.3">
      <c r="A2310" t="s">
        <v>3320</v>
      </c>
      <c r="B2310" t="s">
        <v>258</v>
      </c>
      <c r="C2310">
        <v>10</v>
      </c>
      <c r="D2310" t="str">
        <f>VLOOKUP(B2310,Products!$A:$E,2,FALSE)</f>
        <v>Product_125</v>
      </c>
      <c r="E2310" t="str">
        <f>VLOOKUP(B2310,Products!$A:$E,3,FALSE)</f>
        <v>Office Supplies</v>
      </c>
    </row>
    <row r="2311" spans="1:5" x14ac:dyDescent="0.3">
      <c r="A2311" t="s">
        <v>3321</v>
      </c>
      <c r="B2311" t="s">
        <v>708</v>
      </c>
      <c r="C2311">
        <v>46</v>
      </c>
      <c r="D2311" t="str">
        <f>VLOOKUP(B2311,Products!$A:$E,2,FALSE)</f>
        <v>Product_350</v>
      </c>
      <c r="E2311" t="str">
        <f>VLOOKUP(B2311,Products!$A:$E,3,FALSE)</f>
        <v>Networking</v>
      </c>
    </row>
    <row r="2312" spans="1:5" x14ac:dyDescent="0.3">
      <c r="A2312" t="s">
        <v>3322</v>
      </c>
      <c r="B2312" t="s">
        <v>400</v>
      </c>
      <c r="C2312">
        <v>19</v>
      </c>
      <c r="D2312" t="str">
        <f>VLOOKUP(B2312,Products!$A:$E,2,FALSE)</f>
        <v>Product_196</v>
      </c>
      <c r="E2312" t="str">
        <f>VLOOKUP(B2312,Products!$A:$E,3,FALSE)</f>
        <v>Office Supplies</v>
      </c>
    </row>
    <row r="2313" spans="1:5" x14ac:dyDescent="0.3">
      <c r="A2313" t="s">
        <v>3323</v>
      </c>
      <c r="B2313" t="s">
        <v>404</v>
      </c>
      <c r="C2313">
        <v>37</v>
      </c>
      <c r="D2313" t="str">
        <f>VLOOKUP(B2313,Products!$A:$E,2,FALSE)</f>
        <v>Product_198</v>
      </c>
      <c r="E2313" t="str">
        <f>VLOOKUP(B2313,Products!$A:$E,3,FALSE)</f>
        <v>Accessories</v>
      </c>
    </row>
    <row r="2314" spans="1:5" x14ac:dyDescent="0.3">
      <c r="A2314" t="s">
        <v>3324</v>
      </c>
      <c r="B2314" t="s">
        <v>562</v>
      </c>
      <c r="C2314">
        <v>97</v>
      </c>
      <c r="D2314" t="str">
        <f>VLOOKUP(B2314,Products!$A:$E,2,FALSE)</f>
        <v>Product_277</v>
      </c>
      <c r="E2314" t="str">
        <f>VLOOKUP(B2314,Products!$A:$E,3,FALSE)</f>
        <v>Electronics</v>
      </c>
    </row>
    <row r="2315" spans="1:5" x14ac:dyDescent="0.3">
      <c r="A2315" t="s">
        <v>3325</v>
      </c>
      <c r="B2315" t="s">
        <v>298</v>
      </c>
      <c r="C2315">
        <v>8</v>
      </c>
      <c r="D2315" t="str">
        <f>VLOOKUP(B2315,Products!$A:$E,2,FALSE)</f>
        <v>Product_145</v>
      </c>
      <c r="E2315" t="str">
        <f>VLOOKUP(B2315,Products!$A:$E,3,FALSE)</f>
        <v>Office Supplies</v>
      </c>
    </row>
    <row r="2316" spans="1:5" x14ac:dyDescent="0.3">
      <c r="A2316" t="s">
        <v>3326</v>
      </c>
      <c r="B2316" t="s">
        <v>942</v>
      </c>
      <c r="C2316">
        <v>71</v>
      </c>
      <c r="D2316" t="str">
        <f>VLOOKUP(B2316,Products!$A:$E,2,FALSE)</f>
        <v>Product_467</v>
      </c>
      <c r="E2316" t="str">
        <f>VLOOKUP(B2316,Products!$A:$E,3,FALSE)</f>
        <v>Accessories</v>
      </c>
    </row>
    <row r="2317" spans="1:5" x14ac:dyDescent="0.3">
      <c r="A2317" t="s">
        <v>3327</v>
      </c>
      <c r="B2317" t="s">
        <v>850</v>
      </c>
      <c r="C2317">
        <v>52</v>
      </c>
      <c r="D2317" t="str">
        <f>VLOOKUP(B2317,Products!$A:$E,2,FALSE)</f>
        <v>Product_421</v>
      </c>
      <c r="E2317" t="str">
        <f>VLOOKUP(B2317,Products!$A:$E,3,FALSE)</f>
        <v>Accessories</v>
      </c>
    </row>
    <row r="2318" spans="1:5" x14ac:dyDescent="0.3">
      <c r="A2318" t="s">
        <v>3328</v>
      </c>
      <c r="B2318" t="s">
        <v>536</v>
      </c>
      <c r="C2318">
        <v>70</v>
      </c>
      <c r="D2318" t="str">
        <f>VLOOKUP(B2318,Products!$A:$E,2,FALSE)</f>
        <v>Product_264</v>
      </c>
      <c r="E2318" t="str">
        <f>VLOOKUP(B2318,Products!$A:$E,3,FALSE)</f>
        <v>Electronics</v>
      </c>
    </row>
    <row r="2319" spans="1:5" x14ac:dyDescent="0.3">
      <c r="A2319" t="s">
        <v>3329</v>
      </c>
      <c r="B2319" t="s">
        <v>466</v>
      </c>
      <c r="C2319">
        <v>67</v>
      </c>
      <c r="D2319" t="str">
        <f>VLOOKUP(B2319,Products!$A:$E,2,FALSE)</f>
        <v>Product_229</v>
      </c>
      <c r="E2319" t="str">
        <f>VLOOKUP(B2319,Products!$A:$E,3,FALSE)</f>
        <v>Accessories</v>
      </c>
    </row>
    <row r="2320" spans="1:5" x14ac:dyDescent="0.3">
      <c r="A2320" t="s">
        <v>3330</v>
      </c>
      <c r="B2320" t="s">
        <v>54</v>
      </c>
      <c r="C2320">
        <v>42</v>
      </c>
      <c r="D2320" t="str">
        <f>VLOOKUP(B2320,Products!$A:$E,2,FALSE)</f>
        <v>Product_23</v>
      </c>
      <c r="E2320" t="str">
        <f>VLOOKUP(B2320,Products!$A:$E,3,FALSE)</f>
        <v>Accessories</v>
      </c>
    </row>
    <row r="2321" spans="1:5" x14ac:dyDescent="0.3">
      <c r="A2321" t="s">
        <v>3331</v>
      </c>
      <c r="B2321" t="s">
        <v>928</v>
      </c>
      <c r="C2321">
        <v>88</v>
      </c>
      <c r="D2321" t="str">
        <f>VLOOKUP(B2321,Products!$A:$E,2,FALSE)</f>
        <v>Product_460</v>
      </c>
      <c r="E2321" t="str">
        <f>VLOOKUP(B2321,Products!$A:$E,3,FALSE)</f>
        <v>Accessories</v>
      </c>
    </row>
    <row r="2322" spans="1:5" x14ac:dyDescent="0.3">
      <c r="A2322" t="s">
        <v>3332</v>
      </c>
      <c r="B2322" t="s">
        <v>206</v>
      </c>
      <c r="C2322">
        <v>46</v>
      </c>
      <c r="D2322" t="str">
        <f>VLOOKUP(B2322,Products!$A:$E,2,FALSE)</f>
        <v>Product_99</v>
      </c>
      <c r="E2322" t="str">
        <f>VLOOKUP(B2322,Products!$A:$E,3,FALSE)</f>
        <v>Accessories</v>
      </c>
    </row>
    <row r="2323" spans="1:5" x14ac:dyDescent="0.3">
      <c r="A2323" t="s">
        <v>3333</v>
      </c>
      <c r="B2323" t="s">
        <v>536</v>
      </c>
      <c r="C2323">
        <v>15</v>
      </c>
      <c r="D2323" t="str">
        <f>VLOOKUP(B2323,Products!$A:$E,2,FALSE)</f>
        <v>Product_264</v>
      </c>
      <c r="E2323" t="str">
        <f>VLOOKUP(B2323,Products!$A:$E,3,FALSE)</f>
        <v>Electronics</v>
      </c>
    </row>
    <row r="2324" spans="1:5" x14ac:dyDescent="0.3">
      <c r="A2324" t="s">
        <v>3334</v>
      </c>
      <c r="B2324" t="s">
        <v>980</v>
      </c>
      <c r="C2324">
        <v>17</v>
      </c>
      <c r="D2324" t="str">
        <f>VLOOKUP(B2324,Products!$A:$E,2,FALSE)</f>
        <v>Product_486</v>
      </c>
      <c r="E2324" t="str">
        <f>VLOOKUP(B2324,Products!$A:$E,3,FALSE)</f>
        <v>Electronics</v>
      </c>
    </row>
    <row r="2325" spans="1:5" x14ac:dyDescent="0.3">
      <c r="A2325" t="s">
        <v>3335</v>
      </c>
      <c r="B2325" t="s">
        <v>180</v>
      </c>
      <c r="C2325">
        <v>73</v>
      </c>
      <c r="D2325" t="str">
        <f>VLOOKUP(B2325,Products!$A:$E,2,FALSE)</f>
        <v>Product_86</v>
      </c>
      <c r="E2325" t="str">
        <f>VLOOKUP(B2325,Products!$A:$E,3,FALSE)</f>
        <v>Storage</v>
      </c>
    </row>
    <row r="2326" spans="1:5" x14ac:dyDescent="0.3">
      <c r="A2326" t="s">
        <v>3336</v>
      </c>
      <c r="B2326" t="s">
        <v>556</v>
      </c>
      <c r="C2326">
        <v>5</v>
      </c>
      <c r="D2326" t="str">
        <f>VLOOKUP(B2326,Products!$A:$E,2,FALSE)</f>
        <v>Product_274</v>
      </c>
      <c r="E2326" t="str">
        <f>VLOOKUP(B2326,Products!$A:$E,3,FALSE)</f>
        <v>Accessories</v>
      </c>
    </row>
    <row r="2327" spans="1:5" x14ac:dyDescent="0.3">
      <c r="A2327" t="s">
        <v>3337</v>
      </c>
      <c r="B2327" t="s">
        <v>650</v>
      </c>
      <c r="C2327">
        <v>13</v>
      </c>
      <c r="D2327" t="str">
        <f>VLOOKUP(B2327,Products!$A:$E,2,FALSE)</f>
        <v>Product_321</v>
      </c>
      <c r="E2327" t="str">
        <f>VLOOKUP(B2327,Products!$A:$E,3,FALSE)</f>
        <v>Electronics</v>
      </c>
    </row>
    <row r="2328" spans="1:5" x14ac:dyDescent="0.3">
      <c r="A2328" t="s">
        <v>3338</v>
      </c>
      <c r="B2328" t="s">
        <v>224</v>
      </c>
      <c r="C2328">
        <v>90</v>
      </c>
      <c r="D2328" t="str">
        <f>VLOOKUP(B2328,Products!$A:$E,2,FALSE)</f>
        <v>Product_108</v>
      </c>
      <c r="E2328" t="str">
        <f>VLOOKUP(B2328,Products!$A:$E,3,FALSE)</f>
        <v>Networking</v>
      </c>
    </row>
    <row r="2329" spans="1:5" x14ac:dyDescent="0.3">
      <c r="A2329" t="s">
        <v>3339</v>
      </c>
      <c r="B2329" t="s">
        <v>654</v>
      </c>
      <c r="C2329">
        <v>32</v>
      </c>
      <c r="D2329" t="str">
        <f>VLOOKUP(B2329,Products!$A:$E,2,FALSE)</f>
        <v>Product_323</v>
      </c>
      <c r="E2329" t="str">
        <f>VLOOKUP(B2329,Products!$A:$E,3,FALSE)</f>
        <v>Electronics</v>
      </c>
    </row>
    <row r="2330" spans="1:5" x14ac:dyDescent="0.3">
      <c r="A2330" t="s">
        <v>3340</v>
      </c>
      <c r="B2330" t="s">
        <v>894</v>
      </c>
      <c r="C2330">
        <v>92</v>
      </c>
      <c r="D2330" t="str">
        <f>VLOOKUP(B2330,Products!$A:$E,2,FALSE)</f>
        <v>Product_443</v>
      </c>
      <c r="E2330" t="str">
        <f>VLOOKUP(B2330,Products!$A:$E,3,FALSE)</f>
        <v>Networking</v>
      </c>
    </row>
    <row r="2331" spans="1:5" x14ac:dyDescent="0.3">
      <c r="A2331" t="s">
        <v>3341</v>
      </c>
      <c r="B2331" t="s">
        <v>444</v>
      </c>
      <c r="C2331">
        <v>18</v>
      </c>
      <c r="D2331" t="str">
        <f>VLOOKUP(B2331,Products!$A:$E,2,FALSE)</f>
        <v>Product_218</v>
      </c>
      <c r="E2331" t="str">
        <f>VLOOKUP(B2331,Products!$A:$E,3,FALSE)</f>
        <v>Accessories</v>
      </c>
    </row>
    <row r="2332" spans="1:5" x14ac:dyDescent="0.3">
      <c r="A2332" t="s">
        <v>3342</v>
      </c>
      <c r="B2332" t="s">
        <v>220</v>
      </c>
      <c r="C2332">
        <v>73</v>
      </c>
      <c r="D2332" t="str">
        <f>VLOOKUP(B2332,Products!$A:$E,2,FALSE)</f>
        <v>Product_106</v>
      </c>
      <c r="E2332" t="str">
        <f>VLOOKUP(B2332,Products!$A:$E,3,FALSE)</f>
        <v>Networking</v>
      </c>
    </row>
    <row r="2333" spans="1:5" x14ac:dyDescent="0.3">
      <c r="A2333" t="s">
        <v>3343</v>
      </c>
      <c r="B2333" t="s">
        <v>858</v>
      </c>
      <c r="C2333">
        <v>94</v>
      </c>
      <c r="D2333" t="str">
        <f>VLOOKUP(B2333,Products!$A:$E,2,FALSE)</f>
        <v>Product_425</v>
      </c>
      <c r="E2333" t="str">
        <f>VLOOKUP(B2333,Products!$A:$E,3,FALSE)</f>
        <v>Office Supplies</v>
      </c>
    </row>
    <row r="2334" spans="1:5" x14ac:dyDescent="0.3">
      <c r="A2334" t="s">
        <v>3344</v>
      </c>
      <c r="B2334" t="s">
        <v>908</v>
      </c>
      <c r="C2334">
        <v>99</v>
      </c>
      <c r="D2334" t="str">
        <f>VLOOKUP(B2334,Products!$A:$E,2,FALSE)</f>
        <v>Product_450</v>
      </c>
      <c r="E2334" t="str">
        <f>VLOOKUP(B2334,Products!$A:$E,3,FALSE)</f>
        <v>Networking</v>
      </c>
    </row>
    <row r="2335" spans="1:5" x14ac:dyDescent="0.3">
      <c r="A2335" t="s">
        <v>3345</v>
      </c>
      <c r="B2335" t="s">
        <v>802</v>
      </c>
      <c r="C2335">
        <v>60</v>
      </c>
      <c r="D2335" t="str">
        <f>VLOOKUP(B2335,Products!$A:$E,2,FALSE)</f>
        <v>Product_397</v>
      </c>
      <c r="E2335" t="str">
        <f>VLOOKUP(B2335,Products!$A:$E,3,FALSE)</f>
        <v>Office Supplies</v>
      </c>
    </row>
    <row r="2336" spans="1:5" x14ac:dyDescent="0.3">
      <c r="A2336" t="s">
        <v>3346</v>
      </c>
      <c r="B2336" t="s">
        <v>672</v>
      </c>
      <c r="C2336">
        <v>14</v>
      </c>
      <c r="D2336" t="str">
        <f>VLOOKUP(B2336,Products!$A:$E,2,FALSE)</f>
        <v>Product_332</v>
      </c>
      <c r="E2336" t="str">
        <f>VLOOKUP(B2336,Products!$A:$E,3,FALSE)</f>
        <v>Electronics</v>
      </c>
    </row>
    <row r="2337" spans="1:5" x14ac:dyDescent="0.3">
      <c r="A2337" t="s">
        <v>3347</v>
      </c>
      <c r="B2337" t="s">
        <v>774</v>
      </c>
      <c r="C2337">
        <v>92</v>
      </c>
      <c r="D2337" t="str">
        <f>VLOOKUP(B2337,Products!$A:$E,2,FALSE)</f>
        <v>Product_383</v>
      </c>
      <c r="E2337" t="str">
        <f>VLOOKUP(B2337,Products!$A:$E,3,FALSE)</f>
        <v>Electronics</v>
      </c>
    </row>
    <row r="2338" spans="1:5" x14ac:dyDescent="0.3">
      <c r="A2338" t="s">
        <v>3348</v>
      </c>
      <c r="B2338" t="s">
        <v>166</v>
      </c>
      <c r="C2338">
        <v>8</v>
      </c>
      <c r="D2338" t="str">
        <f>VLOOKUP(B2338,Products!$A:$E,2,FALSE)</f>
        <v>Product_79</v>
      </c>
      <c r="E2338" t="str">
        <f>VLOOKUP(B2338,Products!$A:$E,3,FALSE)</f>
        <v>Storage</v>
      </c>
    </row>
    <row r="2339" spans="1:5" x14ac:dyDescent="0.3">
      <c r="A2339" t="s">
        <v>3349</v>
      </c>
      <c r="B2339" t="s">
        <v>480</v>
      </c>
      <c r="C2339">
        <v>96</v>
      </c>
      <c r="D2339" t="str">
        <f>VLOOKUP(B2339,Products!$A:$E,2,FALSE)</f>
        <v>Product_236</v>
      </c>
      <c r="E2339" t="str">
        <f>VLOOKUP(B2339,Products!$A:$E,3,FALSE)</f>
        <v>Networking</v>
      </c>
    </row>
    <row r="2340" spans="1:5" x14ac:dyDescent="0.3">
      <c r="A2340" t="s">
        <v>3350</v>
      </c>
      <c r="B2340" t="s">
        <v>348</v>
      </c>
      <c r="C2340">
        <v>9</v>
      </c>
      <c r="D2340" t="str">
        <f>VLOOKUP(B2340,Products!$A:$E,2,FALSE)</f>
        <v>Product_170</v>
      </c>
      <c r="E2340" t="str">
        <f>VLOOKUP(B2340,Products!$A:$E,3,FALSE)</f>
        <v>Office Supplies</v>
      </c>
    </row>
    <row r="2341" spans="1:5" x14ac:dyDescent="0.3">
      <c r="A2341" t="s">
        <v>3351</v>
      </c>
      <c r="B2341" t="s">
        <v>98</v>
      </c>
      <c r="C2341">
        <v>14</v>
      </c>
      <c r="D2341" t="str">
        <f>VLOOKUP(B2341,Products!$A:$E,2,FALSE)</f>
        <v>Product_45</v>
      </c>
      <c r="E2341" t="str">
        <f>VLOOKUP(B2341,Products!$A:$E,3,FALSE)</f>
        <v>Accessories</v>
      </c>
    </row>
    <row r="2342" spans="1:5" x14ac:dyDescent="0.3">
      <c r="A2342" t="s">
        <v>3352</v>
      </c>
      <c r="B2342" t="s">
        <v>64</v>
      </c>
      <c r="C2342">
        <v>27</v>
      </c>
      <c r="D2342" t="str">
        <f>VLOOKUP(B2342,Products!$A:$E,2,FALSE)</f>
        <v>Product_28</v>
      </c>
      <c r="E2342" t="str">
        <f>VLOOKUP(B2342,Products!$A:$E,3,FALSE)</f>
        <v>Office Supplies</v>
      </c>
    </row>
    <row r="2343" spans="1:5" x14ac:dyDescent="0.3">
      <c r="A2343" t="s">
        <v>3353</v>
      </c>
      <c r="B2343" t="s">
        <v>822</v>
      </c>
      <c r="C2343">
        <v>37</v>
      </c>
      <c r="D2343" t="str">
        <f>VLOOKUP(B2343,Products!$A:$E,2,FALSE)</f>
        <v>Product_407</v>
      </c>
      <c r="E2343" t="str">
        <f>VLOOKUP(B2343,Products!$A:$E,3,FALSE)</f>
        <v>Networking</v>
      </c>
    </row>
    <row r="2344" spans="1:5" x14ac:dyDescent="0.3">
      <c r="A2344" t="s">
        <v>3354</v>
      </c>
      <c r="B2344" t="s">
        <v>580</v>
      </c>
      <c r="C2344">
        <v>14</v>
      </c>
      <c r="D2344" t="str">
        <f>VLOOKUP(B2344,Products!$A:$E,2,FALSE)</f>
        <v>Product_286</v>
      </c>
      <c r="E2344" t="str">
        <f>VLOOKUP(B2344,Products!$A:$E,3,FALSE)</f>
        <v>Storage</v>
      </c>
    </row>
    <row r="2345" spans="1:5" x14ac:dyDescent="0.3">
      <c r="A2345" t="s">
        <v>3355</v>
      </c>
      <c r="B2345" t="s">
        <v>598</v>
      </c>
      <c r="C2345">
        <v>34</v>
      </c>
      <c r="D2345" t="str">
        <f>VLOOKUP(B2345,Products!$A:$E,2,FALSE)</f>
        <v>Product_295</v>
      </c>
      <c r="E2345" t="str">
        <f>VLOOKUP(B2345,Products!$A:$E,3,FALSE)</f>
        <v>Networking</v>
      </c>
    </row>
    <row r="2346" spans="1:5" x14ac:dyDescent="0.3">
      <c r="A2346" t="s">
        <v>3356</v>
      </c>
      <c r="B2346" t="s">
        <v>942</v>
      </c>
      <c r="C2346">
        <v>38</v>
      </c>
      <c r="D2346" t="str">
        <f>VLOOKUP(B2346,Products!$A:$E,2,FALSE)</f>
        <v>Product_467</v>
      </c>
      <c r="E2346" t="str">
        <f>VLOOKUP(B2346,Products!$A:$E,3,FALSE)</f>
        <v>Accessories</v>
      </c>
    </row>
    <row r="2347" spans="1:5" x14ac:dyDescent="0.3">
      <c r="A2347" t="s">
        <v>3357</v>
      </c>
      <c r="B2347" t="s">
        <v>426</v>
      </c>
      <c r="C2347">
        <v>54</v>
      </c>
      <c r="D2347" t="str">
        <f>VLOOKUP(B2347,Products!$A:$E,2,FALSE)</f>
        <v>Product_209</v>
      </c>
      <c r="E2347" t="str">
        <f>VLOOKUP(B2347,Products!$A:$E,3,FALSE)</f>
        <v>Networking</v>
      </c>
    </row>
    <row r="2348" spans="1:5" x14ac:dyDescent="0.3">
      <c r="A2348" t="s">
        <v>3358</v>
      </c>
      <c r="B2348" t="s">
        <v>470</v>
      </c>
      <c r="C2348">
        <v>85</v>
      </c>
      <c r="D2348" t="str">
        <f>VLOOKUP(B2348,Products!$A:$E,2,FALSE)</f>
        <v>Product_231</v>
      </c>
      <c r="E2348" t="str">
        <f>VLOOKUP(B2348,Products!$A:$E,3,FALSE)</f>
        <v>Accessories</v>
      </c>
    </row>
    <row r="2349" spans="1:5" x14ac:dyDescent="0.3">
      <c r="A2349" t="s">
        <v>3359</v>
      </c>
      <c r="B2349" t="s">
        <v>424</v>
      </c>
      <c r="C2349">
        <v>60</v>
      </c>
      <c r="D2349" t="str">
        <f>VLOOKUP(B2349,Products!$A:$E,2,FALSE)</f>
        <v>Product_208</v>
      </c>
      <c r="E2349" t="str">
        <f>VLOOKUP(B2349,Products!$A:$E,3,FALSE)</f>
        <v>Electronics</v>
      </c>
    </row>
    <row r="2350" spans="1:5" x14ac:dyDescent="0.3">
      <c r="A2350" t="s">
        <v>3360</v>
      </c>
      <c r="B2350" t="s">
        <v>332</v>
      </c>
      <c r="C2350">
        <v>7</v>
      </c>
      <c r="D2350" t="str">
        <f>VLOOKUP(B2350,Products!$A:$E,2,FALSE)</f>
        <v>Product_162</v>
      </c>
      <c r="E2350" t="str">
        <f>VLOOKUP(B2350,Products!$A:$E,3,FALSE)</f>
        <v>Accessories</v>
      </c>
    </row>
    <row r="2351" spans="1:5" x14ac:dyDescent="0.3">
      <c r="A2351" t="s">
        <v>3361</v>
      </c>
      <c r="B2351" t="s">
        <v>408</v>
      </c>
      <c r="C2351">
        <v>91</v>
      </c>
      <c r="D2351" t="str">
        <f>VLOOKUP(B2351,Products!$A:$E,2,FALSE)</f>
        <v>Product_200</v>
      </c>
      <c r="E2351" t="str">
        <f>VLOOKUP(B2351,Products!$A:$E,3,FALSE)</f>
        <v>Office Supplies</v>
      </c>
    </row>
    <row r="2352" spans="1:5" x14ac:dyDescent="0.3">
      <c r="A2352" t="s">
        <v>3362</v>
      </c>
      <c r="B2352" t="s">
        <v>130</v>
      </c>
      <c r="C2352">
        <v>73</v>
      </c>
      <c r="D2352" t="str">
        <f>VLOOKUP(B2352,Products!$A:$E,2,FALSE)</f>
        <v>Product_61</v>
      </c>
      <c r="E2352" t="str">
        <f>VLOOKUP(B2352,Products!$A:$E,3,FALSE)</f>
        <v>Storage</v>
      </c>
    </row>
    <row r="2353" spans="1:5" x14ac:dyDescent="0.3">
      <c r="A2353" t="s">
        <v>3363</v>
      </c>
      <c r="B2353" t="s">
        <v>14</v>
      </c>
      <c r="C2353">
        <v>87</v>
      </c>
      <c r="D2353" t="str">
        <f>VLOOKUP(B2353,Products!$A:$E,2,FALSE)</f>
        <v>Product_4</v>
      </c>
      <c r="E2353" t="str">
        <f>VLOOKUP(B2353,Products!$A:$E,3,FALSE)</f>
        <v>Storage</v>
      </c>
    </row>
    <row r="2354" spans="1:5" x14ac:dyDescent="0.3">
      <c r="A2354" t="s">
        <v>3364</v>
      </c>
      <c r="B2354" t="s">
        <v>746</v>
      </c>
      <c r="C2354">
        <v>84</v>
      </c>
      <c r="D2354" t="str">
        <f>VLOOKUP(B2354,Products!$A:$E,2,FALSE)</f>
        <v>Product_369</v>
      </c>
      <c r="E2354" t="str">
        <f>VLOOKUP(B2354,Products!$A:$E,3,FALSE)</f>
        <v>Accessories</v>
      </c>
    </row>
    <row r="2355" spans="1:5" x14ac:dyDescent="0.3">
      <c r="A2355" t="s">
        <v>3365</v>
      </c>
      <c r="B2355" t="s">
        <v>74</v>
      </c>
      <c r="C2355">
        <v>100</v>
      </c>
      <c r="D2355" t="str">
        <f>VLOOKUP(B2355,Products!$A:$E,2,FALSE)</f>
        <v>Product_33</v>
      </c>
      <c r="E2355" t="str">
        <f>VLOOKUP(B2355,Products!$A:$E,3,FALSE)</f>
        <v>Storage</v>
      </c>
    </row>
    <row r="2356" spans="1:5" x14ac:dyDescent="0.3">
      <c r="A2356" t="s">
        <v>3366</v>
      </c>
      <c r="B2356" t="s">
        <v>608</v>
      </c>
      <c r="C2356">
        <v>10</v>
      </c>
      <c r="D2356" t="str">
        <f>VLOOKUP(B2356,Products!$A:$E,2,FALSE)</f>
        <v>Product_300</v>
      </c>
      <c r="E2356" t="str">
        <f>VLOOKUP(B2356,Products!$A:$E,3,FALSE)</f>
        <v>Accessories</v>
      </c>
    </row>
    <row r="2357" spans="1:5" x14ac:dyDescent="0.3">
      <c r="A2357" t="s">
        <v>3367</v>
      </c>
      <c r="B2357" t="s">
        <v>726</v>
      </c>
      <c r="C2357">
        <v>14</v>
      </c>
      <c r="D2357" t="str">
        <f>VLOOKUP(B2357,Products!$A:$E,2,FALSE)</f>
        <v>Product_359</v>
      </c>
      <c r="E2357" t="str">
        <f>VLOOKUP(B2357,Products!$A:$E,3,FALSE)</f>
        <v>Electronics</v>
      </c>
    </row>
    <row r="2358" spans="1:5" x14ac:dyDescent="0.3">
      <c r="A2358" t="s">
        <v>3368</v>
      </c>
      <c r="B2358" t="s">
        <v>376</v>
      </c>
      <c r="C2358">
        <v>69</v>
      </c>
      <c r="D2358" t="str">
        <f>VLOOKUP(B2358,Products!$A:$E,2,FALSE)</f>
        <v>Product_184</v>
      </c>
      <c r="E2358" t="str">
        <f>VLOOKUP(B2358,Products!$A:$E,3,FALSE)</f>
        <v>Electronics</v>
      </c>
    </row>
    <row r="2359" spans="1:5" x14ac:dyDescent="0.3">
      <c r="A2359" t="s">
        <v>3369</v>
      </c>
      <c r="B2359" t="s">
        <v>118</v>
      </c>
      <c r="C2359">
        <v>42</v>
      </c>
      <c r="D2359" t="str">
        <f>VLOOKUP(B2359,Products!$A:$E,2,FALSE)</f>
        <v>Product_55</v>
      </c>
      <c r="E2359" t="str">
        <f>VLOOKUP(B2359,Products!$A:$E,3,FALSE)</f>
        <v>Office Supplies</v>
      </c>
    </row>
    <row r="2360" spans="1:5" x14ac:dyDescent="0.3">
      <c r="A2360" t="s">
        <v>3370</v>
      </c>
      <c r="B2360" t="s">
        <v>814</v>
      </c>
      <c r="C2360">
        <v>92</v>
      </c>
      <c r="D2360" t="str">
        <f>VLOOKUP(B2360,Products!$A:$E,2,FALSE)</f>
        <v>Product_403</v>
      </c>
      <c r="E2360" t="str">
        <f>VLOOKUP(B2360,Products!$A:$E,3,FALSE)</f>
        <v>Networking</v>
      </c>
    </row>
    <row r="2361" spans="1:5" x14ac:dyDescent="0.3">
      <c r="A2361" t="s">
        <v>3371</v>
      </c>
      <c r="B2361" t="s">
        <v>318</v>
      </c>
      <c r="C2361">
        <v>82</v>
      </c>
      <c r="D2361" t="str">
        <f>VLOOKUP(B2361,Products!$A:$E,2,FALSE)</f>
        <v>Product_155</v>
      </c>
      <c r="E2361" t="str">
        <f>VLOOKUP(B2361,Products!$A:$E,3,FALSE)</f>
        <v>Office Supplies</v>
      </c>
    </row>
    <row r="2362" spans="1:5" x14ac:dyDescent="0.3">
      <c r="A2362" t="s">
        <v>3372</v>
      </c>
      <c r="B2362" t="s">
        <v>98</v>
      </c>
      <c r="C2362">
        <v>41</v>
      </c>
      <c r="D2362" t="str">
        <f>VLOOKUP(B2362,Products!$A:$E,2,FALSE)</f>
        <v>Product_45</v>
      </c>
      <c r="E2362" t="str">
        <f>VLOOKUP(B2362,Products!$A:$E,3,FALSE)</f>
        <v>Accessories</v>
      </c>
    </row>
    <row r="2363" spans="1:5" x14ac:dyDescent="0.3">
      <c r="A2363" t="s">
        <v>3373</v>
      </c>
      <c r="B2363" t="s">
        <v>792</v>
      </c>
      <c r="C2363">
        <v>61</v>
      </c>
      <c r="D2363" t="str">
        <f>VLOOKUP(B2363,Products!$A:$E,2,FALSE)</f>
        <v>Product_392</v>
      </c>
      <c r="E2363" t="str">
        <f>VLOOKUP(B2363,Products!$A:$E,3,FALSE)</f>
        <v>Electronics</v>
      </c>
    </row>
    <row r="2364" spans="1:5" x14ac:dyDescent="0.3">
      <c r="A2364" t="s">
        <v>3374</v>
      </c>
      <c r="B2364" t="s">
        <v>400</v>
      </c>
      <c r="C2364">
        <v>55</v>
      </c>
      <c r="D2364" t="str">
        <f>VLOOKUP(B2364,Products!$A:$E,2,FALSE)</f>
        <v>Product_196</v>
      </c>
      <c r="E2364" t="str">
        <f>VLOOKUP(B2364,Products!$A:$E,3,FALSE)</f>
        <v>Office Supplies</v>
      </c>
    </row>
    <row r="2365" spans="1:5" x14ac:dyDescent="0.3">
      <c r="A2365" t="s">
        <v>3375</v>
      </c>
      <c r="B2365" t="s">
        <v>850</v>
      </c>
      <c r="C2365">
        <v>89</v>
      </c>
      <c r="D2365" t="str">
        <f>VLOOKUP(B2365,Products!$A:$E,2,FALSE)</f>
        <v>Product_421</v>
      </c>
      <c r="E2365" t="str">
        <f>VLOOKUP(B2365,Products!$A:$E,3,FALSE)</f>
        <v>Accessories</v>
      </c>
    </row>
    <row r="2366" spans="1:5" x14ac:dyDescent="0.3">
      <c r="A2366" t="s">
        <v>3376</v>
      </c>
      <c r="B2366" t="s">
        <v>40</v>
      </c>
      <c r="C2366">
        <v>65</v>
      </c>
      <c r="D2366" t="str">
        <f>VLOOKUP(B2366,Products!$A:$E,2,FALSE)</f>
        <v>Product_16</v>
      </c>
      <c r="E2366" t="str">
        <f>VLOOKUP(B2366,Products!$A:$E,3,FALSE)</f>
        <v>Office Supplies</v>
      </c>
    </row>
    <row r="2367" spans="1:5" x14ac:dyDescent="0.3">
      <c r="A2367" t="s">
        <v>3377</v>
      </c>
      <c r="B2367" t="s">
        <v>170</v>
      </c>
      <c r="C2367">
        <v>73</v>
      </c>
      <c r="D2367" t="str">
        <f>VLOOKUP(B2367,Products!$A:$E,2,FALSE)</f>
        <v>Product_81</v>
      </c>
      <c r="E2367" t="str">
        <f>VLOOKUP(B2367,Products!$A:$E,3,FALSE)</f>
        <v>Office Supplies</v>
      </c>
    </row>
    <row r="2368" spans="1:5" x14ac:dyDescent="0.3">
      <c r="A2368" t="s">
        <v>3378</v>
      </c>
      <c r="B2368" t="s">
        <v>234</v>
      </c>
      <c r="C2368">
        <v>22</v>
      </c>
      <c r="D2368" t="str">
        <f>VLOOKUP(B2368,Products!$A:$E,2,FALSE)</f>
        <v>Product_113</v>
      </c>
      <c r="E2368" t="str">
        <f>VLOOKUP(B2368,Products!$A:$E,3,FALSE)</f>
        <v>Electronics</v>
      </c>
    </row>
    <row r="2369" spans="1:5" x14ac:dyDescent="0.3">
      <c r="A2369" t="s">
        <v>3379</v>
      </c>
      <c r="B2369" t="s">
        <v>774</v>
      </c>
      <c r="C2369">
        <v>55</v>
      </c>
      <c r="D2369" t="str">
        <f>VLOOKUP(B2369,Products!$A:$E,2,FALSE)</f>
        <v>Product_383</v>
      </c>
      <c r="E2369" t="str">
        <f>VLOOKUP(B2369,Products!$A:$E,3,FALSE)</f>
        <v>Electronics</v>
      </c>
    </row>
    <row r="2370" spans="1:5" x14ac:dyDescent="0.3">
      <c r="A2370" t="s">
        <v>3380</v>
      </c>
      <c r="B2370" t="s">
        <v>824</v>
      </c>
      <c r="C2370">
        <v>74</v>
      </c>
      <c r="D2370" t="str">
        <f>VLOOKUP(B2370,Products!$A:$E,2,FALSE)</f>
        <v>Product_408</v>
      </c>
      <c r="E2370" t="str">
        <f>VLOOKUP(B2370,Products!$A:$E,3,FALSE)</f>
        <v>Storage</v>
      </c>
    </row>
    <row r="2371" spans="1:5" x14ac:dyDescent="0.3">
      <c r="A2371" t="s">
        <v>3381</v>
      </c>
      <c r="B2371" t="s">
        <v>312</v>
      </c>
      <c r="C2371">
        <v>86</v>
      </c>
      <c r="D2371" t="str">
        <f>VLOOKUP(B2371,Products!$A:$E,2,FALSE)</f>
        <v>Product_152</v>
      </c>
      <c r="E2371" t="str">
        <f>VLOOKUP(B2371,Products!$A:$E,3,FALSE)</f>
        <v>Storage</v>
      </c>
    </row>
    <row r="2372" spans="1:5" x14ac:dyDescent="0.3">
      <c r="A2372" t="s">
        <v>3382</v>
      </c>
      <c r="B2372" t="s">
        <v>156</v>
      </c>
      <c r="C2372">
        <v>43</v>
      </c>
      <c r="D2372" t="str">
        <f>VLOOKUP(B2372,Products!$A:$E,2,FALSE)</f>
        <v>Product_74</v>
      </c>
      <c r="E2372" t="str">
        <f>VLOOKUP(B2372,Products!$A:$E,3,FALSE)</f>
        <v>Storage</v>
      </c>
    </row>
    <row r="2373" spans="1:5" x14ac:dyDescent="0.3">
      <c r="A2373" t="s">
        <v>3383</v>
      </c>
      <c r="B2373" t="s">
        <v>702</v>
      </c>
      <c r="C2373">
        <v>98</v>
      </c>
      <c r="D2373" t="str">
        <f>VLOOKUP(B2373,Products!$A:$E,2,FALSE)</f>
        <v>Product_347</v>
      </c>
      <c r="E2373" t="str">
        <f>VLOOKUP(B2373,Products!$A:$E,3,FALSE)</f>
        <v>Storage</v>
      </c>
    </row>
    <row r="2374" spans="1:5" x14ac:dyDescent="0.3">
      <c r="A2374" t="s">
        <v>3384</v>
      </c>
      <c r="B2374" t="s">
        <v>672</v>
      </c>
      <c r="C2374">
        <v>52</v>
      </c>
      <c r="D2374" t="str">
        <f>VLOOKUP(B2374,Products!$A:$E,2,FALSE)</f>
        <v>Product_332</v>
      </c>
      <c r="E2374" t="str">
        <f>VLOOKUP(B2374,Products!$A:$E,3,FALSE)</f>
        <v>Electronics</v>
      </c>
    </row>
    <row r="2375" spans="1:5" x14ac:dyDescent="0.3">
      <c r="A2375" t="s">
        <v>3385</v>
      </c>
      <c r="B2375" t="s">
        <v>990</v>
      </c>
      <c r="C2375">
        <v>6</v>
      </c>
      <c r="D2375" t="str">
        <f>VLOOKUP(B2375,Products!$A:$E,2,FALSE)</f>
        <v>Product_491</v>
      </c>
      <c r="E2375" t="str">
        <f>VLOOKUP(B2375,Products!$A:$E,3,FALSE)</f>
        <v>Accessories</v>
      </c>
    </row>
    <row r="2376" spans="1:5" x14ac:dyDescent="0.3">
      <c r="A2376" t="s">
        <v>3386</v>
      </c>
      <c r="B2376" t="s">
        <v>576</v>
      </c>
      <c r="C2376">
        <v>76</v>
      </c>
      <c r="D2376" t="str">
        <f>VLOOKUP(B2376,Products!$A:$E,2,FALSE)</f>
        <v>Product_284</v>
      </c>
      <c r="E2376" t="str">
        <f>VLOOKUP(B2376,Products!$A:$E,3,FALSE)</f>
        <v>Networking</v>
      </c>
    </row>
    <row r="2377" spans="1:5" x14ac:dyDescent="0.3">
      <c r="A2377" t="s">
        <v>3387</v>
      </c>
      <c r="B2377" t="s">
        <v>154</v>
      </c>
      <c r="C2377">
        <v>20</v>
      </c>
      <c r="D2377" t="str">
        <f>VLOOKUP(B2377,Products!$A:$E,2,FALSE)</f>
        <v>Product_73</v>
      </c>
      <c r="E2377" t="str">
        <f>VLOOKUP(B2377,Products!$A:$E,3,FALSE)</f>
        <v>Office Supplies</v>
      </c>
    </row>
    <row r="2378" spans="1:5" x14ac:dyDescent="0.3">
      <c r="A2378" t="s">
        <v>3388</v>
      </c>
      <c r="B2378" t="s">
        <v>52</v>
      </c>
      <c r="C2378">
        <v>5</v>
      </c>
      <c r="D2378" t="str">
        <f>VLOOKUP(B2378,Products!$A:$E,2,FALSE)</f>
        <v>Product_22</v>
      </c>
      <c r="E2378" t="str">
        <f>VLOOKUP(B2378,Products!$A:$E,3,FALSE)</f>
        <v>Electronics</v>
      </c>
    </row>
    <row r="2379" spans="1:5" x14ac:dyDescent="0.3">
      <c r="A2379" t="s">
        <v>3389</v>
      </c>
      <c r="B2379" t="s">
        <v>596</v>
      </c>
      <c r="C2379">
        <v>81</v>
      </c>
      <c r="D2379" t="str">
        <f>VLOOKUP(B2379,Products!$A:$E,2,FALSE)</f>
        <v>Product_294</v>
      </c>
      <c r="E2379" t="str">
        <f>VLOOKUP(B2379,Products!$A:$E,3,FALSE)</f>
        <v>Networking</v>
      </c>
    </row>
    <row r="2380" spans="1:5" x14ac:dyDescent="0.3">
      <c r="A2380" t="s">
        <v>3390</v>
      </c>
      <c r="B2380" t="s">
        <v>412</v>
      </c>
      <c r="C2380">
        <v>73</v>
      </c>
      <c r="D2380" t="str">
        <f>VLOOKUP(B2380,Products!$A:$E,2,FALSE)</f>
        <v>Product_202</v>
      </c>
      <c r="E2380" t="str">
        <f>VLOOKUP(B2380,Products!$A:$E,3,FALSE)</f>
        <v>Storage</v>
      </c>
    </row>
    <row r="2381" spans="1:5" x14ac:dyDescent="0.3">
      <c r="A2381" t="s">
        <v>3391</v>
      </c>
      <c r="B2381" t="s">
        <v>570</v>
      </c>
      <c r="C2381">
        <v>15</v>
      </c>
      <c r="D2381" t="str">
        <f>VLOOKUP(B2381,Products!$A:$E,2,FALSE)</f>
        <v>Product_281</v>
      </c>
      <c r="E2381" t="str">
        <f>VLOOKUP(B2381,Products!$A:$E,3,FALSE)</f>
        <v>Office Supplies</v>
      </c>
    </row>
    <row r="2382" spans="1:5" x14ac:dyDescent="0.3">
      <c r="A2382" t="s">
        <v>3392</v>
      </c>
      <c r="B2382" t="s">
        <v>322</v>
      </c>
      <c r="C2382">
        <v>31</v>
      </c>
      <c r="D2382" t="str">
        <f>VLOOKUP(B2382,Products!$A:$E,2,FALSE)</f>
        <v>Product_157</v>
      </c>
      <c r="E2382" t="str">
        <f>VLOOKUP(B2382,Products!$A:$E,3,FALSE)</f>
        <v>Electronics</v>
      </c>
    </row>
    <row r="2383" spans="1:5" x14ac:dyDescent="0.3">
      <c r="A2383" t="s">
        <v>3393</v>
      </c>
      <c r="B2383" t="s">
        <v>776</v>
      </c>
      <c r="C2383">
        <v>99</v>
      </c>
      <c r="D2383" t="str">
        <f>VLOOKUP(B2383,Products!$A:$E,2,FALSE)</f>
        <v>Product_384</v>
      </c>
      <c r="E2383" t="str">
        <f>VLOOKUP(B2383,Products!$A:$E,3,FALSE)</f>
        <v>Office Supplies</v>
      </c>
    </row>
    <row r="2384" spans="1:5" x14ac:dyDescent="0.3">
      <c r="A2384" t="s">
        <v>3394</v>
      </c>
      <c r="B2384" t="s">
        <v>934</v>
      </c>
      <c r="C2384">
        <v>97</v>
      </c>
      <c r="D2384" t="str">
        <f>VLOOKUP(B2384,Products!$A:$E,2,FALSE)</f>
        <v>Product_463</v>
      </c>
      <c r="E2384" t="str">
        <f>VLOOKUP(B2384,Products!$A:$E,3,FALSE)</f>
        <v>Networking</v>
      </c>
    </row>
    <row r="2385" spans="1:5" x14ac:dyDescent="0.3">
      <c r="A2385" t="s">
        <v>3395</v>
      </c>
      <c r="B2385" t="s">
        <v>362</v>
      </c>
      <c r="C2385">
        <v>32</v>
      </c>
      <c r="D2385" t="str">
        <f>VLOOKUP(B2385,Products!$A:$E,2,FALSE)</f>
        <v>Product_177</v>
      </c>
      <c r="E2385" t="str">
        <f>VLOOKUP(B2385,Products!$A:$E,3,FALSE)</f>
        <v>Office Supplies</v>
      </c>
    </row>
    <row r="2386" spans="1:5" x14ac:dyDescent="0.3">
      <c r="A2386" t="s">
        <v>3396</v>
      </c>
      <c r="B2386" t="s">
        <v>432</v>
      </c>
      <c r="C2386">
        <v>87</v>
      </c>
      <c r="D2386" t="str">
        <f>VLOOKUP(B2386,Products!$A:$E,2,FALSE)</f>
        <v>Product_212</v>
      </c>
      <c r="E2386" t="str">
        <f>VLOOKUP(B2386,Products!$A:$E,3,FALSE)</f>
        <v>Networking</v>
      </c>
    </row>
    <row r="2387" spans="1:5" x14ac:dyDescent="0.3">
      <c r="A2387" t="s">
        <v>3397</v>
      </c>
      <c r="B2387" t="s">
        <v>880</v>
      </c>
      <c r="C2387">
        <v>70</v>
      </c>
      <c r="D2387" t="str">
        <f>VLOOKUP(B2387,Products!$A:$E,2,FALSE)</f>
        <v>Product_436</v>
      </c>
      <c r="E2387" t="str">
        <f>VLOOKUP(B2387,Products!$A:$E,3,FALSE)</f>
        <v>Networking</v>
      </c>
    </row>
    <row r="2388" spans="1:5" x14ac:dyDescent="0.3">
      <c r="A2388" t="s">
        <v>3398</v>
      </c>
      <c r="B2388" t="s">
        <v>154</v>
      </c>
      <c r="C2388">
        <v>25</v>
      </c>
      <c r="D2388" t="str">
        <f>VLOOKUP(B2388,Products!$A:$E,2,FALSE)</f>
        <v>Product_73</v>
      </c>
      <c r="E2388" t="str">
        <f>VLOOKUP(B2388,Products!$A:$E,3,FALSE)</f>
        <v>Office Supplies</v>
      </c>
    </row>
    <row r="2389" spans="1:5" x14ac:dyDescent="0.3">
      <c r="A2389" t="s">
        <v>3399</v>
      </c>
      <c r="B2389" t="s">
        <v>198</v>
      </c>
      <c r="C2389">
        <v>33</v>
      </c>
      <c r="D2389" t="str">
        <f>VLOOKUP(B2389,Products!$A:$E,2,FALSE)</f>
        <v>Product_95</v>
      </c>
      <c r="E2389" t="str">
        <f>VLOOKUP(B2389,Products!$A:$E,3,FALSE)</f>
        <v>Electronics</v>
      </c>
    </row>
    <row r="2390" spans="1:5" x14ac:dyDescent="0.3">
      <c r="A2390" t="s">
        <v>3400</v>
      </c>
      <c r="B2390" t="s">
        <v>640</v>
      </c>
      <c r="C2390">
        <v>37</v>
      </c>
      <c r="D2390" t="str">
        <f>VLOOKUP(B2390,Products!$A:$E,2,FALSE)</f>
        <v>Product_316</v>
      </c>
      <c r="E2390" t="str">
        <f>VLOOKUP(B2390,Products!$A:$E,3,FALSE)</f>
        <v>Networking</v>
      </c>
    </row>
    <row r="2391" spans="1:5" x14ac:dyDescent="0.3">
      <c r="A2391" t="s">
        <v>3401</v>
      </c>
      <c r="B2391" t="s">
        <v>208</v>
      </c>
      <c r="C2391">
        <v>19</v>
      </c>
      <c r="D2391" t="str">
        <f>VLOOKUP(B2391,Products!$A:$E,2,FALSE)</f>
        <v>Product_100</v>
      </c>
      <c r="E2391" t="str">
        <f>VLOOKUP(B2391,Products!$A:$E,3,FALSE)</f>
        <v>Accessories</v>
      </c>
    </row>
    <row r="2392" spans="1:5" x14ac:dyDescent="0.3">
      <c r="A2392" t="s">
        <v>3402</v>
      </c>
      <c r="B2392" t="s">
        <v>194</v>
      </c>
      <c r="C2392">
        <v>90</v>
      </c>
      <c r="D2392" t="str">
        <f>VLOOKUP(B2392,Products!$A:$E,2,FALSE)</f>
        <v>Product_93</v>
      </c>
      <c r="E2392" t="str">
        <f>VLOOKUP(B2392,Products!$A:$E,3,FALSE)</f>
        <v>Office Supplies</v>
      </c>
    </row>
    <row r="2393" spans="1:5" x14ac:dyDescent="0.3">
      <c r="A2393" t="s">
        <v>3403</v>
      </c>
      <c r="B2393" t="s">
        <v>828</v>
      </c>
      <c r="C2393">
        <v>77</v>
      </c>
      <c r="D2393" t="str">
        <f>VLOOKUP(B2393,Products!$A:$E,2,FALSE)</f>
        <v>Product_410</v>
      </c>
      <c r="E2393" t="str">
        <f>VLOOKUP(B2393,Products!$A:$E,3,FALSE)</f>
        <v>Storage</v>
      </c>
    </row>
    <row r="2394" spans="1:5" x14ac:dyDescent="0.3">
      <c r="A2394" t="s">
        <v>3404</v>
      </c>
      <c r="B2394" t="s">
        <v>882</v>
      </c>
      <c r="C2394">
        <v>11</v>
      </c>
      <c r="D2394" t="str">
        <f>VLOOKUP(B2394,Products!$A:$E,2,FALSE)</f>
        <v>Product_437</v>
      </c>
      <c r="E2394" t="str">
        <f>VLOOKUP(B2394,Products!$A:$E,3,FALSE)</f>
        <v>Accessories</v>
      </c>
    </row>
    <row r="2395" spans="1:5" x14ac:dyDescent="0.3">
      <c r="A2395" t="s">
        <v>3405</v>
      </c>
      <c r="B2395" t="s">
        <v>880</v>
      </c>
      <c r="C2395">
        <v>75</v>
      </c>
      <c r="D2395" t="str">
        <f>VLOOKUP(B2395,Products!$A:$E,2,FALSE)</f>
        <v>Product_436</v>
      </c>
      <c r="E2395" t="str">
        <f>VLOOKUP(B2395,Products!$A:$E,3,FALSE)</f>
        <v>Networking</v>
      </c>
    </row>
    <row r="2396" spans="1:5" x14ac:dyDescent="0.3">
      <c r="A2396" t="s">
        <v>3406</v>
      </c>
      <c r="B2396" t="s">
        <v>482</v>
      </c>
      <c r="C2396">
        <v>87</v>
      </c>
      <c r="D2396" t="str">
        <f>VLOOKUP(B2396,Products!$A:$E,2,FALSE)</f>
        <v>Product_237</v>
      </c>
      <c r="E2396" t="str">
        <f>VLOOKUP(B2396,Products!$A:$E,3,FALSE)</f>
        <v>Networking</v>
      </c>
    </row>
    <row r="2397" spans="1:5" x14ac:dyDescent="0.3">
      <c r="A2397" t="s">
        <v>3407</v>
      </c>
      <c r="B2397" t="s">
        <v>572</v>
      </c>
      <c r="C2397">
        <v>14</v>
      </c>
      <c r="D2397" t="str">
        <f>VLOOKUP(B2397,Products!$A:$E,2,FALSE)</f>
        <v>Product_282</v>
      </c>
      <c r="E2397" t="str">
        <f>VLOOKUP(B2397,Products!$A:$E,3,FALSE)</f>
        <v>Networking</v>
      </c>
    </row>
    <row r="2398" spans="1:5" x14ac:dyDescent="0.3">
      <c r="A2398" t="s">
        <v>3408</v>
      </c>
      <c r="B2398" t="s">
        <v>306</v>
      </c>
      <c r="C2398">
        <v>90</v>
      </c>
      <c r="D2398" t="str">
        <f>VLOOKUP(B2398,Products!$A:$E,2,FALSE)</f>
        <v>Product_149</v>
      </c>
      <c r="E2398" t="str">
        <f>VLOOKUP(B2398,Products!$A:$E,3,FALSE)</f>
        <v>Accessories</v>
      </c>
    </row>
    <row r="2399" spans="1:5" x14ac:dyDescent="0.3">
      <c r="A2399" t="s">
        <v>3409</v>
      </c>
      <c r="B2399" t="s">
        <v>78</v>
      </c>
      <c r="C2399">
        <v>37</v>
      </c>
      <c r="D2399" t="str">
        <f>VLOOKUP(B2399,Products!$A:$E,2,FALSE)</f>
        <v>Product_35</v>
      </c>
      <c r="E2399" t="str">
        <f>VLOOKUP(B2399,Products!$A:$E,3,FALSE)</f>
        <v>Electronics</v>
      </c>
    </row>
    <row r="2400" spans="1:5" x14ac:dyDescent="0.3">
      <c r="A2400" t="s">
        <v>3410</v>
      </c>
      <c r="B2400" t="s">
        <v>110</v>
      </c>
      <c r="C2400">
        <v>30</v>
      </c>
      <c r="D2400" t="str">
        <f>VLOOKUP(B2400,Products!$A:$E,2,FALSE)</f>
        <v>Product_51</v>
      </c>
      <c r="E2400" t="str">
        <f>VLOOKUP(B2400,Products!$A:$E,3,FALSE)</f>
        <v>Storage</v>
      </c>
    </row>
    <row r="2401" spans="1:5" x14ac:dyDescent="0.3">
      <c r="A2401" t="s">
        <v>3411</v>
      </c>
      <c r="B2401" t="s">
        <v>752</v>
      </c>
      <c r="C2401">
        <v>79</v>
      </c>
      <c r="D2401" t="str">
        <f>VLOOKUP(B2401,Products!$A:$E,2,FALSE)</f>
        <v>Product_372</v>
      </c>
      <c r="E2401" t="str">
        <f>VLOOKUP(B2401,Products!$A:$E,3,FALSE)</f>
        <v>Networking</v>
      </c>
    </row>
    <row r="2402" spans="1:5" x14ac:dyDescent="0.3">
      <c r="A2402" t="s">
        <v>3412</v>
      </c>
      <c r="B2402" t="s">
        <v>508</v>
      </c>
      <c r="C2402">
        <v>47</v>
      </c>
      <c r="D2402" t="str">
        <f>VLOOKUP(B2402,Products!$A:$E,2,FALSE)</f>
        <v>Product_250</v>
      </c>
      <c r="E2402" t="str">
        <f>VLOOKUP(B2402,Products!$A:$E,3,FALSE)</f>
        <v>Networking</v>
      </c>
    </row>
    <row r="2403" spans="1:5" x14ac:dyDescent="0.3">
      <c r="A2403" t="s">
        <v>3413</v>
      </c>
      <c r="B2403" t="s">
        <v>374</v>
      </c>
      <c r="C2403">
        <v>21</v>
      </c>
      <c r="D2403" t="str">
        <f>VLOOKUP(B2403,Products!$A:$E,2,FALSE)</f>
        <v>Product_183</v>
      </c>
      <c r="E2403" t="str">
        <f>VLOOKUP(B2403,Products!$A:$E,3,FALSE)</f>
        <v>Electronics</v>
      </c>
    </row>
    <row r="2404" spans="1:5" x14ac:dyDescent="0.3">
      <c r="A2404" t="s">
        <v>3414</v>
      </c>
      <c r="B2404" t="s">
        <v>696</v>
      </c>
      <c r="C2404">
        <v>88</v>
      </c>
      <c r="D2404" t="str">
        <f>VLOOKUP(B2404,Products!$A:$E,2,FALSE)</f>
        <v>Product_344</v>
      </c>
      <c r="E2404" t="str">
        <f>VLOOKUP(B2404,Products!$A:$E,3,FALSE)</f>
        <v>Accessories</v>
      </c>
    </row>
    <row r="2405" spans="1:5" x14ac:dyDescent="0.3">
      <c r="A2405" t="s">
        <v>3415</v>
      </c>
      <c r="B2405" t="s">
        <v>250</v>
      </c>
      <c r="C2405">
        <v>17</v>
      </c>
      <c r="D2405" t="str">
        <f>VLOOKUP(B2405,Products!$A:$E,2,FALSE)</f>
        <v>Product_121</v>
      </c>
      <c r="E2405" t="str">
        <f>VLOOKUP(B2405,Products!$A:$E,3,FALSE)</f>
        <v>Storage</v>
      </c>
    </row>
    <row r="2406" spans="1:5" x14ac:dyDescent="0.3">
      <c r="A2406" t="s">
        <v>3416</v>
      </c>
      <c r="B2406" t="s">
        <v>300</v>
      </c>
      <c r="C2406">
        <v>84</v>
      </c>
      <c r="D2406" t="str">
        <f>VLOOKUP(B2406,Products!$A:$E,2,FALSE)</f>
        <v>Product_146</v>
      </c>
      <c r="E2406" t="str">
        <f>VLOOKUP(B2406,Products!$A:$E,3,FALSE)</f>
        <v>Office Supplies</v>
      </c>
    </row>
    <row r="2407" spans="1:5" x14ac:dyDescent="0.3">
      <c r="A2407" t="s">
        <v>3417</v>
      </c>
      <c r="B2407" t="s">
        <v>80</v>
      </c>
      <c r="C2407">
        <v>29</v>
      </c>
      <c r="D2407" t="str">
        <f>VLOOKUP(B2407,Products!$A:$E,2,FALSE)</f>
        <v>Product_36</v>
      </c>
      <c r="E2407" t="str">
        <f>VLOOKUP(B2407,Products!$A:$E,3,FALSE)</f>
        <v>Office Supplies</v>
      </c>
    </row>
    <row r="2408" spans="1:5" x14ac:dyDescent="0.3">
      <c r="A2408" t="s">
        <v>3418</v>
      </c>
      <c r="B2408" t="s">
        <v>334</v>
      </c>
      <c r="C2408">
        <v>67</v>
      </c>
      <c r="D2408" t="str">
        <f>VLOOKUP(B2408,Products!$A:$E,2,FALSE)</f>
        <v>Product_163</v>
      </c>
      <c r="E2408" t="str">
        <f>VLOOKUP(B2408,Products!$A:$E,3,FALSE)</f>
        <v>Accessories</v>
      </c>
    </row>
    <row r="2409" spans="1:5" x14ac:dyDescent="0.3">
      <c r="A2409" t="s">
        <v>3419</v>
      </c>
      <c r="B2409" t="s">
        <v>470</v>
      </c>
      <c r="C2409">
        <v>47</v>
      </c>
      <c r="D2409" t="str">
        <f>VLOOKUP(B2409,Products!$A:$E,2,FALSE)</f>
        <v>Product_231</v>
      </c>
      <c r="E2409" t="str">
        <f>VLOOKUP(B2409,Products!$A:$E,3,FALSE)</f>
        <v>Accessories</v>
      </c>
    </row>
    <row r="2410" spans="1:5" x14ac:dyDescent="0.3">
      <c r="A2410" t="s">
        <v>3420</v>
      </c>
      <c r="B2410" t="s">
        <v>640</v>
      </c>
      <c r="C2410">
        <v>89</v>
      </c>
      <c r="D2410" t="str">
        <f>VLOOKUP(B2410,Products!$A:$E,2,FALSE)</f>
        <v>Product_316</v>
      </c>
      <c r="E2410" t="str">
        <f>VLOOKUP(B2410,Products!$A:$E,3,FALSE)</f>
        <v>Networking</v>
      </c>
    </row>
    <row r="2411" spans="1:5" x14ac:dyDescent="0.3">
      <c r="A2411" t="s">
        <v>3421</v>
      </c>
      <c r="B2411" t="s">
        <v>322</v>
      </c>
      <c r="C2411">
        <v>93</v>
      </c>
      <c r="D2411" t="str">
        <f>VLOOKUP(B2411,Products!$A:$E,2,FALSE)</f>
        <v>Product_157</v>
      </c>
      <c r="E2411" t="str">
        <f>VLOOKUP(B2411,Products!$A:$E,3,FALSE)</f>
        <v>Electronics</v>
      </c>
    </row>
    <row r="2412" spans="1:5" x14ac:dyDescent="0.3">
      <c r="A2412" t="s">
        <v>3422</v>
      </c>
      <c r="B2412" t="s">
        <v>608</v>
      </c>
      <c r="C2412">
        <v>24</v>
      </c>
      <c r="D2412" t="str">
        <f>VLOOKUP(B2412,Products!$A:$E,2,FALSE)</f>
        <v>Product_300</v>
      </c>
      <c r="E2412" t="str">
        <f>VLOOKUP(B2412,Products!$A:$E,3,FALSE)</f>
        <v>Accessories</v>
      </c>
    </row>
    <row r="2413" spans="1:5" x14ac:dyDescent="0.3">
      <c r="A2413" t="s">
        <v>3423</v>
      </c>
      <c r="B2413" t="s">
        <v>588</v>
      </c>
      <c r="C2413">
        <v>77</v>
      </c>
      <c r="D2413" t="str">
        <f>VLOOKUP(B2413,Products!$A:$E,2,FALSE)</f>
        <v>Product_290</v>
      </c>
      <c r="E2413" t="str">
        <f>VLOOKUP(B2413,Products!$A:$E,3,FALSE)</f>
        <v>Accessories</v>
      </c>
    </row>
    <row r="2414" spans="1:5" x14ac:dyDescent="0.3">
      <c r="A2414" t="s">
        <v>3424</v>
      </c>
      <c r="B2414" t="s">
        <v>382</v>
      </c>
      <c r="C2414">
        <v>45</v>
      </c>
      <c r="D2414" t="str">
        <f>VLOOKUP(B2414,Products!$A:$E,2,FALSE)</f>
        <v>Product_187</v>
      </c>
      <c r="E2414" t="str">
        <f>VLOOKUP(B2414,Products!$A:$E,3,FALSE)</f>
        <v>Electronics</v>
      </c>
    </row>
    <row r="2415" spans="1:5" x14ac:dyDescent="0.3">
      <c r="A2415" t="s">
        <v>3425</v>
      </c>
      <c r="B2415" t="s">
        <v>990</v>
      </c>
      <c r="C2415">
        <v>59</v>
      </c>
      <c r="D2415" t="str">
        <f>VLOOKUP(B2415,Products!$A:$E,2,FALSE)</f>
        <v>Product_491</v>
      </c>
      <c r="E2415" t="str">
        <f>VLOOKUP(B2415,Products!$A:$E,3,FALSE)</f>
        <v>Accessories</v>
      </c>
    </row>
    <row r="2416" spans="1:5" x14ac:dyDescent="0.3">
      <c r="A2416" t="s">
        <v>3426</v>
      </c>
      <c r="B2416" t="s">
        <v>182</v>
      </c>
      <c r="C2416">
        <v>5</v>
      </c>
      <c r="D2416" t="str">
        <f>VLOOKUP(B2416,Products!$A:$E,2,FALSE)</f>
        <v>Product_87</v>
      </c>
      <c r="E2416" t="str">
        <f>VLOOKUP(B2416,Products!$A:$E,3,FALSE)</f>
        <v>Networking</v>
      </c>
    </row>
    <row r="2417" spans="1:5" x14ac:dyDescent="0.3">
      <c r="A2417" t="s">
        <v>3427</v>
      </c>
      <c r="B2417" t="s">
        <v>330</v>
      </c>
      <c r="C2417">
        <v>36</v>
      </c>
      <c r="D2417" t="str">
        <f>VLOOKUP(B2417,Products!$A:$E,2,FALSE)</f>
        <v>Product_161</v>
      </c>
      <c r="E2417" t="str">
        <f>VLOOKUP(B2417,Products!$A:$E,3,FALSE)</f>
        <v>Networking</v>
      </c>
    </row>
    <row r="2418" spans="1:5" x14ac:dyDescent="0.3">
      <c r="A2418" t="s">
        <v>3428</v>
      </c>
      <c r="B2418" t="s">
        <v>814</v>
      </c>
      <c r="C2418">
        <v>33</v>
      </c>
      <c r="D2418" t="str">
        <f>VLOOKUP(B2418,Products!$A:$E,2,FALSE)</f>
        <v>Product_403</v>
      </c>
      <c r="E2418" t="str">
        <f>VLOOKUP(B2418,Products!$A:$E,3,FALSE)</f>
        <v>Networking</v>
      </c>
    </row>
    <row r="2419" spans="1:5" x14ac:dyDescent="0.3">
      <c r="A2419" t="s">
        <v>3429</v>
      </c>
      <c r="B2419" t="s">
        <v>738</v>
      </c>
      <c r="C2419">
        <v>99</v>
      </c>
      <c r="D2419" t="str">
        <f>VLOOKUP(B2419,Products!$A:$E,2,FALSE)</f>
        <v>Product_365</v>
      </c>
      <c r="E2419" t="str">
        <f>VLOOKUP(B2419,Products!$A:$E,3,FALSE)</f>
        <v>Storage</v>
      </c>
    </row>
    <row r="2420" spans="1:5" x14ac:dyDescent="0.3">
      <c r="A2420" t="s">
        <v>3430</v>
      </c>
      <c r="B2420" t="s">
        <v>666</v>
      </c>
      <c r="C2420">
        <v>60</v>
      </c>
      <c r="D2420" t="str">
        <f>VLOOKUP(B2420,Products!$A:$E,2,FALSE)</f>
        <v>Product_329</v>
      </c>
      <c r="E2420" t="str">
        <f>VLOOKUP(B2420,Products!$A:$E,3,FALSE)</f>
        <v>Office Supplies</v>
      </c>
    </row>
    <row r="2421" spans="1:5" x14ac:dyDescent="0.3">
      <c r="A2421" t="s">
        <v>3431</v>
      </c>
      <c r="B2421" t="s">
        <v>292</v>
      </c>
      <c r="C2421">
        <v>51</v>
      </c>
      <c r="D2421" t="str">
        <f>VLOOKUP(B2421,Products!$A:$E,2,FALSE)</f>
        <v>Product_142</v>
      </c>
      <c r="E2421" t="str">
        <f>VLOOKUP(B2421,Products!$A:$E,3,FALSE)</f>
        <v>Storage</v>
      </c>
    </row>
    <row r="2422" spans="1:5" x14ac:dyDescent="0.3">
      <c r="A2422" t="s">
        <v>3432</v>
      </c>
      <c r="B2422" t="s">
        <v>146</v>
      </c>
      <c r="C2422">
        <v>91</v>
      </c>
      <c r="D2422" t="str">
        <f>VLOOKUP(B2422,Products!$A:$E,2,FALSE)</f>
        <v>Product_69</v>
      </c>
      <c r="E2422" t="str">
        <f>VLOOKUP(B2422,Products!$A:$E,3,FALSE)</f>
        <v>Electronics</v>
      </c>
    </row>
    <row r="2423" spans="1:5" x14ac:dyDescent="0.3">
      <c r="A2423" t="s">
        <v>3433</v>
      </c>
      <c r="B2423" t="s">
        <v>760</v>
      </c>
      <c r="C2423">
        <v>47</v>
      </c>
      <c r="D2423" t="str">
        <f>VLOOKUP(B2423,Products!$A:$E,2,FALSE)</f>
        <v>Product_376</v>
      </c>
      <c r="E2423" t="str">
        <f>VLOOKUP(B2423,Products!$A:$E,3,FALSE)</f>
        <v>Networking</v>
      </c>
    </row>
    <row r="2424" spans="1:5" x14ac:dyDescent="0.3">
      <c r="A2424" t="s">
        <v>3434</v>
      </c>
      <c r="B2424" t="s">
        <v>908</v>
      </c>
      <c r="C2424">
        <v>66</v>
      </c>
      <c r="D2424" t="str">
        <f>VLOOKUP(B2424,Products!$A:$E,2,FALSE)</f>
        <v>Product_450</v>
      </c>
      <c r="E2424" t="str">
        <f>VLOOKUP(B2424,Products!$A:$E,3,FALSE)</f>
        <v>Networking</v>
      </c>
    </row>
    <row r="2425" spans="1:5" x14ac:dyDescent="0.3">
      <c r="A2425" t="s">
        <v>3435</v>
      </c>
      <c r="B2425" t="s">
        <v>482</v>
      </c>
      <c r="C2425">
        <v>62</v>
      </c>
      <c r="D2425" t="str">
        <f>VLOOKUP(B2425,Products!$A:$E,2,FALSE)</f>
        <v>Product_237</v>
      </c>
      <c r="E2425" t="str">
        <f>VLOOKUP(B2425,Products!$A:$E,3,FALSE)</f>
        <v>Networking</v>
      </c>
    </row>
    <row r="2426" spans="1:5" x14ac:dyDescent="0.3">
      <c r="A2426" t="s">
        <v>3436</v>
      </c>
      <c r="B2426" t="s">
        <v>376</v>
      </c>
      <c r="C2426">
        <v>44</v>
      </c>
      <c r="D2426" t="str">
        <f>VLOOKUP(B2426,Products!$A:$E,2,FALSE)</f>
        <v>Product_184</v>
      </c>
      <c r="E2426" t="str">
        <f>VLOOKUP(B2426,Products!$A:$E,3,FALSE)</f>
        <v>Electronics</v>
      </c>
    </row>
    <row r="2427" spans="1:5" x14ac:dyDescent="0.3">
      <c r="A2427" t="s">
        <v>3437</v>
      </c>
      <c r="B2427" t="s">
        <v>508</v>
      </c>
      <c r="C2427">
        <v>75</v>
      </c>
      <c r="D2427" t="str">
        <f>VLOOKUP(B2427,Products!$A:$E,2,FALSE)</f>
        <v>Product_250</v>
      </c>
      <c r="E2427" t="str">
        <f>VLOOKUP(B2427,Products!$A:$E,3,FALSE)</f>
        <v>Networking</v>
      </c>
    </row>
    <row r="2428" spans="1:5" x14ac:dyDescent="0.3">
      <c r="A2428" t="s">
        <v>3438</v>
      </c>
      <c r="B2428" t="s">
        <v>120</v>
      </c>
      <c r="C2428">
        <v>27</v>
      </c>
      <c r="D2428" t="str">
        <f>VLOOKUP(B2428,Products!$A:$E,2,FALSE)</f>
        <v>Product_56</v>
      </c>
      <c r="E2428" t="str">
        <f>VLOOKUP(B2428,Products!$A:$E,3,FALSE)</f>
        <v>Networking</v>
      </c>
    </row>
    <row r="2429" spans="1:5" x14ac:dyDescent="0.3">
      <c r="A2429" t="s">
        <v>3439</v>
      </c>
      <c r="B2429" t="s">
        <v>670</v>
      </c>
      <c r="C2429">
        <v>82</v>
      </c>
      <c r="D2429" t="str">
        <f>VLOOKUP(B2429,Products!$A:$E,2,FALSE)</f>
        <v>Product_331</v>
      </c>
      <c r="E2429" t="str">
        <f>VLOOKUP(B2429,Products!$A:$E,3,FALSE)</f>
        <v>Electronics</v>
      </c>
    </row>
    <row r="2430" spans="1:5" x14ac:dyDescent="0.3">
      <c r="A2430" t="s">
        <v>3440</v>
      </c>
      <c r="B2430" t="s">
        <v>92</v>
      </c>
      <c r="C2430">
        <v>40</v>
      </c>
      <c r="D2430" t="str">
        <f>VLOOKUP(B2430,Products!$A:$E,2,FALSE)</f>
        <v>Product_42</v>
      </c>
      <c r="E2430" t="str">
        <f>VLOOKUP(B2430,Products!$A:$E,3,FALSE)</f>
        <v>Storage</v>
      </c>
    </row>
    <row r="2431" spans="1:5" x14ac:dyDescent="0.3">
      <c r="A2431" t="s">
        <v>3441</v>
      </c>
      <c r="B2431" t="s">
        <v>888</v>
      </c>
      <c r="C2431">
        <v>22</v>
      </c>
      <c r="D2431" t="str">
        <f>VLOOKUP(B2431,Products!$A:$E,2,FALSE)</f>
        <v>Product_440</v>
      </c>
      <c r="E2431" t="str">
        <f>VLOOKUP(B2431,Products!$A:$E,3,FALSE)</f>
        <v>Accessories</v>
      </c>
    </row>
    <row r="2432" spans="1:5" x14ac:dyDescent="0.3">
      <c r="A2432" t="s">
        <v>3442</v>
      </c>
      <c r="B2432" t="s">
        <v>922</v>
      </c>
      <c r="C2432">
        <v>73</v>
      </c>
      <c r="D2432" t="str">
        <f>VLOOKUP(B2432,Products!$A:$E,2,FALSE)</f>
        <v>Product_457</v>
      </c>
      <c r="E2432" t="str">
        <f>VLOOKUP(B2432,Products!$A:$E,3,FALSE)</f>
        <v>Networking</v>
      </c>
    </row>
    <row r="2433" spans="1:5" x14ac:dyDescent="0.3">
      <c r="A2433" t="s">
        <v>3443</v>
      </c>
      <c r="B2433" t="s">
        <v>210</v>
      </c>
      <c r="C2433">
        <v>38</v>
      </c>
      <c r="D2433" t="str">
        <f>VLOOKUP(B2433,Products!$A:$E,2,FALSE)</f>
        <v>Product_101</v>
      </c>
      <c r="E2433" t="str">
        <f>VLOOKUP(B2433,Products!$A:$E,3,FALSE)</f>
        <v>Storage</v>
      </c>
    </row>
    <row r="2434" spans="1:5" x14ac:dyDescent="0.3">
      <c r="A2434" t="s">
        <v>3444</v>
      </c>
      <c r="B2434" t="s">
        <v>760</v>
      </c>
      <c r="C2434">
        <v>85</v>
      </c>
      <c r="D2434" t="str">
        <f>VLOOKUP(B2434,Products!$A:$E,2,FALSE)</f>
        <v>Product_376</v>
      </c>
      <c r="E2434" t="str">
        <f>VLOOKUP(B2434,Products!$A:$E,3,FALSE)</f>
        <v>Networking</v>
      </c>
    </row>
    <row r="2435" spans="1:5" x14ac:dyDescent="0.3">
      <c r="A2435" t="s">
        <v>3445</v>
      </c>
      <c r="B2435" t="s">
        <v>88</v>
      </c>
      <c r="C2435">
        <v>98</v>
      </c>
      <c r="D2435" t="str">
        <f>VLOOKUP(B2435,Products!$A:$E,2,FALSE)</f>
        <v>Product_40</v>
      </c>
      <c r="E2435" t="str">
        <f>VLOOKUP(B2435,Products!$A:$E,3,FALSE)</f>
        <v>Accessories</v>
      </c>
    </row>
    <row r="2436" spans="1:5" x14ac:dyDescent="0.3">
      <c r="A2436" t="s">
        <v>3446</v>
      </c>
      <c r="B2436" t="s">
        <v>86</v>
      </c>
      <c r="C2436">
        <v>7</v>
      </c>
      <c r="D2436" t="str">
        <f>VLOOKUP(B2436,Products!$A:$E,2,FALSE)</f>
        <v>Product_39</v>
      </c>
      <c r="E2436" t="str">
        <f>VLOOKUP(B2436,Products!$A:$E,3,FALSE)</f>
        <v>Networking</v>
      </c>
    </row>
    <row r="2437" spans="1:5" x14ac:dyDescent="0.3">
      <c r="A2437" t="s">
        <v>3447</v>
      </c>
      <c r="B2437" t="s">
        <v>878</v>
      </c>
      <c r="C2437">
        <v>69</v>
      </c>
      <c r="D2437" t="str">
        <f>VLOOKUP(B2437,Products!$A:$E,2,FALSE)</f>
        <v>Product_435</v>
      </c>
      <c r="E2437" t="str">
        <f>VLOOKUP(B2437,Products!$A:$E,3,FALSE)</f>
        <v>Accessories</v>
      </c>
    </row>
    <row r="2438" spans="1:5" x14ac:dyDescent="0.3">
      <c r="A2438" t="s">
        <v>3448</v>
      </c>
      <c r="B2438" t="s">
        <v>656</v>
      </c>
      <c r="C2438">
        <v>8</v>
      </c>
      <c r="D2438" t="str">
        <f>VLOOKUP(B2438,Products!$A:$E,2,FALSE)</f>
        <v>Product_324</v>
      </c>
      <c r="E2438" t="str">
        <f>VLOOKUP(B2438,Products!$A:$E,3,FALSE)</f>
        <v>Accessories</v>
      </c>
    </row>
    <row r="2439" spans="1:5" x14ac:dyDescent="0.3">
      <c r="A2439" t="s">
        <v>3449</v>
      </c>
      <c r="B2439" t="s">
        <v>842</v>
      </c>
      <c r="C2439">
        <v>79</v>
      </c>
      <c r="D2439" t="str">
        <f>VLOOKUP(B2439,Products!$A:$E,2,FALSE)</f>
        <v>Product_417</v>
      </c>
      <c r="E2439" t="str">
        <f>VLOOKUP(B2439,Products!$A:$E,3,FALSE)</f>
        <v>Accessories</v>
      </c>
    </row>
    <row r="2440" spans="1:5" x14ac:dyDescent="0.3">
      <c r="A2440" t="s">
        <v>3450</v>
      </c>
      <c r="B2440" t="s">
        <v>602</v>
      </c>
      <c r="C2440">
        <v>56</v>
      </c>
      <c r="D2440" t="str">
        <f>VLOOKUP(B2440,Products!$A:$E,2,FALSE)</f>
        <v>Product_297</v>
      </c>
      <c r="E2440" t="str">
        <f>VLOOKUP(B2440,Products!$A:$E,3,FALSE)</f>
        <v>Storage</v>
      </c>
    </row>
    <row r="2441" spans="1:5" x14ac:dyDescent="0.3">
      <c r="A2441" t="s">
        <v>3451</v>
      </c>
      <c r="B2441" t="s">
        <v>796</v>
      </c>
      <c r="C2441">
        <v>80</v>
      </c>
      <c r="D2441" t="str">
        <f>VLOOKUP(B2441,Products!$A:$E,2,FALSE)</f>
        <v>Product_394</v>
      </c>
      <c r="E2441" t="str">
        <f>VLOOKUP(B2441,Products!$A:$E,3,FALSE)</f>
        <v>Electronics</v>
      </c>
    </row>
    <row r="2442" spans="1:5" x14ac:dyDescent="0.3">
      <c r="A2442" t="s">
        <v>3452</v>
      </c>
      <c r="B2442" t="s">
        <v>226</v>
      </c>
      <c r="C2442">
        <v>9</v>
      </c>
      <c r="D2442" t="str">
        <f>VLOOKUP(B2442,Products!$A:$E,2,FALSE)</f>
        <v>Product_109</v>
      </c>
      <c r="E2442" t="str">
        <f>VLOOKUP(B2442,Products!$A:$E,3,FALSE)</f>
        <v>Storage</v>
      </c>
    </row>
    <row r="2443" spans="1:5" x14ac:dyDescent="0.3">
      <c r="A2443" t="s">
        <v>3453</v>
      </c>
      <c r="B2443" t="s">
        <v>574</v>
      </c>
      <c r="C2443">
        <v>38</v>
      </c>
      <c r="D2443" t="str">
        <f>VLOOKUP(B2443,Products!$A:$E,2,FALSE)</f>
        <v>Product_283</v>
      </c>
      <c r="E2443" t="str">
        <f>VLOOKUP(B2443,Products!$A:$E,3,FALSE)</f>
        <v>Networking</v>
      </c>
    </row>
    <row r="2444" spans="1:5" x14ac:dyDescent="0.3">
      <c r="A2444" t="s">
        <v>3454</v>
      </c>
      <c r="B2444" t="s">
        <v>566</v>
      </c>
      <c r="C2444">
        <v>74</v>
      </c>
      <c r="D2444" t="str">
        <f>VLOOKUP(B2444,Products!$A:$E,2,FALSE)</f>
        <v>Product_279</v>
      </c>
      <c r="E2444" t="str">
        <f>VLOOKUP(B2444,Products!$A:$E,3,FALSE)</f>
        <v>Networking</v>
      </c>
    </row>
    <row r="2445" spans="1:5" x14ac:dyDescent="0.3">
      <c r="A2445" t="s">
        <v>3455</v>
      </c>
      <c r="B2445" t="s">
        <v>492</v>
      </c>
      <c r="C2445">
        <v>88</v>
      </c>
      <c r="D2445" t="str">
        <f>VLOOKUP(B2445,Products!$A:$E,2,FALSE)</f>
        <v>Product_242</v>
      </c>
      <c r="E2445" t="str">
        <f>VLOOKUP(B2445,Products!$A:$E,3,FALSE)</f>
        <v>Networking</v>
      </c>
    </row>
    <row r="2446" spans="1:5" x14ac:dyDescent="0.3">
      <c r="A2446" t="s">
        <v>3456</v>
      </c>
      <c r="B2446" t="s">
        <v>802</v>
      </c>
      <c r="C2446">
        <v>24</v>
      </c>
      <c r="D2446" t="str">
        <f>VLOOKUP(B2446,Products!$A:$E,2,FALSE)</f>
        <v>Product_397</v>
      </c>
      <c r="E2446" t="str">
        <f>VLOOKUP(B2446,Products!$A:$E,3,FALSE)</f>
        <v>Office Supplies</v>
      </c>
    </row>
    <row r="2447" spans="1:5" x14ac:dyDescent="0.3">
      <c r="A2447" t="s">
        <v>3457</v>
      </c>
      <c r="B2447" t="s">
        <v>384</v>
      </c>
      <c r="C2447">
        <v>55</v>
      </c>
      <c r="D2447" t="str">
        <f>VLOOKUP(B2447,Products!$A:$E,2,FALSE)</f>
        <v>Product_188</v>
      </c>
      <c r="E2447" t="str">
        <f>VLOOKUP(B2447,Products!$A:$E,3,FALSE)</f>
        <v>Office Supplies</v>
      </c>
    </row>
    <row r="2448" spans="1:5" x14ac:dyDescent="0.3">
      <c r="A2448" t="s">
        <v>3458</v>
      </c>
      <c r="B2448" t="s">
        <v>238</v>
      </c>
      <c r="C2448">
        <v>80</v>
      </c>
      <c r="D2448" t="str">
        <f>VLOOKUP(B2448,Products!$A:$E,2,FALSE)</f>
        <v>Product_115</v>
      </c>
      <c r="E2448" t="str">
        <f>VLOOKUP(B2448,Products!$A:$E,3,FALSE)</f>
        <v>Networking</v>
      </c>
    </row>
    <row r="2449" spans="1:5" x14ac:dyDescent="0.3">
      <c r="A2449" t="s">
        <v>3459</v>
      </c>
      <c r="B2449" t="s">
        <v>760</v>
      </c>
      <c r="C2449">
        <v>42</v>
      </c>
      <c r="D2449" t="str">
        <f>VLOOKUP(B2449,Products!$A:$E,2,FALSE)</f>
        <v>Product_376</v>
      </c>
      <c r="E2449" t="str">
        <f>VLOOKUP(B2449,Products!$A:$E,3,FALSE)</f>
        <v>Networking</v>
      </c>
    </row>
    <row r="2450" spans="1:5" x14ac:dyDescent="0.3">
      <c r="A2450" t="s">
        <v>3460</v>
      </c>
      <c r="B2450" t="s">
        <v>146</v>
      </c>
      <c r="C2450">
        <v>64</v>
      </c>
      <c r="D2450" t="str">
        <f>VLOOKUP(B2450,Products!$A:$E,2,FALSE)</f>
        <v>Product_69</v>
      </c>
      <c r="E2450" t="str">
        <f>VLOOKUP(B2450,Products!$A:$E,3,FALSE)</f>
        <v>Electronics</v>
      </c>
    </row>
    <row r="2451" spans="1:5" x14ac:dyDescent="0.3">
      <c r="A2451" t="s">
        <v>3461</v>
      </c>
      <c r="B2451" t="s">
        <v>522</v>
      </c>
      <c r="C2451">
        <v>70</v>
      </c>
      <c r="D2451" t="str">
        <f>VLOOKUP(B2451,Products!$A:$E,2,FALSE)</f>
        <v>Product_257</v>
      </c>
      <c r="E2451" t="str">
        <f>VLOOKUP(B2451,Products!$A:$E,3,FALSE)</f>
        <v>Networking</v>
      </c>
    </row>
    <row r="2452" spans="1:5" x14ac:dyDescent="0.3">
      <c r="A2452" t="s">
        <v>3462</v>
      </c>
      <c r="B2452" t="s">
        <v>102</v>
      </c>
      <c r="C2452">
        <v>55</v>
      </c>
      <c r="D2452" t="str">
        <f>VLOOKUP(B2452,Products!$A:$E,2,FALSE)</f>
        <v>Product_47</v>
      </c>
      <c r="E2452" t="str">
        <f>VLOOKUP(B2452,Products!$A:$E,3,FALSE)</f>
        <v>Electronics</v>
      </c>
    </row>
    <row r="2453" spans="1:5" x14ac:dyDescent="0.3">
      <c r="A2453" t="s">
        <v>3463</v>
      </c>
      <c r="B2453" t="s">
        <v>382</v>
      </c>
      <c r="C2453">
        <v>69</v>
      </c>
      <c r="D2453" t="str">
        <f>VLOOKUP(B2453,Products!$A:$E,2,FALSE)</f>
        <v>Product_187</v>
      </c>
      <c r="E2453" t="str">
        <f>VLOOKUP(B2453,Products!$A:$E,3,FALSE)</f>
        <v>Electronics</v>
      </c>
    </row>
    <row r="2454" spans="1:5" x14ac:dyDescent="0.3">
      <c r="A2454" t="s">
        <v>3464</v>
      </c>
      <c r="B2454" t="s">
        <v>20</v>
      </c>
      <c r="C2454">
        <v>89</v>
      </c>
      <c r="D2454" t="str">
        <f>VLOOKUP(B2454,Products!$A:$E,2,FALSE)</f>
        <v>Product_6</v>
      </c>
      <c r="E2454" t="str">
        <f>VLOOKUP(B2454,Products!$A:$E,3,FALSE)</f>
        <v>Electronics</v>
      </c>
    </row>
    <row r="2455" spans="1:5" x14ac:dyDescent="0.3">
      <c r="A2455" t="s">
        <v>3465</v>
      </c>
      <c r="B2455" t="s">
        <v>254</v>
      </c>
      <c r="C2455">
        <v>83</v>
      </c>
      <c r="D2455" t="str">
        <f>VLOOKUP(B2455,Products!$A:$E,2,FALSE)</f>
        <v>Product_123</v>
      </c>
      <c r="E2455" t="str">
        <f>VLOOKUP(B2455,Products!$A:$E,3,FALSE)</f>
        <v>Electronics</v>
      </c>
    </row>
    <row r="2456" spans="1:5" x14ac:dyDescent="0.3">
      <c r="A2456" t="s">
        <v>3466</v>
      </c>
      <c r="B2456" t="s">
        <v>710</v>
      </c>
      <c r="C2456">
        <v>26</v>
      </c>
      <c r="D2456" t="str">
        <f>VLOOKUP(B2456,Products!$A:$E,2,FALSE)</f>
        <v>Product_351</v>
      </c>
      <c r="E2456" t="str">
        <f>VLOOKUP(B2456,Products!$A:$E,3,FALSE)</f>
        <v>Accessories</v>
      </c>
    </row>
    <row r="2457" spans="1:5" x14ac:dyDescent="0.3">
      <c r="A2457" t="s">
        <v>3467</v>
      </c>
      <c r="B2457" t="s">
        <v>784</v>
      </c>
      <c r="C2457">
        <v>70</v>
      </c>
      <c r="D2457" t="str">
        <f>VLOOKUP(B2457,Products!$A:$E,2,FALSE)</f>
        <v>Product_388</v>
      </c>
      <c r="E2457" t="str">
        <f>VLOOKUP(B2457,Products!$A:$E,3,FALSE)</f>
        <v>Office Supplies</v>
      </c>
    </row>
    <row r="2458" spans="1:5" x14ac:dyDescent="0.3">
      <c r="A2458" t="s">
        <v>3468</v>
      </c>
      <c r="B2458" t="s">
        <v>152</v>
      </c>
      <c r="C2458">
        <v>62</v>
      </c>
      <c r="D2458" t="str">
        <f>VLOOKUP(B2458,Products!$A:$E,2,FALSE)</f>
        <v>Product_72</v>
      </c>
      <c r="E2458" t="str">
        <f>VLOOKUP(B2458,Products!$A:$E,3,FALSE)</f>
        <v>Networking</v>
      </c>
    </row>
    <row r="2459" spans="1:5" x14ac:dyDescent="0.3">
      <c r="A2459" t="s">
        <v>3469</v>
      </c>
      <c r="B2459" t="s">
        <v>172</v>
      </c>
      <c r="C2459">
        <v>27</v>
      </c>
      <c r="D2459" t="str">
        <f>VLOOKUP(B2459,Products!$A:$E,2,FALSE)</f>
        <v>Product_82</v>
      </c>
      <c r="E2459" t="str">
        <f>VLOOKUP(B2459,Products!$A:$E,3,FALSE)</f>
        <v>Storage</v>
      </c>
    </row>
    <row r="2460" spans="1:5" x14ac:dyDescent="0.3">
      <c r="A2460" t="s">
        <v>3470</v>
      </c>
      <c r="B2460" t="s">
        <v>588</v>
      </c>
      <c r="C2460">
        <v>77</v>
      </c>
      <c r="D2460" t="str">
        <f>VLOOKUP(B2460,Products!$A:$E,2,FALSE)</f>
        <v>Product_290</v>
      </c>
      <c r="E2460" t="str">
        <f>VLOOKUP(B2460,Products!$A:$E,3,FALSE)</f>
        <v>Accessories</v>
      </c>
    </row>
    <row r="2461" spans="1:5" x14ac:dyDescent="0.3">
      <c r="A2461" t="s">
        <v>3471</v>
      </c>
      <c r="B2461" t="s">
        <v>684</v>
      </c>
      <c r="C2461">
        <v>23</v>
      </c>
      <c r="D2461" t="str">
        <f>VLOOKUP(B2461,Products!$A:$E,2,FALSE)</f>
        <v>Product_338</v>
      </c>
      <c r="E2461" t="str">
        <f>VLOOKUP(B2461,Products!$A:$E,3,FALSE)</f>
        <v>Networking</v>
      </c>
    </row>
    <row r="2462" spans="1:5" x14ac:dyDescent="0.3">
      <c r="A2462" t="s">
        <v>3472</v>
      </c>
      <c r="B2462" t="s">
        <v>762</v>
      </c>
      <c r="C2462">
        <v>98</v>
      </c>
      <c r="D2462" t="str">
        <f>VLOOKUP(B2462,Products!$A:$E,2,FALSE)</f>
        <v>Product_377</v>
      </c>
      <c r="E2462" t="str">
        <f>VLOOKUP(B2462,Products!$A:$E,3,FALSE)</f>
        <v>Networking</v>
      </c>
    </row>
    <row r="2463" spans="1:5" x14ac:dyDescent="0.3">
      <c r="A2463" t="s">
        <v>3473</v>
      </c>
      <c r="B2463" t="s">
        <v>504</v>
      </c>
      <c r="C2463">
        <v>50</v>
      </c>
      <c r="D2463" t="str">
        <f>VLOOKUP(B2463,Products!$A:$E,2,FALSE)</f>
        <v>Product_248</v>
      </c>
      <c r="E2463" t="str">
        <f>VLOOKUP(B2463,Products!$A:$E,3,FALSE)</f>
        <v>Networking</v>
      </c>
    </row>
    <row r="2464" spans="1:5" x14ac:dyDescent="0.3">
      <c r="A2464" t="s">
        <v>3474</v>
      </c>
      <c r="B2464" t="s">
        <v>50</v>
      </c>
      <c r="C2464">
        <v>33</v>
      </c>
      <c r="D2464" t="str">
        <f>VLOOKUP(B2464,Products!$A:$E,2,FALSE)</f>
        <v>Product_21</v>
      </c>
      <c r="E2464" t="str">
        <f>VLOOKUP(B2464,Products!$A:$E,3,FALSE)</f>
        <v>Office Supplies</v>
      </c>
    </row>
    <row r="2465" spans="1:5" x14ac:dyDescent="0.3">
      <c r="A2465" t="s">
        <v>3475</v>
      </c>
      <c r="B2465" t="s">
        <v>788</v>
      </c>
      <c r="C2465">
        <v>67</v>
      </c>
      <c r="D2465" t="str">
        <f>VLOOKUP(B2465,Products!$A:$E,2,FALSE)</f>
        <v>Product_390</v>
      </c>
      <c r="E2465" t="str">
        <f>VLOOKUP(B2465,Products!$A:$E,3,FALSE)</f>
        <v>Storage</v>
      </c>
    </row>
    <row r="2466" spans="1:5" x14ac:dyDescent="0.3">
      <c r="A2466" t="s">
        <v>3476</v>
      </c>
      <c r="B2466" t="s">
        <v>246</v>
      </c>
      <c r="C2466">
        <v>13</v>
      </c>
      <c r="D2466" t="str">
        <f>VLOOKUP(B2466,Products!$A:$E,2,FALSE)</f>
        <v>Product_119</v>
      </c>
      <c r="E2466" t="str">
        <f>VLOOKUP(B2466,Products!$A:$E,3,FALSE)</f>
        <v>Electronics</v>
      </c>
    </row>
    <row r="2467" spans="1:5" x14ac:dyDescent="0.3">
      <c r="A2467" t="s">
        <v>3477</v>
      </c>
      <c r="B2467" t="s">
        <v>280</v>
      </c>
      <c r="C2467">
        <v>52</v>
      </c>
      <c r="D2467" t="str">
        <f>VLOOKUP(B2467,Products!$A:$E,2,FALSE)</f>
        <v>Product_136</v>
      </c>
      <c r="E2467" t="str">
        <f>VLOOKUP(B2467,Products!$A:$E,3,FALSE)</f>
        <v>Storage</v>
      </c>
    </row>
    <row r="2468" spans="1:5" x14ac:dyDescent="0.3">
      <c r="A2468" t="s">
        <v>3478</v>
      </c>
      <c r="B2468" t="s">
        <v>248</v>
      </c>
      <c r="C2468">
        <v>10</v>
      </c>
      <c r="D2468" t="str">
        <f>VLOOKUP(B2468,Products!$A:$E,2,FALSE)</f>
        <v>Product_120</v>
      </c>
      <c r="E2468" t="str">
        <f>VLOOKUP(B2468,Products!$A:$E,3,FALSE)</f>
        <v>Accessories</v>
      </c>
    </row>
    <row r="2469" spans="1:5" x14ac:dyDescent="0.3">
      <c r="A2469" t="s">
        <v>3479</v>
      </c>
      <c r="B2469" t="s">
        <v>694</v>
      </c>
      <c r="C2469">
        <v>31</v>
      </c>
      <c r="D2469" t="str">
        <f>VLOOKUP(B2469,Products!$A:$E,2,FALSE)</f>
        <v>Product_343</v>
      </c>
      <c r="E2469" t="str">
        <f>VLOOKUP(B2469,Products!$A:$E,3,FALSE)</f>
        <v>Office Supplies</v>
      </c>
    </row>
    <row r="2470" spans="1:5" x14ac:dyDescent="0.3">
      <c r="A2470" t="s">
        <v>3480</v>
      </c>
      <c r="B2470" t="s">
        <v>540</v>
      </c>
      <c r="C2470">
        <v>51</v>
      </c>
      <c r="D2470" t="str">
        <f>VLOOKUP(B2470,Products!$A:$E,2,FALSE)</f>
        <v>Product_266</v>
      </c>
      <c r="E2470" t="str">
        <f>VLOOKUP(B2470,Products!$A:$E,3,FALSE)</f>
        <v>Electronics</v>
      </c>
    </row>
    <row r="2471" spans="1:5" x14ac:dyDescent="0.3">
      <c r="A2471" t="s">
        <v>3481</v>
      </c>
      <c r="B2471" t="s">
        <v>406</v>
      </c>
      <c r="C2471">
        <v>65</v>
      </c>
      <c r="D2471" t="str">
        <f>VLOOKUP(B2471,Products!$A:$E,2,FALSE)</f>
        <v>Product_199</v>
      </c>
      <c r="E2471" t="str">
        <f>VLOOKUP(B2471,Products!$A:$E,3,FALSE)</f>
        <v>Storage</v>
      </c>
    </row>
    <row r="2472" spans="1:5" x14ac:dyDescent="0.3">
      <c r="A2472" t="s">
        <v>3482</v>
      </c>
      <c r="B2472" t="s">
        <v>948</v>
      </c>
      <c r="C2472">
        <v>63</v>
      </c>
      <c r="D2472" t="str">
        <f>VLOOKUP(B2472,Products!$A:$E,2,FALSE)</f>
        <v>Product_470</v>
      </c>
      <c r="E2472" t="str">
        <f>VLOOKUP(B2472,Products!$A:$E,3,FALSE)</f>
        <v>Networking</v>
      </c>
    </row>
    <row r="2473" spans="1:5" x14ac:dyDescent="0.3">
      <c r="A2473" t="s">
        <v>3483</v>
      </c>
      <c r="B2473" t="s">
        <v>912</v>
      </c>
      <c r="C2473">
        <v>10</v>
      </c>
      <c r="D2473" t="str">
        <f>VLOOKUP(B2473,Products!$A:$E,2,FALSE)</f>
        <v>Product_452</v>
      </c>
      <c r="E2473" t="str">
        <f>VLOOKUP(B2473,Products!$A:$E,3,FALSE)</f>
        <v>Office Supplies</v>
      </c>
    </row>
    <row r="2474" spans="1:5" x14ac:dyDescent="0.3">
      <c r="A2474" t="s">
        <v>3484</v>
      </c>
      <c r="B2474" t="s">
        <v>50</v>
      </c>
      <c r="C2474">
        <v>88</v>
      </c>
      <c r="D2474" t="str">
        <f>VLOOKUP(B2474,Products!$A:$E,2,FALSE)</f>
        <v>Product_21</v>
      </c>
      <c r="E2474" t="str">
        <f>VLOOKUP(B2474,Products!$A:$E,3,FALSE)</f>
        <v>Office Supplies</v>
      </c>
    </row>
    <row r="2475" spans="1:5" x14ac:dyDescent="0.3">
      <c r="A2475" t="s">
        <v>3485</v>
      </c>
      <c r="B2475" t="s">
        <v>340</v>
      </c>
      <c r="C2475">
        <v>18</v>
      </c>
      <c r="D2475" t="str">
        <f>VLOOKUP(B2475,Products!$A:$E,2,FALSE)</f>
        <v>Product_166</v>
      </c>
      <c r="E2475" t="str">
        <f>VLOOKUP(B2475,Products!$A:$E,3,FALSE)</f>
        <v>Accessories</v>
      </c>
    </row>
    <row r="2476" spans="1:5" x14ac:dyDescent="0.3">
      <c r="A2476" t="s">
        <v>3486</v>
      </c>
      <c r="B2476" t="s">
        <v>730</v>
      </c>
      <c r="C2476">
        <v>71</v>
      </c>
      <c r="D2476" t="str">
        <f>VLOOKUP(B2476,Products!$A:$E,2,FALSE)</f>
        <v>Product_361</v>
      </c>
      <c r="E2476" t="str">
        <f>VLOOKUP(B2476,Products!$A:$E,3,FALSE)</f>
        <v>Office Supplies</v>
      </c>
    </row>
    <row r="2477" spans="1:5" x14ac:dyDescent="0.3">
      <c r="A2477" t="s">
        <v>3487</v>
      </c>
      <c r="B2477" t="s">
        <v>658</v>
      </c>
      <c r="C2477">
        <v>40</v>
      </c>
      <c r="D2477" t="str">
        <f>VLOOKUP(B2477,Products!$A:$E,2,FALSE)</f>
        <v>Product_325</v>
      </c>
      <c r="E2477" t="str">
        <f>VLOOKUP(B2477,Products!$A:$E,3,FALSE)</f>
        <v>Networking</v>
      </c>
    </row>
    <row r="2478" spans="1:5" x14ac:dyDescent="0.3">
      <c r="A2478" t="s">
        <v>3488</v>
      </c>
      <c r="B2478" t="s">
        <v>864</v>
      </c>
      <c r="C2478">
        <v>99</v>
      </c>
      <c r="D2478" t="str">
        <f>VLOOKUP(B2478,Products!$A:$E,2,FALSE)</f>
        <v>Product_428</v>
      </c>
      <c r="E2478" t="str">
        <f>VLOOKUP(B2478,Products!$A:$E,3,FALSE)</f>
        <v>Storage</v>
      </c>
    </row>
    <row r="2479" spans="1:5" x14ac:dyDescent="0.3">
      <c r="A2479" t="s">
        <v>3489</v>
      </c>
      <c r="B2479" t="s">
        <v>278</v>
      </c>
      <c r="C2479">
        <v>79</v>
      </c>
      <c r="D2479" t="str">
        <f>VLOOKUP(B2479,Products!$A:$E,2,FALSE)</f>
        <v>Product_135</v>
      </c>
      <c r="E2479" t="str">
        <f>VLOOKUP(B2479,Products!$A:$E,3,FALSE)</f>
        <v>Accessories</v>
      </c>
    </row>
    <row r="2480" spans="1:5" x14ac:dyDescent="0.3">
      <c r="A2480" t="s">
        <v>3490</v>
      </c>
      <c r="B2480" t="s">
        <v>566</v>
      </c>
      <c r="C2480">
        <v>77</v>
      </c>
      <c r="D2480" t="str">
        <f>VLOOKUP(B2480,Products!$A:$E,2,FALSE)</f>
        <v>Product_279</v>
      </c>
      <c r="E2480" t="str">
        <f>VLOOKUP(B2480,Products!$A:$E,3,FALSE)</f>
        <v>Networking</v>
      </c>
    </row>
    <row r="2481" spans="1:5" x14ac:dyDescent="0.3">
      <c r="A2481" t="s">
        <v>3491</v>
      </c>
      <c r="B2481" t="s">
        <v>188</v>
      </c>
      <c r="C2481">
        <v>53</v>
      </c>
      <c r="D2481" t="str">
        <f>VLOOKUP(B2481,Products!$A:$E,2,FALSE)</f>
        <v>Product_90</v>
      </c>
      <c r="E2481" t="str">
        <f>VLOOKUP(B2481,Products!$A:$E,3,FALSE)</f>
        <v>Accessories</v>
      </c>
    </row>
    <row r="2482" spans="1:5" x14ac:dyDescent="0.3">
      <c r="A2482" t="s">
        <v>3492</v>
      </c>
      <c r="B2482" t="s">
        <v>678</v>
      </c>
      <c r="C2482">
        <v>53</v>
      </c>
      <c r="D2482" t="str">
        <f>VLOOKUP(B2482,Products!$A:$E,2,FALSE)</f>
        <v>Product_335</v>
      </c>
      <c r="E2482" t="str">
        <f>VLOOKUP(B2482,Products!$A:$E,3,FALSE)</f>
        <v>Networking</v>
      </c>
    </row>
    <row r="2483" spans="1:5" x14ac:dyDescent="0.3">
      <c r="A2483" t="s">
        <v>3493</v>
      </c>
      <c r="B2483" t="s">
        <v>384</v>
      </c>
      <c r="C2483">
        <v>80</v>
      </c>
      <c r="D2483" t="str">
        <f>VLOOKUP(B2483,Products!$A:$E,2,FALSE)</f>
        <v>Product_188</v>
      </c>
      <c r="E2483" t="str">
        <f>VLOOKUP(B2483,Products!$A:$E,3,FALSE)</f>
        <v>Office Supplies</v>
      </c>
    </row>
    <row r="2484" spans="1:5" x14ac:dyDescent="0.3">
      <c r="A2484" t="s">
        <v>3494</v>
      </c>
      <c r="B2484" t="s">
        <v>678</v>
      </c>
      <c r="C2484">
        <v>14</v>
      </c>
      <c r="D2484" t="str">
        <f>VLOOKUP(B2484,Products!$A:$E,2,FALSE)</f>
        <v>Product_335</v>
      </c>
      <c r="E2484" t="str">
        <f>VLOOKUP(B2484,Products!$A:$E,3,FALSE)</f>
        <v>Networking</v>
      </c>
    </row>
    <row r="2485" spans="1:5" x14ac:dyDescent="0.3">
      <c r="A2485" t="s">
        <v>3495</v>
      </c>
      <c r="B2485" t="s">
        <v>538</v>
      </c>
      <c r="C2485">
        <v>37</v>
      </c>
      <c r="D2485" t="str">
        <f>VLOOKUP(B2485,Products!$A:$E,2,FALSE)</f>
        <v>Product_265</v>
      </c>
      <c r="E2485" t="str">
        <f>VLOOKUP(B2485,Products!$A:$E,3,FALSE)</f>
        <v>Accessories</v>
      </c>
    </row>
    <row r="2486" spans="1:5" x14ac:dyDescent="0.3">
      <c r="A2486" t="s">
        <v>3496</v>
      </c>
      <c r="B2486" t="s">
        <v>394</v>
      </c>
      <c r="C2486">
        <v>33</v>
      </c>
      <c r="D2486" t="str">
        <f>VLOOKUP(B2486,Products!$A:$E,2,FALSE)</f>
        <v>Product_193</v>
      </c>
      <c r="E2486" t="str">
        <f>VLOOKUP(B2486,Products!$A:$E,3,FALSE)</f>
        <v>Accessories</v>
      </c>
    </row>
    <row r="2487" spans="1:5" x14ac:dyDescent="0.3">
      <c r="A2487" t="s">
        <v>3497</v>
      </c>
      <c r="B2487" t="s">
        <v>538</v>
      </c>
      <c r="C2487">
        <v>56</v>
      </c>
      <c r="D2487" t="str">
        <f>VLOOKUP(B2487,Products!$A:$E,2,FALSE)</f>
        <v>Product_265</v>
      </c>
      <c r="E2487" t="str">
        <f>VLOOKUP(B2487,Products!$A:$E,3,FALSE)</f>
        <v>Accessories</v>
      </c>
    </row>
    <row r="2488" spans="1:5" x14ac:dyDescent="0.3">
      <c r="A2488" t="s">
        <v>3498</v>
      </c>
      <c r="B2488" t="s">
        <v>370</v>
      </c>
      <c r="C2488">
        <v>49</v>
      </c>
      <c r="D2488" t="str">
        <f>VLOOKUP(B2488,Products!$A:$E,2,FALSE)</f>
        <v>Product_181</v>
      </c>
      <c r="E2488" t="str">
        <f>VLOOKUP(B2488,Products!$A:$E,3,FALSE)</f>
        <v>Storage</v>
      </c>
    </row>
    <row r="2489" spans="1:5" x14ac:dyDescent="0.3">
      <c r="A2489" t="s">
        <v>3499</v>
      </c>
      <c r="B2489" t="s">
        <v>508</v>
      </c>
      <c r="C2489">
        <v>66</v>
      </c>
      <c r="D2489" t="str">
        <f>VLOOKUP(B2489,Products!$A:$E,2,FALSE)</f>
        <v>Product_250</v>
      </c>
      <c r="E2489" t="str">
        <f>VLOOKUP(B2489,Products!$A:$E,3,FALSE)</f>
        <v>Networking</v>
      </c>
    </row>
    <row r="2490" spans="1:5" x14ac:dyDescent="0.3">
      <c r="A2490" t="s">
        <v>3500</v>
      </c>
      <c r="B2490" t="s">
        <v>918</v>
      </c>
      <c r="C2490">
        <v>82</v>
      </c>
      <c r="D2490" t="str">
        <f>VLOOKUP(B2490,Products!$A:$E,2,FALSE)</f>
        <v>Product_455</v>
      </c>
      <c r="E2490" t="str">
        <f>VLOOKUP(B2490,Products!$A:$E,3,FALSE)</f>
        <v>Storage</v>
      </c>
    </row>
    <row r="2491" spans="1:5" x14ac:dyDescent="0.3">
      <c r="A2491" t="s">
        <v>3501</v>
      </c>
      <c r="B2491" t="s">
        <v>14</v>
      </c>
      <c r="C2491">
        <v>69</v>
      </c>
      <c r="D2491" t="str">
        <f>VLOOKUP(B2491,Products!$A:$E,2,FALSE)</f>
        <v>Product_4</v>
      </c>
      <c r="E2491" t="str">
        <f>VLOOKUP(B2491,Products!$A:$E,3,FALSE)</f>
        <v>Storage</v>
      </c>
    </row>
    <row r="2492" spans="1:5" x14ac:dyDescent="0.3">
      <c r="A2492" t="s">
        <v>3502</v>
      </c>
      <c r="B2492" t="s">
        <v>912</v>
      </c>
      <c r="C2492">
        <v>22</v>
      </c>
      <c r="D2492" t="str">
        <f>VLOOKUP(B2492,Products!$A:$E,2,FALSE)</f>
        <v>Product_452</v>
      </c>
      <c r="E2492" t="str">
        <f>VLOOKUP(B2492,Products!$A:$E,3,FALSE)</f>
        <v>Office Supplies</v>
      </c>
    </row>
    <row r="2493" spans="1:5" x14ac:dyDescent="0.3">
      <c r="A2493" t="s">
        <v>3503</v>
      </c>
      <c r="B2493" t="s">
        <v>460</v>
      </c>
      <c r="C2493">
        <v>26</v>
      </c>
      <c r="D2493" t="str">
        <f>VLOOKUP(B2493,Products!$A:$E,2,FALSE)</f>
        <v>Product_226</v>
      </c>
      <c r="E2493" t="str">
        <f>VLOOKUP(B2493,Products!$A:$E,3,FALSE)</f>
        <v>Networking</v>
      </c>
    </row>
    <row r="2494" spans="1:5" x14ac:dyDescent="0.3">
      <c r="A2494" t="s">
        <v>3504</v>
      </c>
      <c r="B2494" t="s">
        <v>244</v>
      </c>
      <c r="C2494">
        <v>14</v>
      </c>
      <c r="D2494" t="str">
        <f>VLOOKUP(B2494,Products!$A:$E,2,FALSE)</f>
        <v>Product_118</v>
      </c>
      <c r="E2494" t="str">
        <f>VLOOKUP(B2494,Products!$A:$E,3,FALSE)</f>
        <v>Accessories</v>
      </c>
    </row>
    <row r="2495" spans="1:5" x14ac:dyDescent="0.3">
      <c r="A2495" t="s">
        <v>3505</v>
      </c>
      <c r="B2495" t="s">
        <v>536</v>
      </c>
      <c r="C2495">
        <v>87</v>
      </c>
      <c r="D2495" t="str">
        <f>VLOOKUP(B2495,Products!$A:$E,2,FALSE)</f>
        <v>Product_264</v>
      </c>
      <c r="E2495" t="str">
        <f>VLOOKUP(B2495,Products!$A:$E,3,FALSE)</f>
        <v>Electronics</v>
      </c>
    </row>
    <row r="2496" spans="1:5" x14ac:dyDescent="0.3">
      <c r="A2496" t="s">
        <v>3506</v>
      </c>
      <c r="B2496" t="s">
        <v>296</v>
      </c>
      <c r="C2496">
        <v>32</v>
      </c>
      <c r="D2496" t="str">
        <f>VLOOKUP(B2496,Products!$A:$E,2,FALSE)</f>
        <v>Product_144</v>
      </c>
      <c r="E2496" t="str">
        <f>VLOOKUP(B2496,Products!$A:$E,3,FALSE)</f>
        <v>Office Supplies</v>
      </c>
    </row>
    <row r="2497" spans="1:5" x14ac:dyDescent="0.3">
      <c r="A2497" t="s">
        <v>3507</v>
      </c>
      <c r="B2497" t="s">
        <v>162</v>
      </c>
      <c r="C2497">
        <v>28</v>
      </c>
      <c r="D2497" t="str">
        <f>VLOOKUP(B2497,Products!$A:$E,2,FALSE)</f>
        <v>Product_77</v>
      </c>
      <c r="E2497" t="str">
        <f>VLOOKUP(B2497,Products!$A:$E,3,FALSE)</f>
        <v>Networking</v>
      </c>
    </row>
    <row r="2498" spans="1:5" x14ac:dyDescent="0.3">
      <c r="A2498" t="s">
        <v>3508</v>
      </c>
      <c r="B2498" t="s">
        <v>170</v>
      </c>
      <c r="C2498">
        <v>51</v>
      </c>
      <c r="D2498" t="str">
        <f>VLOOKUP(B2498,Products!$A:$E,2,FALSE)</f>
        <v>Product_81</v>
      </c>
      <c r="E2498" t="str">
        <f>VLOOKUP(B2498,Products!$A:$E,3,FALSE)</f>
        <v>Office Supplies</v>
      </c>
    </row>
    <row r="2499" spans="1:5" x14ac:dyDescent="0.3">
      <c r="A2499" t="s">
        <v>3509</v>
      </c>
      <c r="B2499" t="s">
        <v>626</v>
      </c>
      <c r="C2499">
        <v>96</v>
      </c>
      <c r="D2499" t="str">
        <f>VLOOKUP(B2499,Products!$A:$E,2,FALSE)</f>
        <v>Product_309</v>
      </c>
      <c r="E2499" t="str">
        <f>VLOOKUP(B2499,Products!$A:$E,3,FALSE)</f>
        <v>Networking</v>
      </c>
    </row>
    <row r="2500" spans="1:5" x14ac:dyDescent="0.3">
      <c r="A2500" t="s">
        <v>3510</v>
      </c>
      <c r="B2500" t="s">
        <v>846</v>
      </c>
      <c r="C2500">
        <v>20</v>
      </c>
      <c r="D2500" t="str">
        <f>VLOOKUP(B2500,Products!$A:$E,2,FALSE)</f>
        <v>Product_419</v>
      </c>
      <c r="E2500" t="str">
        <f>VLOOKUP(B2500,Products!$A:$E,3,FALSE)</f>
        <v>Networking</v>
      </c>
    </row>
    <row r="2501" spans="1:5" x14ac:dyDescent="0.3">
      <c r="A2501" t="s">
        <v>3511</v>
      </c>
      <c r="B2501" t="s">
        <v>686</v>
      </c>
      <c r="C2501">
        <v>34</v>
      </c>
      <c r="D2501" t="str">
        <f>VLOOKUP(B2501,Products!$A:$E,2,FALSE)</f>
        <v>Product_339</v>
      </c>
      <c r="E2501" t="str">
        <f>VLOOKUP(B2501,Products!$A:$E,3,FALSE)</f>
        <v>Storage</v>
      </c>
    </row>
    <row r="2502" spans="1:5" x14ac:dyDescent="0.3">
      <c r="A2502" t="s">
        <v>3512</v>
      </c>
      <c r="B2502" t="s">
        <v>434</v>
      </c>
      <c r="C2502">
        <v>47</v>
      </c>
      <c r="D2502" t="str">
        <f>VLOOKUP(B2502,Products!$A:$E,2,FALSE)</f>
        <v>Product_213</v>
      </c>
      <c r="E2502" t="str">
        <f>VLOOKUP(B2502,Products!$A:$E,3,FALSE)</f>
        <v>Accessories</v>
      </c>
    </row>
    <row r="2503" spans="1:5" x14ac:dyDescent="0.3">
      <c r="A2503" t="s">
        <v>3513</v>
      </c>
      <c r="B2503" t="s">
        <v>746</v>
      </c>
      <c r="C2503">
        <v>19</v>
      </c>
      <c r="D2503" t="str">
        <f>VLOOKUP(B2503,Products!$A:$E,2,FALSE)</f>
        <v>Product_369</v>
      </c>
      <c r="E2503" t="str">
        <f>VLOOKUP(B2503,Products!$A:$E,3,FALSE)</f>
        <v>Accessories</v>
      </c>
    </row>
    <row r="2504" spans="1:5" x14ac:dyDescent="0.3">
      <c r="A2504" t="s">
        <v>3514</v>
      </c>
      <c r="B2504" t="s">
        <v>502</v>
      </c>
      <c r="C2504">
        <v>91</v>
      </c>
      <c r="D2504" t="str">
        <f>VLOOKUP(B2504,Products!$A:$E,2,FALSE)</f>
        <v>Product_247</v>
      </c>
      <c r="E2504" t="str">
        <f>VLOOKUP(B2504,Products!$A:$E,3,FALSE)</f>
        <v>Networking</v>
      </c>
    </row>
    <row r="2505" spans="1:5" x14ac:dyDescent="0.3">
      <c r="A2505" t="s">
        <v>3515</v>
      </c>
      <c r="B2505" t="s">
        <v>500</v>
      </c>
      <c r="C2505">
        <v>66</v>
      </c>
      <c r="D2505" t="str">
        <f>VLOOKUP(B2505,Products!$A:$E,2,FALSE)</f>
        <v>Product_246</v>
      </c>
      <c r="E2505" t="str">
        <f>VLOOKUP(B2505,Products!$A:$E,3,FALSE)</f>
        <v>Electronics</v>
      </c>
    </row>
    <row r="2506" spans="1:5" x14ac:dyDescent="0.3">
      <c r="A2506" t="s">
        <v>3516</v>
      </c>
      <c r="B2506" t="s">
        <v>224</v>
      </c>
      <c r="C2506">
        <v>80</v>
      </c>
      <c r="D2506" t="str">
        <f>VLOOKUP(B2506,Products!$A:$E,2,FALSE)</f>
        <v>Product_108</v>
      </c>
      <c r="E2506" t="str">
        <f>VLOOKUP(B2506,Products!$A:$E,3,FALSE)</f>
        <v>Networking</v>
      </c>
    </row>
    <row r="2507" spans="1:5" x14ac:dyDescent="0.3">
      <c r="A2507" t="s">
        <v>3517</v>
      </c>
      <c r="B2507" t="s">
        <v>174</v>
      </c>
      <c r="C2507">
        <v>87</v>
      </c>
      <c r="D2507" t="str">
        <f>VLOOKUP(B2507,Products!$A:$E,2,FALSE)</f>
        <v>Product_83</v>
      </c>
      <c r="E2507" t="str">
        <f>VLOOKUP(B2507,Products!$A:$E,3,FALSE)</f>
        <v>Accessories</v>
      </c>
    </row>
    <row r="2508" spans="1:5" x14ac:dyDescent="0.3">
      <c r="A2508" t="s">
        <v>3518</v>
      </c>
      <c r="B2508" t="s">
        <v>862</v>
      </c>
      <c r="C2508">
        <v>57</v>
      </c>
      <c r="D2508" t="str">
        <f>VLOOKUP(B2508,Products!$A:$E,2,FALSE)</f>
        <v>Product_427</v>
      </c>
      <c r="E2508" t="str">
        <f>VLOOKUP(B2508,Products!$A:$E,3,FALSE)</f>
        <v>Networking</v>
      </c>
    </row>
    <row r="2509" spans="1:5" x14ac:dyDescent="0.3">
      <c r="A2509" t="s">
        <v>3519</v>
      </c>
      <c r="B2509" t="s">
        <v>32</v>
      </c>
      <c r="C2509">
        <v>36</v>
      </c>
      <c r="D2509" t="str">
        <f>VLOOKUP(B2509,Products!$A:$E,2,FALSE)</f>
        <v>Product_12</v>
      </c>
      <c r="E2509" t="str">
        <f>VLOOKUP(B2509,Products!$A:$E,3,FALSE)</f>
        <v>Accessories</v>
      </c>
    </row>
    <row r="2510" spans="1:5" x14ac:dyDescent="0.3">
      <c r="A2510" t="s">
        <v>3520</v>
      </c>
      <c r="B2510" t="s">
        <v>54</v>
      </c>
      <c r="C2510">
        <v>21</v>
      </c>
      <c r="D2510" t="str">
        <f>VLOOKUP(B2510,Products!$A:$E,2,FALSE)</f>
        <v>Product_23</v>
      </c>
      <c r="E2510" t="str">
        <f>VLOOKUP(B2510,Products!$A:$E,3,FALSE)</f>
        <v>Accessories</v>
      </c>
    </row>
    <row r="2511" spans="1:5" x14ac:dyDescent="0.3">
      <c r="A2511" t="s">
        <v>3521</v>
      </c>
      <c r="B2511" t="s">
        <v>596</v>
      </c>
      <c r="C2511">
        <v>80</v>
      </c>
      <c r="D2511" t="str">
        <f>VLOOKUP(B2511,Products!$A:$E,2,FALSE)</f>
        <v>Product_294</v>
      </c>
      <c r="E2511" t="str">
        <f>VLOOKUP(B2511,Products!$A:$E,3,FALSE)</f>
        <v>Networking</v>
      </c>
    </row>
    <row r="2512" spans="1:5" x14ac:dyDescent="0.3">
      <c r="A2512" t="s">
        <v>3522</v>
      </c>
      <c r="B2512" t="s">
        <v>174</v>
      </c>
      <c r="C2512">
        <v>22</v>
      </c>
      <c r="D2512" t="str">
        <f>VLOOKUP(B2512,Products!$A:$E,2,FALSE)</f>
        <v>Product_83</v>
      </c>
      <c r="E2512" t="str">
        <f>VLOOKUP(B2512,Products!$A:$E,3,FALSE)</f>
        <v>Accessories</v>
      </c>
    </row>
    <row r="2513" spans="1:5" x14ac:dyDescent="0.3">
      <c r="A2513" t="s">
        <v>3523</v>
      </c>
      <c r="B2513" t="s">
        <v>654</v>
      </c>
      <c r="C2513">
        <v>70</v>
      </c>
      <c r="D2513" t="str">
        <f>VLOOKUP(B2513,Products!$A:$E,2,FALSE)</f>
        <v>Product_323</v>
      </c>
      <c r="E2513" t="str">
        <f>VLOOKUP(B2513,Products!$A:$E,3,FALSE)</f>
        <v>Electronics</v>
      </c>
    </row>
    <row r="2514" spans="1:5" x14ac:dyDescent="0.3">
      <c r="A2514" t="s">
        <v>3524</v>
      </c>
      <c r="B2514" t="s">
        <v>50</v>
      </c>
      <c r="C2514">
        <v>78</v>
      </c>
      <c r="D2514" t="str">
        <f>VLOOKUP(B2514,Products!$A:$E,2,FALSE)</f>
        <v>Product_21</v>
      </c>
      <c r="E2514" t="str">
        <f>VLOOKUP(B2514,Products!$A:$E,3,FALSE)</f>
        <v>Office Supplies</v>
      </c>
    </row>
    <row r="2515" spans="1:5" x14ac:dyDescent="0.3">
      <c r="A2515" t="s">
        <v>3525</v>
      </c>
      <c r="B2515" t="s">
        <v>160</v>
      </c>
      <c r="C2515">
        <v>12</v>
      </c>
      <c r="D2515" t="str">
        <f>VLOOKUP(B2515,Products!$A:$E,2,FALSE)</f>
        <v>Product_76</v>
      </c>
      <c r="E2515" t="str">
        <f>VLOOKUP(B2515,Products!$A:$E,3,FALSE)</f>
        <v>Accessories</v>
      </c>
    </row>
    <row r="2516" spans="1:5" x14ac:dyDescent="0.3">
      <c r="A2516" t="s">
        <v>3526</v>
      </c>
      <c r="B2516" t="s">
        <v>180</v>
      </c>
      <c r="C2516">
        <v>38</v>
      </c>
      <c r="D2516" t="str">
        <f>VLOOKUP(B2516,Products!$A:$E,2,FALSE)</f>
        <v>Product_86</v>
      </c>
      <c r="E2516" t="str">
        <f>VLOOKUP(B2516,Products!$A:$E,3,FALSE)</f>
        <v>Storage</v>
      </c>
    </row>
    <row r="2517" spans="1:5" x14ac:dyDescent="0.3">
      <c r="A2517" t="s">
        <v>3527</v>
      </c>
      <c r="B2517" t="s">
        <v>954</v>
      </c>
      <c r="C2517">
        <v>28</v>
      </c>
      <c r="D2517" t="str">
        <f>VLOOKUP(B2517,Products!$A:$E,2,FALSE)</f>
        <v>Product_473</v>
      </c>
      <c r="E2517" t="str">
        <f>VLOOKUP(B2517,Products!$A:$E,3,FALSE)</f>
        <v>Accessories</v>
      </c>
    </row>
    <row r="2518" spans="1:5" x14ac:dyDescent="0.3">
      <c r="A2518" t="s">
        <v>3528</v>
      </c>
      <c r="B2518" t="s">
        <v>538</v>
      </c>
      <c r="C2518">
        <v>56</v>
      </c>
      <c r="D2518" t="str">
        <f>VLOOKUP(B2518,Products!$A:$E,2,FALSE)</f>
        <v>Product_265</v>
      </c>
      <c r="E2518" t="str">
        <f>VLOOKUP(B2518,Products!$A:$E,3,FALSE)</f>
        <v>Accessories</v>
      </c>
    </row>
    <row r="2519" spans="1:5" x14ac:dyDescent="0.3">
      <c r="A2519" t="s">
        <v>3529</v>
      </c>
      <c r="B2519" t="s">
        <v>622</v>
      </c>
      <c r="C2519">
        <v>77</v>
      </c>
      <c r="D2519" t="str">
        <f>VLOOKUP(B2519,Products!$A:$E,2,FALSE)</f>
        <v>Product_307</v>
      </c>
      <c r="E2519" t="str">
        <f>VLOOKUP(B2519,Products!$A:$E,3,FALSE)</f>
        <v>Storage</v>
      </c>
    </row>
    <row r="2520" spans="1:5" x14ac:dyDescent="0.3">
      <c r="A2520" t="s">
        <v>3530</v>
      </c>
      <c r="B2520" t="s">
        <v>662</v>
      </c>
      <c r="C2520">
        <v>7</v>
      </c>
      <c r="D2520" t="str">
        <f>VLOOKUP(B2520,Products!$A:$E,2,FALSE)</f>
        <v>Product_327</v>
      </c>
      <c r="E2520" t="str">
        <f>VLOOKUP(B2520,Products!$A:$E,3,FALSE)</f>
        <v>Networking</v>
      </c>
    </row>
    <row r="2521" spans="1:5" x14ac:dyDescent="0.3">
      <c r="A2521" t="s">
        <v>3531</v>
      </c>
      <c r="B2521" t="s">
        <v>908</v>
      </c>
      <c r="C2521">
        <v>97</v>
      </c>
      <c r="D2521" t="str">
        <f>VLOOKUP(B2521,Products!$A:$E,2,FALSE)</f>
        <v>Product_450</v>
      </c>
      <c r="E2521" t="str">
        <f>VLOOKUP(B2521,Products!$A:$E,3,FALSE)</f>
        <v>Networking</v>
      </c>
    </row>
    <row r="2522" spans="1:5" x14ac:dyDescent="0.3">
      <c r="A2522" t="s">
        <v>3532</v>
      </c>
      <c r="B2522" t="s">
        <v>754</v>
      </c>
      <c r="C2522">
        <v>89</v>
      </c>
      <c r="D2522" t="str">
        <f>VLOOKUP(B2522,Products!$A:$E,2,FALSE)</f>
        <v>Product_373</v>
      </c>
      <c r="E2522" t="str">
        <f>VLOOKUP(B2522,Products!$A:$E,3,FALSE)</f>
        <v>Office Supplies</v>
      </c>
    </row>
    <row r="2523" spans="1:5" x14ac:dyDescent="0.3">
      <c r="A2523" t="s">
        <v>3533</v>
      </c>
      <c r="B2523" t="s">
        <v>850</v>
      </c>
      <c r="C2523">
        <v>41</v>
      </c>
      <c r="D2523" t="str">
        <f>VLOOKUP(B2523,Products!$A:$E,2,FALSE)</f>
        <v>Product_421</v>
      </c>
      <c r="E2523" t="str">
        <f>VLOOKUP(B2523,Products!$A:$E,3,FALSE)</f>
        <v>Accessories</v>
      </c>
    </row>
    <row r="2524" spans="1:5" x14ac:dyDescent="0.3">
      <c r="A2524" t="s">
        <v>3534</v>
      </c>
      <c r="B2524" t="s">
        <v>978</v>
      </c>
      <c r="C2524">
        <v>15</v>
      </c>
      <c r="D2524" t="str">
        <f>VLOOKUP(B2524,Products!$A:$E,2,FALSE)</f>
        <v>Product_485</v>
      </c>
      <c r="E2524" t="str">
        <f>VLOOKUP(B2524,Products!$A:$E,3,FALSE)</f>
        <v>Networking</v>
      </c>
    </row>
    <row r="2525" spans="1:5" x14ac:dyDescent="0.3">
      <c r="A2525" t="s">
        <v>3535</v>
      </c>
      <c r="B2525" t="s">
        <v>230</v>
      </c>
      <c r="C2525">
        <v>62</v>
      </c>
      <c r="D2525" t="str">
        <f>VLOOKUP(B2525,Products!$A:$E,2,FALSE)</f>
        <v>Product_111</v>
      </c>
      <c r="E2525" t="str">
        <f>VLOOKUP(B2525,Products!$A:$E,3,FALSE)</f>
        <v>Office Supplies</v>
      </c>
    </row>
    <row r="2526" spans="1:5" x14ac:dyDescent="0.3">
      <c r="A2526" t="s">
        <v>3536</v>
      </c>
      <c r="B2526" t="s">
        <v>630</v>
      </c>
      <c r="C2526">
        <v>65</v>
      </c>
      <c r="D2526" t="str">
        <f>VLOOKUP(B2526,Products!$A:$E,2,FALSE)</f>
        <v>Product_311</v>
      </c>
      <c r="E2526" t="str">
        <f>VLOOKUP(B2526,Products!$A:$E,3,FALSE)</f>
        <v>Networking</v>
      </c>
    </row>
    <row r="2527" spans="1:5" x14ac:dyDescent="0.3">
      <c r="A2527" t="s">
        <v>3537</v>
      </c>
      <c r="B2527" t="s">
        <v>898</v>
      </c>
      <c r="C2527">
        <v>66</v>
      </c>
      <c r="D2527" t="str">
        <f>VLOOKUP(B2527,Products!$A:$E,2,FALSE)</f>
        <v>Product_445</v>
      </c>
      <c r="E2527" t="str">
        <f>VLOOKUP(B2527,Products!$A:$E,3,FALSE)</f>
        <v>Office Supplies</v>
      </c>
    </row>
    <row r="2528" spans="1:5" x14ac:dyDescent="0.3">
      <c r="A2528" t="s">
        <v>3538</v>
      </c>
      <c r="B2528" t="s">
        <v>184</v>
      </c>
      <c r="C2528">
        <v>33</v>
      </c>
      <c r="D2528" t="str">
        <f>VLOOKUP(B2528,Products!$A:$E,2,FALSE)</f>
        <v>Product_88</v>
      </c>
      <c r="E2528" t="str">
        <f>VLOOKUP(B2528,Products!$A:$E,3,FALSE)</f>
        <v>Accessories</v>
      </c>
    </row>
    <row r="2529" spans="1:5" x14ac:dyDescent="0.3">
      <c r="A2529" t="s">
        <v>3539</v>
      </c>
      <c r="B2529" t="s">
        <v>860</v>
      </c>
      <c r="C2529">
        <v>57</v>
      </c>
      <c r="D2529" t="str">
        <f>VLOOKUP(B2529,Products!$A:$E,2,FALSE)</f>
        <v>Product_426</v>
      </c>
      <c r="E2529" t="str">
        <f>VLOOKUP(B2529,Products!$A:$E,3,FALSE)</f>
        <v>Storage</v>
      </c>
    </row>
    <row r="2530" spans="1:5" x14ac:dyDescent="0.3">
      <c r="A2530" t="s">
        <v>3540</v>
      </c>
      <c r="B2530" t="s">
        <v>624</v>
      </c>
      <c r="C2530">
        <v>23</v>
      </c>
      <c r="D2530" t="str">
        <f>VLOOKUP(B2530,Products!$A:$E,2,FALSE)</f>
        <v>Product_308</v>
      </c>
      <c r="E2530" t="str">
        <f>VLOOKUP(B2530,Products!$A:$E,3,FALSE)</f>
        <v>Storage</v>
      </c>
    </row>
    <row r="2531" spans="1:5" x14ac:dyDescent="0.3">
      <c r="A2531" t="s">
        <v>3541</v>
      </c>
      <c r="B2531" t="s">
        <v>822</v>
      </c>
      <c r="C2531">
        <v>79</v>
      </c>
      <c r="D2531" t="str">
        <f>VLOOKUP(B2531,Products!$A:$E,2,FALSE)</f>
        <v>Product_407</v>
      </c>
      <c r="E2531" t="str">
        <f>VLOOKUP(B2531,Products!$A:$E,3,FALSE)</f>
        <v>Networking</v>
      </c>
    </row>
    <row r="2532" spans="1:5" x14ac:dyDescent="0.3">
      <c r="A2532" t="s">
        <v>3542</v>
      </c>
      <c r="B2532" t="s">
        <v>850</v>
      </c>
      <c r="C2532">
        <v>28</v>
      </c>
      <c r="D2532" t="str">
        <f>VLOOKUP(B2532,Products!$A:$E,2,FALSE)</f>
        <v>Product_421</v>
      </c>
      <c r="E2532" t="str">
        <f>VLOOKUP(B2532,Products!$A:$E,3,FALSE)</f>
        <v>Accessories</v>
      </c>
    </row>
    <row r="2533" spans="1:5" x14ac:dyDescent="0.3">
      <c r="A2533" t="s">
        <v>3543</v>
      </c>
      <c r="B2533" t="s">
        <v>648</v>
      </c>
      <c r="C2533">
        <v>89</v>
      </c>
      <c r="D2533" t="str">
        <f>VLOOKUP(B2533,Products!$A:$E,2,FALSE)</f>
        <v>Product_320</v>
      </c>
      <c r="E2533" t="str">
        <f>VLOOKUP(B2533,Products!$A:$E,3,FALSE)</f>
        <v>Office Supplies</v>
      </c>
    </row>
    <row r="2534" spans="1:5" x14ac:dyDescent="0.3">
      <c r="A2534" t="s">
        <v>3544</v>
      </c>
      <c r="B2534" t="s">
        <v>532</v>
      </c>
      <c r="C2534">
        <v>38</v>
      </c>
      <c r="D2534" t="str">
        <f>VLOOKUP(B2534,Products!$A:$E,2,FALSE)</f>
        <v>Product_262</v>
      </c>
      <c r="E2534" t="str">
        <f>VLOOKUP(B2534,Products!$A:$E,3,FALSE)</f>
        <v>Electronics</v>
      </c>
    </row>
    <row r="2535" spans="1:5" x14ac:dyDescent="0.3">
      <c r="A2535" t="s">
        <v>3545</v>
      </c>
      <c r="B2535" t="s">
        <v>180</v>
      </c>
      <c r="C2535">
        <v>97</v>
      </c>
      <c r="D2535" t="str">
        <f>VLOOKUP(B2535,Products!$A:$E,2,FALSE)</f>
        <v>Product_86</v>
      </c>
      <c r="E2535" t="str">
        <f>VLOOKUP(B2535,Products!$A:$E,3,FALSE)</f>
        <v>Storage</v>
      </c>
    </row>
    <row r="2536" spans="1:5" x14ac:dyDescent="0.3">
      <c r="A2536" t="s">
        <v>3546</v>
      </c>
      <c r="B2536" t="s">
        <v>712</v>
      </c>
      <c r="C2536">
        <v>48</v>
      </c>
      <c r="D2536" t="str">
        <f>VLOOKUP(B2536,Products!$A:$E,2,FALSE)</f>
        <v>Product_352</v>
      </c>
      <c r="E2536" t="str">
        <f>VLOOKUP(B2536,Products!$A:$E,3,FALSE)</f>
        <v>Storage</v>
      </c>
    </row>
    <row r="2537" spans="1:5" x14ac:dyDescent="0.3">
      <c r="A2537" t="s">
        <v>3547</v>
      </c>
      <c r="B2537" t="s">
        <v>954</v>
      </c>
      <c r="C2537">
        <v>63</v>
      </c>
      <c r="D2537" t="str">
        <f>VLOOKUP(B2537,Products!$A:$E,2,FALSE)</f>
        <v>Product_473</v>
      </c>
      <c r="E2537" t="str">
        <f>VLOOKUP(B2537,Products!$A:$E,3,FALSE)</f>
        <v>Accessories</v>
      </c>
    </row>
    <row r="2538" spans="1:5" x14ac:dyDescent="0.3">
      <c r="A2538" t="s">
        <v>3548</v>
      </c>
      <c r="B2538" t="s">
        <v>620</v>
      </c>
      <c r="C2538">
        <v>80</v>
      </c>
      <c r="D2538" t="str">
        <f>VLOOKUP(B2538,Products!$A:$E,2,FALSE)</f>
        <v>Product_306</v>
      </c>
      <c r="E2538" t="str">
        <f>VLOOKUP(B2538,Products!$A:$E,3,FALSE)</f>
        <v>Accessories</v>
      </c>
    </row>
    <row r="2539" spans="1:5" x14ac:dyDescent="0.3">
      <c r="A2539" t="s">
        <v>3549</v>
      </c>
      <c r="B2539" t="s">
        <v>80</v>
      </c>
      <c r="C2539">
        <v>34</v>
      </c>
      <c r="D2539" t="str">
        <f>VLOOKUP(B2539,Products!$A:$E,2,FALSE)</f>
        <v>Product_36</v>
      </c>
      <c r="E2539" t="str">
        <f>VLOOKUP(B2539,Products!$A:$E,3,FALSE)</f>
        <v>Office Supplies</v>
      </c>
    </row>
    <row r="2540" spans="1:5" x14ac:dyDescent="0.3">
      <c r="A2540" t="s">
        <v>3550</v>
      </c>
      <c r="B2540" t="s">
        <v>396</v>
      </c>
      <c r="C2540">
        <v>54</v>
      </c>
      <c r="D2540" t="str">
        <f>VLOOKUP(B2540,Products!$A:$E,2,FALSE)</f>
        <v>Product_194</v>
      </c>
      <c r="E2540" t="str">
        <f>VLOOKUP(B2540,Products!$A:$E,3,FALSE)</f>
        <v>Networking</v>
      </c>
    </row>
    <row r="2541" spans="1:5" x14ac:dyDescent="0.3">
      <c r="A2541" t="s">
        <v>3551</v>
      </c>
      <c r="B2541" t="s">
        <v>144</v>
      </c>
      <c r="C2541">
        <v>18</v>
      </c>
      <c r="D2541" t="str">
        <f>VLOOKUP(B2541,Products!$A:$E,2,FALSE)</f>
        <v>Product_68</v>
      </c>
      <c r="E2541" t="str">
        <f>VLOOKUP(B2541,Products!$A:$E,3,FALSE)</f>
        <v>Accessories</v>
      </c>
    </row>
    <row r="2542" spans="1:5" x14ac:dyDescent="0.3">
      <c r="A2542" t="s">
        <v>3552</v>
      </c>
      <c r="B2542" t="s">
        <v>26</v>
      </c>
      <c r="C2542">
        <v>30</v>
      </c>
      <c r="D2542" t="str">
        <f>VLOOKUP(B2542,Products!$A:$E,2,FALSE)</f>
        <v>Product_9</v>
      </c>
      <c r="E2542" t="str">
        <f>VLOOKUP(B2542,Products!$A:$E,3,FALSE)</f>
        <v>Storage</v>
      </c>
    </row>
    <row r="2543" spans="1:5" x14ac:dyDescent="0.3">
      <c r="A2543" t="s">
        <v>3553</v>
      </c>
      <c r="B2543" t="s">
        <v>544</v>
      </c>
      <c r="C2543">
        <v>69</v>
      </c>
      <c r="D2543" t="str">
        <f>VLOOKUP(B2543,Products!$A:$E,2,FALSE)</f>
        <v>Product_268</v>
      </c>
      <c r="E2543" t="str">
        <f>VLOOKUP(B2543,Products!$A:$E,3,FALSE)</f>
        <v>Office Supplies</v>
      </c>
    </row>
    <row r="2544" spans="1:5" x14ac:dyDescent="0.3">
      <c r="A2544" t="s">
        <v>3554</v>
      </c>
      <c r="B2544" t="s">
        <v>710</v>
      </c>
      <c r="C2544">
        <v>58</v>
      </c>
      <c r="D2544" t="str">
        <f>VLOOKUP(B2544,Products!$A:$E,2,FALSE)</f>
        <v>Product_351</v>
      </c>
      <c r="E2544" t="str">
        <f>VLOOKUP(B2544,Products!$A:$E,3,FALSE)</f>
        <v>Accessories</v>
      </c>
    </row>
    <row r="2545" spans="1:5" x14ac:dyDescent="0.3">
      <c r="A2545" t="s">
        <v>3555</v>
      </c>
      <c r="B2545" t="s">
        <v>856</v>
      </c>
      <c r="C2545">
        <v>24</v>
      </c>
      <c r="D2545" t="str">
        <f>VLOOKUP(B2545,Products!$A:$E,2,FALSE)</f>
        <v>Product_424</v>
      </c>
      <c r="E2545" t="str">
        <f>VLOOKUP(B2545,Products!$A:$E,3,FALSE)</f>
        <v>Networking</v>
      </c>
    </row>
    <row r="2546" spans="1:5" x14ac:dyDescent="0.3">
      <c r="A2546" t="s">
        <v>3556</v>
      </c>
      <c r="B2546" t="s">
        <v>630</v>
      </c>
      <c r="C2546">
        <v>17</v>
      </c>
      <c r="D2546" t="str">
        <f>VLOOKUP(B2546,Products!$A:$E,2,FALSE)</f>
        <v>Product_311</v>
      </c>
      <c r="E2546" t="str">
        <f>VLOOKUP(B2546,Products!$A:$E,3,FALSE)</f>
        <v>Networking</v>
      </c>
    </row>
    <row r="2547" spans="1:5" x14ac:dyDescent="0.3">
      <c r="A2547" t="s">
        <v>3557</v>
      </c>
      <c r="B2547" t="s">
        <v>190</v>
      </c>
      <c r="C2547">
        <v>65</v>
      </c>
      <c r="D2547" t="str">
        <f>VLOOKUP(B2547,Products!$A:$E,2,FALSE)</f>
        <v>Product_91</v>
      </c>
      <c r="E2547" t="str">
        <f>VLOOKUP(B2547,Products!$A:$E,3,FALSE)</f>
        <v>Networking</v>
      </c>
    </row>
    <row r="2548" spans="1:5" x14ac:dyDescent="0.3">
      <c r="A2548" t="s">
        <v>3558</v>
      </c>
      <c r="B2548" t="s">
        <v>932</v>
      </c>
      <c r="C2548">
        <v>83</v>
      </c>
      <c r="D2548" t="str">
        <f>VLOOKUP(B2548,Products!$A:$E,2,FALSE)</f>
        <v>Product_462</v>
      </c>
      <c r="E2548" t="str">
        <f>VLOOKUP(B2548,Products!$A:$E,3,FALSE)</f>
        <v>Electronics</v>
      </c>
    </row>
    <row r="2549" spans="1:5" x14ac:dyDescent="0.3">
      <c r="A2549" t="s">
        <v>3559</v>
      </c>
      <c r="B2549" t="s">
        <v>624</v>
      </c>
      <c r="C2549">
        <v>9</v>
      </c>
      <c r="D2549" t="str">
        <f>VLOOKUP(B2549,Products!$A:$E,2,FALSE)</f>
        <v>Product_308</v>
      </c>
      <c r="E2549" t="str">
        <f>VLOOKUP(B2549,Products!$A:$E,3,FALSE)</f>
        <v>Storage</v>
      </c>
    </row>
    <row r="2550" spans="1:5" x14ac:dyDescent="0.3">
      <c r="A2550" t="s">
        <v>3560</v>
      </c>
      <c r="B2550" t="s">
        <v>908</v>
      </c>
      <c r="C2550">
        <v>73</v>
      </c>
      <c r="D2550" t="str">
        <f>VLOOKUP(B2550,Products!$A:$E,2,FALSE)</f>
        <v>Product_450</v>
      </c>
      <c r="E2550" t="str">
        <f>VLOOKUP(B2550,Products!$A:$E,3,FALSE)</f>
        <v>Networking</v>
      </c>
    </row>
    <row r="2551" spans="1:5" x14ac:dyDescent="0.3">
      <c r="A2551" t="s">
        <v>3561</v>
      </c>
      <c r="B2551" t="s">
        <v>524</v>
      </c>
      <c r="C2551">
        <v>20</v>
      </c>
      <c r="D2551" t="str">
        <f>VLOOKUP(B2551,Products!$A:$E,2,FALSE)</f>
        <v>Product_258</v>
      </c>
      <c r="E2551" t="str">
        <f>VLOOKUP(B2551,Products!$A:$E,3,FALSE)</f>
        <v>Networking</v>
      </c>
    </row>
    <row r="2552" spans="1:5" x14ac:dyDescent="0.3">
      <c r="A2552" t="s">
        <v>3562</v>
      </c>
      <c r="B2552" t="s">
        <v>104</v>
      </c>
      <c r="C2552">
        <v>66</v>
      </c>
      <c r="D2552" t="str">
        <f>VLOOKUP(B2552,Products!$A:$E,2,FALSE)</f>
        <v>Product_48</v>
      </c>
      <c r="E2552" t="str">
        <f>VLOOKUP(B2552,Products!$A:$E,3,FALSE)</f>
        <v>Accessories</v>
      </c>
    </row>
    <row r="2553" spans="1:5" x14ac:dyDescent="0.3">
      <c r="A2553" t="s">
        <v>3563</v>
      </c>
      <c r="B2553" t="s">
        <v>684</v>
      </c>
      <c r="C2553">
        <v>21</v>
      </c>
      <c r="D2553" t="str">
        <f>VLOOKUP(B2553,Products!$A:$E,2,FALSE)</f>
        <v>Product_338</v>
      </c>
      <c r="E2553" t="str">
        <f>VLOOKUP(B2553,Products!$A:$E,3,FALSE)</f>
        <v>Networking</v>
      </c>
    </row>
    <row r="2554" spans="1:5" x14ac:dyDescent="0.3">
      <c r="A2554" t="s">
        <v>3564</v>
      </c>
      <c r="B2554" t="s">
        <v>932</v>
      </c>
      <c r="C2554">
        <v>82</v>
      </c>
      <c r="D2554" t="str">
        <f>VLOOKUP(B2554,Products!$A:$E,2,FALSE)</f>
        <v>Product_462</v>
      </c>
      <c r="E2554" t="str">
        <f>VLOOKUP(B2554,Products!$A:$E,3,FALSE)</f>
        <v>Electronics</v>
      </c>
    </row>
    <row r="2555" spans="1:5" x14ac:dyDescent="0.3">
      <c r="A2555" t="s">
        <v>3565</v>
      </c>
      <c r="B2555" t="s">
        <v>562</v>
      </c>
      <c r="C2555">
        <v>5</v>
      </c>
      <c r="D2555" t="str">
        <f>VLOOKUP(B2555,Products!$A:$E,2,FALSE)</f>
        <v>Product_277</v>
      </c>
      <c r="E2555" t="str">
        <f>VLOOKUP(B2555,Products!$A:$E,3,FALSE)</f>
        <v>Electronics</v>
      </c>
    </row>
    <row r="2556" spans="1:5" x14ac:dyDescent="0.3">
      <c r="A2556" t="s">
        <v>3566</v>
      </c>
      <c r="B2556" t="s">
        <v>928</v>
      </c>
      <c r="C2556">
        <v>91</v>
      </c>
      <c r="D2556" t="str">
        <f>VLOOKUP(B2556,Products!$A:$E,2,FALSE)</f>
        <v>Product_460</v>
      </c>
      <c r="E2556" t="str">
        <f>VLOOKUP(B2556,Products!$A:$E,3,FALSE)</f>
        <v>Accessories</v>
      </c>
    </row>
    <row r="2557" spans="1:5" x14ac:dyDescent="0.3">
      <c r="A2557" t="s">
        <v>3567</v>
      </c>
      <c r="B2557" t="s">
        <v>674</v>
      </c>
      <c r="C2557">
        <v>60</v>
      </c>
      <c r="D2557" t="str">
        <f>VLOOKUP(B2557,Products!$A:$E,2,FALSE)</f>
        <v>Product_333</v>
      </c>
      <c r="E2557" t="str">
        <f>VLOOKUP(B2557,Products!$A:$E,3,FALSE)</f>
        <v>Storage</v>
      </c>
    </row>
    <row r="2558" spans="1:5" x14ac:dyDescent="0.3">
      <c r="A2558" t="s">
        <v>3568</v>
      </c>
      <c r="B2558" t="s">
        <v>544</v>
      </c>
      <c r="C2558">
        <v>58</v>
      </c>
      <c r="D2558" t="str">
        <f>VLOOKUP(B2558,Products!$A:$E,2,FALSE)</f>
        <v>Product_268</v>
      </c>
      <c r="E2558" t="str">
        <f>VLOOKUP(B2558,Products!$A:$E,3,FALSE)</f>
        <v>Office Supplies</v>
      </c>
    </row>
    <row r="2559" spans="1:5" x14ac:dyDescent="0.3">
      <c r="A2559" t="s">
        <v>3569</v>
      </c>
      <c r="B2559" t="s">
        <v>388</v>
      </c>
      <c r="C2559">
        <v>10</v>
      </c>
      <c r="D2559" t="str">
        <f>VLOOKUP(B2559,Products!$A:$E,2,FALSE)</f>
        <v>Product_190</v>
      </c>
      <c r="E2559" t="str">
        <f>VLOOKUP(B2559,Products!$A:$E,3,FALSE)</f>
        <v>Office Supplies</v>
      </c>
    </row>
    <row r="2560" spans="1:5" x14ac:dyDescent="0.3">
      <c r="A2560" t="s">
        <v>3570</v>
      </c>
      <c r="B2560" t="s">
        <v>724</v>
      </c>
      <c r="C2560">
        <v>72</v>
      </c>
      <c r="D2560" t="str">
        <f>VLOOKUP(B2560,Products!$A:$E,2,FALSE)</f>
        <v>Product_358</v>
      </c>
      <c r="E2560" t="str">
        <f>VLOOKUP(B2560,Products!$A:$E,3,FALSE)</f>
        <v>Storage</v>
      </c>
    </row>
    <row r="2561" spans="1:5" x14ac:dyDescent="0.3">
      <c r="A2561" t="s">
        <v>3571</v>
      </c>
      <c r="B2561" t="s">
        <v>448</v>
      </c>
      <c r="C2561">
        <v>34</v>
      </c>
      <c r="D2561" t="str">
        <f>VLOOKUP(B2561,Products!$A:$E,2,FALSE)</f>
        <v>Product_220</v>
      </c>
      <c r="E2561" t="str">
        <f>VLOOKUP(B2561,Products!$A:$E,3,FALSE)</f>
        <v>Storage</v>
      </c>
    </row>
    <row r="2562" spans="1:5" x14ac:dyDescent="0.3">
      <c r="A2562" t="s">
        <v>3572</v>
      </c>
      <c r="B2562" t="s">
        <v>970</v>
      </c>
      <c r="C2562">
        <v>66</v>
      </c>
      <c r="D2562" t="str">
        <f>VLOOKUP(B2562,Products!$A:$E,2,FALSE)</f>
        <v>Product_481</v>
      </c>
      <c r="E2562" t="str">
        <f>VLOOKUP(B2562,Products!$A:$E,3,FALSE)</f>
        <v>Storage</v>
      </c>
    </row>
    <row r="2563" spans="1:5" x14ac:dyDescent="0.3">
      <c r="A2563" t="s">
        <v>3573</v>
      </c>
      <c r="B2563" t="s">
        <v>818</v>
      </c>
      <c r="C2563">
        <v>53</v>
      </c>
      <c r="D2563" t="str">
        <f>VLOOKUP(B2563,Products!$A:$E,2,FALSE)</f>
        <v>Product_405</v>
      </c>
      <c r="E2563" t="str">
        <f>VLOOKUP(B2563,Products!$A:$E,3,FALSE)</f>
        <v>Electronics</v>
      </c>
    </row>
    <row r="2564" spans="1:5" x14ac:dyDescent="0.3">
      <c r="A2564" t="s">
        <v>3574</v>
      </c>
      <c r="B2564" t="s">
        <v>368</v>
      </c>
      <c r="C2564">
        <v>80</v>
      </c>
      <c r="D2564" t="str">
        <f>VLOOKUP(B2564,Products!$A:$E,2,FALSE)</f>
        <v>Product_180</v>
      </c>
      <c r="E2564" t="str">
        <f>VLOOKUP(B2564,Products!$A:$E,3,FALSE)</f>
        <v>Office Supplies</v>
      </c>
    </row>
    <row r="2565" spans="1:5" x14ac:dyDescent="0.3">
      <c r="A2565" t="s">
        <v>3575</v>
      </c>
      <c r="B2565" t="s">
        <v>832</v>
      </c>
      <c r="C2565">
        <v>99</v>
      </c>
      <c r="D2565" t="str">
        <f>VLOOKUP(B2565,Products!$A:$E,2,FALSE)</f>
        <v>Product_412</v>
      </c>
      <c r="E2565" t="str">
        <f>VLOOKUP(B2565,Products!$A:$E,3,FALSE)</f>
        <v>Accessories</v>
      </c>
    </row>
    <row r="2566" spans="1:5" x14ac:dyDescent="0.3">
      <c r="A2566" t="s">
        <v>3576</v>
      </c>
      <c r="B2566" t="s">
        <v>938</v>
      </c>
      <c r="C2566">
        <v>94</v>
      </c>
      <c r="D2566" t="str">
        <f>VLOOKUP(B2566,Products!$A:$E,2,FALSE)</f>
        <v>Product_465</v>
      </c>
      <c r="E2566" t="str">
        <f>VLOOKUP(B2566,Products!$A:$E,3,FALSE)</f>
        <v>Electronics</v>
      </c>
    </row>
    <row r="2567" spans="1:5" x14ac:dyDescent="0.3">
      <c r="A2567" t="s">
        <v>3577</v>
      </c>
      <c r="B2567" t="s">
        <v>598</v>
      </c>
      <c r="C2567">
        <v>17</v>
      </c>
      <c r="D2567" t="str">
        <f>VLOOKUP(B2567,Products!$A:$E,2,FALSE)</f>
        <v>Product_295</v>
      </c>
      <c r="E2567" t="str">
        <f>VLOOKUP(B2567,Products!$A:$E,3,FALSE)</f>
        <v>Networking</v>
      </c>
    </row>
    <row r="2568" spans="1:5" x14ac:dyDescent="0.3">
      <c r="A2568" t="s">
        <v>3578</v>
      </c>
      <c r="B2568" t="s">
        <v>444</v>
      </c>
      <c r="C2568">
        <v>22</v>
      </c>
      <c r="D2568" t="str">
        <f>VLOOKUP(B2568,Products!$A:$E,2,FALSE)</f>
        <v>Product_218</v>
      </c>
      <c r="E2568" t="str">
        <f>VLOOKUP(B2568,Products!$A:$E,3,FALSE)</f>
        <v>Accessories</v>
      </c>
    </row>
    <row r="2569" spans="1:5" x14ac:dyDescent="0.3">
      <c r="A2569" t="s">
        <v>3579</v>
      </c>
      <c r="B2569" t="s">
        <v>270</v>
      </c>
      <c r="C2569">
        <v>66</v>
      </c>
      <c r="D2569" t="str">
        <f>VLOOKUP(B2569,Products!$A:$E,2,FALSE)</f>
        <v>Product_131</v>
      </c>
      <c r="E2569" t="str">
        <f>VLOOKUP(B2569,Products!$A:$E,3,FALSE)</f>
        <v>Electronics</v>
      </c>
    </row>
    <row r="2570" spans="1:5" x14ac:dyDescent="0.3">
      <c r="A2570" t="s">
        <v>3580</v>
      </c>
      <c r="B2570" t="s">
        <v>794</v>
      </c>
      <c r="C2570">
        <v>34</v>
      </c>
      <c r="D2570" t="str">
        <f>VLOOKUP(B2570,Products!$A:$E,2,FALSE)</f>
        <v>Product_393</v>
      </c>
      <c r="E2570" t="str">
        <f>VLOOKUP(B2570,Products!$A:$E,3,FALSE)</f>
        <v>Electronics</v>
      </c>
    </row>
    <row r="2571" spans="1:5" x14ac:dyDescent="0.3">
      <c r="A2571" t="s">
        <v>3581</v>
      </c>
      <c r="B2571" t="s">
        <v>940</v>
      </c>
      <c r="C2571">
        <v>15</v>
      </c>
      <c r="D2571" t="str">
        <f>VLOOKUP(B2571,Products!$A:$E,2,FALSE)</f>
        <v>Product_466</v>
      </c>
      <c r="E2571" t="str">
        <f>VLOOKUP(B2571,Products!$A:$E,3,FALSE)</f>
        <v>Networking</v>
      </c>
    </row>
    <row r="2572" spans="1:5" x14ac:dyDescent="0.3">
      <c r="A2572" t="s">
        <v>3582</v>
      </c>
      <c r="B2572" t="s">
        <v>300</v>
      </c>
      <c r="C2572">
        <v>81</v>
      </c>
      <c r="D2572" t="str">
        <f>VLOOKUP(B2572,Products!$A:$E,2,FALSE)</f>
        <v>Product_146</v>
      </c>
      <c r="E2572" t="str">
        <f>VLOOKUP(B2572,Products!$A:$E,3,FALSE)</f>
        <v>Office Supplies</v>
      </c>
    </row>
    <row r="2573" spans="1:5" x14ac:dyDescent="0.3">
      <c r="A2573" t="s">
        <v>3583</v>
      </c>
      <c r="B2573" t="s">
        <v>906</v>
      </c>
      <c r="C2573">
        <v>74</v>
      </c>
      <c r="D2573" t="str">
        <f>VLOOKUP(B2573,Products!$A:$E,2,FALSE)</f>
        <v>Product_449</v>
      </c>
      <c r="E2573" t="str">
        <f>VLOOKUP(B2573,Products!$A:$E,3,FALSE)</f>
        <v>Networking</v>
      </c>
    </row>
    <row r="2574" spans="1:5" x14ac:dyDescent="0.3">
      <c r="A2574" t="s">
        <v>3584</v>
      </c>
      <c r="B2574" t="s">
        <v>428</v>
      </c>
      <c r="C2574">
        <v>37</v>
      </c>
      <c r="D2574" t="str">
        <f>VLOOKUP(B2574,Products!$A:$E,2,FALSE)</f>
        <v>Product_210</v>
      </c>
      <c r="E2574" t="str">
        <f>VLOOKUP(B2574,Products!$A:$E,3,FALSE)</f>
        <v>Electronics</v>
      </c>
    </row>
    <row r="2575" spans="1:5" x14ac:dyDescent="0.3">
      <c r="A2575" t="s">
        <v>3585</v>
      </c>
      <c r="B2575" t="s">
        <v>202</v>
      </c>
      <c r="C2575">
        <v>5</v>
      </c>
      <c r="D2575" t="str">
        <f>VLOOKUP(B2575,Products!$A:$E,2,FALSE)</f>
        <v>Product_97</v>
      </c>
      <c r="E2575" t="str">
        <f>VLOOKUP(B2575,Products!$A:$E,3,FALSE)</f>
        <v>Accessories</v>
      </c>
    </row>
    <row r="2576" spans="1:5" x14ac:dyDescent="0.3">
      <c r="A2576" t="s">
        <v>3586</v>
      </c>
      <c r="B2576" t="s">
        <v>736</v>
      </c>
      <c r="C2576">
        <v>100</v>
      </c>
      <c r="D2576" t="str">
        <f>VLOOKUP(B2576,Products!$A:$E,2,FALSE)</f>
        <v>Product_364</v>
      </c>
      <c r="E2576" t="str">
        <f>VLOOKUP(B2576,Products!$A:$E,3,FALSE)</f>
        <v>Networking</v>
      </c>
    </row>
    <row r="2577" spans="1:5" x14ac:dyDescent="0.3">
      <c r="A2577" t="s">
        <v>3587</v>
      </c>
      <c r="B2577" t="s">
        <v>818</v>
      </c>
      <c r="C2577">
        <v>5</v>
      </c>
      <c r="D2577" t="str">
        <f>VLOOKUP(B2577,Products!$A:$E,2,FALSE)</f>
        <v>Product_405</v>
      </c>
      <c r="E2577" t="str">
        <f>VLOOKUP(B2577,Products!$A:$E,3,FALSE)</f>
        <v>Electronics</v>
      </c>
    </row>
    <row r="2578" spans="1:5" x14ac:dyDescent="0.3">
      <c r="A2578" t="s">
        <v>3588</v>
      </c>
      <c r="B2578" t="s">
        <v>600</v>
      </c>
      <c r="C2578">
        <v>71</v>
      </c>
      <c r="D2578" t="str">
        <f>VLOOKUP(B2578,Products!$A:$E,2,FALSE)</f>
        <v>Product_296</v>
      </c>
      <c r="E2578" t="str">
        <f>VLOOKUP(B2578,Products!$A:$E,3,FALSE)</f>
        <v>Office Supplies</v>
      </c>
    </row>
    <row r="2579" spans="1:5" x14ac:dyDescent="0.3">
      <c r="A2579" t="s">
        <v>3589</v>
      </c>
      <c r="B2579" t="s">
        <v>130</v>
      </c>
      <c r="C2579">
        <v>71</v>
      </c>
      <c r="D2579" t="str">
        <f>VLOOKUP(B2579,Products!$A:$E,2,FALSE)</f>
        <v>Product_61</v>
      </c>
      <c r="E2579" t="str">
        <f>VLOOKUP(B2579,Products!$A:$E,3,FALSE)</f>
        <v>Storage</v>
      </c>
    </row>
    <row r="2580" spans="1:5" x14ac:dyDescent="0.3">
      <c r="A2580" t="s">
        <v>3590</v>
      </c>
      <c r="B2580" t="s">
        <v>14</v>
      </c>
      <c r="C2580">
        <v>53</v>
      </c>
      <c r="D2580" t="str">
        <f>VLOOKUP(B2580,Products!$A:$E,2,FALSE)</f>
        <v>Product_4</v>
      </c>
      <c r="E2580" t="str">
        <f>VLOOKUP(B2580,Products!$A:$E,3,FALSE)</f>
        <v>Storage</v>
      </c>
    </row>
    <row r="2581" spans="1:5" x14ac:dyDescent="0.3">
      <c r="A2581" t="s">
        <v>3591</v>
      </c>
      <c r="B2581" t="s">
        <v>680</v>
      </c>
      <c r="C2581">
        <v>31</v>
      </c>
      <c r="D2581" t="str">
        <f>VLOOKUP(B2581,Products!$A:$E,2,FALSE)</f>
        <v>Product_336</v>
      </c>
      <c r="E2581" t="str">
        <f>VLOOKUP(B2581,Products!$A:$E,3,FALSE)</f>
        <v>Storage</v>
      </c>
    </row>
    <row r="2582" spans="1:5" x14ac:dyDescent="0.3">
      <c r="A2582" t="s">
        <v>3592</v>
      </c>
      <c r="B2582" t="s">
        <v>714</v>
      </c>
      <c r="C2582">
        <v>45</v>
      </c>
      <c r="D2582" t="str">
        <f>VLOOKUP(B2582,Products!$A:$E,2,FALSE)</f>
        <v>Product_353</v>
      </c>
      <c r="E2582" t="str">
        <f>VLOOKUP(B2582,Products!$A:$E,3,FALSE)</f>
        <v>Accessories</v>
      </c>
    </row>
    <row r="2583" spans="1:5" x14ac:dyDescent="0.3">
      <c r="A2583" t="s">
        <v>3593</v>
      </c>
      <c r="B2583" t="s">
        <v>428</v>
      </c>
      <c r="C2583">
        <v>51</v>
      </c>
      <c r="D2583" t="str">
        <f>VLOOKUP(B2583,Products!$A:$E,2,FALSE)</f>
        <v>Product_210</v>
      </c>
      <c r="E2583" t="str">
        <f>VLOOKUP(B2583,Products!$A:$E,3,FALSE)</f>
        <v>Electronics</v>
      </c>
    </row>
    <row r="2584" spans="1:5" x14ac:dyDescent="0.3">
      <c r="A2584" t="s">
        <v>3594</v>
      </c>
      <c r="B2584" t="s">
        <v>118</v>
      </c>
      <c r="C2584">
        <v>24</v>
      </c>
      <c r="D2584" t="str">
        <f>VLOOKUP(B2584,Products!$A:$E,2,FALSE)</f>
        <v>Product_55</v>
      </c>
      <c r="E2584" t="str">
        <f>VLOOKUP(B2584,Products!$A:$E,3,FALSE)</f>
        <v>Office Supplies</v>
      </c>
    </row>
    <row r="2585" spans="1:5" x14ac:dyDescent="0.3">
      <c r="A2585" t="s">
        <v>3595</v>
      </c>
      <c r="B2585" t="s">
        <v>446</v>
      </c>
      <c r="C2585">
        <v>88</v>
      </c>
      <c r="D2585" t="str">
        <f>VLOOKUP(B2585,Products!$A:$E,2,FALSE)</f>
        <v>Product_219</v>
      </c>
      <c r="E2585" t="str">
        <f>VLOOKUP(B2585,Products!$A:$E,3,FALSE)</f>
        <v>Accessories</v>
      </c>
    </row>
    <row r="2586" spans="1:5" x14ac:dyDescent="0.3">
      <c r="A2586" t="s">
        <v>3596</v>
      </c>
      <c r="B2586" t="s">
        <v>608</v>
      </c>
      <c r="C2586">
        <v>37</v>
      </c>
      <c r="D2586" t="str">
        <f>VLOOKUP(B2586,Products!$A:$E,2,FALSE)</f>
        <v>Product_300</v>
      </c>
      <c r="E2586" t="str">
        <f>VLOOKUP(B2586,Products!$A:$E,3,FALSE)</f>
        <v>Accessories</v>
      </c>
    </row>
    <row r="2587" spans="1:5" x14ac:dyDescent="0.3">
      <c r="A2587" t="s">
        <v>3597</v>
      </c>
      <c r="B2587" t="s">
        <v>276</v>
      </c>
      <c r="C2587">
        <v>73</v>
      </c>
      <c r="D2587" t="str">
        <f>VLOOKUP(B2587,Products!$A:$E,2,FALSE)</f>
        <v>Product_134</v>
      </c>
      <c r="E2587" t="str">
        <f>VLOOKUP(B2587,Products!$A:$E,3,FALSE)</f>
        <v>Accessories</v>
      </c>
    </row>
    <row r="2588" spans="1:5" x14ac:dyDescent="0.3">
      <c r="A2588" t="s">
        <v>3598</v>
      </c>
      <c r="B2588" t="s">
        <v>442</v>
      </c>
      <c r="C2588">
        <v>77</v>
      </c>
      <c r="D2588" t="str">
        <f>VLOOKUP(B2588,Products!$A:$E,2,FALSE)</f>
        <v>Product_217</v>
      </c>
      <c r="E2588" t="str">
        <f>VLOOKUP(B2588,Products!$A:$E,3,FALSE)</f>
        <v>Networking</v>
      </c>
    </row>
    <row r="2589" spans="1:5" x14ac:dyDescent="0.3">
      <c r="A2589" t="s">
        <v>3599</v>
      </c>
      <c r="B2589" t="s">
        <v>384</v>
      </c>
      <c r="C2589">
        <v>83</v>
      </c>
      <c r="D2589" t="str">
        <f>VLOOKUP(B2589,Products!$A:$E,2,FALSE)</f>
        <v>Product_188</v>
      </c>
      <c r="E2589" t="str">
        <f>VLOOKUP(B2589,Products!$A:$E,3,FALSE)</f>
        <v>Office Supplies</v>
      </c>
    </row>
    <row r="2590" spans="1:5" x14ac:dyDescent="0.3">
      <c r="A2590" t="s">
        <v>3600</v>
      </c>
      <c r="B2590" t="s">
        <v>292</v>
      </c>
      <c r="C2590">
        <v>92</v>
      </c>
      <c r="D2590" t="str">
        <f>VLOOKUP(B2590,Products!$A:$E,2,FALSE)</f>
        <v>Product_142</v>
      </c>
      <c r="E2590" t="str">
        <f>VLOOKUP(B2590,Products!$A:$E,3,FALSE)</f>
        <v>Storage</v>
      </c>
    </row>
    <row r="2591" spans="1:5" x14ac:dyDescent="0.3">
      <c r="A2591" t="s">
        <v>3601</v>
      </c>
      <c r="B2591" t="s">
        <v>416</v>
      </c>
      <c r="C2591">
        <v>31</v>
      </c>
      <c r="D2591" t="str">
        <f>VLOOKUP(B2591,Products!$A:$E,2,FALSE)</f>
        <v>Product_204</v>
      </c>
      <c r="E2591" t="str">
        <f>VLOOKUP(B2591,Products!$A:$E,3,FALSE)</f>
        <v>Office Supplies</v>
      </c>
    </row>
    <row r="2592" spans="1:5" x14ac:dyDescent="0.3">
      <c r="A2592" t="s">
        <v>3602</v>
      </c>
      <c r="B2592" t="s">
        <v>432</v>
      </c>
      <c r="C2592">
        <v>75</v>
      </c>
      <c r="D2592" t="str">
        <f>VLOOKUP(B2592,Products!$A:$E,2,FALSE)</f>
        <v>Product_212</v>
      </c>
      <c r="E2592" t="str">
        <f>VLOOKUP(B2592,Products!$A:$E,3,FALSE)</f>
        <v>Networking</v>
      </c>
    </row>
    <row r="2593" spans="1:5" x14ac:dyDescent="0.3">
      <c r="A2593" t="s">
        <v>3603</v>
      </c>
      <c r="B2593" t="s">
        <v>812</v>
      </c>
      <c r="C2593">
        <v>76</v>
      </c>
      <c r="D2593" t="str">
        <f>VLOOKUP(B2593,Products!$A:$E,2,FALSE)</f>
        <v>Product_402</v>
      </c>
      <c r="E2593" t="str">
        <f>VLOOKUP(B2593,Products!$A:$E,3,FALSE)</f>
        <v>Accessories</v>
      </c>
    </row>
    <row r="2594" spans="1:5" x14ac:dyDescent="0.3">
      <c r="A2594" t="s">
        <v>3604</v>
      </c>
      <c r="B2594" t="s">
        <v>504</v>
      </c>
      <c r="C2594">
        <v>27</v>
      </c>
      <c r="D2594" t="str">
        <f>VLOOKUP(B2594,Products!$A:$E,2,FALSE)</f>
        <v>Product_248</v>
      </c>
      <c r="E2594" t="str">
        <f>VLOOKUP(B2594,Products!$A:$E,3,FALSE)</f>
        <v>Networking</v>
      </c>
    </row>
    <row r="2595" spans="1:5" x14ac:dyDescent="0.3">
      <c r="A2595" t="s">
        <v>3605</v>
      </c>
      <c r="B2595" t="s">
        <v>388</v>
      </c>
      <c r="C2595">
        <v>76</v>
      </c>
      <c r="D2595" t="str">
        <f>VLOOKUP(B2595,Products!$A:$E,2,FALSE)</f>
        <v>Product_190</v>
      </c>
      <c r="E2595" t="str">
        <f>VLOOKUP(B2595,Products!$A:$E,3,FALSE)</f>
        <v>Office Supplies</v>
      </c>
    </row>
    <row r="2596" spans="1:5" x14ac:dyDescent="0.3">
      <c r="A2596" t="s">
        <v>3606</v>
      </c>
      <c r="B2596" t="s">
        <v>578</v>
      </c>
      <c r="C2596">
        <v>66</v>
      </c>
      <c r="D2596" t="str">
        <f>VLOOKUP(B2596,Products!$A:$E,2,FALSE)</f>
        <v>Product_285</v>
      </c>
      <c r="E2596" t="str">
        <f>VLOOKUP(B2596,Products!$A:$E,3,FALSE)</f>
        <v>Networking</v>
      </c>
    </row>
    <row r="2597" spans="1:5" x14ac:dyDescent="0.3">
      <c r="A2597" t="s">
        <v>3607</v>
      </c>
      <c r="B2597" t="s">
        <v>268</v>
      </c>
      <c r="C2597">
        <v>44</v>
      </c>
      <c r="D2597" t="str">
        <f>VLOOKUP(B2597,Products!$A:$E,2,FALSE)</f>
        <v>Product_130</v>
      </c>
      <c r="E2597" t="str">
        <f>VLOOKUP(B2597,Products!$A:$E,3,FALSE)</f>
        <v>Storage</v>
      </c>
    </row>
    <row r="2598" spans="1:5" x14ac:dyDescent="0.3">
      <c r="A2598" t="s">
        <v>3608</v>
      </c>
      <c r="B2598" t="s">
        <v>600</v>
      </c>
      <c r="C2598">
        <v>49</v>
      </c>
      <c r="D2598" t="str">
        <f>VLOOKUP(B2598,Products!$A:$E,2,FALSE)</f>
        <v>Product_296</v>
      </c>
      <c r="E2598" t="str">
        <f>VLOOKUP(B2598,Products!$A:$E,3,FALSE)</f>
        <v>Office Supplies</v>
      </c>
    </row>
    <row r="2599" spans="1:5" x14ac:dyDescent="0.3">
      <c r="A2599" t="s">
        <v>3609</v>
      </c>
      <c r="B2599" t="s">
        <v>802</v>
      </c>
      <c r="C2599">
        <v>95</v>
      </c>
      <c r="D2599" t="str">
        <f>VLOOKUP(B2599,Products!$A:$E,2,FALSE)</f>
        <v>Product_397</v>
      </c>
      <c r="E2599" t="str">
        <f>VLOOKUP(B2599,Products!$A:$E,3,FALSE)</f>
        <v>Office Supplies</v>
      </c>
    </row>
    <row r="2600" spans="1:5" x14ac:dyDescent="0.3">
      <c r="A2600" t="s">
        <v>3610</v>
      </c>
      <c r="B2600" t="s">
        <v>416</v>
      </c>
      <c r="C2600">
        <v>99</v>
      </c>
      <c r="D2600" t="str">
        <f>VLOOKUP(B2600,Products!$A:$E,2,FALSE)</f>
        <v>Product_204</v>
      </c>
      <c r="E2600" t="str">
        <f>VLOOKUP(B2600,Products!$A:$E,3,FALSE)</f>
        <v>Office Supplies</v>
      </c>
    </row>
    <row r="2601" spans="1:5" x14ac:dyDescent="0.3">
      <c r="A2601" t="s">
        <v>3611</v>
      </c>
      <c r="B2601" t="s">
        <v>150</v>
      </c>
      <c r="C2601">
        <v>89</v>
      </c>
      <c r="D2601" t="str">
        <f>VLOOKUP(B2601,Products!$A:$E,2,FALSE)</f>
        <v>Product_71</v>
      </c>
      <c r="E2601" t="str">
        <f>VLOOKUP(B2601,Products!$A:$E,3,FALSE)</f>
        <v>Accessories</v>
      </c>
    </row>
    <row r="2602" spans="1:5" x14ac:dyDescent="0.3">
      <c r="A2602" t="s">
        <v>3612</v>
      </c>
      <c r="B2602" t="s">
        <v>130</v>
      </c>
      <c r="C2602">
        <v>100</v>
      </c>
      <c r="D2602" t="str">
        <f>VLOOKUP(B2602,Products!$A:$E,2,FALSE)</f>
        <v>Product_61</v>
      </c>
      <c r="E2602" t="str">
        <f>VLOOKUP(B2602,Products!$A:$E,3,FALSE)</f>
        <v>Storage</v>
      </c>
    </row>
    <row r="2603" spans="1:5" x14ac:dyDescent="0.3">
      <c r="A2603" t="s">
        <v>3613</v>
      </c>
      <c r="B2603" t="s">
        <v>244</v>
      </c>
      <c r="C2603">
        <v>62</v>
      </c>
      <c r="D2603" t="str">
        <f>VLOOKUP(B2603,Products!$A:$E,2,FALSE)</f>
        <v>Product_118</v>
      </c>
      <c r="E2603" t="str">
        <f>VLOOKUP(B2603,Products!$A:$E,3,FALSE)</f>
        <v>Accessories</v>
      </c>
    </row>
    <row r="2604" spans="1:5" x14ac:dyDescent="0.3">
      <c r="A2604" t="s">
        <v>3614</v>
      </c>
      <c r="B2604" t="s">
        <v>810</v>
      </c>
      <c r="C2604">
        <v>94</v>
      </c>
      <c r="D2604" t="str">
        <f>VLOOKUP(B2604,Products!$A:$E,2,FALSE)</f>
        <v>Product_401</v>
      </c>
      <c r="E2604" t="str">
        <f>VLOOKUP(B2604,Products!$A:$E,3,FALSE)</f>
        <v>Storage</v>
      </c>
    </row>
    <row r="2605" spans="1:5" x14ac:dyDescent="0.3">
      <c r="A2605" t="s">
        <v>3615</v>
      </c>
      <c r="B2605" t="s">
        <v>982</v>
      </c>
      <c r="C2605">
        <v>25</v>
      </c>
      <c r="D2605" t="str">
        <f>VLOOKUP(B2605,Products!$A:$E,2,FALSE)</f>
        <v>Product_487</v>
      </c>
      <c r="E2605" t="str">
        <f>VLOOKUP(B2605,Products!$A:$E,3,FALSE)</f>
        <v>Networking</v>
      </c>
    </row>
    <row r="2606" spans="1:5" x14ac:dyDescent="0.3">
      <c r="A2606" t="s">
        <v>3616</v>
      </c>
      <c r="B2606" t="s">
        <v>112</v>
      </c>
      <c r="C2606">
        <v>32</v>
      </c>
      <c r="D2606" t="str">
        <f>VLOOKUP(B2606,Products!$A:$E,2,FALSE)</f>
        <v>Product_52</v>
      </c>
      <c r="E2606" t="str">
        <f>VLOOKUP(B2606,Products!$A:$E,3,FALSE)</f>
        <v>Electronics</v>
      </c>
    </row>
    <row r="2607" spans="1:5" x14ac:dyDescent="0.3">
      <c r="A2607" t="s">
        <v>3617</v>
      </c>
      <c r="B2607" t="s">
        <v>530</v>
      </c>
      <c r="C2607">
        <v>56</v>
      </c>
      <c r="D2607" t="str">
        <f>VLOOKUP(B2607,Products!$A:$E,2,FALSE)</f>
        <v>Product_261</v>
      </c>
      <c r="E2607" t="str">
        <f>VLOOKUP(B2607,Products!$A:$E,3,FALSE)</f>
        <v>Accessories</v>
      </c>
    </row>
    <row r="2608" spans="1:5" x14ac:dyDescent="0.3">
      <c r="A2608" t="s">
        <v>3618</v>
      </c>
      <c r="B2608" t="s">
        <v>814</v>
      </c>
      <c r="C2608">
        <v>48</v>
      </c>
      <c r="D2608" t="str">
        <f>VLOOKUP(B2608,Products!$A:$E,2,FALSE)</f>
        <v>Product_403</v>
      </c>
      <c r="E2608" t="str">
        <f>VLOOKUP(B2608,Products!$A:$E,3,FALSE)</f>
        <v>Networking</v>
      </c>
    </row>
    <row r="2609" spans="1:5" x14ac:dyDescent="0.3">
      <c r="A2609" t="s">
        <v>3619</v>
      </c>
      <c r="B2609" t="s">
        <v>830</v>
      </c>
      <c r="C2609">
        <v>75</v>
      </c>
      <c r="D2609" t="str">
        <f>VLOOKUP(B2609,Products!$A:$E,2,FALSE)</f>
        <v>Product_411</v>
      </c>
      <c r="E2609" t="str">
        <f>VLOOKUP(B2609,Products!$A:$E,3,FALSE)</f>
        <v>Office Supplies</v>
      </c>
    </row>
    <row r="2610" spans="1:5" x14ac:dyDescent="0.3">
      <c r="A2610" t="s">
        <v>3620</v>
      </c>
      <c r="B2610" t="s">
        <v>638</v>
      </c>
      <c r="C2610">
        <v>94</v>
      </c>
      <c r="D2610" t="str">
        <f>VLOOKUP(B2610,Products!$A:$E,2,FALSE)</f>
        <v>Product_315</v>
      </c>
      <c r="E2610" t="str">
        <f>VLOOKUP(B2610,Products!$A:$E,3,FALSE)</f>
        <v>Accessories</v>
      </c>
    </row>
    <row r="2611" spans="1:5" x14ac:dyDescent="0.3">
      <c r="A2611" t="s">
        <v>3621</v>
      </c>
      <c r="B2611" t="s">
        <v>710</v>
      </c>
      <c r="C2611">
        <v>95</v>
      </c>
      <c r="D2611" t="str">
        <f>VLOOKUP(B2611,Products!$A:$E,2,FALSE)</f>
        <v>Product_351</v>
      </c>
      <c r="E2611" t="str">
        <f>VLOOKUP(B2611,Products!$A:$E,3,FALSE)</f>
        <v>Accessories</v>
      </c>
    </row>
    <row r="2612" spans="1:5" x14ac:dyDescent="0.3">
      <c r="A2612" t="s">
        <v>3622</v>
      </c>
      <c r="B2612" t="s">
        <v>62</v>
      </c>
      <c r="C2612">
        <v>25</v>
      </c>
      <c r="D2612" t="str">
        <f>VLOOKUP(B2612,Products!$A:$E,2,FALSE)</f>
        <v>Product_27</v>
      </c>
      <c r="E2612" t="str">
        <f>VLOOKUP(B2612,Products!$A:$E,3,FALSE)</f>
        <v>Office Supplies</v>
      </c>
    </row>
    <row r="2613" spans="1:5" x14ac:dyDescent="0.3">
      <c r="A2613" t="s">
        <v>3623</v>
      </c>
      <c r="B2613" t="s">
        <v>408</v>
      </c>
      <c r="C2613">
        <v>86</v>
      </c>
      <c r="D2613" t="str">
        <f>VLOOKUP(B2613,Products!$A:$E,2,FALSE)</f>
        <v>Product_200</v>
      </c>
      <c r="E2613" t="str">
        <f>VLOOKUP(B2613,Products!$A:$E,3,FALSE)</f>
        <v>Office Supplies</v>
      </c>
    </row>
    <row r="2614" spans="1:5" x14ac:dyDescent="0.3">
      <c r="A2614" t="s">
        <v>3624</v>
      </c>
      <c r="B2614" t="s">
        <v>11</v>
      </c>
      <c r="C2614">
        <v>16</v>
      </c>
      <c r="D2614" t="str">
        <f>VLOOKUP(B2614,Products!$A:$E,2,FALSE)</f>
        <v>Product_3</v>
      </c>
      <c r="E2614" t="str">
        <f>VLOOKUP(B2614,Products!$A:$E,3,FALSE)</f>
        <v>Accessories</v>
      </c>
    </row>
    <row r="2615" spans="1:5" x14ac:dyDescent="0.3">
      <c r="A2615" t="s">
        <v>3625</v>
      </c>
      <c r="B2615" t="s">
        <v>852</v>
      </c>
      <c r="C2615">
        <v>23</v>
      </c>
      <c r="D2615" t="str">
        <f>VLOOKUP(B2615,Products!$A:$E,2,FALSE)</f>
        <v>Product_422</v>
      </c>
      <c r="E2615" t="str">
        <f>VLOOKUP(B2615,Products!$A:$E,3,FALSE)</f>
        <v>Accessories</v>
      </c>
    </row>
    <row r="2616" spans="1:5" x14ac:dyDescent="0.3">
      <c r="A2616" t="s">
        <v>3626</v>
      </c>
      <c r="B2616" t="s">
        <v>492</v>
      </c>
      <c r="C2616">
        <v>81</v>
      </c>
      <c r="D2616" t="str">
        <f>VLOOKUP(B2616,Products!$A:$E,2,FALSE)</f>
        <v>Product_242</v>
      </c>
      <c r="E2616" t="str">
        <f>VLOOKUP(B2616,Products!$A:$E,3,FALSE)</f>
        <v>Networking</v>
      </c>
    </row>
    <row r="2617" spans="1:5" x14ac:dyDescent="0.3">
      <c r="A2617" t="s">
        <v>3627</v>
      </c>
      <c r="B2617" t="s">
        <v>454</v>
      </c>
      <c r="C2617">
        <v>16</v>
      </c>
      <c r="D2617" t="str">
        <f>VLOOKUP(B2617,Products!$A:$E,2,FALSE)</f>
        <v>Product_223</v>
      </c>
      <c r="E2617" t="str">
        <f>VLOOKUP(B2617,Products!$A:$E,3,FALSE)</f>
        <v>Storage</v>
      </c>
    </row>
    <row r="2618" spans="1:5" x14ac:dyDescent="0.3">
      <c r="A2618" t="s">
        <v>3628</v>
      </c>
      <c r="B2618" t="s">
        <v>74</v>
      </c>
      <c r="C2618">
        <v>38</v>
      </c>
      <c r="D2618" t="str">
        <f>VLOOKUP(B2618,Products!$A:$E,2,FALSE)</f>
        <v>Product_33</v>
      </c>
      <c r="E2618" t="str">
        <f>VLOOKUP(B2618,Products!$A:$E,3,FALSE)</f>
        <v>Storage</v>
      </c>
    </row>
    <row r="2619" spans="1:5" x14ac:dyDescent="0.3">
      <c r="A2619" t="s">
        <v>3629</v>
      </c>
      <c r="B2619" t="s">
        <v>236</v>
      </c>
      <c r="C2619">
        <v>52</v>
      </c>
      <c r="D2619" t="str">
        <f>VLOOKUP(B2619,Products!$A:$E,2,FALSE)</f>
        <v>Product_114</v>
      </c>
      <c r="E2619" t="str">
        <f>VLOOKUP(B2619,Products!$A:$E,3,FALSE)</f>
        <v>Electronics</v>
      </c>
    </row>
    <row r="2620" spans="1:5" x14ac:dyDescent="0.3">
      <c r="A2620" t="s">
        <v>3630</v>
      </c>
      <c r="B2620" t="s">
        <v>90</v>
      </c>
      <c r="C2620">
        <v>82</v>
      </c>
      <c r="D2620" t="str">
        <f>VLOOKUP(B2620,Products!$A:$E,2,FALSE)</f>
        <v>Product_41</v>
      </c>
      <c r="E2620" t="str">
        <f>VLOOKUP(B2620,Products!$A:$E,3,FALSE)</f>
        <v>Accessories</v>
      </c>
    </row>
    <row r="2621" spans="1:5" x14ac:dyDescent="0.3">
      <c r="A2621" t="s">
        <v>3631</v>
      </c>
      <c r="B2621" t="s">
        <v>48</v>
      </c>
      <c r="C2621">
        <v>97</v>
      </c>
      <c r="D2621" t="str">
        <f>VLOOKUP(B2621,Products!$A:$E,2,FALSE)</f>
        <v>Product_20</v>
      </c>
      <c r="E2621" t="str">
        <f>VLOOKUP(B2621,Products!$A:$E,3,FALSE)</f>
        <v>Office Supplies</v>
      </c>
    </row>
    <row r="2622" spans="1:5" x14ac:dyDescent="0.3">
      <c r="A2622" t="s">
        <v>3632</v>
      </c>
      <c r="B2622" t="s">
        <v>402</v>
      </c>
      <c r="C2622">
        <v>56</v>
      </c>
      <c r="D2622" t="str">
        <f>VLOOKUP(B2622,Products!$A:$E,2,FALSE)</f>
        <v>Product_197</v>
      </c>
      <c r="E2622" t="str">
        <f>VLOOKUP(B2622,Products!$A:$E,3,FALSE)</f>
        <v>Electronics</v>
      </c>
    </row>
    <row r="2623" spans="1:5" x14ac:dyDescent="0.3">
      <c r="A2623" t="s">
        <v>3633</v>
      </c>
      <c r="B2623" t="s">
        <v>638</v>
      </c>
      <c r="C2623">
        <v>88</v>
      </c>
      <c r="D2623" t="str">
        <f>VLOOKUP(B2623,Products!$A:$E,2,FALSE)</f>
        <v>Product_315</v>
      </c>
      <c r="E2623" t="str">
        <f>VLOOKUP(B2623,Products!$A:$E,3,FALSE)</f>
        <v>Accessories</v>
      </c>
    </row>
    <row r="2624" spans="1:5" x14ac:dyDescent="0.3">
      <c r="A2624" t="s">
        <v>3634</v>
      </c>
      <c r="B2624" t="s">
        <v>542</v>
      </c>
      <c r="C2624">
        <v>41</v>
      </c>
      <c r="D2624" t="str">
        <f>VLOOKUP(B2624,Products!$A:$E,2,FALSE)</f>
        <v>Product_267</v>
      </c>
      <c r="E2624" t="str">
        <f>VLOOKUP(B2624,Products!$A:$E,3,FALSE)</f>
        <v>Networking</v>
      </c>
    </row>
    <row r="2625" spans="1:5" x14ac:dyDescent="0.3">
      <c r="A2625" t="s">
        <v>3635</v>
      </c>
      <c r="B2625" t="s">
        <v>738</v>
      </c>
      <c r="C2625">
        <v>81</v>
      </c>
      <c r="D2625" t="str">
        <f>VLOOKUP(B2625,Products!$A:$E,2,FALSE)</f>
        <v>Product_365</v>
      </c>
      <c r="E2625" t="str">
        <f>VLOOKUP(B2625,Products!$A:$E,3,FALSE)</f>
        <v>Storage</v>
      </c>
    </row>
    <row r="2626" spans="1:5" x14ac:dyDescent="0.3">
      <c r="A2626" t="s">
        <v>3636</v>
      </c>
      <c r="B2626" t="s">
        <v>68</v>
      </c>
      <c r="C2626">
        <v>27</v>
      </c>
      <c r="D2626" t="str">
        <f>VLOOKUP(B2626,Products!$A:$E,2,FALSE)</f>
        <v>Product_30</v>
      </c>
      <c r="E2626" t="str">
        <f>VLOOKUP(B2626,Products!$A:$E,3,FALSE)</f>
        <v>Accessories</v>
      </c>
    </row>
    <row r="2627" spans="1:5" x14ac:dyDescent="0.3">
      <c r="A2627" t="s">
        <v>3637</v>
      </c>
      <c r="B2627" t="s">
        <v>664</v>
      </c>
      <c r="C2627">
        <v>68</v>
      </c>
      <c r="D2627" t="str">
        <f>VLOOKUP(B2627,Products!$A:$E,2,FALSE)</f>
        <v>Product_328</v>
      </c>
      <c r="E2627" t="str">
        <f>VLOOKUP(B2627,Products!$A:$E,3,FALSE)</f>
        <v>Office Supplies</v>
      </c>
    </row>
    <row r="2628" spans="1:5" x14ac:dyDescent="0.3">
      <c r="A2628" t="s">
        <v>3638</v>
      </c>
      <c r="B2628" t="s">
        <v>458</v>
      </c>
      <c r="C2628">
        <v>6</v>
      </c>
      <c r="D2628" t="str">
        <f>VLOOKUP(B2628,Products!$A:$E,2,FALSE)</f>
        <v>Product_225</v>
      </c>
      <c r="E2628" t="str">
        <f>VLOOKUP(B2628,Products!$A:$E,3,FALSE)</f>
        <v>Accessories</v>
      </c>
    </row>
    <row r="2629" spans="1:5" x14ac:dyDescent="0.3">
      <c r="A2629" t="s">
        <v>3639</v>
      </c>
      <c r="B2629" t="s">
        <v>216</v>
      </c>
      <c r="C2629">
        <v>89</v>
      </c>
      <c r="D2629" t="str">
        <f>VLOOKUP(B2629,Products!$A:$E,2,FALSE)</f>
        <v>Product_104</v>
      </c>
      <c r="E2629" t="str">
        <f>VLOOKUP(B2629,Products!$A:$E,3,FALSE)</f>
        <v>Networking</v>
      </c>
    </row>
    <row r="2630" spans="1:5" x14ac:dyDescent="0.3">
      <c r="A2630" t="s">
        <v>3640</v>
      </c>
      <c r="B2630" t="s">
        <v>962</v>
      </c>
      <c r="C2630">
        <v>71</v>
      </c>
      <c r="D2630" t="str">
        <f>VLOOKUP(B2630,Products!$A:$E,2,FALSE)</f>
        <v>Product_477</v>
      </c>
      <c r="E2630" t="str">
        <f>VLOOKUP(B2630,Products!$A:$E,3,FALSE)</f>
        <v>Networking</v>
      </c>
    </row>
    <row r="2631" spans="1:5" x14ac:dyDescent="0.3">
      <c r="A2631" t="s">
        <v>3641</v>
      </c>
      <c r="B2631" t="s">
        <v>302</v>
      </c>
      <c r="C2631">
        <v>29</v>
      </c>
      <c r="D2631" t="str">
        <f>VLOOKUP(B2631,Products!$A:$E,2,FALSE)</f>
        <v>Product_147</v>
      </c>
      <c r="E2631" t="str">
        <f>VLOOKUP(B2631,Products!$A:$E,3,FALSE)</f>
        <v>Networking</v>
      </c>
    </row>
    <row r="2632" spans="1:5" x14ac:dyDescent="0.3">
      <c r="A2632" t="s">
        <v>3642</v>
      </c>
      <c r="B2632" t="s">
        <v>44</v>
      </c>
      <c r="C2632">
        <v>81</v>
      </c>
      <c r="D2632" t="str">
        <f>VLOOKUP(B2632,Products!$A:$E,2,FALSE)</f>
        <v>Product_18</v>
      </c>
      <c r="E2632" t="str">
        <f>VLOOKUP(B2632,Products!$A:$E,3,FALSE)</f>
        <v>Networking</v>
      </c>
    </row>
    <row r="2633" spans="1:5" x14ac:dyDescent="0.3">
      <c r="A2633" t="s">
        <v>3643</v>
      </c>
      <c r="B2633" t="s">
        <v>532</v>
      </c>
      <c r="C2633">
        <v>71</v>
      </c>
      <c r="D2633" t="str">
        <f>VLOOKUP(B2633,Products!$A:$E,2,FALSE)</f>
        <v>Product_262</v>
      </c>
      <c r="E2633" t="str">
        <f>VLOOKUP(B2633,Products!$A:$E,3,FALSE)</f>
        <v>Electronics</v>
      </c>
    </row>
    <row r="2634" spans="1:5" x14ac:dyDescent="0.3">
      <c r="A2634" t="s">
        <v>3644</v>
      </c>
      <c r="B2634" t="s">
        <v>724</v>
      </c>
      <c r="C2634">
        <v>34</v>
      </c>
      <c r="D2634" t="str">
        <f>VLOOKUP(B2634,Products!$A:$E,2,FALSE)</f>
        <v>Product_358</v>
      </c>
      <c r="E2634" t="str">
        <f>VLOOKUP(B2634,Products!$A:$E,3,FALSE)</f>
        <v>Storage</v>
      </c>
    </row>
    <row r="2635" spans="1:5" x14ac:dyDescent="0.3">
      <c r="A2635" t="s">
        <v>3645</v>
      </c>
      <c r="B2635" t="s">
        <v>638</v>
      </c>
      <c r="C2635">
        <v>26</v>
      </c>
      <c r="D2635" t="str">
        <f>VLOOKUP(B2635,Products!$A:$E,2,FALSE)</f>
        <v>Product_315</v>
      </c>
      <c r="E2635" t="str">
        <f>VLOOKUP(B2635,Products!$A:$E,3,FALSE)</f>
        <v>Accessories</v>
      </c>
    </row>
    <row r="2636" spans="1:5" x14ac:dyDescent="0.3">
      <c r="A2636" t="s">
        <v>3646</v>
      </c>
      <c r="B2636" t="s">
        <v>700</v>
      </c>
      <c r="C2636">
        <v>9</v>
      </c>
      <c r="D2636" t="str">
        <f>VLOOKUP(B2636,Products!$A:$E,2,FALSE)</f>
        <v>Product_346</v>
      </c>
      <c r="E2636" t="str">
        <f>VLOOKUP(B2636,Products!$A:$E,3,FALSE)</f>
        <v>Electronics</v>
      </c>
    </row>
    <row r="2637" spans="1:5" x14ac:dyDescent="0.3">
      <c r="A2637" t="s">
        <v>3647</v>
      </c>
      <c r="B2637" t="s">
        <v>378</v>
      </c>
      <c r="C2637">
        <v>35</v>
      </c>
      <c r="D2637" t="str">
        <f>VLOOKUP(B2637,Products!$A:$E,2,FALSE)</f>
        <v>Product_185</v>
      </c>
      <c r="E2637" t="str">
        <f>VLOOKUP(B2637,Products!$A:$E,3,FALSE)</f>
        <v>Storage</v>
      </c>
    </row>
    <row r="2638" spans="1:5" x14ac:dyDescent="0.3">
      <c r="A2638" t="s">
        <v>3648</v>
      </c>
      <c r="B2638" t="s">
        <v>680</v>
      </c>
      <c r="C2638">
        <v>5</v>
      </c>
      <c r="D2638" t="str">
        <f>VLOOKUP(B2638,Products!$A:$E,2,FALSE)</f>
        <v>Product_336</v>
      </c>
      <c r="E2638" t="str">
        <f>VLOOKUP(B2638,Products!$A:$E,3,FALSE)</f>
        <v>Storage</v>
      </c>
    </row>
    <row r="2639" spans="1:5" x14ac:dyDescent="0.3">
      <c r="A2639" t="s">
        <v>3649</v>
      </c>
      <c r="B2639" t="s">
        <v>1008</v>
      </c>
      <c r="C2639">
        <v>25</v>
      </c>
      <c r="D2639" t="str">
        <f>VLOOKUP(B2639,Products!$A:$E,2,FALSE)</f>
        <v>Product_500</v>
      </c>
      <c r="E2639" t="str">
        <f>VLOOKUP(B2639,Products!$A:$E,3,FALSE)</f>
        <v>Networking</v>
      </c>
    </row>
    <row r="2640" spans="1:5" x14ac:dyDescent="0.3">
      <c r="A2640" t="s">
        <v>3650</v>
      </c>
      <c r="B2640" t="s">
        <v>98</v>
      </c>
      <c r="C2640">
        <v>40</v>
      </c>
      <c r="D2640" t="str">
        <f>VLOOKUP(B2640,Products!$A:$E,2,FALSE)</f>
        <v>Product_45</v>
      </c>
      <c r="E2640" t="str">
        <f>VLOOKUP(B2640,Products!$A:$E,3,FALSE)</f>
        <v>Accessories</v>
      </c>
    </row>
    <row r="2641" spans="1:5" x14ac:dyDescent="0.3">
      <c r="A2641" t="s">
        <v>3651</v>
      </c>
      <c r="B2641" t="s">
        <v>808</v>
      </c>
      <c r="C2641">
        <v>56</v>
      </c>
      <c r="D2641" t="str">
        <f>VLOOKUP(B2641,Products!$A:$E,2,FALSE)</f>
        <v>Product_400</v>
      </c>
      <c r="E2641" t="str">
        <f>VLOOKUP(B2641,Products!$A:$E,3,FALSE)</f>
        <v>Networking</v>
      </c>
    </row>
    <row r="2642" spans="1:5" x14ac:dyDescent="0.3">
      <c r="A2642" t="s">
        <v>3652</v>
      </c>
      <c r="B2642" t="s">
        <v>370</v>
      </c>
      <c r="C2642">
        <v>90</v>
      </c>
      <c r="D2642" t="str">
        <f>VLOOKUP(B2642,Products!$A:$E,2,FALSE)</f>
        <v>Product_181</v>
      </c>
      <c r="E2642" t="str">
        <f>VLOOKUP(B2642,Products!$A:$E,3,FALSE)</f>
        <v>Storage</v>
      </c>
    </row>
    <row r="2643" spans="1:5" x14ac:dyDescent="0.3">
      <c r="A2643" t="s">
        <v>3653</v>
      </c>
      <c r="B2643" t="s">
        <v>414</v>
      </c>
      <c r="C2643">
        <v>56</v>
      </c>
      <c r="D2643" t="str">
        <f>VLOOKUP(B2643,Products!$A:$E,2,FALSE)</f>
        <v>Product_203</v>
      </c>
      <c r="E2643" t="str">
        <f>VLOOKUP(B2643,Products!$A:$E,3,FALSE)</f>
        <v>Accessories</v>
      </c>
    </row>
    <row r="2644" spans="1:5" x14ac:dyDescent="0.3">
      <c r="A2644" t="s">
        <v>3654</v>
      </c>
      <c r="B2644" t="s">
        <v>610</v>
      </c>
      <c r="C2644">
        <v>30</v>
      </c>
      <c r="D2644" t="str">
        <f>VLOOKUP(B2644,Products!$A:$E,2,FALSE)</f>
        <v>Product_301</v>
      </c>
      <c r="E2644" t="str">
        <f>VLOOKUP(B2644,Products!$A:$E,3,FALSE)</f>
        <v>Networking</v>
      </c>
    </row>
    <row r="2645" spans="1:5" x14ac:dyDescent="0.3">
      <c r="A2645" t="s">
        <v>3655</v>
      </c>
      <c r="B2645" t="s">
        <v>540</v>
      </c>
      <c r="C2645">
        <v>6</v>
      </c>
      <c r="D2645" t="str">
        <f>VLOOKUP(B2645,Products!$A:$E,2,FALSE)</f>
        <v>Product_266</v>
      </c>
      <c r="E2645" t="str">
        <f>VLOOKUP(B2645,Products!$A:$E,3,FALSE)</f>
        <v>Electronics</v>
      </c>
    </row>
    <row r="2646" spans="1:5" x14ac:dyDescent="0.3">
      <c r="A2646" t="s">
        <v>3656</v>
      </c>
      <c r="B2646" t="s">
        <v>764</v>
      </c>
      <c r="C2646">
        <v>95</v>
      </c>
      <c r="D2646" t="str">
        <f>VLOOKUP(B2646,Products!$A:$E,2,FALSE)</f>
        <v>Product_378</v>
      </c>
      <c r="E2646" t="str">
        <f>VLOOKUP(B2646,Products!$A:$E,3,FALSE)</f>
        <v>Electronics</v>
      </c>
    </row>
    <row r="2647" spans="1:5" x14ac:dyDescent="0.3">
      <c r="A2647" t="s">
        <v>3657</v>
      </c>
      <c r="B2647" t="s">
        <v>80</v>
      </c>
      <c r="C2647">
        <v>16</v>
      </c>
      <c r="D2647" t="str">
        <f>VLOOKUP(B2647,Products!$A:$E,2,FALSE)</f>
        <v>Product_36</v>
      </c>
      <c r="E2647" t="str">
        <f>VLOOKUP(B2647,Products!$A:$E,3,FALSE)</f>
        <v>Office Supplies</v>
      </c>
    </row>
    <row r="2648" spans="1:5" x14ac:dyDescent="0.3">
      <c r="A2648" t="s">
        <v>3658</v>
      </c>
      <c r="B2648" t="s">
        <v>572</v>
      </c>
      <c r="C2648">
        <v>41</v>
      </c>
      <c r="D2648" t="str">
        <f>VLOOKUP(B2648,Products!$A:$E,2,FALSE)</f>
        <v>Product_282</v>
      </c>
      <c r="E2648" t="str">
        <f>VLOOKUP(B2648,Products!$A:$E,3,FALSE)</f>
        <v>Networking</v>
      </c>
    </row>
    <row r="2649" spans="1:5" x14ac:dyDescent="0.3">
      <c r="A2649" t="s">
        <v>3659</v>
      </c>
      <c r="B2649" t="s">
        <v>752</v>
      </c>
      <c r="C2649">
        <v>76</v>
      </c>
      <c r="D2649" t="str">
        <f>VLOOKUP(B2649,Products!$A:$E,2,FALSE)</f>
        <v>Product_372</v>
      </c>
      <c r="E2649" t="str">
        <f>VLOOKUP(B2649,Products!$A:$E,3,FALSE)</f>
        <v>Networking</v>
      </c>
    </row>
    <row r="2650" spans="1:5" x14ac:dyDescent="0.3">
      <c r="A2650" t="s">
        <v>3660</v>
      </c>
      <c r="B2650" t="s">
        <v>946</v>
      </c>
      <c r="C2650">
        <v>79</v>
      </c>
      <c r="D2650" t="str">
        <f>VLOOKUP(B2650,Products!$A:$E,2,FALSE)</f>
        <v>Product_469</v>
      </c>
      <c r="E2650" t="str">
        <f>VLOOKUP(B2650,Products!$A:$E,3,FALSE)</f>
        <v>Office Supplies</v>
      </c>
    </row>
    <row r="2651" spans="1:5" x14ac:dyDescent="0.3">
      <c r="A2651" t="s">
        <v>3661</v>
      </c>
      <c r="B2651" t="s">
        <v>366</v>
      </c>
      <c r="C2651">
        <v>49</v>
      </c>
      <c r="D2651" t="str">
        <f>VLOOKUP(B2651,Products!$A:$E,2,FALSE)</f>
        <v>Product_179</v>
      </c>
      <c r="E2651" t="str">
        <f>VLOOKUP(B2651,Products!$A:$E,3,FALSE)</f>
        <v>Storage</v>
      </c>
    </row>
    <row r="2652" spans="1:5" x14ac:dyDescent="0.3">
      <c r="A2652" t="s">
        <v>3662</v>
      </c>
      <c r="B2652" t="s">
        <v>996</v>
      </c>
      <c r="C2652">
        <v>40</v>
      </c>
      <c r="D2652" t="str">
        <f>VLOOKUP(B2652,Products!$A:$E,2,FALSE)</f>
        <v>Product_494</v>
      </c>
      <c r="E2652" t="str">
        <f>VLOOKUP(B2652,Products!$A:$E,3,FALSE)</f>
        <v>Office Supplies</v>
      </c>
    </row>
    <row r="2653" spans="1:5" x14ac:dyDescent="0.3">
      <c r="A2653" t="s">
        <v>3663</v>
      </c>
      <c r="B2653" t="s">
        <v>240</v>
      </c>
      <c r="C2653">
        <v>82</v>
      </c>
      <c r="D2653" t="str">
        <f>VLOOKUP(B2653,Products!$A:$E,2,FALSE)</f>
        <v>Product_116</v>
      </c>
      <c r="E2653" t="str">
        <f>VLOOKUP(B2653,Products!$A:$E,3,FALSE)</f>
        <v>Storage</v>
      </c>
    </row>
    <row r="2654" spans="1:5" x14ac:dyDescent="0.3">
      <c r="A2654" t="s">
        <v>3664</v>
      </c>
      <c r="B2654" t="s">
        <v>996</v>
      </c>
      <c r="C2654">
        <v>29</v>
      </c>
      <c r="D2654" t="str">
        <f>VLOOKUP(B2654,Products!$A:$E,2,FALSE)</f>
        <v>Product_494</v>
      </c>
      <c r="E2654" t="str">
        <f>VLOOKUP(B2654,Products!$A:$E,3,FALSE)</f>
        <v>Office Supplies</v>
      </c>
    </row>
    <row r="2655" spans="1:5" x14ac:dyDescent="0.3">
      <c r="A2655" t="s">
        <v>3665</v>
      </c>
      <c r="B2655" t="s">
        <v>474</v>
      </c>
      <c r="C2655">
        <v>56</v>
      </c>
      <c r="D2655" t="str">
        <f>VLOOKUP(B2655,Products!$A:$E,2,FALSE)</f>
        <v>Product_233</v>
      </c>
      <c r="E2655" t="str">
        <f>VLOOKUP(B2655,Products!$A:$E,3,FALSE)</f>
        <v>Accessories</v>
      </c>
    </row>
    <row r="2656" spans="1:5" x14ac:dyDescent="0.3">
      <c r="A2656" t="s">
        <v>3666</v>
      </c>
      <c r="B2656" t="s">
        <v>598</v>
      </c>
      <c r="C2656">
        <v>5</v>
      </c>
      <c r="D2656" t="str">
        <f>VLOOKUP(B2656,Products!$A:$E,2,FALSE)</f>
        <v>Product_295</v>
      </c>
      <c r="E2656" t="str">
        <f>VLOOKUP(B2656,Products!$A:$E,3,FALSE)</f>
        <v>Networking</v>
      </c>
    </row>
    <row r="2657" spans="1:5" x14ac:dyDescent="0.3">
      <c r="A2657" t="s">
        <v>3667</v>
      </c>
      <c r="B2657" t="s">
        <v>276</v>
      </c>
      <c r="C2657">
        <v>27</v>
      </c>
      <c r="D2657" t="str">
        <f>VLOOKUP(B2657,Products!$A:$E,2,FALSE)</f>
        <v>Product_134</v>
      </c>
      <c r="E2657" t="str">
        <f>VLOOKUP(B2657,Products!$A:$E,3,FALSE)</f>
        <v>Accessories</v>
      </c>
    </row>
    <row r="2658" spans="1:5" x14ac:dyDescent="0.3">
      <c r="A2658" t="s">
        <v>3668</v>
      </c>
      <c r="B2658" t="s">
        <v>426</v>
      </c>
      <c r="C2658">
        <v>69</v>
      </c>
      <c r="D2658" t="str">
        <f>VLOOKUP(B2658,Products!$A:$E,2,FALSE)</f>
        <v>Product_209</v>
      </c>
      <c r="E2658" t="str">
        <f>VLOOKUP(B2658,Products!$A:$E,3,FALSE)</f>
        <v>Networking</v>
      </c>
    </row>
    <row r="2659" spans="1:5" x14ac:dyDescent="0.3">
      <c r="A2659" t="s">
        <v>3669</v>
      </c>
      <c r="B2659" t="s">
        <v>118</v>
      </c>
      <c r="C2659">
        <v>76</v>
      </c>
      <c r="D2659" t="str">
        <f>VLOOKUP(B2659,Products!$A:$E,2,FALSE)</f>
        <v>Product_55</v>
      </c>
      <c r="E2659" t="str">
        <f>VLOOKUP(B2659,Products!$A:$E,3,FALSE)</f>
        <v>Office Supplies</v>
      </c>
    </row>
    <row r="2660" spans="1:5" x14ac:dyDescent="0.3">
      <c r="A2660" t="s">
        <v>3670</v>
      </c>
      <c r="B2660" t="s">
        <v>84</v>
      </c>
      <c r="C2660">
        <v>69</v>
      </c>
      <c r="D2660" t="str">
        <f>VLOOKUP(B2660,Products!$A:$E,2,FALSE)</f>
        <v>Product_38</v>
      </c>
      <c r="E2660" t="str">
        <f>VLOOKUP(B2660,Products!$A:$E,3,FALSE)</f>
        <v>Accessories</v>
      </c>
    </row>
    <row r="2661" spans="1:5" x14ac:dyDescent="0.3">
      <c r="A2661" t="s">
        <v>3671</v>
      </c>
      <c r="B2661" t="s">
        <v>310</v>
      </c>
      <c r="C2661">
        <v>48</v>
      </c>
      <c r="D2661" t="str">
        <f>VLOOKUP(B2661,Products!$A:$E,2,FALSE)</f>
        <v>Product_151</v>
      </c>
      <c r="E2661" t="str">
        <f>VLOOKUP(B2661,Products!$A:$E,3,FALSE)</f>
        <v>Storage</v>
      </c>
    </row>
    <row r="2662" spans="1:5" x14ac:dyDescent="0.3">
      <c r="A2662" t="s">
        <v>3672</v>
      </c>
      <c r="B2662" t="s">
        <v>978</v>
      </c>
      <c r="C2662">
        <v>19</v>
      </c>
      <c r="D2662" t="str">
        <f>VLOOKUP(B2662,Products!$A:$E,2,FALSE)</f>
        <v>Product_485</v>
      </c>
      <c r="E2662" t="str">
        <f>VLOOKUP(B2662,Products!$A:$E,3,FALSE)</f>
        <v>Networking</v>
      </c>
    </row>
    <row r="2663" spans="1:5" x14ac:dyDescent="0.3">
      <c r="A2663" t="s">
        <v>3673</v>
      </c>
      <c r="B2663" t="s">
        <v>832</v>
      </c>
      <c r="C2663">
        <v>70</v>
      </c>
      <c r="D2663" t="str">
        <f>VLOOKUP(B2663,Products!$A:$E,2,FALSE)</f>
        <v>Product_412</v>
      </c>
      <c r="E2663" t="str">
        <f>VLOOKUP(B2663,Products!$A:$E,3,FALSE)</f>
        <v>Accessories</v>
      </c>
    </row>
    <row r="2664" spans="1:5" x14ac:dyDescent="0.3">
      <c r="A2664" t="s">
        <v>3674</v>
      </c>
      <c r="B2664" t="s">
        <v>988</v>
      </c>
      <c r="C2664">
        <v>37</v>
      </c>
      <c r="D2664" t="str">
        <f>VLOOKUP(B2664,Products!$A:$E,2,FALSE)</f>
        <v>Product_490</v>
      </c>
      <c r="E2664" t="str">
        <f>VLOOKUP(B2664,Products!$A:$E,3,FALSE)</f>
        <v>Storage</v>
      </c>
    </row>
    <row r="2665" spans="1:5" x14ac:dyDescent="0.3">
      <c r="A2665" t="s">
        <v>3675</v>
      </c>
      <c r="B2665" t="s">
        <v>906</v>
      </c>
      <c r="C2665">
        <v>73</v>
      </c>
      <c r="D2665" t="str">
        <f>VLOOKUP(B2665,Products!$A:$E,2,FALSE)</f>
        <v>Product_449</v>
      </c>
      <c r="E2665" t="str">
        <f>VLOOKUP(B2665,Products!$A:$E,3,FALSE)</f>
        <v>Networking</v>
      </c>
    </row>
    <row r="2666" spans="1:5" x14ac:dyDescent="0.3">
      <c r="A2666" t="s">
        <v>3676</v>
      </c>
      <c r="B2666" t="s">
        <v>842</v>
      </c>
      <c r="C2666">
        <v>78</v>
      </c>
      <c r="D2666" t="str">
        <f>VLOOKUP(B2666,Products!$A:$E,2,FALSE)</f>
        <v>Product_417</v>
      </c>
      <c r="E2666" t="str">
        <f>VLOOKUP(B2666,Products!$A:$E,3,FALSE)</f>
        <v>Accessories</v>
      </c>
    </row>
    <row r="2667" spans="1:5" x14ac:dyDescent="0.3">
      <c r="A2667" t="s">
        <v>3677</v>
      </c>
      <c r="B2667" t="s">
        <v>266</v>
      </c>
      <c r="C2667">
        <v>93</v>
      </c>
      <c r="D2667" t="str">
        <f>VLOOKUP(B2667,Products!$A:$E,2,FALSE)</f>
        <v>Product_129</v>
      </c>
      <c r="E2667" t="str">
        <f>VLOOKUP(B2667,Products!$A:$E,3,FALSE)</f>
        <v>Electronics</v>
      </c>
    </row>
    <row r="2668" spans="1:5" x14ac:dyDescent="0.3">
      <c r="A2668" t="s">
        <v>3678</v>
      </c>
      <c r="B2668" t="s">
        <v>462</v>
      </c>
      <c r="C2668">
        <v>53</v>
      </c>
      <c r="D2668" t="str">
        <f>VLOOKUP(B2668,Products!$A:$E,2,FALSE)</f>
        <v>Product_227</v>
      </c>
      <c r="E2668" t="str">
        <f>VLOOKUP(B2668,Products!$A:$E,3,FALSE)</f>
        <v>Accessories</v>
      </c>
    </row>
    <row r="2669" spans="1:5" x14ac:dyDescent="0.3">
      <c r="A2669" t="s">
        <v>3679</v>
      </c>
      <c r="B2669" t="s">
        <v>586</v>
      </c>
      <c r="C2669">
        <v>66</v>
      </c>
      <c r="D2669" t="str">
        <f>VLOOKUP(B2669,Products!$A:$E,2,FALSE)</f>
        <v>Product_289</v>
      </c>
      <c r="E2669" t="str">
        <f>VLOOKUP(B2669,Products!$A:$E,3,FALSE)</f>
        <v>Storage</v>
      </c>
    </row>
    <row r="2670" spans="1:5" x14ac:dyDescent="0.3">
      <c r="A2670" t="s">
        <v>3680</v>
      </c>
      <c r="B2670" t="s">
        <v>798</v>
      </c>
      <c r="C2670">
        <v>36</v>
      </c>
      <c r="D2670" t="str">
        <f>VLOOKUP(B2670,Products!$A:$E,2,FALSE)</f>
        <v>Product_395</v>
      </c>
      <c r="E2670" t="str">
        <f>VLOOKUP(B2670,Products!$A:$E,3,FALSE)</f>
        <v>Accessories</v>
      </c>
    </row>
    <row r="2671" spans="1:5" x14ac:dyDescent="0.3">
      <c r="A2671" t="s">
        <v>3681</v>
      </c>
      <c r="B2671" t="s">
        <v>784</v>
      </c>
      <c r="C2671">
        <v>48</v>
      </c>
      <c r="D2671" t="str">
        <f>VLOOKUP(B2671,Products!$A:$E,2,FALSE)</f>
        <v>Product_388</v>
      </c>
      <c r="E2671" t="str">
        <f>VLOOKUP(B2671,Products!$A:$E,3,FALSE)</f>
        <v>Office Supplies</v>
      </c>
    </row>
    <row r="2672" spans="1:5" x14ac:dyDescent="0.3">
      <c r="A2672" t="s">
        <v>3682</v>
      </c>
      <c r="B2672" t="s">
        <v>994</v>
      </c>
      <c r="C2672">
        <v>63</v>
      </c>
      <c r="D2672" t="str">
        <f>VLOOKUP(B2672,Products!$A:$E,2,FALSE)</f>
        <v>Product_493</v>
      </c>
      <c r="E2672" t="str">
        <f>VLOOKUP(B2672,Products!$A:$E,3,FALSE)</f>
        <v>Networking</v>
      </c>
    </row>
    <row r="2673" spans="1:5" x14ac:dyDescent="0.3">
      <c r="A2673" t="s">
        <v>3683</v>
      </c>
      <c r="B2673" t="s">
        <v>706</v>
      </c>
      <c r="C2673">
        <v>63</v>
      </c>
      <c r="D2673" t="str">
        <f>VLOOKUP(B2673,Products!$A:$E,2,FALSE)</f>
        <v>Product_349</v>
      </c>
      <c r="E2673" t="str">
        <f>VLOOKUP(B2673,Products!$A:$E,3,FALSE)</f>
        <v>Office Supplies</v>
      </c>
    </row>
    <row r="2674" spans="1:5" x14ac:dyDescent="0.3">
      <c r="A2674" t="s">
        <v>3684</v>
      </c>
      <c r="B2674" t="s">
        <v>928</v>
      </c>
      <c r="C2674">
        <v>80</v>
      </c>
      <c r="D2674" t="str">
        <f>VLOOKUP(B2674,Products!$A:$E,2,FALSE)</f>
        <v>Product_460</v>
      </c>
      <c r="E2674" t="str">
        <f>VLOOKUP(B2674,Products!$A:$E,3,FALSE)</f>
        <v>Accessories</v>
      </c>
    </row>
    <row r="2675" spans="1:5" x14ac:dyDescent="0.3">
      <c r="A2675" t="s">
        <v>3685</v>
      </c>
      <c r="B2675" t="s">
        <v>892</v>
      </c>
      <c r="C2675">
        <v>8</v>
      </c>
      <c r="D2675" t="str">
        <f>VLOOKUP(B2675,Products!$A:$E,2,FALSE)</f>
        <v>Product_442</v>
      </c>
      <c r="E2675" t="str">
        <f>VLOOKUP(B2675,Products!$A:$E,3,FALSE)</f>
        <v>Networking</v>
      </c>
    </row>
    <row r="2676" spans="1:5" x14ac:dyDescent="0.3">
      <c r="A2676" t="s">
        <v>3686</v>
      </c>
      <c r="B2676" t="s">
        <v>502</v>
      </c>
      <c r="C2676">
        <v>19</v>
      </c>
      <c r="D2676" t="str">
        <f>VLOOKUP(B2676,Products!$A:$E,2,FALSE)</f>
        <v>Product_247</v>
      </c>
      <c r="E2676" t="str">
        <f>VLOOKUP(B2676,Products!$A:$E,3,FALSE)</f>
        <v>Networking</v>
      </c>
    </row>
    <row r="2677" spans="1:5" x14ac:dyDescent="0.3">
      <c r="A2677" t="s">
        <v>3687</v>
      </c>
      <c r="B2677" t="s">
        <v>274</v>
      </c>
      <c r="C2677">
        <v>13</v>
      </c>
      <c r="D2677" t="str">
        <f>VLOOKUP(B2677,Products!$A:$E,2,FALSE)</f>
        <v>Product_133</v>
      </c>
      <c r="E2677" t="str">
        <f>VLOOKUP(B2677,Products!$A:$E,3,FALSE)</f>
        <v>Office Supplies</v>
      </c>
    </row>
    <row r="2678" spans="1:5" x14ac:dyDescent="0.3">
      <c r="A2678" t="s">
        <v>3688</v>
      </c>
      <c r="B2678" t="s">
        <v>400</v>
      </c>
      <c r="C2678">
        <v>86</v>
      </c>
      <c r="D2678" t="str">
        <f>VLOOKUP(B2678,Products!$A:$E,2,FALSE)</f>
        <v>Product_196</v>
      </c>
      <c r="E2678" t="str">
        <f>VLOOKUP(B2678,Products!$A:$E,3,FALSE)</f>
        <v>Office Supplies</v>
      </c>
    </row>
    <row r="2679" spans="1:5" x14ac:dyDescent="0.3">
      <c r="A2679" t="s">
        <v>3689</v>
      </c>
      <c r="B2679" t="s">
        <v>816</v>
      </c>
      <c r="C2679">
        <v>33</v>
      </c>
      <c r="D2679" t="str">
        <f>VLOOKUP(B2679,Products!$A:$E,2,FALSE)</f>
        <v>Product_404</v>
      </c>
      <c r="E2679" t="str">
        <f>VLOOKUP(B2679,Products!$A:$E,3,FALSE)</f>
        <v>Storage</v>
      </c>
    </row>
    <row r="2680" spans="1:5" x14ac:dyDescent="0.3">
      <c r="A2680" t="s">
        <v>3690</v>
      </c>
      <c r="B2680" t="s">
        <v>702</v>
      </c>
      <c r="C2680">
        <v>94</v>
      </c>
      <c r="D2680" t="str">
        <f>VLOOKUP(B2680,Products!$A:$E,2,FALSE)</f>
        <v>Product_347</v>
      </c>
      <c r="E2680" t="str">
        <f>VLOOKUP(B2680,Products!$A:$E,3,FALSE)</f>
        <v>Storage</v>
      </c>
    </row>
    <row r="2681" spans="1:5" x14ac:dyDescent="0.3">
      <c r="A2681" t="s">
        <v>3691</v>
      </c>
      <c r="B2681" t="s">
        <v>244</v>
      </c>
      <c r="C2681">
        <v>45</v>
      </c>
      <c r="D2681" t="str">
        <f>VLOOKUP(B2681,Products!$A:$E,2,FALSE)</f>
        <v>Product_118</v>
      </c>
      <c r="E2681" t="str">
        <f>VLOOKUP(B2681,Products!$A:$E,3,FALSE)</f>
        <v>Accessories</v>
      </c>
    </row>
    <row r="2682" spans="1:5" x14ac:dyDescent="0.3">
      <c r="A2682" t="s">
        <v>3692</v>
      </c>
      <c r="B2682" t="s">
        <v>432</v>
      </c>
      <c r="C2682">
        <v>50</v>
      </c>
      <c r="D2682" t="str">
        <f>VLOOKUP(B2682,Products!$A:$E,2,FALSE)</f>
        <v>Product_212</v>
      </c>
      <c r="E2682" t="str">
        <f>VLOOKUP(B2682,Products!$A:$E,3,FALSE)</f>
        <v>Networking</v>
      </c>
    </row>
    <row r="2683" spans="1:5" x14ac:dyDescent="0.3">
      <c r="A2683" t="s">
        <v>3693</v>
      </c>
      <c r="B2683" t="s">
        <v>538</v>
      </c>
      <c r="C2683">
        <v>73</v>
      </c>
      <c r="D2683" t="str">
        <f>VLOOKUP(B2683,Products!$A:$E,2,FALSE)</f>
        <v>Product_265</v>
      </c>
      <c r="E2683" t="str">
        <f>VLOOKUP(B2683,Products!$A:$E,3,FALSE)</f>
        <v>Accessories</v>
      </c>
    </row>
    <row r="2684" spans="1:5" x14ac:dyDescent="0.3">
      <c r="A2684" t="s">
        <v>3694</v>
      </c>
      <c r="B2684" t="s">
        <v>17</v>
      </c>
      <c r="C2684">
        <v>94</v>
      </c>
      <c r="D2684" t="str">
        <f>VLOOKUP(B2684,Products!$A:$E,2,FALSE)</f>
        <v>Product_5</v>
      </c>
      <c r="E2684" t="str">
        <f>VLOOKUP(B2684,Products!$A:$E,3,FALSE)</f>
        <v>Networking</v>
      </c>
    </row>
    <row r="2685" spans="1:5" x14ac:dyDescent="0.3">
      <c r="A2685" t="s">
        <v>3695</v>
      </c>
      <c r="B2685" t="s">
        <v>862</v>
      </c>
      <c r="C2685">
        <v>38</v>
      </c>
      <c r="D2685" t="str">
        <f>VLOOKUP(B2685,Products!$A:$E,2,FALSE)</f>
        <v>Product_427</v>
      </c>
      <c r="E2685" t="str">
        <f>VLOOKUP(B2685,Products!$A:$E,3,FALSE)</f>
        <v>Networking</v>
      </c>
    </row>
    <row r="2686" spans="1:5" x14ac:dyDescent="0.3">
      <c r="A2686" t="s">
        <v>3696</v>
      </c>
      <c r="B2686" t="s">
        <v>264</v>
      </c>
      <c r="C2686">
        <v>41</v>
      </c>
      <c r="D2686" t="str">
        <f>VLOOKUP(B2686,Products!$A:$E,2,FALSE)</f>
        <v>Product_128</v>
      </c>
      <c r="E2686" t="str">
        <f>VLOOKUP(B2686,Products!$A:$E,3,FALSE)</f>
        <v>Office Supplies</v>
      </c>
    </row>
    <row r="2687" spans="1:5" x14ac:dyDescent="0.3">
      <c r="A2687" t="s">
        <v>3697</v>
      </c>
      <c r="B2687" t="s">
        <v>104</v>
      </c>
      <c r="C2687">
        <v>56</v>
      </c>
      <c r="D2687" t="str">
        <f>VLOOKUP(B2687,Products!$A:$E,2,FALSE)</f>
        <v>Product_48</v>
      </c>
      <c r="E2687" t="str">
        <f>VLOOKUP(B2687,Products!$A:$E,3,FALSE)</f>
        <v>Accessories</v>
      </c>
    </row>
    <row r="2688" spans="1:5" x14ac:dyDescent="0.3">
      <c r="A2688" t="s">
        <v>3698</v>
      </c>
      <c r="B2688" t="s">
        <v>698</v>
      </c>
      <c r="C2688">
        <v>100</v>
      </c>
      <c r="D2688" t="str">
        <f>VLOOKUP(B2688,Products!$A:$E,2,FALSE)</f>
        <v>Product_345</v>
      </c>
      <c r="E2688" t="str">
        <f>VLOOKUP(B2688,Products!$A:$E,3,FALSE)</f>
        <v>Storage</v>
      </c>
    </row>
    <row r="2689" spans="1:5" x14ac:dyDescent="0.3">
      <c r="A2689" t="s">
        <v>3699</v>
      </c>
      <c r="B2689" t="s">
        <v>850</v>
      </c>
      <c r="C2689">
        <v>48</v>
      </c>
      <c r="D2689" t="str">
        <f>VLOOKUP(B2689,Products!$A:$E,2,FALSE)</f>
        <v>Product_421</v>
      </c>
      <c r="E2689" t="str">
        <f>VLOOKUP(B2689,Products!$A:$E,3,FALSE)</f>
        <v>Accessories</v>
      </c>
    </row>
    <row r="2690" spans="1:5" x14ac:dyDescent="0.3">
      <c r="A2690" t="s">
        <v>3700</v>
      </c>
      <c r="B2690" t="s">
        <v>86</v>
      </c>
      <c r="C2690">
        <v>75</v>
      </c>
      <c r="D2690" t="str">
        <f>VLOOKUP(B2690,Products!$A:$E,2,FALSE)</f>
        <v>Product_39</v>
      </c>
      <c r="E2690" t="str">
        <f>VLOOKUP(B2690,Products!$A:$E,3,FALSE)</f>
        <v>Networking</v>
      </c>
    </row>
    <row r="2691" spans="1:5" x14ac:dyDescent="0.3">
      <c r="A2691" t="s">
        <v>3701</v>
      </c>
      <c r="B2691" t="s">
        <v>962</v>
      </c>
      <c r="C2691">
        <v>27</v>
      </c>
      <c r="D2691" t="str">
        <f>VLOOKUP(B2691,Products!$A:$E,2,FALSE)</f>
        <v>Product_477</v>
      </c>
      <c r="E2691" t="str">
        <f>VLOOKUP(B2691,Products!$A:$E,3,FALSE)</f>
        <v>Networking</v>
      </c>
    </row>
    <row r="2692" spans="1:5" x14ac:dyDescent="0.3">
      <c r="A2692" t="s">
        <v>3702</v>
      </c>
      <c r="B2692" t="s">
        <v>496</v>
      </c>
      <c r="C2692">
        <v>45</v>
      </c>
      <c r="D2692" t="str">
        <f>VLOOKUP(B2692,Products!$A:$E,2,FALSE)</f>
        <v>Product_244</v>
      </c>
      <c r="E2692" t="str">
        <f>VLOOKUP(B2692,Products!$A:$E,3,FALSE)</f>
        <v>Accessories</v>
      </c>
    </row>
    <row r="2693" spans="1:5" x14ac:dyDescent="0.3">
      <c r="A2693" t="s">
        <v>3703</v>
      </c>
      <c r="B2693" t="s">
        <v>372</v>
      </c>
      <c r="C2693">
        <v>32</v>
      </c>
      <c r="D2693" t="str">
        <f>VLOOKUP(B2693,Products!$A:$E,2,FALSE)</f>
        <v>Product_182</v>
      </c>
      <c r="E2693" t="str">
        <f>VLOOKUP(B2693,Products!$A:$E,3,FALSE)</f>
        <v>Storage</v>
      </c>
    </row>
    <row r="2694" spans="1:5" x14ac:dyDescent="0.3">
      <c r="A2694" t="s">
        <v>3704</v>
      </c>
      <c r="B2694" t="s">
        <v>924</v>
      </c>
      <c r="C2694">
        <v>78</v>
      </c>
      <c r="D2694" t="str">
        <f>VLOOKUP(B2694,Products!$A:$E,2,FALSE)</f>
        <v>Product_458</v>
      </c>
      <c r="E2694" t="str">
        <f>VLOOKUP(B2694,Products!$A:$E,3,FALSE)</f>
        <v>Accessories</v>
      </c>
    </row>
    <row r="2695" spans="1:5" x14ac:dyDescent="0.3">
      <c r="A2695" t="s">
        <v>3705</v>
      </c>
      <c r="B2695" t="s">
        <v>284</v>
      </c>
      <c r="C2695">
        <v>28</v>
      </c>
      <c r="D2695" t="str">
        <f>VLOOKUP(B2695,Products!$A:$E,2,FALSE)</f>
        <v>Product_138</v>
      </c>
      <c r="E2695" t="str">
        <f>VLOOKUP(B2695,Products!$A:$E,3,FALSE)</f>
        <v>Electronics</v>
      </c>
    </row>
    <row r="2696" spans="1:5" x14ac:dyDescent="0.3">
      <c r="A2696" t="s">
        <v>3706</v>
      </c>
      <c r="B2696" t="s">
        <v>978</v>
      </c>
      <c r="C2696">
        <v>100</v>
      </c>
      <c r="D2696" t="str">
        <f>VLOOKUP(B2696,Products!$A:$E,2,FALSE)</f>
        <v>Product_485</v>
      </c>
      <c r="E2696" t="str">
        <f>VLOOKUP(B2696,Products!$A:$E,3,FALSE)</f>
        <v>Networking</v>
      </c>
    </row>
    <row r="2697" spans="1:5" x14ac:dyDescent="0.3">
      <c r="A2697" t="s">
        <v>3707</v>
      </c>
      <c r="B2697" t="s">
        <v>708</v>
      </c>
      <c r="C2697">
        <v>29</v>
      </c>
      <c r="D2697" t="str">
        <f>VLOOKUP(B2697,Products!$A:$E,2,FALSE)</f>
        <v>Product_350</v>
      </c>
      <c r="E2697" t="str">
        <f>VLOOKUP(B2697,Products!$A:$E,3,FALSE)</f>
        <v>Networking</v>
      </c>
    </row>
    <row r="2698" spans="1:5" x14ac:dyDescent="0.3">
      <c r="A2698" t="s">
        <v>3708</v>
      </c>
      <c r="B2698" t="s">
        <v>520</v>
      </c>
      <c r="C2698">
        <v>99</v>
      </c>
      <c r="D2698" t="str">
        <f>VLOOKUP(B2698,Products!$A:$E,2,FALSE)</f>
        <v>Product_256</v>
      </c>
      <c r="E2698" t="str">
        <f>VLOOKUP(B2698,Products!$A:$E,3,FALSE)</f>
        <v>Office Supplies</v>
      </c>
    </row>
    <row r="2699" spans="1:5" x14ac:dyDescent="0.3">
      <c r="A2699" t="s">
        <v>3709</v>
      </c>
      <c r="B2699" t="s">
        <v>214</v>
      </c>
      <c r="C2699">
        <v>35</v>
      </c>
      <c r="D2699" t="str">
        <f>VLOOKUP(B2699,Products!$A:$E,2,FALSE)</f>
        <v>Product_103</v>
      </c>
      <c r="E2699" t="str">
        <f>VLOOKUP(B2699,Products!$A:$E,3,FALSE)</f>
        <v>Accessories</v>
      </c>
    </row>
    <row r="2700" spans="1:5" x14ac:dyDescent="0.3">
      <c r="A2700" t="s">
        <v>3710</v>
      </c>
      <c r="B2700" t="s">
        <v>762</v>
      </c>
      <c r="C2700">
        <v>35</v>
      </c>
      <c r="D2700" t="str">
        <f>VLOOKUP(B2700,Products!$A:$E,2,FALSE)</f>
        <v>Product_377</v>
      </c>
      <c r="E2700" t="str">
        <f>VLOOKUP(B2700,Products!$A:$E,3,FALSE)</f>
        <v>Networking</v>
      </c>
    </row>
    <row r="2701" spans="1:5" x14ac:dyDescent="0.3">
      <c r="A2701" t="s">
        <v>3711</v>
      </c>
      <c r="B2701" t="s">
        <v>902</v>
      </c>
      <c r="C2701">
        <v>38</v>
      </c>
      <c r="D2701" t="str">
        <f>VLOOKUP(B2701,Products!$A:$E,2,FALSE)</f>
        <v>Product_447</v>
      </c>
      <c r="E2701" t="str">
        <f>VLOOKUP(B2701,Products!$A:$E,3,FALSE)</f>
        <v>Office Supplies</v>
      </c>
    </row>
    <row r="2702" spans="1:5" x14ac:dyDescent="0.3">
      <c r="A2702" t="s">
        <v>3712</v>
      </c>
      <c r="B2702" t="s">
        <v>220</v>
      </c>
      <c r="C2702">
        <v>34</v>
      </c>
      <c r="D2702" t="str">
        <f>VLOOKUP(B2702,Products!$A:$E,2,FALSE)</f>
        <v>Product_106</v>
      </c>
      <c r="E2702" t="str">
        <f>VLOOKUP(B2702,Products!$A:$E,3,FALSE)</f>
        <v>Networking</v>
      </c>
    </row>
    <row r="2703" spans="1:5" x14ac:dyDescent="0.3">
      <c r="A2703" t="s">
        <v>3713</v>
      </c>
      <c r="B2703" t="s">
        <v>216</v>
      </c>
      <c r="C2703">
        <v>36</v>
      </c>
      <c r="D2703" t="str">
        <f>VLOOKUP(B2703,Products!$A:$E,2,FALSE)</f>
        <v>Product_104</v>
      </c>
      <c r="E2703" t="str">
        <f>VLOOKUP(B2703,Products!$A:$E,3,FALSE)</f>
        <v>Networking</v>
      </c>
    </row>
    <row r="2704" spans="1:5" x14ac:dyDescent="0.3">
      <c r="A2704" t="s">
        <v>3714</v>
      </c>
      <c r="B2704" t="s">
        <v>866</v>
      </c>
      <c r="C2704">
        <v>84</v>
      </c>
      <c r="D2704" t="str">
        <f>VLOOKUP(B2704,Products!$A:$E,2,FALSE)</f>
        <v>Product_429</v>
      </c>
      <c r="E2704" t="str">
        <f>VLOOKUP(B2704,Products!$A:$E,3,FALSE)</f>
        <v>Office Supplies</v>
      </c>
    </row>
    <row r="2705" spans="1:5" x14ac:dyDescent="0.3">
      <c r="A2705" t="s">
        <v>3715</v>
      </c>
      <c r="B2705" t="s">
        <v>374</v>
      </c>
      <c r="C2705">
        <v>24</v>
      </c>
      <c r="D2705" t="str">
        <f>VLOOKUP(B2705,Products!$A:$E,2,FALSE)</f>
        <v>Product_183</v>
      </c>
      <c r="E2705" t="str">
        <f>VLOOKUP(B2705,Products!$A:$E,3,FALSE)</f>
        <v>Electronics</v>
      </c>
    </row>
    <row r="2706" spans="1:5" x14ac:dyDescent="0.3">
      <c r="A2706" t="s">
        <v>3716</v>
      </c>
      <c r="B2706" t="s">
        <v>806</v>
      </c>
      <c r="C2706">
        <v>18</v>
      </c>
      <c r="D2706" t="str">
        <f>VLOOKUP(B2706,Products!$A:$E,2,FALSE)</f>
        <v>Product_399</v>
      </c>
      <c r="E2706" t="str">
        <f>VLOOKUP(B2706,Products!$A:$E,3,FALSE)</f>
        <v>Networking</v>
      </c>
    </row>
    <row r="2707" spans="1:5" x14ac:dyDescent="0.3">
      <c r="A2707" t="s">
        <v>3717</v>
      </c>
      <c r="B2707" t="s">
        <v>132</v>
      </c>
      <c r="C2707">
        <v>15</v>
      </c>
      <c r="D2707" t="str">
        <f>VLOOKUP(B2707,Products!$A:$E,2,FALSE)</f>
        <v>Product_62</v>
      </c>
      <c r="E2707" t="str">
        <f>VLOOKUP(B2707,Products!$A:$E,3,FALSE)</f>
        <v>Accessories</v>
      </c>
    </row>
    <row r="2708" spans="1:5" x14ac:dyDescent="0.3">
      <c r="A2708" t="s">
        <v>3718</v>
      </c>
      <c r="B2708" t="s">
        <v>702</v>
      </c>
      <c r="C2708">
        <v>89</v>
      </c>
      <c r="D2708" t="str">
        <f>VLOOKUP(B2708,Products!$A:$E,2,FALSE)</f>
        <v>Product_347</v>
      </c>
      <c r="E2708" t="str">
        <f>VLOOKUP(B2708,Products!$A:$E,3,FALSE)</f>
        <v>Storage</v>
      </c>
    </row>
    <row r="2709" spans="1:5" x14ac:dyDescent="0.3">
      <c r="A2709" t="s">
        <v>3719</v>
      </c>
      <c r="B2709" t="s">
        <v>514</v>
      </c>
      <c r="C2709">
        <v>83</v>
      </c>
      <c r="D2709" t="str">
        <f>VLOOKUP(B2709,Products!$A:$E,2,FALSE)</f>
        <v>Product_253</v>
      </c>
      <c r="E2709" t="str">
        <f>VLOOKUP(B2709,Products!$A:$E,3,FALSE)</f>
        <v>Networking</v>
      </c>
    </row>
    <row r="2710" spans="1:5" x14ac:dyDescent="0.3">
      <c r="A2710" t="s">
        <v>3720</v>
      </c>
      <c r="B2710" t="s">
        <v>14</v>
      </c>
      <c r="C2710">
        <v>74</v>
      </c>
      <c r="D2710" t="str">
        <f>VLOOKUP(B2710,Products!$A:$E,2,FALSE)</f>
        <v>Product_4</v>
      </c>
      <c r="E2710" t="str">
        <f>VLOOKUP(B2710,Products!$A:$E,3,FALSE)</f>
        <v>Storage</v>
      </c>
    </row>
    <row r="2711" spans="1:5" x14ac:dyDescent="0.3">
      <c r="A2711" t="s">
        <v>3721</v>
      </c>
      <c r="B2711" t="s">
        <v>990</v>
      </c>
      <c r="C2711">
        <v>10</v>
      </c>
      <c r="D2711" t="str">
        <f>VLOOKUP(B2711,Products!$A:$E,2,FALSE)</f>
        <v>Product_491</v>
      </c>
      <c r="E2711" t="str">
        <f>VLOOKUP(B2711,Products!$A:$E,3,FALSE)</f>
        <v>Accessories</v>
      </c>
    </row>
    <row r="2712" spans="1:5" x14ac:dyDescent="0.3">
      <c r="A2712" t="s">
        <v>3722</v>
      </c>
      <c r="B2712" t="s">
        <v>878</v>
      </c>
      <c r="C2712">
        <v>66</v>
      </c>
      <c r="D2712" t="str">
        <f>VLOOKUP(B2712,Products!$A:$E,2,FALSE)</f>
        <v>Product_435</v>
      </c>
      <c r="E2712" t="str">
        <f>VLOOKUP(B2712,Products!$A:$E,3,FALSE)</f>
        <v>Accessories</v>
      </c>
    </row>
    <row r="2713" spans="1:5" x14ac:dyDescent="0.3">
      <c r="A2713" t="s">
        <v>3723</v>
      </c>
      <c r="B2713" t="s">
        <v>390</v>
      </c>
      <c r="C2713">
        <v>84</v>
      </c>
      <c r="D2713" t="str">
        <f>VLOOKUP(B2713,Products!$A:$E,2,FALSE)</f>
        <v>Product_191</v>
      </c>
      <c r="E2713" t="str">
        <f>VLOOKUP(B2713,Products!$A:$E,3,FALSE)</f>
        <v>Networking</v>
      </c>
    </row>
    <row r="2714" spans="1:5" x14ac:dyDescent="0.3">
      <c r="A2714" t="s">
        <v>3724</v>
      </c>
      <c r="B2714" t="s">
        <v>332</v>
      </c>
      <c r="C2714">
        <v>68</v>
      </c>
      <c r="D2714" t="str">
        <f>VLOOKUP(B2714,Products!$A:$E,2,FALSE)</f>
        <v>Product_162</v>
      </c>
      <c r="E2714" t="str">
        <f>VLOOKUP(B2714,Products!$A:$E,3,FALSE)</f>
        <v>Accessories</v>
      </c>
    </row>
    <row r="2715" spans="1:5" x14ac:dyDescent="0.3">
      <c r="A2715" t="s">
        <v>3725</v>
      </c>
      <c r="B2715" t="s">
        <v>928</v>
      </c>
      <c r="C2715">
        <v>78</v>
      </c>
      <c r="D2715" t="str">
        <f>VLOOKUP(B2715,Products!$A:$E,2,FALSE)</f>
        <v>Product_460</v>
      </c>
      <c r="E2715" t="str">
        <f>VLOOKUP(B2715,Products!$A:$E,3,FALSE)</f>
        <v>Accessories</v>
      </c>
    </row>
    <row r="2716" spans="1:5" x14ac:dyDescent="0.3">
      <c r="A2716" t="s">
        <v>3726</v>
      </c>
      <c r="B2716" t="s">
        <v>898</v>
      </c>
      <c r="C2716">
        <v>40</v>
      </c>
      <c r="D2716" t="str">
        <f>VLOOKUP(B2716,Products!$A:$E,2,FALSE)</f>
        <v>Product_445</v>
      </c>
      <c r="E2716" t="str">
        <f>VLOOKUP(B2716,Products!$A:$E,3,FALSE)</f>
        <v>Office Supplies</v>
      </c>
    </row>
    <row r="2717" spans="1:5" x14ac:dyDescent="0.3">
      <c r="A2717" t="s">
        <v>3727</v>
      </c>
      <c r="B2717" t="s">
        <v>512</v>
      </c>
      <c r="C2717">
        <v>28</v>
      </c>
      <c r="D2717" t="str">
        <f>VLOOKUP(B2717,Products!$A:$E,2,FALSE)</f>
        <v>Product_252</v>
      </c>
      <c r="E2717" t="str">
        <f>VLOOKUP(B2717,Products!$A:$E,3,FALSE)</f>
        <v>Networking</v>
      </c>
    </row>
    <row r="2718" spans="1:5" x14ac:dyDescent="0.3">
      <c r="A2718" t="s">
        <v>3728</v>
      </c>
      <c r="B2718" t="s">
        <v>792</v>
      </c>
      <c r="C2718">
        <v>70</v>
      </c>
      <c r="D2718" t="str">
        <f>VLOOKUP(B2718,Products!$A:$E,2,FALSE)</f>
        <v>Product_392</v>
      </c>
      <c r="E2718" t="str">
        <f>VLOOKUP(B2718,Products!$A:$E,3,FALSE)</f>
        <v>Electronics</v>
      </c>
    </row>
    <row r="2719" spans="1:5" x14ac:dyDescent="0.3">
      <c r="A2719" t="s">
        <v>3729</v>
      </c>
      <c r="B2719" t="s">
        <v>296</v>
      </c>
      <c r="C2719">
        <v>55</v>
      </c>
      <c r="D2719" t="str">
        <f>VLOOKUP(B2719,Products!$A:$E,2,FALSE)</f>
        <v>Product_144</v>
      </c>
      <c r="E2719" t="str">
        <f>VLOOKUP(B2719,Products!$A:$E,3,FALSE)</f>
        <v>Office Supplies</v>
      </c>
    </row>
    <row r="2720" spans="1:5" x14ac:dyDescent="0.3">
      <c r="A2720" t="s">
        <v>3730</v>
      </c>
      <c r="B2720" t="s">
        <v>236</v>
      </c>
      <c r="C2720">
        <v>78</v>
      </c>
      <c r="D2720" t="str">
        <f>VLOOKUP(B2720,Products!$A:$E,2,FALSE)</f>
        <v>Product_114</v>
      </c>
      <c r="E2720" t="str">
        <f>VLOOKUP(B2720,Products!$A:$E,3,FALSE)</f>
        <v>Electronics</v>
      </c>
    </row>
    <row r="2721" spans="1:5" x14ac:dyDescent="0.3">
      <c r="A2721" t="s">
        <v>3731</v>
      </c>
      <c r="B2721" t="s">
        <v>140</v>
      </c>
      <c r="C2721">
        <v>11</v>
      </c>
      <c r="D2721" t="str">
        <f>VLOOKUP(B2721,Products!$A:$E,2,FALSE)</f>
        <v>Product_66</v>
      </c>
      <c r="E2721" t="str">
        <f>VLOOKUP(B2721,Products!$A:$E,3,FALSE)</f>
        <v>Electronics</v>
      </c>
    </row>
    <row r="2722" spans="1:5" x14ac:dyDescent="0.3">
      <c r="A2722" t="s">
        <v>3732</v>
      </c>
      <c r="B2722" t="s">
        <v>548</v>
      </c>
      <c r="C2722">
        <v>59</v>
      </c>
      <c r="D2722" t="str">
        <f>VLOOKUP(B2722,Products!$A:$E,2,FALSE)</f>
        <v>Product_270</v>
      </c>
      <c r="E2722" t="str">
        <f>VLOOKUP(B2722,Products!$A:$E,3,FALSE)</f>
        <v>Electronics</v>
      </c>
    </row>
    <row r="2723" spans="1:5" x14ac:dyDescent="0.3">
      <c r="A2723" t="s">
        <v>3733</v>
      </c>
      <c r="B2723" t="s">
        <v>498</v>
      </c>
      <c r="C2723">
        <v>74</v>
      </c>
      <c r="D2723" t="str">
        <f>VLOOKUP(B2723,Products!$A:$E,2,FALSE)</f>
        <v>Product_245</v>
      </c>
      <c r="E2723" t="str">
        <f>VLOOKUP(B2723,Products!$A:$E,3,FALSE)</f>
        <v>Office Supplies</v>
      </c>
    </row>
    <row r="2724" spans="1:5" x14ac:dyDescent="0.3">
      <c r="A2724" t="s">
        <v>3734</v>
      </c>
      <c r="B2724" t="s">
        <v>42</v>
      </c>
      <c r="C2724">
        <v>69</v>
      </c>
      <c r="D2724" t="str">
        <f>VLOOKUP(B2724,Products!$A:$E,2,FALSE)</f>
        <v>Product_17</v>
      </c>
      <c r="E2724" t="str">
        <f>VLOOKUP(B2724,Products!$A:$E,3,FALSE)</f>
        <v>Office Supplies</v>
      </c>
    </row>
    <row r="2725" spans="1:5" x14ac:dyDescent="0.3">
      <c r="A2725" t="s">
        <v>3735</v>
      </c>
      <c r="B2725" t="s">
        <v>364</v>
      </c>
      <c r="C2725">
        <v>55</v>
      </c>
      <c r="D2725" t="str">
        <f>VLOOKUP(B2725,Products!$A:$E,2,FALSE)</f>
        <v>Product_178</v>
      </c>
      <c r="E2725" t="str">
        <f>VLOOKUP(B2725,Products!$A:$E,3,FALSE)</f>
        <v>Office Supplies</v>
      </c>
    </row>
    <row r="2726" spans="1:5" x14ac:dyDescent="0.3">
      <c r="A2726" t="s">
        <v>3736</v>
      </c>
      <c r="B2726" t="s">
        <v>890</v>
      </c>
      <c r="C2726">
        <v>92</v>
      </c>
      <c r="D2726" t="str">
        <f>VLOOKUP(B2726,Products!$A:$E,2,FALSE)</f>
        <v>Product_441</v>
      </c>
      <c r="E2726" t="str">
        <f>VLOOKUP(B2726,Products!$A:$E,3,FALSE)</f>
        <v>Storage</v>
      </c>
    </row>
    <row r="2727" spans="1:5" x14ac:dyDescent="0.3">
      <c r="A2727" t="s">
        <v>3737</v>
      </c>
      <c r="B2727" t="s">
        <v>804</v>
      </c>
      <c r="C2727">
        <v>27</v>
      </c>
      <c r="D2727" t="str">
        <f>VLOOKUP(B2727,Products!$A:$E,2,FALSE)</f>
        <v>Product_398</v>
      </c>
      <c r="E2727" t="str">
        <f>VLOOKUP(B2727,Products!$A:$E,3,FALSE)</f>
        <v>Networking</v>
      </c>
    </row>
    <row r="2728" spans="1:5" x14ac:dyDescent="0.3">
      <c r="A2728" t="s">
        <v>3738</v>
      </c>
      <c r="B2728" t="s">
        <v>478</v>
      </c>
      <c r="C2728">
        <v>20</v>
      </c>
      <c r="D2728" t="str">
        <f>VLOOKUP(B2728,Products!$A:$E,2,FALSE)</f>
        <v>Product_235</v>
      </c>
      <c r="E2728" t="str">
        <f>VLOOKUP(B2728,Products!$A:$E,3,FALSE)</f>
        <v>Accessories</v>
      </c>
    </row>
    <row r="2729" spans="1:5" x14ac:dyDescent="0.3">
      <c r="A2729" t="s">
        <v>3739</v>
      </c>
      <c r="B2729" t="s">
        <v>724</v>
      </c>
      <c r="C2729">
        <v>71</v>
      </c>
      <c r="D2729" t="str">
        <f>VLOOKUP(B2729,Products!$A:$E,2,FALSE)</f>
        <v>Product_358</v>
      </c>
      <c r="E2729" t="str">
        <f>VLOOKUP(B2729,Products!$A:$E,3,FALSE)</f>
        <v>Storage</v>
      </c>
    </row>
    <row r="2730" spans="1:5" x14ac:dyDescent="0.3">
      <c r="A2730" t="s">
        <v>3740</v>
      </c>
      <c r="B2730" t="s">
        <v>480</v>
      </c>
      <c r="C2730">
        <v>45</v>
      </c>
      <c r="D2730" t="str">
        <f>VLOOKUP(B2730,Products!$A:$E,2,FALSE)</f>
        <v>Product_236</v>
      </c>
      <c r="E2730" t="str">
        <f>VLOOKUP(B2730,Products!$A:$E,3,FALSE)</f>
        <v>Networking</v>
      </c>
    </row>
    <row r="2731" spans="1:5" x14ac:dyDescent="0.3">
      <c r="A2731" t="s">
        <v>3741</v>
      </c>
      <c r="B2731" t="s">
        <v>714</v>
      </c>
      <c r="C2731">
        <v>6</v>
      </c>
      <c r="D2731" t="str">
        <f>VLOOKUP(B2731,Products!$A:$E,2,FALSE)</f>
        <v>Product_353</v>
      </c>
      <c r="E2731" t="str">
        <f>VLOOKUP(B2731,Products!$A:$E,3,FALSE)</f>
        <v>Accessories</v>
      </c>
    </row>
    <row r="2732" spans="1:5" x14ac:dyDescent="0.3">
      <c r="A2732" t="s">
        <v>3742</v>
      </c>
      <c r="B2732" t="s">
        <v>22</v>
      </c>
      <c r="C2732">
        <v>91</v>
      </c>
      <c r="D2732" t="str">
        <f>VLOOKUP(B2732,Products!$A:$E,2,FALSE)</f>
        <v>Product_7</v>
      </c>
      <c r="E2732" t="str">
        <f>VLOOKUP(B2732,Products!$A:$E,3,FALSE)</f>
        <v>Storage</v>
      </c>
    </row>
    <row r="2733" spans="1:5" x14ac:dyDescent="0.3">
      <c r="A2733" t="s">
        <v>3743</v>
      </c>
      <c r="B2733" t="s">
        <v>224</v>
      </c>
      <c r="C2733">
        <v>53</v>
      </c>
      <c r="D2733" t="str">
        <f>VLOOKUP(B2733,Products!$A:$E,2,FALSE)</f>
        <v>Product_108</v>
      </c>
      <c r="E2733" t="str">
        <f>VLOOKUP(B2733,Products!$A:$E,3,FALSE)</f>
        <v>Networking</v>
      </c>
    </row>
    <row r="2734" spans="1:5" x14ac:dyDescent="0.3">
      <c r="A2734" t="s">
        <v>3744</v>
      </c>
      <c r="B2734" t="s">
        <v>604</v>
      </c>
      <c r="C2734">
        <v>17</v>
      </c>
      <c r="D2734" t="str">
        <f>VLOOKUP(B2734,Products!$A:$E,2,FALSE)</f>
        <v>Product_298</v>
      </c>
      <c r="E2734" t="str">
        <f>VLOOKUP(B2734,Products!$A:$E,3,FALSE)</f>
        <v>Office Supplies</v>
      </c>
    </row>
    <row r="2735" spans="1:5" x14ac:dyDescent="0.3">
      <c r="A2735" t="s">
        <v>3745</v>
      </c>
      <c r="B2735" t="s">
        <v>342</v>
      </c>
      <c r="C2735">
        <v>51</v>
      </c>
      <c r="D2735" t="str">
        <f>VLOOKUP(B2735,Products!$A:$E,2,FALSE)</f>
        <v>Product_167</v>
      </c>
      <c r="E2735" t="str">
        <f>VLOOKUP(B2735,Products!$A:$E,3,FALSE)</f>
        <v>Electronics</v>
      </c>
    </row>
    <row r="2736" spans="1:5" x14ac:dyDescent="0.3">
      <c r="A2736" t="s">
        <v>3746</v>
      </c>
      <c r="B2736" t="s">
        <v>636</v>
      </c>
      <c r="C2736">
        <v>38</v>
      </c>
      <c r="D2736" t="str">
        <f>VLOOKUP(B2736,Products!$A:$E,2,FALSE)</f>
        <v>Product_314</v>
      </c>
      <c r="E2736" t="str">
        <f>VLOOKUP(B2736,Products!$A:$E,3,FALSE)</f>
        <v>Storage</v>
      </c>
    </row>
    <row r="2737" spans="1:5" x14ac:dyDescent="0.3">
      <c r="A2737" t="s">
        <v>3747</v>
      </c>
      <c r="B2737" t="s">
        <v>200</v>
      </c>
      <c r="C2737">
        <v>75</v>
      </c>
      <c r="D2737" t="str">
        <f>VLOOKUP(B2737,Products!$A:$E,2,FALSE)</f>
        <v>Product_96</v>
      </c>
      <c r="E2737" t="str">
        <f>VLOOKUP(B2737,Products!$A:$E,3,FALSE)</f>
        <v>Office Supplies</v>
      </c>
    </row>
    <row r="2738" spans="1:5" x14ac:dyDescent="0.3">
      <c r="A2738" t="s">
        <v>3748</v>
      </c>
      <c r="B2738" t="s">
        <v>278</v>
      </c>
      <c r="C2738">
        <v>35</v>
      </c>
      <c r="D2738" t="str">
        <f>VLOOKUP(B2738,Products!$A:$E,2,FALSE)</f>
        <v>Product_135</v>
      </c>
      <c r="E2738" t="str">
        <f>VLOOKUP(B2738,Products!$A:$E,3,FALSE)</f>
        <v>Accessories</v>
      </c>
    </row>
    <row r="2739" spans="1:5" x14ac:dyDescent="0.3">
      <c r="A2739" t="s">
        <v>3749</v>
      </c>
      <c r="B2739" t="s">
        <v>284</v>
      </c>
      <c r="C2739">
        <v>65</v>
      </c>
      <c r="D2739" t="str">
        <f>VLOOKUP(B2739,Products!$A:$E,2,FALSE)</f>
        <v>Product_138</v>
      </c>
      <c r="E2739" t="str">
        <f>VLOOKUP(B2739,Products!$A:$E,3,FALSE)</f>
        <v>Electronics</v>
      </c>
    </row>
    <row r="2740" spans="1:5" x14ac:dyDescent="0.3">
      <c r="A2740" t="s">
        <v>3750</v>
      </c>
      <c r="B2740" t="s">
        <v>990</v>
      </c>
      <c r="C2740">
        <v>83</v>
      </c>
      <c r="D2740" t="str">
        <f>VLOOKUP(B2740,Products!$A:$E,2,FALSE)</f>
        <v>Product_491</v>
      </c>
      <c r="E2740" t="str">
        <f>VLOOKUP(B2740,Products!$A:$E,3,FALSE)</f>
        <v>Accessories</v>
      </c>
    </row>
    <row r="2741" spans="1:5" x14ac:dyDescent="0.3">
      <c r="A2741" t="s">
        <v>3751</v>
      </c>
      <c r="B2741" t="s">
        <v>360</v>
      </c>
      <c r="C2741">
        <v>51</v>
      </c>
      <c r="D2741" t="str">
        <f>VLOOKUP(B2741,Products!$A:$E,2,FALSE)</f>
        <v>Product_176</v>
      </c>
      <c r="E2741" t="str">
        <f>VLOOKUP(B2741,Products!$A:$E,3,FALSE)</f>
        <v>Electronics</v>
      </c>
    </row>
    <row r="2742" spans="1:5" x14ac:dyDescent="0.3">
      <c r="A2742" t="s">
        <v>3752</v>
      </c>
      <c r="B2742" t="s">
        <v>198</v>
      </c>
      <c r="C2742">
        <v>68</v>
      </c>
      <c r="D2742" t="str">
        <f>VLOOKUP(B2742,Products!$A:$E,2,FALSE)</f>
        <v>Product_95</v>
      </c>
      <c r="E2742" t="str">
        <f>VLOOKUP(B2742,Products!$A:$E,3,FALSE)</f>
        <v>Electronics</v>
      </c>
    </row>
    <row r="2743" spans="1:5" x14ac:dyDescent="0.3">
      <c r="A2743" t="s">
        <v>3753</v>
      </c>
      <c r="B2743" t="s">
        <v>444</v>
      </c>
      <c r="C2743">
        <v>31</v>
      </c>
      <c r="D2743" t="str">
        <f>VLOOKUP(B2743,Products!$A:$E,2,FALSE)</f>
        <v>Product_218</v>
      </c>
      <c r="E2743" t="str">
        <f>VLOOKUP(B2743,Products!$A:$E,3,FALSE)</f>
        <v>Accessories</v>
      </c>
    </row>
    <row r="2744" spans="1:5" x14ac:dyDescent="0.3">
      <c r="A2744" t="s">
        <v>3754</v>
      </c>
      <c r="B2744" t="s">
        <v>438</v>
      </c>
      <c r="C2744">
        <v>94</v>
      </c>
      <c r="D2744" t="str">
        <f>VLOOKUP(B2744,Products!$A:$E,2,FALSE)</f>
        <v>Product_215</v>
      </c>
      <c r="E2744" t="str">
        <f>VLOOKUP(B2744,Products!$A:$E,3,FALSE)</f>
        <v>Electronics</v>
      </c>
    </row>
    <row r="2745" spans="1:5" x14ac:dyDescent="0.3">
      <c r="A2745" t="s">
        <v>3755</v>
      </c>
      <c r="B2745" t="s">
        <v>780</v>
      </c>
      <c r="C2745">
        <v>52</v>
      </c>
      <c r="D2745" t="str">
        <f>VLOOKUP(B2745,Products!$A:$E,2,FALSE)</f>
        <v>Product_386</v>
      </c>
      <c r="E2745" t="str">
        <f>VLOOKUP(B2745,Products!$A:$E,3,FALSE)</f>
        <v>Electronics</v>
      </c>
    </row>
    <row r="2746" spans="1:5" x14ac:dyDescent="0.3">
      <c r="A2746" t="s">
        <v>3756</v>
      </c>
      <c r="B2746" t="s">
        <v>382</v>
      </c>
      <c r="C2746">
        <v>56</v>
      </c>
      <c r="D2746" t="str">
        <f>VLOOKUP(B2746,Products!$A:$E,2,FALSE)</f>
        <v>Product_187</v>
      </c>
      <c r="E2746" t="str">
        <f>VLOOKUP(B2746,Products!$A:$E,3,FALSE)</f>
        <v>Electronics</v>
      </c>
    </row>
    <row r="2747" spans="1:5" x14ac:dyDescent="0.3">
      <c r="A2747" t="s">
        <v>3757</v>
      </c>
      <c r="B2747" t="s">
        <v>296</v>
      </c>
      <c r="C2747">
        <v>62</v>
      </c>
      <c r="D2747" t="str">
        <f>VLOOKUP(B2747,Products!$A:$E,2,FALSE)</f>
        <v>Product_144</v>
      </c>
      <c r="E2747" t="str">
        <f>VLOOKUP(B2747,Products!$A:$E,3,FALSE)</f>
        <v>Office Supplies</v>
      </c>
    </row>
    <row r="2748" spans="1:5" x14ac:dyDescent="0.3">
      <c r="A2748" t="s">
        <v>3758</v>
      </c>
      <c r="B2748" t="s">
        <v>194</v>
      </c>
      <c r="C2748">
        <v>78</v>
      </c>
      <c r="D2748" t="str">
        <f>VLOOKUP(B2748,Products!$A:$E,2,FALSE)</f>
        <v>Product_93</v>
      </c>
      <c r="E2748" t="str">
        <f>VLOOKUP(B2748,Products!$A:$E,3,FALSE)</f>
        <v>Office Supplies</v>
      </c>
    </row>
    <row r="2749" spans="1:5" x14ac:dyDescent="0.3">
      <c r="A2749" t="s">
        <v>3759</v>
      </c>
      <c r="B2749" t="s">
        <v>144</v>
      </c>
      <c r="C2749">
        <v>78</v>
      </c>
      <c r="D2749" t="str">
        <f>VLOOKUP(B2749,Products!$A:$E,2,FALSE)</f>
        <v>Product_68</v>
      </c>
      <c r="E2749" t="str">
        <f>VLOOKUP(B2749,Products!$A:$E,3,FALSE)</f>
        <v>Accessories</v>
      </c>
    </row>
    <row r="2750" spans="1:5" x14ac:dyDescent="0.3">
      <c r="A2750" t="s">
        <v>3760</v>
      </c>
      <c r="B2750" t="s">
        <v>712</v>
      </c>
      <c r="C2750">
        <v>34</v>
      </c>
      <c r="D2750" t="str">
        <f>VLOOKUP(B2750,Products!$A:$E,2,FALSE)</f>
        <v>Product_352</v>
      </c>
      <c r="E2750" t="str">
        <f>VLOOKUP(B2750,Products!$A:$E,3,FALSE)</f>
        <v>Storage</v>
      </c>
    </row>
    <row r="2751" spans="1:5" x14ac:dyDescent="0.3">
      <c r="A2751" t="s">
        <v>3761</v>
      </c>
      <c r="B2751" t="s">
        <v>842</v>
      </c>
      <c r="C2751">
        <v>17</v>
      </c>
      <c r="D2751" t="str">
        <f>VLOOKUP(B2751,Products!$A:$E,2,FALSE)</f>
        <v>Product_417</v>
      </c>
      <c r="E2751" t="str">
        <f>VLOOKUP(B2751,Products!$A:$E,3,FALSE)</f>
        <v>Accessories</v>
      </c>
    </row>
    <row r="2752" spans="1:5" x14ac:dyDescent="0.3">
      <c r="A2752" t="s">
        <v>3762</v>
      </c>
      <c r="B2752" t="s">
        <v>748</v>
      </c>
      <c r="C2752">
        <v>39</v>
      </c>
      <c r="D2752" t="str">
        <f>VLOOKUP(B2752,Products!$A:$E,2,FALSE)</f>
        <v>Product_370</v>
      </c>
      <c r="E2752" t="str">
        <f>VLOOKUP(B2752,Products!$A:$E,3,FALSE)</f>
        <v>Networking</v>
      </c>
    </row>
    <row r="2753" spans="1:5" x14ac:dyDescent="0.3">
      <c r="A2753" t="s">
        <v>3763</v>
      </c>
      <c r="B2753" t="s">
        <v>832</v>
      </c>
      <c r="C2753">
        <v>35</v>
      </c>
      <c r="D2753" t="str">
        <f>VLOOKUP(B2753,Products!$A:$E,2,FALSE)</f>
        <v>Product_412</v>
      </c>
      <c r="E2753" t="str">
        <f>VLOOKUP(B2753,Products!$A:$E,3,FALSE)</f>
        <v>Accessories</v>
      </c>
    </row>
    <row r="2754" spans="1:5" x14ac:dyDescent="0.3">
      <c r="A2754" t="s">
        <v>3764</v>
      </c>
      <c r="B2754" t="s">
        <v>578</v>
      </c>
      <c r="C2754">
        <v>60</v>
      </c>
      <c r="D2754" t="str">
        <f>VLOOKUP(B2754,Products!$A:$E,2,FALSE)</f>
        <v>Product_285</v>
      </c>
      <c r="E2754" t="str">
        <f>VLOOKUP(B2754,Products!$A:$E,3,FALSE)</f>
        <v>Networking</v>
      </c>
    </row>
    <row r="2755" spans="1:5" x14ac:dyDescent="0.3">
      <c r="A2755" t="s">
        <v>3765</v>
      </c>
      <c r="B2755" t="s">
        <v>886</v>
      </c>
      <c r="C2755">
        <v>53</v>
      </c>
      <c r="D2755" t="str">
        <f>VLOOKUP(B2755,Products!$A:$E,2,FALSE)</f>
        <v>Product_439</v>
      </c>
      <c r="E2755" t="str">
        <f>VLOOKUP(B2755,Products!$A:$E,3,FALSE)</f>
        <v>Networking</v>
      </c>
    </row>
    <row r="2756" spans="1:5" x14ac:dyDescent="0.3">
      <c r="A2756" t="s">
        <v>3766</v>
      </c>
      <c r="B2756" t="s">
        <v>210</v>
      </c>
      <c r="C2756">
        <v>23</v>
      </c>
      <c r="D2756" t="str">
        <f>VLOOKUP(B2756,Products!$A:$E,2,FALSE)</f>
        <v>Product_101</v>
      </c>
      <c r="E2756" t="str">
        <f>VLOOKUP(B2756,Products!$A:$E,3,FALSE)</f>
        <v>Storage</v>
      </c>
    </row>
    <row r="2757" spans="1:5" x14ac:dyDescent="0.3">
      <c r="A2757" t="s">
        <v>3767</v>
      </c>
      <c r="B2757" t="s">
        <v>828</v>
      </c>
      <c r="C2757">
        <v>99</v>
      </c>
      <c r="D2757" t="str">
        <f>VLOOKUP(B2757,Products!$A:$E,2,FALSE)</f>
        <v>Product_410</v>
      </c>
      <c r="E2757" t="str">
        <f>VLOOKUP(B2757,Products!$A:$E,3,FALSE)</f>
        <v>Storage</v>
      </c>
    </row>
    <row r="2758" spans="1:5" x14ac:dyDescent="0.3">
      <c r="A2758" t="s">
        <v>3768</v>
      </c>
      <c r="B2758" t="s">
        <v>162</v>
      </c>
      <c r="C2758">
        <v>65</v>
      </c>
      <c r="D2758" t="str">
        <f>VLOOKUP(B2758,Products!$A:$E,2,FALSE)</f>
        <v>Product_77</v>
      </c>
      <c r="E2758" t="str">
        <f>VLOOKUP(B2758,Products!$A:$E,3,FALSE)</f>
        <v>Networking</v>
      </c>
    </row>
    <row r="2759" spans="1:5" x14ac:dyDescent="0.3">
      <c r="A2759" t="s">
        <v>3769</v>
      </c>
      <c r="B2759" t="s">
        <v>834</v>
      </c>
      <c r="C2759">
        <v>6</v>
      </c>
      <c r="D2759" t="str">
        <f>VLOOKUP(B2759,Products!$A:$E,2,FALSE)</f>
        <v>Product_413</v>
      </c>
      <c r="E2759" t="str">
        <f>VLOOKUP(B2759,Products!$A:$E,3,FALSE)</f>
        <v>Accessories</v>
      </c>
    </row>
    <row r="2760" spans="1:5" x14ac:dyDescent="0.3">
      <c r="A2760" t="s">
        <v>3770</v>
      </c>
      <c r="B2760" t="s">
        <v>190</v>
      </c>
      <c r="C2760">
        <v>58</v>
      </c>
      <c r="D2760" t="str">
        <f>VLOOKUP(B2760,Products!$A:$E,2,FALSE)</f>
        <v>Product_91</v>
      </c>
      <c r="E2760" t="str">
        <f>VLOOKUP(B2760,Products!$A:$E,3,FALSE)</f>
        <v>Networking</v>
      </c>
    </row>
    <row r="2761" spans="1:5" x14ac:dyDescent="0.3">
      <c r="A2761" t="s">
        <v>3771</v>
      </c>
      <c r="B2761" t="s">
        <v>520</v>
      </c>
      <c r="C2761">
        <v>22</v>
      </c>
      <c r="D2761" t="str">
        <f>VLOOKUP(B2761,Products!$A:$E,2,FALSE)</f>
        <v>Product_256</v>
      </c>
      <c r="E2761" t="str">
        <f>VLOOKUP(B2761,Products!$A:$E,3,FALSE)</f>
        <v>Office Supplies</v>
      </c>
    </row>
    <row r="2762" spans="1:5" x14ac:dyDescent="0.3">
      <c r="A2762" t="s">
        <v>3772</v>
      </c>
      <c r="B2762" t="s">
        <v>924</v>
      </c>
      <c r="C2762">
        <v>85</v>
      </c>
      <c r="D2762" t="str">
        <f>VLOOKUP(B2762,Products!$A:$E,2,FALSE)</f>
        <v>Product_458</v>
      </c>
      <c r="E2762" t="str">
        <f>VLOOKUP(B2762,Products!$A:$E,3,FALSE)</f>
        <v>Accessories</v>
      </c>
    </row>
    <row r="2763" spans="1:5" x14ac:dyDescent="0.3">
      <c r="A2763" t="s">
        <v>3773</v>
      </c>
      <c r="B2763" t="s">
        <v>538</v>
      </c>
      <c r="C2763">
        <v>73</v>
      </c>
      <c r="D2763" t="str">
        <f>VLOOKUP(B2763,Products!$A:$E,2,FALSE)</f>
        <v>Product_265</v>
      </c>
      <c r="E2763" t="str">
        <f>VLOOKUP(B2763,Products!$A:$E,3,FALSE)</f>
        <v>Accessories</v>
      </c>
    </row>
    <row r="2764" spans="1:5" x14ac:dyDescent="0.3">
      <c r="A2764" t="s">
        <v>3774</v>
      </c>
      <c r="B2764" t="s">
        <v>746</v>
      </c>
      <c r="C2764">
        <v>45</v>
      </c>
      <c r="D2764" t="str">
        <f>VLOOKUP(B2764,Products!$A:$E,2,FALSE)</f>
        <v>Product_369</v>
      </c>
      <c r="E2764" t="str">
        <f>VLOOKUP(B2764,Products!$A:$E,3,FALSE)</f>
        <v>Accessories</v>
      </c>
    </row>
    <row r="2765" spans="1:5" x14ac:dyDescent="0.3">
      <c r="A2765" t="s">
        <v>3775</v>
      </c>
      <c r="B2765" t="s">
        <v>814</v>
      </c>
      <c r="C2765">
        <v>67</v>
      </c>
      <c r="D2765" t="str">
        <f>VLOOKUP(B2765,Products!$A:$E,2,FALSE)</f>
        <v>Product_403</v>
      </c>
      <c r="E2765" t="str">
        <f>VLOOKUP(B2765,Products!$A:$E,3,FALSE)</f>
        <v>Networking</v>
      </c>
    </row>
    <row r="2766" spans="1:5" x14ac:dyDescent="0.3">
      <c r="A2766" t="s">
        <v>3776</v>
      </c>
      <c r="B2766" t="s">
        <v>316</v>
      </c>
      <c r="C2766">
        <v>37</v>
      </c>
      <c r="D2766" t="str">
        <f>VLOOKUP(B2766,Products!$A:$E,2,FALSE)</f>
        <v>Product_154</v>
      </c>
      <c r="E2766" t="str">
        <f>VLOOKUP(B2766,Products!$A:$E,3,FALSE)</f>
        <v>Accessories</v>
      </c>
    </row>
    <row r="2767" spans="1:5" x14ac:dyDescent="0.3">
      <c r="A2767" t="s">
        <v>3777</v>
      </c>
      <c r="B2767" t="s">
        <v>584</v>
      </c>
      <c r="C2767">
        <v>77</v>
      </c>
      <c r="D2767" t="str">
        <f>VLOOKUP(B2767,Products!$A:$E,2,FALSE)</f>
        <v>Product_288</v>
      </c>
      <c r="E2767" t="str">
        <f>VLOOKUP(B2767,Products!$A:$E,3,FALSE)</f>
        <v>Networking</v>
      </c>
    </row>
    <row r="2768" spans="1:5" x14ac:dyDescent="0.3">
      <c r="A2768" t="s">
        <v>3778</v>
      </c>
      <c r="B2768" t="s">
        <v>58</v>
      </c>
      <c r="C2768">
        <v>55</v>
      </c>
      <c r="D2768" t="str">
        <f>VLOOKUP(B2768,Products!$A:$E,2,FALSE)</f>
        <v>Product_25</v>
      </c>
      <c r="E2768" t="str">
        <f>VLOOKUP(B2768,Products!$A:$E,3,FALSE)</f>
        <v>Office Supplies</v>
      </c>
    </row>
    <row r="2769" spans="1:5" x14ac:dyDescent="0.3">
      <c r="A2769" t="s">
        <v>3779</v>
      </c>
      <c r="B2769" t="s">
        <v>110</v>
      </c>
      <c r="C2769">
        <v>93</v>
      </c>
      <c r="D2769" t="str">
        <f>VLOOKUP(B2769,Products!$A:$E,2,FALSE)</f>
        <v>Product_51</v>
      </c>
      <c r="E2769" t="str">
        <f>VLOOKUP(B2769,Products!$A:$E,3,FALSE)</f>
        <v>Storage</v>
      </c>
    </row>
    <row r="2770" spans="1:5" x14ac:dyDescent="0.3">
      <c r="A2770" t="s">
        <v>3780</v>
      </c>
      <c r="B2770" t="s">
        <v>176</v>
      </c>
      <c r="C2770">
        <v>12</v>
      </c>
      <c r="D2770" t="str">
        <f>VLOOKUP(B2770,Products!$A:$E,2,FALSE)</f>
        <v>Product_84</v>
      </c>
      <c r="E2770" t="str">
        <f>VLOOKUP(B2770,Products!$A:$E,3,FALSE)</f>
        <v>Electronics</v>
      </c>
    </row>
    <row r="2771" spans="1:5" x14ac:dyDescent="0.3">
      <c r="A2771" t="s">
        <v>3781</v>
      </c>
      <c r="B2771" t="s">
        <v>230</v>
      </c>
      <c r="C2771">
        <v>37</v>
      </c>
      <c r="D2771" t="str">
        <f>VLOOKUP(B2771,Products!$A:$E,2,FALSE)</f>
        <v>Product_111</v>
      </c>
      <c r="E2771" t="str">
        <f>VLOOKUP(B2771,Products!$A:$E,3,FALSE)</f>
        <v>Office Supplies</v>
      </c>
    </row>
    <row r="2772" spans="1:5" x14ac:dyDescent="0.3">
      <c r="A2772" t="s">
        <v>3782</v>
      </c>
      <c r="B2772" t="s">
        <v>496</v>
      </c>
      <c r="C2772">
        <v>85</v>
      </c>
      <c r="D2772" t="str">
        <f>VLOOKUP(B2772,Products!$A:$E,2,FALSE)</f>
        <v>Product_244</v>
      </c>
      <c r="E2772" t="str">
        <f>VLOOKUP(B2772,Products!$A:$E,3,FALSE)</f>
        <v>Accessories</v>
      </c>
    </row>
    <row r="2773" spans="1:5" x14ac:dyDescent="0.3">
      <c r="A2773" t="s">
        <v>3783</v>
      </c>
      <c r="B2773" t="s">
        <v>108</v>
      </c>
      <c r="C2773">
        <v>62</v>
      </c>
      <c r="D2773" t="str">
        <f>VLOOKUP(B2773,Products!$A:$E,2,FALSE)</f>
        <v>Product_50</v>
      </c>
      <c r="E2773" t="str">
        <f>VLOOKUP(B2773,Products!$A:$E,3,FALSE)</f>
        <v>Networking</v>
      </c>
    </row>
    <row r="2774" spans="1:5" x14ac:dyDescent="0.3">
      <c r="A2774" t="s">
        <v>3784</v>
      </c>
      <c r="B2774" t="s">
        <v>772</v>
      </c>
      <c r="C2774">
        <v>47</v>
      </c>
      <c r="D2774" t="str">
        <f>VLOOKUP(B2774,Products!$A:$E,2,FALSE)</f>
        <v>Product_382</v>
      </c>
      <c r="E2774" t="str">
        <f>VLOOKUP(B2774,Products!$A:$E,3,FALSE)</f>
        <v>Storage</v>
      </c>
    </row>
    <row r="2775" spans="1:5" x14ac:dyDescent="0.3">
      <c r="A2775" t="s">
        <v>3785</v>
      </c>
      <c r="B2775" t="s">
        <v>276</v>
      </c>
      <c r="C2775">
        <v>51</v>
      </c>
      <c r="D2775" t="str">
        <f>VLOOKUP(B2775,Products!$A:$E,2,FALSE)</f>
        <v>Product_134</v>
      </c>
      <c r="E2775" t="str">
        <f>VLOOKUP(B2775,Products!$A:$E,3,FALSE)</f>
        <v>Accessories</v>
      </c>
    </row>
    <row r="2776" spans="1:5" x14ac:dyDescent="0.3">
      <c r="A2776" t="s">
        <v>3786</v>
      </c>
      <c r="B2776" t="s">
        <v>378</v>
      </c>
      <c r="C2776">
        <v>76</v>
      </c>
      <c r="D2776" t="str">
        <f>VLOOKUP(B2776,Products!$A:$E,2,FALSE)</f>
        <v>Product_185</v>
      </c>
      <c r="E2776" t="str">
        <f>VLOOKUP(B2776,Products!$A:$E,3,FALSE)</f>
        <v>Storage</v>
      </c>
    </row>
    <row r="2777" spans="1:5" x14ac:dyDescent="0.3">
      <c r="A2777" t="s">
        <v>3787</v>
      </c>
      <c r="B2777" t="s">
        <v>580</v>
      </c>
      <c r="C2777">
        <v>37</v>
      </c>
      <c r="D2777" t="str">
        <f>VLOOKUP(B2777,Products!$A:$E,2,FALSE)</f>
        <v>Product_286</v>
      </c>
      <c r="E2777" t="str">
        <f>VLOOKUP(B2777,Products!$A:$E,3,FALSE)</f>
        <v>Storage</v>
      </c>
    </row>
    <row r="2778" spans="1:5" x14ac:dyDescent="0.3">
      <c r="A2778" t="s">
        <v>3788</v>
      </c>
      <c r="B2778" t="s">
        <v>362</v>
      </c>
      <c r="C2778">
        <v>7</v>
      </c>
      <c r="D2778" t="str">
        <f>VLOOKUP(B2778,Products!$A:$E,2,FALSE)</f>
        <v>Product_177</v>
      </c>
      <c r="E2778" t="str">
        <f>VLOOKUP(B2778,Products!$A:$E,3,FALSE)</f>
        <v>Office Supplies</v>
      </c>
    </row>
    <row r="2779" spans="1:5" x14ac:dyDescent="0.3">
      <c r="A2779" t="s">
        <v>3789</v>
      </c>
      <c r="B2779" t="s">
        <v>430</v>
      </c>
      <c r="C2779">
        <v>20</v>
      </c>
      <c r="D2779" t="str">
        <f>VLOOKUP(B2779,Products!$A:$E,2,FALSE)</f>
        <v>Product_211</v>
      </c>
      <c r="E2779" t="str">
        <f>VLOOKUP(B2779,Products!$A:$E,3,FALSE)</f>
        <v>Storage</v>
      </c>
    </row>
    <row r="2780" spans="1:5" x14ac:dyDescent="0.3">
      <c r="A2780" t="s">
        <v>3790</v>
      </c>
      <c r="B2780" t="s">
        <v>368</v>
      </c>
      <c r="C2780">
        <v>91</v>
      </c>
      <c r="D2780" t="str">
        <f>VLOOKUP(B2780,Products!$A:$E,2,FALSE)</f>
        <v>Product_180</v>
      </c>
      <c r="E2780" t="str">
        <f>VLOOKUP(B2780,Products!$A:$E,3,FALSE)</f>
        <v>Office Supplies</v>
      </c>
    </row>
    <row r="2781" spans="1:5" x14ac:dyDescent="0.3">
      <c r="A2781" t="s">
        <v>3791</v>
      </c>
      <c r="B2781" t="s">
        <v>996</v>
      </c>
      <c r="C2781">
        <v>82</v>
      </c>
      <c r="D2781" t="str">
        <f>VLOOKUP(B2781,Products!$A:$E,2,FALSE)</f>
        <v>Product_494</v>
      </c>
      <c r="E2781" t="str">
        <f>VLOOKUP(B2781,Products!$A:$E,3,FALSE)</f>
        <v>Office Supplies</v>
      </c>
    </row>
    <row r="2782" spans="1:5" x14ac:dyDescent="0.3">
      <c r="A2782" t="s">
        <v>3792</v>
      </c>
      <c r="B2782" t="s">
        <v>212</v>
      </c>
      <c r="C2782">
        <v>78</v>
      </c>
      <c r="D2782" t="str">
        <f>VLOOKUP(B2782,Products!$A:$E,2,FALSE)</f>
        <v>Product_102</v>
      </c>
      <c r="E2782" t="str">
        <f>VLOOKUP(B2782,Products!$A:$E,3,FALSE)</f>
        <v>Storage</v>
      </c>
    </row>
    <row r="2783" spans="1:5" x14ac:dyDescent="0.3">
      <c r="A2783" t="s">
        <v>3793</v>
      </c>
      <c r="B2783" t="s">
        <v>598</v>
      </c>
      <c r="C2783">
        <v>88</v>
      </c>
      <c r="D2783" t="str">
        <f>VLOOKUP(B2783,Products!$A:$E,2,FALSE)</f>
        <v>Product_295</v>
      </c>
      <c r="E2783" t="str">
        <f>VLOOKUP(B2783,Products!$A:$E,3,FALSE)</f>
        <v>Networking</v>
      </c>
    </row>
    <row r="2784" spans="1:5" x14ac:dyDescent="0.3">
      <c r="A2784" t="s">
        <v>3794</v>
      </c>
      <c r="B2784" t="s">
        <v>674</v>
      </c>
      <c r="C2784">
        <v>73</v>
      </c>
      <c r="D2784" t="str">
        <f>VLOOKUP(B2784,Products!$A:$E,2,FALSE)</f>
        <v>Product_333</v>
      </c>
      <c r="E2784" t="str">
        <f>VLOOKUP(B2784,Products!$A:$E,3,FALSE)</f>
        <v>Storage</v>
      </c>
    </row>
    <row r="2785" spans="1:5" x14ac:dyDescent="0.3">
      <c r="A2785" t="s">
        <v>3795</v>
      </c>
      <c r="B2785" t="s">
        <v>188</v>
      </c>
      <c r="C2785">
        <v>41</v>
      </c>
      <c r="D2785" t="str">
        <f>VLOOKUP(B2785,Products!$A:$E,2,FALSE)</f>
        <v>Product_90</v>
      </c>
      <c r="E2785" t="str">
        <f>VLOOKUP(B2785,Products!$A:$E,3,FALSE)</f>
        <v>Accessories</v>
      </c>
    </row>
    <row r="2786" spans="1:5" x14ac:dyDescent="0.3">
      <c r="A2786" t="s">
        <v>3796</v>
      </c>
      <c r="B2786" t="s">
        <v>372</v>
      </c>
      <c r="C2786">
        <v>46</v>
      </c>
      <c r="D2786" t="str">
        <f>VLOOKUP(B2786,Products!$A:$E,2,FALSE)</f>
        <v>Product_182</v>
      </c>
      <c r="E2786" t="str">
        <f>VLOOKUP(B2786,Products!$A:$E,3,FALSE)</f>
        <v>Storage</v>
      </c>
    </row>
    <row r="2787" spans="1:5" x14ac:dyDescent="0.3">
      <c r="A2787" t="s">
        <v>3797</v>
      </c>
      <c r="B2787" t="s">
        <v>698</v>
      </c>
      <c r="C2787">
        <v>70</v>
      </c>
      <c r="D2787" t="str">
        <f>VLOOKUP(B2787,Products!$A:$E,2,FALSE)</f>
        <v>Product_345</v>
      </c>
      <c r="E2787" t="str">
        <f>VLOOKUP(B2787,Products!$A:$E,3,FALSE)</f>
        <v>Storage</v>
      </c>
    </row>
    <row r="2788" spans="1:5" x14ac:dyDescent="0.3">
      <c r="A2788" t="s">
        <v>3798</v>
      </c>
      <c r="B2788" t="s">
        <v>508</v>
      </c>
      <c r="C2788">
        <v>99</v>
      </c>
      <c r="D2788" t="str">
        <f>VLOOKUP(B2788,Products!$A:$E,2,FALSE)</f>
        <v>Product_250</v>
      </c>
      <c r="E2788" t="str">
        <f>VLOOKUP(B2788,Products!$A:$E,3,FALSE)</f>
        <v>Networking</v>
      </c>
    </row>
    <row r="2789" spans="1:5" x14ac:dyDescent="0.3">
      <c r="A2789" t="s">
        <v>3799</v>
      </c>
      <c r="B2789" t="s">
        <v>466</v>
      </c>
      <c r="C2789">
        <v>15</v>
      </c>
      <c r="D2789" t="str">
        <f>VLOOKUP(B2789,Products!$A:$E,2,FALSE)</f>
        <v>Product_229</v>
      </c>
      <c r="E2789" t="str">
        <f>VLOOKUP(B2789,Products!$A:$E,3,FALSE)</f>
        <v>Accessories</v>
      </c>
    </row>
    <row r="2790" spans="1:5" x14ac:dyDescent="0.3">
      <c r="A2790" t="s">
        <v>3800</v>
      </c>
      <c r="B2790" t="s">
        <v>400</v>
      </c>
      <c r="C2790">
        <v>83</v>
      </c>
      <c r="D2790" t="str">
        <f>VLOOKUP(B2790,Products!$A:$E,2,FALSE)</f>
        <v>Product_196</v>
      </c>
      <c r="E2790" t="str">
        <f>VLOOKUP(B2790,Products!$A:$E,3,FALSE)</f>
        <v>Office Supplies</v>
      </c>
    </row>
    <row r="2791" spans="1:5" x14ac:dyDescent="0.3">
      <c r="A2791" t="s">
        <v>3801</v>
      </c>
      <c r="B2791" t="s">
        <v>302</v>
      </c>
      <c r="C2791">
        <v>64</v>
      </c>
      <c r="D2791" t="str">
        <f>VLOOKUP(B2791,Products!$A:$E,2,FALSE)</f>
        <v>Product_147</v>
      </c>
      <c r="E2791" t="str">
        <f>VLOOKUP(B2791,Products!$A:$E,3,FALSE)</f>
        <v>Networking</v>
      </c>
    </row>
    <row r="2792" spans="1:5" x14ac:dyDescent="0.3">
      <c r="A2792" t="s">
        <v>3802</v>
      </c>
      <c r="B2792" t="s">
        <v>656</v>
      </c>
      <c r="C2792">
        <v>23</v>
      </c>
      <c r="D2792" t="str">
        <f>VLOOKUP(B2792,Products!$A:$E,2,FALSE)</f>
        <v>Product_324</v>
      </c>
      <c r="E2792" t="str">
        <f>VLOOKUP(B2792,Products!$A:$E,3,FALSE)</f>
        <v>Accessories</v>
      </c>
    </row>
    <row r="2793" spans="1:5" x14ac:dyDescent="0.3">
      <c r="A2793" t="s">
        <v>3803</v>
      </c>
      <c r="B2793" t="s">
        <v>898</v>
      </c>
      <c r="C2793">
        <v>26</v>
      </c>
      <c r="D2793" t="str">
        <f>VLOOKUP(B2793,Products!$A:$E,2,FALSE)</f>
        <v>Product_445</v>
      </c>
      <c r="E2793" t="str">
        <f>VLOOKUP(B2793,Products!$A:$E,3,FALSE)</f>
        <v>Office Supplies</v>
      </c>
    </row>
    <row r="2794" spans="1:5" x14ac:dyDescent="0.3">
      <c r="A2794" t="s">
        <v>3804</v>
      </c>
      <c r="B2794" t="s">
        <v>664</v>
      </c>
      <c r="C2794">
        <v>48</v>
      </c>
      <c r="D2794" t="str">
        <f>VLOOKUP(B2794,Products!$A:$E,2,FALSE)</f>
        <v>Product_328</v>
      </c>
      <c r="E2794" t="str">
        <f>VLOOKUP(B2794,Products!$A:$E,3,FALSE)</f>
        <v>Office Supplies</v>
      </c>
    </row>
    <row r="2795" spans="1:5" x14ac:dyDescent="0.3">
      <c r="A2795" t="s">
        <v>3805</v>
      </c>
      <c r="B2795" t="s">
        <v>440</v>
      </c>
      <c r="C2795">
        <v>85</v>
      </c>
      <c r="D2795" t="str">
        <f>VLOOKUP(B2795,Products!$A:$E,2,FALSE)</f>
        <v>Product_216</v>
      </c>
      <c r="E2795" t="str">
        <f>VLOOKUP(B2795,Products!$A:$E,3,FALSE)</f>
        <v>Accessories</v>
      </c>
    </row>
    <row r="2796" spans="1:5" x14ac:dyDescent="0.3">
      <c r="A2796" t="s">
        <v>3806</v>
      </c>
      <c r="B2796" t="s">
        <v>636</v>
      </c>
      <c r="C2796">
        <v>78</v>
      </c>
      <c r="D2796" t="str">
        <f>VLOOKUP(B2796,Products!$A:$E,2,FALSE)</f>
        <v>Product_314</v>
      </c>
      <c r="E2796" t="str">
        <f>VLOOKUP(B2796,Products!$A:$E,3,FALSE)</f>
        <v>Storage</v>
      </c>
    </row>
    <row r="2797" spans="1:5" x14ac:dyDescent="0.3">
      <c r="A2797" t="s">
        <v>3807</v>
      </c>
      <c r="B2797" t="s">
        <v>424</v>
      </c>
      <c r="C2797">
        <v>14</v>
      </c>
      <c r="D2797" t="str">
        <f>VLOOKUP(B2797,Products!$A:$E,2,FALSE)</f>
        <v>Product_208</v>
      </c>
      <c r="E2797" t="str">
        <f>VLOOKUP(B2797,Products!$A:$E,3,FALSE)</f>
        <v>Electronics</v>
      </c>
    </row>
    <row r="2798" spans="1:5" x14ac:dyDescent="0.3">
      <c r="A2798" t="s">
        <v>3808</v>
      </c>
      <c r="B2798" t="s">
        <v>90</v>
      </c>
      <c r="C2798">
        <v>25</v>
      </c>
      <c r="D2798" t="str">
        <f>VLOOKUP(B2798,Products!$A:$E,2,FALSE)</f>
        <v>Product_41</v>
      </c>
      <c r="E2798" t="str">
        <f>VLOOKUP(B2798,Products!$A:$E,3,FALSE)</f>
        <v>Accessories</v>
      </c>
    </row>
    <row r="2799" spans="1:5" x14ac:dyDescent="0.3">
      <c r="A2799" t="s">
        <v>3809</v>
      </c>
      <c r="B2799" t="s">
        <v>360</v>
      </c>
      <c r="C2799">
        <v>34</v>
      </c>
      <c r="D2799" t="str">
        <f>VLOOKUP(B2799,Products!$A:$E,2,FALSE)</f>
        <v>Product_176</v>
      </c>
      <c r="E2799" t="str">
        <f>VLOOKUP(B2799,Products!$A:$E,3,FALSE)</f>
        <v>Electronics</v>
      </c>
    </row>
    <row r="2800" spans="1:5" x14ac:dyDescent="0.3">
      <c r="A2800" t="s">
        <v>3810</v>
      </c>
      <c r="B2800" t="s">
        <v>330</v>
      </c>
      <c r="C2800">
        <v>45</v>
      </c>
      <c r="D2800" t="str">
        <f>VLOOKUP(B2800,Products!$A:$E,2,FALSE)</f>
        <v>Product_161</v>
      </c>
      <c r="E2800" t="str">
        <f>VLOOKUP(B2800,Products!$A:$E,3,FALSE)</f>
        <v>Networking</v>
      </c>
    </row>
    <row r="2801" spans="1:5" x14ac:dyDescent="0.3">
      <c r="A2801" t="s">
        <v>3811</v>
      </c>
      <c r="B2801" t="s">
        <v>678</v>
      </c>
      <c r="C2801">
        <v>42</v>
      </c>
      <c r="D2801" t="str">
        <f>VLOOKUP(B2801,Products!$A:$E,2,FALSE)</f>
        <v>Product_335</v>
      </c>
      <c r="E2801" t="str">
        <f>VLOOKUP(B2801,Products!$A:$E,3,FALSE)</f>
        <v>Networking</v>
      </c>
    </row>
    <row r="2802" spans="1:5" x14ac:dyDescent="0.3">
      <c r="A2802" t="s">
        <v>3812</v>
      </c>
      <c r="B2802" t="s">
        <v>736</v>
      </c>
      <c r="C2802">
        <v>39</v>
      </c>
      <c r="D2802" t="str">
        <f>VLOOKUP(B2802,Products!$A:$E,2,FALSE)</f>
        <v>Product_364</v>
      </c>
      <c r="E2802" t="str">
        <f>VLOOKUP(B2802,Products!$A:$E,3,FALSE)</f>
        <v>Networking</v>
      </c>
    </row>
    <row r="2803" spans="1:5" x14ac:dyDescent="0.3">
      <c r="A2803" t="s">
        <v>3813</v>
      </c>
      <c r="B2803" t="s">
        <v>628</v>
      </c>
      <c r="C2803">
        <v>87</v>
      </c>
      <c r="D2803" t="str">
        <f>VLOOKUP(B2803,Products!$A:$E,2,FALSE)</f>
        <v>Product_310</v>
      </c>
      <c r="E2803" t="str">
        <f>VLOOKUP(B2803,Products!$A:$E,3,FALSE)</f>
        <v>Office Supplies</v>
      </c>
    </row>
    <row r="2804" spans="1:5" x14ac:dyDescent="0.3">
      <c r="A2804" t="s">
        <v>3814</v>
      </c>
      <c r="B2804" t="s">
        <v>414</v>
      </c>
      <c r="C2804">
        <v>39</v>
      </c>
      <c r="D2804" t="str">
        <f>VLOOKUP(B2804,Products!$A:$E,2,FALSE)</f>
        <v>Product_203</v>
      </c>
      <c r="E2804" t="str">
        <f>VLOOKUP(B2804,Products!$A:$E,3,FALSE)</f>
        <v>Accessories</v>
      </c>
    </row>
    <row r="2805" spans="1:5" x14ac:dyDescent="0.3">
      <c r="A2805" t="s">
        <v>3815</v>
      </c>
      <c r="B2805" t="s">
        <v>918</v>
      </c>
      <c r="C2805">
        <v>61</v>
      </c>
      <c r="D2805" t="str">
        <f>VLOOKUP(B2805,Products!$A:$E,2,FALSE)</f>
        <v>Product_455</v>
      </c>
      <c r="E2805" t="str">
        <f>VLOOKUP(B2805,Products!$A:$E,3,FALSE)</f>
        <v>Storage</v>
      </c>
    </row>
    <row r="2806" spans="1:5" x14ac:dyDescent="0.3">
      <c r="A2806" t="s">
        <v>3816</v>
      </c>
      <c r="B2806" t="s">
        <v>808</v>
      </c>
      <c r="C2806">
        <v>51</v>
      </c>
      <c r="D2806" t="str">
        <f>VLOOKUP(B2806,Products!$A:$E,2,FALSE)</f>
        <v>Product_400</v>
      </c>
      <c r="E2806" t="str">
        <f>VLOOKUP(B2806,Products!$A:$E,3,FALSE)</f>
        <v>Networking</v>
      </c>
    </row>
    <row r="2807" spans="1:5" x14ac:dyDescent="0.3">
      <c r="A2807" t="s">
        <v>3817</v>
      </c>
      <c r="B2807" t="s">
        <v>774</v>
      </c>
      <c r="C2807">
        <v>80</v>
      </c>
      <c r="D2807" t="str">
        <f>VLOOKUP(B2807,Products!$A:$E,2,FALSE)</f>
        <v>Product_383</v>
      </c>
      <c r="E2807" t="str">
        <f>VLOOKUP(B2807,Products!$A:$E,3,FALSE)</f>
        <v>Electronics</v>
      </c>
    </row>
    <row r="2808" spans="1:5" x14ac:dyDescent="0.3">
      <c r="A2808" t="s">
        <v>3818</v>
      </c>
      <c r="B2808" t="s">
        <v>542</v>
      </c>
      <c r="C2808">
        <v>62</v>
      </c>
      <c r="D2808" t="str">
        <f>VLOOKUP(B2808,Products!$A:$E,2,FALSE)</f>
        <v>Product_267</v>
      </c>
      <c r="E2808" t="str">
        <f>VLOOKUP(B2808,Products!$A:$E,3,FALSE)</f>
        <v>Networking</v>
      </c>
    </row>
    <row r="2809" spans="1:5" x14ac:dyDescent="0.3">
      <c r="A2809" t="s">
        <v>3819</v>
      </c>
      <c r="B2809" t="s">
        <v>432</v>
      </c>
      <c r="C2809">
        <v>26</v>
      </c>
      <c r="D2809" t="str">
        <f>VLOOKUP(B2809,Products!$A:$E,2,FALSE)</f>
        <v>Product_212</v>
      </c>
      <c r="E2809" t="str">
        <f>VLOOKUP(B2809,Products!$A:$E,3,FALSE)</f>
        <v>Networking</v>
      </c>
    </row>
    <row r="2810" spans="1:5" x14ac:dyDescent="0.3">
      <c r="A2810" t="s">
        <v>3820</v>
      </c>
      <c r="B2810" t="s">
        <v>198</v>
      </c>
      <c r="C2810">
        <v>7</v>
      </c>
      <c r="D2810" t="str">
        <f>VLOOKUP(B2810,Products!$A:$E,2,FALSE)</f>
        <v>Product_95</v>
      </c>
      <c r="E2810" t="str">
        <f>VLOOKUP(B2810,Products!$A:$E,3,FALSE)</f>
        <v>Electronics</v>
      </c>
    </row>
    <row r="2811" spans="1:5" x14ac:dyDescent="0.3">
      <c r="A2811" t="s">
        <v>3821</v>
      </c>
      <c r="B2811" t="s">
        <v>138</v>
      </c>
      <c r="C2811">
        <v>98</v>
      </c>
      <c r="D2811" t="str">
        <f>VLOOKUP(B2811,Products!$A:$E,2,FALSE)</f>
        <v>Product_65</v>
      </c>
      <c r="E2811" t="str">
        <f>VLOOKUP(B2811,Products!$A:$E,3,FALSE)</f>
        <v>Office Supplies</v>
      </c>
    </row>
    <row r="2812" spans="1:5" x14ac:dyDescent="0.3">
      <c r="A2812" t="s">
        <v>3822</v>
      </c>
      <c r="B2812" t="s">
        <v>250</v>
      </c>
      <c r="C2812">
        <v>89</v>
      </c>
      <c r="D2812" t="str">
        <f>VLOOKUP(B2812,Products!$A:$E,2,FALSE)</f>
        <v>Product_121</v>
      </c>
      <c r="E2812" t="str">
        <f>VLOOKUP(B2812,Products!$A:$E,3,FALSE)</f>
        <v>Storage</v>
      </c>
    </row>
    <row r="2813" spans="1:5" x14ac:dyDescent="0.3">
      <c r="A2813" t="s">
        <v>3823</v>
      </c>
      <c r="B2813" t="s">
        <v>266</v>
      </c>
      <c r="C2813">
        <v>100</v>
      </c>
      <c r="D2813" t="str">
        <f>VLOOKUP(B2813,Products!$A:$E,2,FALSE)</f>
        <v>Product_129</v>
      </c>
      <c r="E2813" t="str">
        <f>VLOOKUP(B2813,Products!$A:$E,3,FALSE)</f>
        <v>Electronics</v>
      </c>
    </row>
    <row r="2814" spans="1:5" x14ac:dyDescent="0.3">
      <c r="A2814" t="s">
        <v>3824</v>
      </c>
      <c r="B2814" t="s">
        <v>726</v>
      </c>
      <c r="C2814">
        <v>100</v>
      </c>
      <c r="D2814" t="str">
        <f>VLOOKUP(B2814,Products!$A:$E,2,FALSE)</f>
        <v>Product_359</v>
      </c>
      <c r="E2814" t="str">
        <f>VLOOKUP(B2814,Products!$A:$E,3,FALSE)</f>
        <v>Electronics</v>
      </c>
    </row>
    <row r="2815" spans="1:5" x14ac:dyDescent="0.3">
      <c r="A2815" t="s">
        <v>3825</v>
      </c>
      <c r="B2815" t="s">
        <v>90</v>
      </c>
      <c r="C2815">
        <v>31</v>
      </c>
      <c r="D2815" t="str">
        <f>VLOOKUP(B2815,Products!$A:$E,2,FALSE)</f>
        <v>Product_41</v>
      </c>
      <c r="E2815" t="str">
        <f>VLOOKUP(B2815,Products!$A:$E,3,FALSE)</f>
        <v>Accessories</v>
      </c>
    </row>
    <row r="2816" spans="1:5" x14ac:dyDescent="0.3">
      <c r="A2816" t="s">
        <v>3826</v>
      </c>
      <c r="B2816" t="s">
        <v>180</v>
      </c>
      <c r="C2816">
        <v>55</v>
      </c>
      <c r="D2816" t="str">
        <f>VLOOKUP(B2816,Products!$A:$E,2,FALSE)</f>
        <v>Product_86</v>
      </c>
      <c r="E2816" t="str">
        <f>VLOOKUP(B2816,Products!$A:$E,3,FALSE)</f>
        <v>Storage</v>
      </c>
    </row>
    <row r="2817" spans="1:5" x14ac:dyDescent="0.3">
      <c r="A2817" t="s">
        <v>3827</v>
      </c>
      <c r="B2817" t="s">
        <v>114</v>
      </c>
      <c r="C2817">
        <v>17</v>
      </c>
      <c r="D2817" t="str">
        <f>VLOOKUP(B2817,Products!$A:$E,2,FALSE)</f>
        <v>Product_53</v>
      </c>
      <c r="E2817" t="str">
        <f>VLOOKUP(B2817,Products!$A:$E,3,FALSE)</f>
        <v>Electronics</v>
      </c>
    </row>
    <row r="2818" spans="1:5" x14ac:dyDescent="0.3">
      <c r="A2818" t="s">
        <v>3828</v>
      </c>
      <c r="B2818" t="s">
        <v>74</v>
      </c>
      <c r="C2818">
        <v>65</v>
      </c>
      <c r="D2818" t="str">
        <f>VLOOKUP(B2818,Products!$A:$E,2,FALSE)</f>
        <v>Product_33</v>
      </c>
      <c r="E2818" t="str">
        <f>VLOOKUP(B2818,Products!$A:$E,3,FALSE)</f>
        <v>Storage</v>
      </c>
    </row>
    <row r="2819" spans="1:5" x14ac:dyDescent="0.3">
      <c r="A2819" t="s">
        <v>3829</v>
      </c>
      <c r="B2819" t="s">
        <v>570</v>
      </c>
      <c r="C2819">
        <v>11</v>
      </c>
      <c r="D2819" t="str">
        <f>VLOOKUP(B2819,Products!$A:$E,2,FALSE)</f>
        <v>Product_281</v>
      </c>
      <c r="E2819" t="str">
        <f>VLOOKUP(B2819,Products!$A:$E,3,FALSE)</f>
        <v>Office Supplies</v>
      </c>
    </row>
    <row r="2820" spans="1:5" x14ac:dyDescent="0.3">
      <c r="A2820" t="s">
        <v>3830</v>
      </c>
      <c r="B2820" t="s">
        <v>36</v>
      </c>
      <c r="C2820">
        <v>55</v>
      </c>
      <c r="D2820" t="str">
        <f>VLOOKUP(B2820,Products!$A:$E,2,FALSE)</f>
        <v>Product_14</v>
      </c>
      <c r="E2820" t="str">
        <f>VLOOKUP(B2820,Products!$A:$E,3,FALSE)</f>
        <v>Accessories</v>
      </c>
    </row>
    <row r="2821" spans="1:5" x14ac:dyDescent="0.3">
      <c r="A2821" t="s">
        <v>3831</v>
      </c>
      <c r="B2821" t="s">
        <v>546</v>
      </c>
      <c r="C2821">
        <v>15</v>
      </c>
      <c r="D2821" t="str">
        <f>VLOOKUP(B2821,Products!$A:$E,2,FALSE)</f>
        <v>Product_269</v>
      </c>
      <c r="E2821" t="str">
        <f>VLOOKUP(B2821,Products!$A:$E,3,FALSE)</f>
        <v>Storage</v>
      </c>
    </row>
    <row r="2822" spans="1:5" x14ac:dyDescent="0.3">
      <c r="A2822" t="s">
        <v>3832</v>
      </c>
      <c r="B2822" t="s">
        <v>116</v>
      </c>
      <c r="C2822">
        <v>38</v>
      </c>
      <c r="D2822" t="str">
        <f>VLOOKUP(B2822,Products!$A:$E,2,FALSE)</f>
        <v>Product_54</v>
      </c>
      <c r="E2822" t="str">
        <f>VLOOKUP(B2822,Products!$A:$E,3,FALSE)</f>
        <v>Storage</v>
      </c>
    </row>
    <row r="2823" spans="1:5" x14ac:dyDescent="0.3">
      <c r="A2823" t="s">
        <v>3833</v>
      </c>
      <c r="B2823" t="s">
        <v>642</v>
      </c>
      <c r="C2823">
        <v>24</v>
      </c>
      <c r="D2823" t="str">
        <f>VLOOKUP(B2823,Products!$A:$E,2,FALSE)</f>
        <v>Product_317</v>
      </c>
      <c r="E2823" t="str">
        <f>VLOOKUP(B2823,Products!$A:$E,3,FALSE)</f>
        <v>Storage</v>
      </c>
    </row>
    <row r="2824" spans="1:5" x14ac:dyDescent="0.3">
      <c r="A2824" t="s">
        <v>3834</v>
      </c>
      <c r="B2824" t="s">
        <v>96</v>
      </c>
      <c r="C2824">
        <v>88</v>
      </c>
      <c r="D2824" t="str">
        <f>VLOOKUP(B2824,Products!$A:$E,2,FALSE)</f>
        <v>Product_44</v>
      </c>
      <c r="E2824" t="str">
        <f>VLOOKUP(B2824,Products!$A:$E,3,FALSE)</f>
        <v>Storage</v>
      </c>
    </row>
    <row r="2825" spans="1:5" x14ac:dyDescent="0.3">
      <c r="A2825" t="s">
        <v>3835</v>
      </c>
      <c r="B2825" t="s">
        <v>962</v>
      </c>
      <c r="C2825">
        <v>54</v>
      </c>
      <c r="D2825" t="str">
        <f>VLOOKUP(B2825,Products!$A:$E,2,FALSE)</f>
        <v>Product_477</v>
      </c>
      <c r="E2825" t="str">
        <f>VLOOKUP(B2825,Products!$A:$E,3,FALSE)</f>
        <v>Networking</v>
      </c>
    </row>
    <row r="2826" spans="1:5" x14ac:dyDescent="0.3">
      <c r="A2826" t="s">
        <v>3836</v>
      </c>
      <c r="B2826" t="s">
        <v>326</v>
      </c>
      <c r="C2826">
        <v>34</v>
      </c>
      <c r="D2826" t="str">
        <f>VLOOKUP(B2826,Products!$A:$E,2,FALSE)</f>
        <v>Product_159</v>
      </c>
      <c r="E2826" t="str">
        <f>VLOOKUP(B2826,Products!$A:$E,3,FALSE)</f>
        <v>Accessories</v>
      </c>
    </row>
    <row r="2827" spans="1:5" x14ac:dyDescent="0.3">
      <c r="A2827" t="s">
        <v>3837</v>
      </c>
      <c r="B2827" t="s">
        <v>262</v>
      </c>
      <c r="C2827">
        <v>99</v>
      </c>
      <c r="D2827" t="str">
        <f>VLOOKUP(B2827,Products!$A:$E,2,FALSE)</f>
        <v>Product_127</v>
      </c>
      <c r="E2827" t="str">
        <f>VLOOKUP(B2827,Products!$A:$E,3,FALSE)</f>
        <v>Networking</v>
      </c>
    </row>
    <row r="2828" spans="1:5" x14ac:dyDescent="0.3">
      <c r="A2828" t="s">
        <v>3838</v>
      </c>
      <c r="B2828" t="s">
        <v>300</v>
      </c>
      <c r="C2828">
        <v>61</v>
      </c>
      <c r="D2828" t="str">
        <f>VLOOKUP(B2828,Products!$A:$E,2,FALSE)</f>
        <v>Product_146</v>
      </c>
      <c r="E2828" t="str">
        <f>VLOOKUP(B2828,Products!$A:$E,3,FALSE)</f>
        <v>Office Supplies</v>
      </c>
    </row>
    <row r="2829" spans="1:5" x14ac:dyDescent="0.3">
      <c r="A2829" t="s">
        <v>3839</v>
      </c>
      <c r="B2829" t="s">
        <v>650</v>
      </c>
      <c r="C2829">
        <v>21</v>
      </c>
      <c r="D2829" t="str">
        <f>VLOOKUP(B2829,Products!$A:$E,2,FALSE)</f>
        <v>Product_321</v>
      </c>
      <c r="E2829" t="str">
        <f>VLOOKUP(B2829,Products!$A:$E,3,FALSE)</f>
        <v>Electronics</v>
      </c>
    </row>
    <row r="2830" spans="1:5" x14ac:dyDescent="0.3">
      <c r="A2830" t="s">
        <v>3840</v>
      </c>
      <c r="B2830" t="s">
        <v>144</v>
      </c>
      <c r="C2830">
        <v>72</v>
      </c>
      <c r="D2830" t="str">
        <f>VLOOKUP(B2830,Products!$A:$E,2,FALSE)</f>
        <v>Product_68</v>
      </c>
      <c r="E2830" t="str">
        <f>VLOOKUP(B2830,Products!$A:$E,3,FALSE)</f>
        <v>Accessories</v>
      </c>
    </row>
    <row r="2831" spans="1:5" x14ac:dyDescent="0.3">
      <c r="A2831" t="s">
        <v>3841</v>
      </c>
      <c r="B2831" t="s">
        <v>868</v>
      </c>
      <c r="C2831">
        <v>26</v>
      </c>
      <c r="D2831" t="str">
        <f>VLOOKUP(B2831,Products!$A:$E,2,FALSE)</f>
        <v>Product_430</v>
      </c>
      <c r="E2831" t="str">
        <f>VLOOKUP(B2831,Products!$A:$E,3,FALSE)</f>
        <v>Electronics</v>
      </c>
    </row>
    <row r="2832" spans="1:5" x14ac:dyDescent="0.3">
      <c r="A2832" t="s">
        <v>3842</v>
      </c>
      <c r="B2832" t="s">
        <v>38</v>
      </c>
      <c r="C2832">
        <v>9</v>
      </c>
      <c r="D2832" t="str">
        <f>VLOOKUP(B2832,Products!$A:$E,2,FALSE)</f>
        <v>Product_15</v>
      </c>
      <c r="E2832" t="str">
        <f>VLOOKUP(B2832,Products!$A:$E,3,FALSE)</f>
        <v>Electronics</v>
      </c>
    </row>
    <row r="2833" spans="1:5" x14ac:dyDescent="0.3">
      <c r="A2833" t="s">
        <v>3843</v>
      </c>
      <c r="B2833" t="s">
        <v>688</v>
      </c>
      <c r="C2833">
        <v>50</v>
      </c>
      <c r="D2833" t="str">
        <f>VLOOKUP(B2833,Products!$A:$E,2,FALSE)</f>
        <v>Product_340</v>
      </c>
      <c r="E2833" t="str">
        <f>VLOOKUP(B2833,Products!$A:$E,3,FALSE)</f>
        <v>Storage</v>
      </c>
    </row>
    <row r="2834" spans="1:5" x14ac:dyDescent="0.3">
      <c r="A2834" t="s">
        <v>3844</v>
      </c>
      <c r="B2834" t="s">
        <v>890</v>
      </c>
      <c r="C2834">
        <v>46</v>
      </c>
      <c r="D2834" t="str">
        <f>VLOOKUP(B2834,Products!$A:$E,2,FALSE)</f>
        <v>Product_441</v>
      </c>
      <c r="E2834" t="str">
        <f>VLOOKUP(B2834,Products!$A:$E,3,FALSE)</f>
        <v>Storage</v>
      </c>
    </row>
    <row r="2835" spans="1:5" x14ac:dyDescent="0.3">
      <c r="A2835" t="s">
        <v>3845</v>
      </c>
      <c r="B2835" t="s">
        <v>894</v>
      </c>
      <c r="C2835">
        <v>65</v>
      </c>
      <c r="D2835" t="str">
        <f>VLOOKUP(B2835,Products!$A:$E,2,FALSE)</f>
        <v>Product_443</v>
      </c>
      <c r="E2835" t="str">
        <f>VLOOKUP(B2835,Products!$A:$E,3,FALSE)</f>
        <v>Networking</v>
      </c>
    </row>
    <row r="2836" spans="1:5" x14ac:dyDescent="0.3">
      <c r="A2836" t="s">
        <v>3846</v>
      </c>
      <c r="B2836" t="s">
        <v>488</v>
      </c>
      <c r="C2836">
        <v>74</v>
      </c>
      <c r="D2836" t="str">
        <f>VLOOKUP(B2836,Products!$A:$E,2,FALSE)</f>
        <v>Product_240</v>
      </c>
      <c r="E2836" t="str">
        <f>VLOOKUP(B2836,Products!$A:$E,3,FALSE)</f>
        <v>Storage</v>
      </c>
    </row>
    <row r="2837" spans="1:5" x14ac:dyDescent="0.3">
      <c r="A2837" t="s">
        <v>3847</v>
      </c>
      <c r="B2837" t="s">
        <v>966</v>
      </c>
      <c r="C2837">
        <v>39</v>
      </c>
      <c r="D2837" t="str">
        <f>VLOOKUP(B2837,Products!$A:$E,2,FALSE)</f>
        <v>Product_479</v>
      </c>
      <c r="E2837" t="str">
        <f>VLOOKUP(B2837,Products!$A:$E,3,FALSE)</f>
        <v>Office Supplies</v>
      </c>
    </row>
    <row r="2838" spans="1:5" x14ac:dyDescent="0.3">
      <c r="A2838" t="s">
        <v>3848</v>
      </c>
      <c r="B2838" t="s">
        <v>570</v>
      </c>
      <c r="C2838">
        <v>61</v>
      </c>
      <c r="D2838" t="str">
        <f>VLOOKUP(B2838,Products!$A:$E,2,FALSE)</f>
        <v>Product_281</v>
      </c>
      <c r="E2838" t="str">
        <f>VLOOKUP(B2838,Products!$A:$E,3,FALSE)</f>
        <v>Office Supplies</v>
      </c>
    </row>
    <row r="2839" spans="1:5" x14ac:dyDescent="0.3">
      <c r="A2839" t="s">
        <v>3849</v>
      </c>
      <c r="B2839" t="s">
        <v>148</v>
      </c>
      <c r="C2839">
        <v>94</v>
      </c>
      <c r="D2839" t="str">
        <f>VLOOKUP(B2839,Products!$A:$E,2,FALSE)</f>
        <v>Product_70</v>
      </c>
      <c r="E2839" t="str">
        <f>VLOOKUP(B2839,Products!$A:$E,3,FALSE)</f>
        <v>Electronics</v>
      </c>
    </row>
    <row r="2840" spans="1:5" x14ac:dyDescent="0.3">
      <c r="A2840" t="s">
        <v>3850</v>
      </c>
      <c r="B2840" t="s">
        <v>562</v>
      </c>
      <c r="C2840">
        <v>27</v>
      </c>
      <c r="D2840" t="str">
        <f>VLOOKUP(B2840,Products!$A:$E,2,FALSE)</f>
        <v>Product_277</v>
      </c>
      <c r="E2840" t="str">
        <f>VLOOKUP(B2840,Products!$A:$E,3,FALSE)</f>
        <v>Electronics</v>
      </c>
    </row>
    <row r="2841" spans="1:5" x14ac:dyDescent="0.3">
      <c r="A2841" t="s">
        <v>3851</v>
      </c>
      <c r="B2841" t="s">
        <v>614</v>
      </c>
      <c r="C2841">
        <v>81</v>
      </c>
      <c r="D2841" t="str">
        <f>VLOOKUP(B2841,Products!$A:$E,2,FALSE)</f>
        <v>Product_303</v>
      </c>
      <c r="E2841" t="str">
        <f>VLOOKUP(B2841,Products!$A:$E,3,FALSE)</f>
        <v>Networking</v>
      </c>
    </row>
    <row r="2842" spans="1:5" x14ac:dyDescent="0.3">
      <c r="A2842" t="s">
        <v>3852</v>
      </c>
      <c r="B2842" t="s">
        <v>476</v>
      </c>
      <c r="C2842">
        <v>85</v>
      </c>
      <c r="D2842" t="str">
        <f>VLOOKUP(B2842,Products!$A:$E,2,FALSE)</f>
        <v>Product_234</v>
      </c>
      <c r="E2842" t="str">
        <f>VLOOKUP(B2842,Products!$A:$E,3,FALSE)</f>
        <v>Networking</v>
      </c>
    </row>
    <row r="2843" spans="1:5" x14ac:dyDescent="0.3">
      <c r="A2843" t="s">
        <v>3853</v>
      </c>
      <c r="B2843" t="s">
        <v>776</v>
      </c>
      <c r="C2843">
        <v>86</v>
      </c>
      <c r="D2843" t="str">
        <f>VLOOKUP(B2843,Products!$A:$E,2,FALSE)</f>
        <v>Product_384</v>
      </c>
      <c r="E2843" t="str">
        <f>VLOOKUP(B2843,Products!$A:$E,3,FALSE)</f>
        <v>Office Supplies</v>
      </c>
    </row>
    <row r="2844" spans="1:5" x14ac:dyDescent="0.3">
      <c r="A2844" t="s">
        <v>3854</v>
      </c>
      <c r="B2844" t="s">
        <v>908</v>
      </c>
      <c r="C2844">
        <v>77</v>
      </c>
      <c r="D2844" t="str">
        <f>VLOOKUP(B2844,Products!$A:$E,2,FALSE)</f>
        <v>Product_450</v>
      </c>
      <c r="E2844" t="str">
        <f>VLOOKUP(B2844,Products!$A:$E,3,FALSE)</f>
        <v>Networking</v>
      </c>
    </row>
    <row r="2845" spans="1:5" x14ac:dyDescent="0.3">
      <c r="A2845" t="s">
        <v>3855</v>
      </c>
      <c r="B2845" t="s">
        <v>454</v>
      </c>
      <c r="C2845">
        <v>72</v>
      </c>
      <c r="D2845" t="str">
        <f>VLOOKUP(B2845,Products!$A:$E,2,FALSE)</f>
        <v>Product_223</v>
      </c>
      <c r="E2845" t="str">
        <f>VLOOKUP(B2845,Products!$A:$E,3,FALSE)</f>
        <v>Storage</v>
      </c>
    </row>
    <row r="2846" spans="1:5" x14ac:dyDescent="0.3">
      <c r="A2846" t="s">
        <v>3856</v>
      </c>
      <c r="B2846" t="s">
        <v>664</v>
      </c>
      <c r="C2846">
        <v>86</v>
      </c>
      <c r="D2846" t="str">
        <f>VLOOKUP(B2846,Products!$A:$E,2,FALSE)</f>
        <v>Product_328</v>
      </c>
      <c r="E2846" t="str">
        <f>VLOOKUP(B2846,Products!$A:$E,3,FALSE)</f>
        <v>Office Supplies</v>
      </c>
    </row>
    <row r="2847" spans="1:5" x14ac:dyDescent="0.3">
      <c r="A2847" t="s">
        <v>3857</v>
      </c>
      <c r="B2847" t="s">
        <v>556</v>
      </c>
      <c r="C2847">
        <v>44</v>
      </c>
      <c r="D2847" t="str">
        <f>VLOOKUP(B2847,Products!$A:$E,2,FALSE)</f>
        <v>Product_274</v>
      </c>
      <c r="E2847" t="str">
        <f>VLOOKUP(B2847,Products!$A:$E,3,FALSE)</f>
        <v>Accessories</v>
      </c>
    </row>
    <row r="2848" spans="1:5" x14ac:dyDescent="0.3">
      <c r="A2848" t="s">
        <v>3858</v>
      </c>
      <c r="B2848" t="s">
        <v>940</v>
      </c>
      <c r="C2848">
        <v>49</v>
      </c>
      <c r="D2848" t="str">
        <f>VLOOKUP(B2848,Products!$A:$E,2,FALSE)</f>
        <v>Product_466</v>
      </c>
      <c r="E2848" t="str">
        <f>VLOOKUP(B2848,Products!$A:$E,3,FALSE)</f>
        <v>Networking</v>
      </c>
    </row>
    <row r="2849" spans="1:5" x14ac:dyDescent="0.3">
      <c r="A2849" t="s">
        <v>3859</v>
      </c>
      <c r="B2849" t="s">
        <v>502</v>
      </c>
      <c r="C2849">
        <v>74</v>
      </c>
      <c r="D2849" t="str">
        <f>VLOOKUP(B2849,Products!$A:$E,2,FALSE)</f>
        <v>Product_247</v>
      </c>
      <c r="E2849" t="str">
        <f>VLOOKUP(B2849,Products!$A:$E,3,FALSE)</f>
        <v>Networking</v>
      </c>
    </row>
    <row r="2850" spans="1:5" x14ac:dyDescent="0.3">
      <c r="A2850" t="s">
        <v>3860</v>
      </c>
      <c r="B2850" t="s">
        <v>242</v>
      </c>
      <c r="C2850">
        <v>16</v>
      </c>
      <c r="D2850" t="str">
        <f>VLOOKUP(B2850,Products!$A:$E,2,FALSE)</f>
        <v>Product_117</v>
      </c>
      <c r="E2850" t="str">
        <f>VLOOKUP(B2850,Products!$A:$E,3,FALSE)</f>
        <v>Storage</v>
      </c>
    </row>
    <row r="2851" spans="1:5" x14ac:dyDescent="0.3">
      <c r="A2851" t="s">
        <v>3861</v>
      </c>
      <c r="B2851" t="s">
        <v>462</v>
      </c>
      <c r="C2851">
        <v>44</v>
      </c>
      <c r="D2851" t="str">
        <f>VLOOKUP(B2851,Products!$A:$E,2,FALSE)</f>
        <v>Product_227</v>
      </c>
      <c r="E2851" t="str">
        <f>VLOOKUP(B2851,Products!$A:$E,3,FALSE)</f>
        <v>Accessories</v>
      </c>
    </row>
    <row r="2852" spans="1:5" x14ac:dyDescent="0.3">
      <c r="A2852" t="s">
        <v>3862</v>
      </c>
      <c r="B2852" t="s">
        <v>384</v>
      </c>
      <c r="C2852">
        <v>57</v>
      </c>
      <c r="D2852" t="str">
        <f>VLOOKUP(B2852,Products!$A:$E,2,FALSE)</f>
        <v>Product_188</v>
      </c>
      <c r="E2852" t="str">
        <f>VLOOKUP(B2852,Products!$A:$E,3,FALSE)</f>
        <v>Office Supplies</v>
      </c>
    </row>
    <row r="2853" spans="1:5" x14ac:dyDescent="0.3">
      <c r="A2853" t="s">
        <v>3863</v>
      </c>
      <c r="B2853" t="s">
        <v>276</v>
      </c>
      <c r="C2853">
        <v>24</v>
      </c>
      <c r="D2853" t="str">
        <f>VLOOKUP(B2853,Products!$A:$E,2,FALSE)</f>
        <v>Product_134</v>
      </c>
      <c r="E2853" t="str">
        <f>VLOOKUP(B2853,Products!$A:$E,3,FALSE)</f>
        <v>Accessories</v>
      </c>
    </row>
    <row r="2854" spans="1:5" x14ac:dyDescent="0.3">
      <c r="A2854" t="s">
        <v>3864</v>
      </c>
      <c r="B2854" t="s">
        <v>320</v>
      </c>
      <c r="C2854">
        <v>6</v>
      </c>
      <c r="D2854" t="str">
        <f>VLOOKUP(B2854,Products!$A:$E,2,FALSE)</f>
        <v>Product_156</v>
      </c>
      <c r="E2854" t="str">
        <f>VLOOKUP(B2854,Products!$A:$E,3,FALSE)</f>
        <v>Accessories</v>
      </c>
    </row>
    <row r="2855" spans="1:5" x14ac:dyDescent="0.3">
      <c r="A2855" t="s">
        <v>3865</v>
      </c>
      <c r="B2855" t="s">
        <v>5</v>
      </c>
      <c r="C2855">
        <v>71</v>
      </c>
      <c r="D2855" t="str">
        <f>VLOOKUP(B2855,Products!$A:$E,2,FALSE)</f>
        <v>Product_1</v>
      </c>
      <c r="E2855" t="str">
        <f>VLOOKUP(B2855,Products!$A:$E,3,FALSE)</f>
        <v>Electronics</v>
      </c>
    </row>
    <row r="2856" spans="1:5" x14ac:dyDescent="0.3">
      <c r="A2856" t="s">
        <v>3866</v>
      </c>
      <c r="B2856" t="s">
        <v>844</v>
      </c>
      <c r="C2856">
        <v>22</v>
      </c>
      <c r="D2856" t="str">
        <f>VLOOKUP(B2856,Products!$A:$E,2,FALSE)</f>
        <v>Product_418</v>
      </c>
      <c r="E2856" t="str">
        <f>VLOOKUP(B2856,Products!$A:$E,3,FALSE)</f>
        <v>Office Supplies</v>
      </c>
    </row>
    <row r="2857" spans="1:5" x14ac:dyDescent="0.3">
      <c r="A2857" t="s">
        <v>3867</v>
      </c>
      <c r="B2857" t="s">
        <v>362</v>
      </c>
      <c r="C2857">
        <v>41</v>
      </c>
      <c r="D2857" t="str">
        <f>VLOOKUP(B2857,Products!$A:$E,2,FALSE)</f>
        <v>Product_177</v>
      </c>
      <c r="E2857" t="str">
        <f>VLOOKUP(B2857,Products!$A:$E,3,FALSE)</f>
        <v>Office Supplies</v>
      </c>
    </row>
    <row r="2858" spans="1:5" x14ac:dyDescent="0.3">
      <c r="A2858" t="s">
        <v>3868</v>
      </c>
      <c r="B2858" t="s">
        <v>490</v>
      </c>
      <c r="C2858">
        <v>73</v>
      </c>
      <c r="D2858" t="str">
        <f>VLOOKUP(B2858,Products!$A:$E,2,FALSE)</f>
        <v>Product_241</v>
      </c>
      <c r="E2858" t="str">
        <f>VLOOKUP(B2858,Products!$A:$E,3,FALSE)</f>
        <v>Electronics</v>
      </c>
    </row>
    <row r="2859" spans="1:5" x14ac:dyDescent="0.3">
      <c r="A2859" t="s">
        <v>3869</v>
      </c>
      <c r="B2859" t="s">
        <v>17</v>
      </c>
      <c r="C2859">
        <v>93</v>
      </c>
      <c r="D2859" t="str">
        <f>VLOOKUP(B2859,Products!$A:$E,2,FALSE)</f>
        <v>Product_5</v>
      </c>
      <c r="E2859" t="str">
        <f>VLOOKUP(B2859,Products!$A:$E,3,FALSE)</f>
        <v>Networking</v>
      </c>
    </row>
    <row r="2860" spans="1:5" x14ac:dyDescent="0.3">
      <c r="A2860" t="s">
        <v>3870</v>
      </c>
      <c r="B2860" t="s">
        <v>954</v>
      </c>
      <c r="C2860">
        <v>67</v>
      </c>
      <c r="D2860" t="str">
        <f>VLOOKUP(B2860,Products!$A:$E,2,FALSE)</f>
        <v>Product_473</v>
      </c>
      <c r="E2860" t="str">
        <f>VLOOKUP(B2860,Products!$A:$E,3,FALSE)</f>
        <v>Accessories</v>
      </c>
    </row>
    <row r="2861" spans="1:5" x14ac:dyDescent="0.3">
      <c r="A2861" t="s">
        <v>3871</v>
      </c>
      <c r="B2861" t="s">
        <v>978</v>
      </c>
      <c r="C2861">
        <v>66</v>
      </c>
      <c r="D2861" t="str">
        <f>VLOOKUP(B2861,Products!$A:$E,2,FALSE)</f>
        <v>Product_485</v>
      </c>
      <c r="E2861" t="str">
        <f>VLOOKUP(B2861,Products!$A:$E,3,FALSE)</f>
        <v>Networking</v>
      </c>
    </row>
    <row r="2862" spans="1:5" x14ac:dyDescent="0.3">
      <c r="A2862" t="s">
        <v>3872</v>
      </c>
      <c r="B2862" t="s">
        <v>316</v>
      </c>
      <c r="C2862">
        <v>6</v>
      </c>
      <c r="D2862" t="str">
        <f>VLOOKUP(B2862,Products!$A:$E,2,FALSE)</f>
        <v>Product_154</v>
      </c>
      <c r="E2862" t="str">
        <f>VLOOKUP(B2862,Products!$A:$E,3,FALSE)</f>
        <v>Accessories</v>
      </c>
    </row>
    <row r="2863" spans="1:5" x14ac:dyDescent="0.3">
      <c r="A2863" t="s">
        <v>3873</v>
      </c>
      <c r="B2863" t="s">
        <v>794</v>
      </c>
      <c r="C2863">
        <v>60</v>
      </c>
      <c r="D2863" t="str">
        <f>VLOOKUP(B2863,Products!$A:$E,2,FALSE)</f>
        <v>Product_393</v>
      </c>
      <c r="E2863" t="str">
        <f>VLOOKUP(B2863,Products!$A:$E,3,FALSE)</f>
        <v>Electronics</v>
      </c>
    </row>
    <row r="2864" spans="1:5" x14ac:dyDescent="0.3">
      <c r="A2864" t="s">
        <v>3874</v>
      </c>
      <c r="B2864" t="s">
        <v>826</v>
      </c>
      <c r="C2864">
        <v>42</v>
      </c>
      <c r="D2864" t="str">
        <f>VLOOKUP(B2864,Products!$A:$E,2,FALSE)</f>
        <v>Product_409</v>
      </c>
      <c r="E2864" t="str">
        <f>VLOOKUP(B2864,Products!$A:$E,3,FALSE)</f>
        <v>Office Supplies</v>
      </c>
    </row>
    <row r="2865" spans="1:5" x14ac:dyDescent="0.3">
      <c r="A2865" t="s">
        <v>3875</v>
      </c>
      <c r="B2865" t="s">
        <v>620</v>
      </c>
      <c r="C2865">
        <v>34</v>
      </c>
      <c r="D2865" t="str">
        <f>VLOOKUP(B2865,Products!$A:$E,2,FALSE)</f>
        <v>Product_306</v>
      </c>
      <c r="E2865" t="str">
        <f>VLOOKUP(B2865,Products!$A:$E,3,FALSE)</f>
        <v>Accessories</v>
      </c>
    </row>
    <row r="2866" spans="1:5" x14ac:dyDescent="0.3">
      <c r="A2866" t="s">
        <v>3876</v>
      </c>
      <c r="B2866" t="s">
        <v>824</v>
      </c>
      <c r="C2866">
        <v>5</v>
      </c>
      <c r="D2866" t="str">
        <f>VLOOKUP(B2866,Products!$A:$E,2,FALSE)</f>
        <v>Product_408</v>
      </c>
      <c r="E2866" t="str">
        <f>VLOOKUP(B2866,Products!$A:$E,3,FALSE)</f>
        <v>Storage</v>
      </c>
    </row>
    <row r="2867" spans="1:5" x14ac:dyDescent="0.3">
      <c r="A2867" t="s">
        <v>3877</v>
      </c>
      <c r="B2867" t="s">
        <v>570</v>
      </c>
      <c r="C2867">
        <v>52</v>
      </c>
      <c r="D2867" t="str">
        <f>VLOOKUP(B2867,Products!$A:$E,2,FALSE)</f>
        <v>Product_281</v>
      </c>
      <c r="E2867" t="str">
        <f>VLOOKUP(B2867,Products!$A:$E,3,FALSE)</f>
        <v>Office Supplies</v>
      </c>
    </row>
    <row r="2868" spans="1:5" x14ac:dyDescent="0.3">
      <c r="A2868" t="s">
        <v>3878</v>
      </c>
      <c r="B2868" t="s">
        <v>202</v>
      </c>
      <c r="C2868">
        <v>57</v>
      </c>
      <c r="D2868" t="str">
        <f>VLOOKUP(B2868,Products!$A:$E,2,FALSE)</f>
        <v>Product_97</v>
      </c>
      <c r="E2868" t="str">
        <f>VLOOKUP(B2868,Products!$A:$E,3,FALSE)</f>
        <v>Accessories</v>
      </c>
    </row>
    <row r="2869" spans="1:5" x14ac:dyDescent="0.3">
      <c r="A2869" t="s">
        <v>3879</v>
      </c>
      <c r="B2869" t="s">
        <v>912</v>
      </c>
      <c r="C2869">
        <v>76</v>
      </c>
      <c r="D2869" t="str">
        <f>VLOOKUP(B2869,Products!$A:$E,2,FALSE)</f>
        <v>Product_452</v>
      </c>
      <c r="E2869" t="str">
        <f>VLOOKUP(B2869,Products!$A:$E,3,FALSE)</f>
        <v>Office Supplies</v>
      </c>
    </row>
    <row r="2870" spans="1:5" x14ac:dyDescent="0.3">
      <c r="A2870" t="s">
        <v>3880</v>
      </c>
      <c r="B2870" t="s">
        <v>456</v>
      </c>
      <c r="C2870">
        <v>55</v>
      </c>
      <c r="D2870" t="str">
        <f>VLOOKUP(B2870,Products!$A:$E,2,FALSE)</f>
        <v>Product_224</v>
      </c>
      <c r="E2870" t="str">
        <f>VLOOKUP(B2870,Products!$A:$E,3,FALSE)</f>
        <v>Storage</v>
      </c>
    </row>
    <row r="2871" spans="1:5" x14ac:dyDescent="0.3">
      <c r="A2871" t="s">
        <v>3881</v>
      </c>
      <c r="B2871" t="s">
        <v>264</v>
      </c>
      <c r="C2871">
        <v>25</v>
      </c>
      <c r="D2871" t="str">
        <f>VLOOKUP(B2871,Products!$A:$E,2,FALSE)</f>
        <v>Product_128</v>
      </c>
      <c r="E2871" t="str">
        <f>VLOOKUP(B2871,Products!$A:$E,3,FALSE)</f>
        <v>Office Supplies</v>
      </c>
    </row>
    <row r="2872" spans="1:5" x14ac:dyDescent="0.3">
      <c r="A2872" t="s">
        <v>3882</v>
      </c>
      <c r="B2872" t="s">
        <v>742</v>
      </c>
      <c r="C2872">
        <v>99</v>
      </c>
      <c r="D2872" t="str">
        <f>VLOOKUP(B2872,Products!$A:$E,2,FALSE)</f>
        <v>Product_367</v>
      </c>
      <c r="E2872" t="str">
        <f>VLOOKUP(B2872,Products!$A:$E,3,FALSE)</f>
        <v>Storage</v>
      </c>
    </row>
    <row r="2873" spans="1:5" x14ac:dyDescent="0.3">
      <c r="A2873" t="s">
        <v>3883</v>
      </c>
      <c r="B2873" t="s">
        <v>670</v>
      </c>
      <c r="C2873">
        <v>54</v>
      </c>
      <c r="D2873" t="str">
        <f>VLOOKUP(B2873,Products!$A:$E,2,FALSE)</f>
        <v>Product_331</v>
      </c>
      <c r="E2873" t="str">
        <f>VLOOKUP(B2873,Products!$A:$E,3,FALSE)</f>
        <v>Electronics</v>
      </c>
    </row>
    <row r="2874" spans="1:5" x14ac:dyDescent="0.3">
      <c r="A2874" t="s">
        <v>3884</v>
      </c>
      <c r="B2874" t="s">
        <v>858</v>
      </c>
      <c r="C2874">
        <v>53</v>
      </c>
      <c r="D2874" t="str">
        <f>VLOOKUP(B2874,Products!$A:$E,2,FALSE)</f>
        <v>Product_425</v>
      </c>
      <c r="E2874" t="str">
        <f>VLOOKUP(B2874,Products!$A:$E,3,FALSE)</f>
        <v>Office Supplies</v>
      </c>
    </row>
    <row r="2875" spans="1:5" x14ac:dyDescent="0.3">
      <c r="A2875" t="s">
        <v>3885</v>
      </c>
      <c r="B2875" t="s">
        <v>234</v>
      </c>
      <c r="C2875">
        <v>38</v>
      </c>
      <c r="D2875" t="str">
        <f>VLOOKUP(B2875,Products!$A:$E,2,FALSE)</f>
        <v>Product_113</v>
      </c>
      <c r="E2875" t="str">
        <f>VLOOKUP(B2875,Products!$A:$E,3,FALSE)</f>
        <v>Electronics</v>
      </c>
    </row>
    <row r="2876" spans="1:5" x14ac:dyDescent="0.3">
      <c r="A2876" t="s">
        <v>3886</v>
      </c>
      <c r="B2876" t="s">
        <v>90</v>
      </c>
      <c r="C2876">
        <v>59</v>
      </c>
      <c r="D2876" t="str">
        <f>VLOOKUP(B2876,Products!$A:$E,2,FALSE)</f>
        <v>Product_41</v>
      </c>
      <c r="E2876" t="str">
        <f>VLOOKUP(B2876,Products!$A:$E,3,FALSE)</f>
        <v>Accessories</v>
      </c>
    </row>
    <row r="2877" spans="1:5" x14ac:dyDescent="0.3">
      <c r="A2877" t="s">
        <v>3887</v>
      </c>
      <c r="B2877" t="s">
        <v>650</v>
      </c>
      <c r="C2877">
        <v>35</v>
      </c>
      <c r="D2877" t="str">
        <f>VLOOKUP(B2877,Products!$A:$E,2,FALSE)</f>
        <v>Product_321</v>
      </c>
      <c r="E2877" t="str">
        <f>VLOOKUP(B2877,Products!$A:$E,3,FALSE)</f>
        <v>Electronics</v>
      </c>
    </row>
    <row r="2878" spans="1:5" x14ac:dyDescent="0.3">
      <c r="A2878" t="s">
        <v>3888</v>
      </c>
      <c r="B2878" t="s">
        <v>538</v>
      </c>
      <c r="C2878">
        <v>83</v>
      </c>
      <c r="D2878" t="str">
        <f>VLOOKUP(B2878,Products!$A:$E,2,FALSE)</f>
        <v>Product_265</v>
      </c>
      <c r="E2878" t="str">
        <f>VLOOKUP(B2878,Products!$A:$E,3,FALSE)</f>
        <v>Accessories</v>
      </c>
    </row>
    <row r="2879" spans="1:5" x14ac:dyDescent="0.3">
      <c r="A2879" t="s">
        <v>3889</v>
      </c>
      <c r="B2879" t="s">
        <v>836</v>
      </c>
      <c r="C2879">
        <v>93</v>
      </c>
      <c r="D2879" t="str">
        <f>VLOOKUP(B2879,Products!$A:$E,2,FALSE)</f>
        <v>Product_414</v>
      </c>
      <c r="E2879" t="str">
        <f>VLOOKUP(B2879,Products!$A:$E,3,FALSE)</f>
        <v>Office Supplies</v>
      </c>
    </row>
    <row r="2880" spans="1:5" x14ac:dyDescent="0.3">
      <c r="A2880" t="s">
        <v>3890</v>
      </c>
      <c r="B2880" t="s">
        <v>710</v>
      </c>
      <c r="C2880">
        <v>39</v>
      </c>
      <c r="D2880" t="str">
        <f>VLOOKUP(B2880,Products!$A:$E,2,FALSE)</f>
        <v>Product_351</v>
      </c>
      <c r="E2880" t="str">
        <f>VLOOKUP(B2880,Products!$A:$E,3,FALSE)</f>
        <v>Accessories</v>
      </c>
    </row>
    <row r="2881" spans="1:5" x14ac:dyDescent="0.3">
      <c r="A2881" t="s">
        <v>3891</v>
      </c>
      <c r="B2881" t="s">
        <v>300</v>
      </c>
      <c r="C2881">
        <v>88</v>
      </c>
      <c r="D2881" t="str">
        <f>VLOOKUP(B2881,Products!$A:$E,2,FALSE)</f>
        <v>Product_146</v>
      </c>
      <c r="E2881" t="str">
        <f>VLOOKUP(B2881,Products!$A:$E,3,FALSE)</f>
        <v>Office Supplies</v>
      </c>
    </row>
    <row r="2882" spans="1:5" x14ac:dyDescent="0.3">
      <c r="A2882" t="s">
        <v>3892</v>
      </c>
      <c r="B2882" t="s">
        <v>770</v>
      </c>
      <c r="C2882">
        <v>73</v>
      </c>
      <c r="D2882" t="str">
        <f>VLOOKUP(B2882,Products!$A:$E,2,FALSE)</f>
        <v>Product_381</v>
      </c>
      <c r="E2882" t="str">
        <f>VLOOKUP(B2882,Products!$A:$E,3,FALSE)</f>
        <v>Storage</v>
      </c>
    </row>
    <row r="2883" spans="1:5" x14ac:dyDescent="0.3">
      <c r="A2883" t="s">
        <v>3893</v>
      </c>
      <c r="B2883" t="s">
        <v>838</v>
      </c>
      <c r="C2883">
        <v>39</v>
      </c>
      <c r="D2883" t="str">
        <f>VLOOKUP(B2883,Products!$A:$E,2,FALSE)</f>
        <v>Product_415</v>
      </c>
      <c r="E2883" t="str">
        <f>VLOOKUP(B2883,Products!$A:$E,3,FALSE)</f>
        <v>Networking</v>
      </c>
    </row>
    <row r="2884" spans="1:5" x14ac:dyDescent="0.3">
      <c r="A2884" t="s">
        <v>3894</v>
      </c>
      <c r="B2884" t="s">
        <v>432</v>
      </c>
      <c r="C2884">
        <v>29</v>
      </c>
      <c r="D2884" t="str">
        <f>VLOOKUP(B2884,Products!$A:$E,2,FALSE)</f>
        <v>Product_212</v>
      </c>
      <c r="E2884" t="str">
        <f>VLOOKUP(B2884,Products!$A:$E,3,FALSE)</f>
        <v>Networking</v>
      </c>
    </row>
    <row r="2885" spans="1:5" x14ac:dyDescent="0.3">
      <c r="A2885" t="s">
        <v>3895</v>
      </c>
      <c r="B2885" t="s">
        <v>882</v>
      </c>
      <c r="C2885">
        <v>13</v>
      </c>
      <c r="D2885" t="str">
        <f>VLOOKUP(B2885,Products!$A:$E,2,FALSE)</f>
        <v>Product_437</v>
      </c>
      <c r="E2885" t="str">
        <f>VLOOKUP(B2885,Products!$A:$E,3,FALSE)</f>
        <v>Accessories</v>
      </c>
    </row>
    <row r="2886" spans="1:5" x14ac:dyDescent="0.3">
      <c r="A2886" t="s">
        <v>3896</v>
      </c>
      <c r="B2886" t="s">
        <v>196</v>
      </c>
      <c r="C2886">
        <v>22</v>
      </c>
      <c r="D2886" t="str">
        <f>VLOOKUP(B2886,Products!$A:$E,2,FALSE)</f>
        <v>Product_94</v>
      </c>
      <c r="E2886" t="str">
        <f>VLOOKUP(B2886,Products!$A:$E,3,FALSE)</f>
        <v>Networking</v>
      </c>
    </row>
    <row r="2887" spans="1:5" x14ac:dyDescent="0.3">
      <c r="A2887" t="s">
        <v>3897</v>
      </c>
      <c r="B2887" t="s">
        <v>306</v>
      </c>
      <c r="C2887">
        <v>19</v>
      </c>
      <c r="D2887" t="str">
        <f>VLOOKUP(B2887,Products!$A:$E,2,FALSE)</f>
        <v>Product_149</v>
      </c>
      <c r="E2887" t="str">
        <f>VLOOKUP(B2887,Products!$A:$E,3,FALSE)</f>
        <v>Accessories</v>
      </c>
    </row>
    <row r="2888" spans="1:5" x14ac:dyDescent="0.3">
      <c r="A2888" t="s">
        <v>3898</v>
      </c>
      <c r="B2888" t="s">
        <v>662</v>
      </c>
      <c r="C2888">
        <v>63</v>
      </c>
      <c r="D2888" t="str">
        <f>VLOOKUP(B2888,Products!$A:$E,2,FALSE)</f>
        <v>Product_327</v>
      </c>
      <c r="E2888" t="str">
        <f>VLOOKUP(B2888,Products!$A:$E,3,FALSE)</f>
        <v>Networking</v>
      </c>
    </row>
    <row r="2889" spans="1:5" x14ac:dyDescent="0.3">
      <c r="A2889" t="s">
        <v>3899</v>
      </c>
      <c r="B2889" t="s">
        <v>642</v>
      </c>
      <c r="C2889">
        <v>62</v>
      </c>
      <c r="D2889" t="str">
        <f>VLOOKUP(B2889,Products!$A:$E,2,FALSE)</f>
        <v>Product_317</v>
      </c>
      <c r="E2889" t="str">
        <f>VLOOKUP(B2889,Products!$A:$E,3,FALSE)</f>
        <v>Storage</v>
      </c>
    </row>
    <row r="2890" spans="1:5" x14ac:dyDescent="0.3">
      <c r="A2890" t="s">
        <v>3900</v>
      </c>
      <c r="B2890" t="s">
        <v>288</v>
      </c>
      <c r="C2890">
        <v>94</v>
      </c>
      <c r="D2890" t="str">
        <f>VLOOKUP(B2890,Products!$A:$E,2,FALSE)</f>
        <v>Product_140</v>
      </c>
      <c r="E2890" t="str">
        <f>VLOOKUP(B2890,Products!$A:$E,3,FALSE)</f>
        <v>Electronics</v>
      </c>
    </row>
    <row r="2891" spans="1:5" x14ac:dyDescent="0.3">
      <c r="A2891" t="s">
        <v>3901</v>
      </c>
      <c r="B2891" t="s">
        <v>646</v>
      </c>
      <c r="C2891">
        <v>67</v>
      </c>
      <c r="D2891" t="str">
        <f>VLOOKUP(B2891,Products!$A:$E,2,FALSE)</f>
        <v>Product_319</v>
      </c>
      <c r="E2891" t="str">
        <f>VLOOKUP(B2891,Products!$A:$E,3,FALSE)</f>
        <v>Accessories</v>
      </c>
    </row>
    <row r="2892" spans="1:5" x14ac:dyDescent="0.3">
      <c r="A2892" t="s">
        <v>3902</v>
      </c>
      <c r="B2892" t="s">
        <v>202</v>
      </c>
      <c r="C2892">
        <v>46</v>
      </c>
      <c r="D2892" t="str">
        <f>VLOOKUP(B2892,Products!$A:$E,2,FALSE)</f>
        <v>Product_97</v>
      </c>
      <c r="E2892" t="str">
        <f>VLOOKUP(B2892,Products!$A:$E,3,FALSE)</f>
        <v>Accessories</v>
      </c>
    </row>
    <row r="2893" spans="1:5" x14ac:dyDescent="0.3">
      <c r="A2893" t="s">
        <v>3903</v>
      </c>
      <c r="B2893" t="s">
        <v>28</v>
      </c>
      <c r="C2893">
        <v>24</v>
      </c>
      <c r="D2893" t="str">
        <f>VLOOKUP(B2893,Products!$A:$E,2,FALSE)</f>
        <v>Product_10</v>
      </c>
      <c r="E2893" t="str">
        <f>VLOOKUP(B2893,Products!$A:$E,3,FALSE)</f>
        <v>Networking</v>
      </c>
    </row>
    <row r="2894" spans="1:5" x14ac:dyDescent="0.3">
      <c r="A2894" t="s">
        <v>3904</v>
      </c>
      <c r="B2894" t="s">
        <v>60</v>
      </c>
      <c r="C2894">
        <v>73</v>
      </c>
      <c r="D2894" t="str">
        <f>VLOOKUP(B2894,Products!$A:$E,2,FALSE)</f>
        <v>Product_26</v>
      </c>
      <c r="E2894" t="str">
        <f>VLOOKUP(B2894,Products!$A:$E,3,FALSE)</f>
        <v>Office Supplies</v>
      </c>
    </row>
    <row r="2895" spans="1:5" x14ac:dyDescent="0.3">
      <c r="A2895" t="s">
        <v>3905</v>
      </c>
      <c r="B2895" t="s">
        <v>32</v>
      </c>
      <c r="C2895">
        <v>28</v>
      </c>
      <c r="D2895" t="str">
        <f>VLOOKUP(B2895,Products!$A:$E,2,FALSE)</f>
        <v>Product_12</v>
      </c>
      <c r="E2895" t="str">
        <f>VLOOKUP(B2895,Products!$A:$E,3,FALSE)</f>
        <v>Accessories</v>
      </c>
    </row>
    <row r="2896" spans="1:5" x14ac:dyDescent="0.3">
      <c r="A2896" t="s">
        <v>3906</v>
      </c>
      <c r="B2896" t="s">
        <v>1004</v>
      </c>
      <c r="C2896">
        <v>18</v>
      </c>
      <c r="D2896" t="str">
        <f>VLOOKUP(B2896,Products!$A:$E,2,FALSE)</f>
        <v>Product_498</v>
      </c>
      <c r="E2896" t="str">
        <f>VLOOKUP(B2896,Products!$A:$E,3,FALSE)</f>
        <v>Office Supplies</v>
      </c>
    </row>
    <row r="2897" spans="1:5" x14ac:dyDescent="0.3">
      <c r="A2897" t="s">
        <v>3907</v>
      </c>
      <c r="B2897" t="s">
        <v>298</v>
      </c>
      <c r="C2897">
        <v>39</v>
      </c>
      <c r="D2897" t="str">
        <f>VLOOKUP(B2897,Products!$A:$E,2,FALSE)</f>
        <v>Product_145</v>
      </c>
      <c r="E2897" t="str">
        <f>VLOOKUP(B2897,Products!$A:$E,3,FALSE)</f>
        <v>Office Supplies</v>
      </c>
    </row>
    <row r="2898" spans="1:5" x14ac:dyDescent="0.3">
      <c r="A2898" t="s">
        <v>3908</v>
      </c>
      <c r="B2898" t="s">
        <v>138</v>
      </c>
      <c r="C2898">
        <v>96</v>
      </c>
      <c r="D2898" t="str">
        <f>VLOOKUP(B2898,Products!$A:$E,2,FALSE)</f>
        <v>Product_65</v>
      </c>
      <c r="E2898" t="str">
        <f>VLOOKUP(B2898,Products!$A:$E,3,FALSE)</f>
        <v>Office Supplies</v>
      </c>
    </row>
    <row r="2899" spans="1:5" x14ac:dyDescent="0.3">
      <c r="A2899" t="s">
        <v>3909</v>
      </c>
      <c r="B2899" t="s">
        <v>458</v>
      </c>
      <c r="C2899">
        <v>98</v>
      </c>
      <c r="D2899" t="str">
        <f>VLOOKUP(B2899,Products!$A:$E,2,FALSE)</f>
        <v>Product_225</v>
      </c>
      <c r="E2899" t="str">
        <f>VLOOKUP(B2899,Products!$A:$E,3,FALSE)</f>
        <v>Accessories</v>
      </c>
    </row>
    <row r="2900" spans="1:5" x14ac:dyDescent="0.3">
      <c r="A2900" t="s">
        <v>3910</v>
      </c>
      <c r="B2900" t="s">
        <v>17</v>
      </c>
      <c r="C2900">
        <v>34</v>
      </c>
      <c r="D2900" t="str">
        <f>VLOOKUP(B2900,Products!$A:$E,2,FALSE)</f>
        <v>Product_5</v>
      </c>
      <c r="E2900" t="str">
        <f>VLOOKUP(B2900,Products!$A:$E,3,FALSE)</f>
        <v>Networking</v>
      </c>
    </row>
    <row r="2901" spans="1:5" x14ac:dyDescent="0.3">
      <c r="A2901" t="s">
        <v>3911</v>
      </c>
      <c r="B2901" t="s">
        <v>102</v>
      </c>
      <c r="C2901">
        <v>24</v>
      </c>
      <c r="D2901" t="str">
        <f>VLOOKUP(B2901,Products!$A:$E,2,FALSE)</f>
        <v>Product_47</v>
      </c>
      <c r="E2901" t="str">
        <f>VLOOKUP(B2901,Products!$A:$E,3,FALSE)</f>
        <v>Electronics</v>
      </c>
    </row>
    <row r="2902" spans="1:5" x14ac:dyDescent="0.3">
      <c r="A2902" t="s">
        <v>3912</v>
      </c>
      <c r="B2902" t="s">
        <v>24</v>
      </c>
      <c r="C2902">
        <v>68</v>
      </c>
      <c r="D2902" t="str">
        <f>VLOOKUP(B2902,Products!$A:$E,2,FALSE)</f>
        <v>Product_8</v>
      </c>
      <c r="E2902" t="str">
        <f>VLOOKUP(B2902,Products!$A:$E,3,FALSE)</f>
        <v>Storage</v>
      </c>
    </row>
    <row r="2903" spans="1:5" x14ac:dyDescent="0.3">
      <c r="A2903" t="s">
        <v>3913</v>
      </c>
      <c r="B2903" t="s">
        <v>232</v>
      </c>
      <c r="C2903">
        <v>48</v>
      </c>
      <c r="D2903" t="str">
        <f>VLOOKUP(B2903,Products!$A:$E,2,FALSE)</f>
        <v>Product_112</v>
      </c>
      <c r="E2903" t="str">
        <f>VLOOKUP(B2903,Products!$A:$E,3,FALSE)</f>
        <v>Storage</v>
      </c>
    </row>
    <row r="2904" spans="1:5" x14ac:dyDescent="0.3">
      <c r="A2904" t="s">
        <v>3914</v>
      </c>
      <c r="B2904" t="s">
        <v>440</v>
      </c>
      <c r="C2904">
        <v>44</v>
      </c>
      <c r="D2904" t="str">
        <f>VLOOKUP(B2904,Products!$A:$E,2,FALSE)</f>
        <v>Product_216</v>
      </c>
      <c r="E2904" t="str">
        <f>VLOOKUP(B2904,Products!$A:$E,3,FALSE)</f>
        <v>Accessories</v>
      </c>
    </row>
    <row r="2905" spans="1:5" x14ac:dyDescent="0.3">
      <c r="A2905" t="s">
        <v>3915</v>
      </c>
      <c r="B2905" t="s">
        <v>814</v>
      </c>
      <c r="C2905">
        <v>68</v>
      </c>
      <c r="D2905" t="str">
        <f>VLOOKUP(B2905,Products!$A:$E,2,FALSE)</f>
        <v>Product_403</v>
      </c>
      <c r="E2905" t="str">
        <f>VLOOKUP(B2905,Products!$A:$E,3,FALSE)</f>
        <v>Networking</v>
      </c>
    </row>
    <row r="2906" spans="1:5" x14ac:dyDescent="0.3">
      <c r="A2906" t="s">
        <v>3916</v>
      </c>
      <c r="B2906" t="s">
        <v>390</v>
      </c>
      <c r="C2906">
        <v>64</v>
      </c>
      <c r="D2906" t="str">
        <f>VLOOKUP(B2906,Products!$A:$E,2,FALSE)</f>
        <v>Product_191</v>
      </c>
      <c r="E2906" t="str">
        <f>VLOOKUP(B2906,Products!$A:$E,3,FALSE)</f>
        <v>Networking</v>
      </c>
    </row>
    <row r="2907" spans="1:5" x14ac:dyDescent="0.3">
      <c r="A2907" t="s">
        <v>3917</v>
      </c>
      <c r="B2907" t="s">
        <v>722</v>
      </c>
      <c r="C2907">
        <v>9</v>
      </c>
      <c r="D2907" t="str">
        <f>VLOOKUP(B2907,Products!$A:$E,2,FALSE)</f>
        <v>Product_357</v>
      </c>
      <c r="E2907" t="str">
        <f>VLOOKUP(B2907,Products!$A:$E,3,FALSE)</f>
        <v>Accessories</v>
      </c>
    </row>
    <row r="2908" spans="1:5" x14ac:dyDescent="0.3">
      <c r="A2908" t="s">
        <v>3918</v>
      </c>
      <c r="B2908" t="s">
        <v>348</v>
      </c>
      <c r="C2908">
        <v>15</v>
      </c>
      <c r="D2908" t="str">
        <f>VLOOKUP(B2908,Products!$A:$E,2,FALSE)</f>
        <v>Product_170</v>
      </c>
      <c r="E2908" t="str">
        <f>VLOOKUP(B2908,Products!$A:$E,3,FALSE)</f>
        <v>Office Supplies</v>
      </c>
    </row>
    <row r="2909" spans="1:5" x14ac:dyDescent="0.3">
      <c r="A2909" t="s">
        <v>3919</v>
      </c>
      <c r="B2909" t="s">
        <v>872</v>
      </c>
      <c r="C2909">
        <v>23</v>
      </c>
      <c r="D2909" t="str">
        <f>VLOOKUP(B2909,Products!$A:$E,2,FALSE)</f>
        <v>Product_432</v>
      </c>
      <c r="E2909" t="str">
        <f>VLOOKUP(B2909,Products!$A:$E,3,FALSE)</f>
        <v>Office Supplies</v>
      </c>
    </row>
    <row r="2910" spans="1:5" x14ac:dyDescent="0.3">
      <c r="A2910" t="s">
        <v>3920</v>
      </c>
      <c r="B2910" t="s">
        <v>66</v>
      </c>
      <c r="C2910">
        <v>39</v>
      </c>
      <c r="D2910" t="str">
        <f>VLOOKUP(B2910,Products!$A:$E,2,FALSE)</f>
        <v>Product_29</v>
      </c>
      <c r="E2910" t="str">
        <f>VLOOKUP(B2910,Products!$A:$E,3,FALSE)</f>
        <v>Electronics</v>
      </c>
    </row>
    <row r="2911" spans="1:5" x14ac:dyDescent="0.3">
      <c r="A2911" t="s">
        <v>3921</v>
      </c>
      <c r="B2911" t="s">
        <v>804</v>
      </c>
      <c r="C2911">
        <v>55</v>
      </c>
      <c r="D2911" t="str">
        <f>VLOOKUP(B2911,Products!$A:$E,2,FALSE)</f>
        <v>Product_398</v>
      </c>
      <c r="E2911" t="str">
        <f>VLOOKUP(B2911,Products!$A:$E,3,FALSE)</f>
        <v>Networking</v>
      </c>
    </row>
    <row r="2912" spans="1:5" x14ac:dyDescent="0.3">
      <c r="A2912" t="s">
        <v>3922</v>
      </c>
      <c r="B2912" t="s">
        <v>82</v>
      </c>
      <c r="C2912">
        <v>74</v>
      </c>
      <c r="D2912" t="str">
        <f>VLOOKUP(B2912,Products!$A:$E,2,FALSE)</f>
        <v>Product_37</v>
      </c>
      <c r="E2912" t="str">
        <f>VLOOKUP(B2912,Products!$A:$E,3,FALSE)</f>
        <v>Storage</v>
      </c>
    </row>
    <row r="2913" spans="1:5" x14ac:dyDescent="0.3">
      <c r="A2913" t="s">
        <v>3923</v>
      </c>
      <c r="B2913" t="s">
        <v>490</v>
      </c>
      <c r="C2913">
        <v>28</v>
      </c>
      <c r="D2913" t="str">
        <f>VLOOKUP(B2913,Products!$A:$E,2,FALSE)</f>
        <v>Product_241</v>
      </c>
      <c r="E2913" t="str">
        <f>VLOOKUP(B2913,Products!$A:$E,3,FALSE)</f>
        <v>Electronics</v>
      </c>
    </row>
    <row r="2914" spans="1:5" x14ac:dyDescent="0.3">
      <c r="A2914" t="s">
        <v>3924</v>
      </c>
      <c r="B2914" t="s">
        <v>206</v>
      </c>
      <c r="C2914">
        <v>37</v>
      </c>
      <c r="D2914" t="str">
        <f>VLOOKUP(B2914,Products!$A:$E,2,FALSE)</f>
        <v>Product_99</v>
      </c>
      <c r="E2914" t="str">
        <f>VLOOKUP(B2914,Products!$A:$E,3,FALSE)</f>
        <v>Accessories</v>
      </c>
    </row>
    <row r="2915" spans="1:5" x14ac:dyDescent="0.3">
      <c r="A2915" t="s">
        <v>3925</v>
      </c>
      <c r="B2915" t="s">
        <v>846</v>
      </c>
      <c r="C2915">
        <v>53</v>
      </c>
      <c r="D2915" t="str">
        <f>VLOOKUP(B2915,Products!$A:$E,2,FALSE)</f>
        <v>Product_419</v>
      </c>
      <c r="E2915" t="str">
        <f>VLOOKUP(B2915,Products!$A:$E,3,FALSE)</f>
        <v>Networking</v>
      </c>
    </row>
    <row r="2916" spans="1:5" x14ac:dyDescent="0.3">
      <c r="A2916" t="s">
        <v>3926</v>
      </c>
      <c r="B2916" t="s">
        <v>858</v>
      </c>
      <c r="C2916">
        <v>6</v>
      </c>
      <c r="D2916" t="str">
        <f>VLOOKUP(B2916,Products!$A:$E,2,FALSE)</f>
        <v>Product_425</v>
      </c>
      <c r="E2916" t="str">
        <f>VLOOKUP(B2916,Products!$A:$E,3,FALSE)</f>
        <v>Office Supplies</v>
      </c>
    </row>
    <row r="2917" spans="1:5" x14ac:dyDescent="0.3">
      <c r="A2917" t="s">
        <v>3927</v>
      </c>
      <c r="B2917" t="s">
        <v>134</v>
      </c>
      <c r="C2917">
        <v>96</v>
      </c>
      <c r="D2917" t="str">
        <f>VLOOKUP(B2917,Products!$A:$E,2,FALSE)</f>
        <v>Product_63</v>
      </c>
      <c r="E2917" t="str">
        <f>VLOOKUP(B2917,Products!$A:$E,3,FALSE)</f>
        <v>Accessories</v>
      </c>
    </row>
    <row r="2918" spans="1:5" x14ac:dyDescent="0.3">
      <c r="A2918" t="s">
        <v>3928</v>
      </c>
      <c r="B2918" t="s">
        <v>264</v>
      </c>
      <c r="C2918">
        <v>54</v>
      </c>
      <c r="D2918" t="str">
        <f>VLOOKUP(B2918,Products!$A:$E,2,FALSE)</f>
        <v>Product_128</v>
      </c>
      <c r="E2918" t="str">
        <f>VLOOKUP(B2918,Products!$A:$E,3,FALSE)</f>
        <v>Office Supplies</v>
      </c>
    </row>
    <row r="2919" spans="1:5" x14ac:dyDescent="0.3">
      <c r="A2919" t="s">
        <v>3929</v>
      </c>
      <c r="B2919" t="s">
        <v>798</v>
      </c>
      <c r="C2919">
        <v>61</v>
      </c>
      <c r="D2919" t="str">
        <f>VLOOKUP(B2919,Products!$A:$E,2,FALSE)</f>
        <v>Product_395</v>
      </c>
      <c r="E2919" t="str">
        <f>VLOOKUP(B2919,Products!$A:$E,3,FALSE)</f>
        <v>Accessories</v>
      </c>
    </row>
    <row r="2920" spans="1:5" x14ac:dyDescent="0.3">
      <c r="A2920" t="s">
        <v>3930</v>
      </c>
      <c r="B2920" t="s">
        <v>262</v>
      </c>
      <c r="C2920">
        <v>99</v>
      </c>
      <c r="D2920" t="str">
        <f>VLOOKUP(B2920,Products!$A:$E,2,FALSE)</f>
        <v>Product_127</v>
      </c>
      <c r="E2920" t="str">
        <f>VLOOKUP(B2920,Products!$A:$E,3,FALSE)</f>
        <v>Networking</v>
      </c>
    </row>
    <row r="2921" spans="1:5" x14ac:dyDescent="0.3">
      <c r="A2921" t="s">
        <v>3931</v>
      </c>
      <c r="B2921" t="s">
        <v>44</v>
      </c>
      <c r="C2921">
        <v>30</v>
      </c>
      <c r="D2921" t="str">
        <f>VLOOKUP(B2921,Products!$A:$E,2,FALSE)</f>
        <v>Product_18</v>
      </c>
      <c r="E2921" t="str">
        <f>VLOOKUP(B2921,Products!$A:$E,3,FALSE)</f>
        <v>Networking</v>
      </c>
    </row>
    <row r="2922" spans="1:5" x14ac:dyDescent="0.3">
      <c r="A2922" t="s">
        <v>3932</v>
      </c>
      <c r="B2922" t="s">
        <v>480</v>
      </c>
      <c r="C2922">
        <v>99</v>
      </c>
      <c r="D2922" t="str">
        <f>VLOOKUP(B2922,Products!$A:$E,2,FALSE)</f>
        <v>Product_236</v>
      </c>
      <c r="E2922" t="str">
        <f>VLOOKUP(B2922,Products!$A:$E,3,FALSE)</f>
        <v>Networking</v>
      </c>
    </row>
    <row r="2923" spans="1:5" x14ac:dyDescent="0.3">
      <c r="A2923" t="s">
        <v>3933</v>
      </c>
      <c r="B2923" t="s">
        <v>798</v>
      </c>
      <c r="C2923">
        <v>17</v>
      </c>
      <c r="D2923" t="str">
        <f>VLOOKUP(B2923,Products!$A:$E,2,FALSE)</f>
        <v>Product_395</v>
      </c>
      <c r="E2923" t="str">
        <f>VLOOKUP(B2923,Products!$A:$E,3,FALSE)</f>
        <v>Accessories</v>
      </c>
    </row>
    <row r="2924" spans="1:5" x14ac:dyDescent="0.3">
      <c r="A2924" t="s">
        <v>3934</v>
      </c>
      <c r="B2924" t="s">
        <v>542</v>
      </c>
      <c r="C2924">
        <v>90</v>
      </c>
      <c r="D2924" t="str">
        <f>VLOOKUP(B2924,Products!$A:$E,2,FALSE)</f>
        <v>Product_267</v>
      </c>
      <c r="E2924" t="str">
        <f>VLOOKUP(B2924,Products!$A:$E,3,FALSE)</f>
        <v>Networking</v>
      </c>
    </row>
    <row r="2925" spans="1:5" x14ac:dyDescent="0.3">
      <c r="A2925" t="s">
        <v>3935</v>
      </c>
      <c r="B2925" t="s">
        <v>222</v>
      </c>
      <c r="C2925">
        <v>65</v>
      </c>
      <c r="D2925" t="str">
        <f>VLOOKUP(B2925,Products!$A:$E,2,FALSE)</f>
        <v>Product_107</v>
      </c>
      <c r="E2925" t="str">
        <f>VLOOKUP(B2925,Products!$A:$E,3,FALSE)</f>
        <v>Office Supplies</v>
      </c>
    </row>
    <row r="2926" spans="1:5" x14ac:dyDescent="0.3">
      <c r="A2926" t="s">
        <v>3936</v>
      </c>
      <c r="B2926" t="s">
        <v>408</v>
      </c>
      <c r="C2926">
        <v>92</v>
      </c>
      <c r="D2926" t="str">
        <f>VLOOKUP(B2926,Products!$A:$E,2,FALSE)</f>
        <v>Product_200</v>
      </c>
      <c r="E2926" t="str">
        <f>VLOOKUP(B2926,Products!$A:$E,3,FALSE)</f>
        <v>Office Supplies</v>
      </c>
    </row>
    <row r="2927" spans="1:5" x14ac:dyDescent="0.3">
      <c r="A2927" t="s">
        <v>3937</v>
      </c>
      <c r="B2927" t="s">
        <v>994</v>
      </c>
      <c r="C2927">
        <v>44</v>
      </c>
      <c r="D2927" t="str">
        <f>VLOOKUP(B2927,Products!$A:$E,2,FALSE)</f>
        <v>Product_493</v>
      </c>
      <c r="E2927" t="str">
        <f>VLOOKUP(B2927,Products!$A:$E,3,FALSE)</f>
        <v>Networking</v>
      </c>
    </row>
    <row r="2928" spans="1:5" x14ac:dyDescent="0.3">
      <c r="A2928" t="s">
        <v>3938</v>
      </c>
      <c r="B2928" t="s">
        <v>968</v>
      </c>
      <c r="C2928">
        <v>46</v>
      </c>
      <c r="D2928" t="str">
        <f>VLOOKUP(B2928,Products!$A:$E,2,FALSE)</f>
        <v>Product_480</v>
      </c>
      <c r="E2928" t="str">
        <f>VLOOKUP(B2928,Products!$A:$E,3,FALSE)</f>
        <v>Accessories</v>
      </c>
    </row>
    <row r="2929" spans="1:5" x14ac:dyDescent="0.3">
      <c r="A2929" t="s">
        <v>3939</v>
      </c>
      <c r="B2929" t="s">
        <v>172</v>
      </c>
      <c r="C2929">
        <v>85</v>
      </c>
      <c r="D2929" t="str">
        <f>VLOOKUP(B2929,Products!$A:$E,2,FALSE)</f>
        <v>Product_82</v>
      </c>
      <c r="E2929" t="str">
        <f>VLOOKUP(B2929,Products!$A:$E,3,FALSE)</f>
        <v>Storage</v>
      </c>
    </row>
    <row r="2930" spans="1:5" x14ac:dyDescent="0.3">
      <c r="A2930" t="s">
        <v>3940</v>
      </c>
      <c r="B2930" t="s">
        <v>754</v>
      </c>
      <c r="C2930">
        <v>10</v>
      </c>
      <c r="D2930" t="str">
        <f>VLOOKUP(B2930,Products!$A:$E,2,FALSE)</f>
        <v>Product_373</v>
      </c>
      <c r="E2930" t="str">
        <f>VLOOKUP(B2930,Products!$A:$E,3,FALSE)</f>
        <v>Office Supplies</v>
      </c>
    </row>
    <row r="2931" spans="1:5" x14ac:dyDescent="0.3">
      <c r="A2931" t="s">
        <v>3941</v>
      </c>
      <c r="B2931" t="s">
        <v>772</v>
      </c>
      <c r="C2931">
        <v>75</v>
      </c>
      <c r="D2931" t="str">
        <f>VLOOKUP(B2931,Products!$A:$E,2,FALSE)</f>
        <v>Product_382</v>
      </c>
      <c r="E2931" t="str">
        <f>VLOOKUP(B2931,Products!$A:$E,3,FALSE)</f>
        <v>Storage</v>
      </c>
    </row>
    <row r="2932" spans="1:5" x14ac:dyDescent="0.3">
      <c r="A2932" t="s">
        <v>3942</v>
      </c>
      <c r="B2932" t="s">
        <v>542</v>
      </c>
      <c r="C2932">
        <v>20</v>
      </c>
      <c r="D2932" t="str">
        <f>VLOOKUP(B2932,Products!$A:$E,2,FALSE)</f>
        <v>Product_267</v>
      </c>
      <c r="E2932" t="str">
        <f>VLOOKUP(B2932,Products!$A:$E,3,FALSE)</f>
        <v>Networking</v>
      </c>
    </row>
    <row r="2933" spans="1:5" x14ac:dyDescent="0.3">
      <c r="A2933" t="s">
        <v>3943</v>
      </c>
      <c r="B2933" t="s">
        <v>268</v>
      </c>
      <c r="C2933">
        <v>66</v>
      </c>
      <c r="D2933" t="str">
        <f>VLOOKUP(B2933,Products!$A:$E,2,FALSE)</f>
        <v>Product_130</v>
      </c>
      <c r="E2933" t="str">
        <f>VLOOKUP(B2933,Products!$A:$E,3,FALSE)</f>
        <v>Storage</v>
      </c>
    </row>
    <row r="2934" spans="1:5" x14ac:dyDescent="0.3">
      <c r="A2934" t="s">
        <v>3944</v>
      </c>
      <c r="B2934" t="s">
        <v>662</v>
      </c>
      <c r="C2934">
        <v>43</v>
      </c>
      <c r="D2934" t="str">
        <f>VLOOKUP(B2934,Products!$A:$E,2,FALSE)</f>
        <v>Product_327</v>
      </c>
      <c r="E2934" t="str">
        <f>VLOOKUP(B2934,Products!$A:$E,3,FALSE)</f>
        <v>Networking</v>
      </c>
    </row>
    <row r="2935" spans="1:5" x14ac:dyDescent="0.3">
      <c r="A2935" t="s">
        <v>3945</v>
      </c>
      <c r="B2935" t="s">
        <v>212</v>
      </c>
      <c r="C2935">
        <v>51</v>
      </c>
      <c r="D2935" t="str">
        <f>VLOOKUP(B2935,Products!$A:$E,2,FALSE)</f>
        <v>Product_102</v>
      </c>
      <c r="E2935" t="str">
        <f>VLOOKUP(B2935,Products!$A:$E,3,FALSE)</f>
        <v>Storage</v>
      </c>
    </row>
    <row r="2936" spans="1:5" x14ac:dyDescent="0.3">
      <c r="A2936" t="s">
        <v>3946</v>
      </c>
      <c r="B2936" t="s">
        <v>918</v>
      </c>
      <c r="C2936">
        <v>11</v>
      </c>
      <c r="D2936" t="str">
        <f>VLOOKUP(B2936,Products!$A:$E,2,FALSE)</f>
        <v>Product_455</v>
      </c>
      <c r="E2936" t="str">
        <f>VLOOKUP(B2936,Products!$A:$E,3,FALSE)</f>
        <v>Storage</v>
      </c>
    </row>
    <row r="2937" spans="1:5" x14ac:dyDescent="0.3">
      <c r="A2937" t="s">
        <v>3947</v>
      </c>
      <c r="B2937" t="s">
        <v>894</v>
      </c>
      <c r="C2937">
        <v>90</v>
      </c>
      <c r="D2937" t="str">
        <f>VLOOKUP(B2937,Products!$A:$E,2,FALSE)</f>
        <v>Product_443</v>
      </c>
      <c r="E2937" t="str">
        <f>VLOOKUP(B2937,Products!$A:$E,3,FALSE)</f>
        <v>Networking</v>
      </c>
    </row>
    <row r="2938" spans="1:5" x14ac:dyDescent="0.3">
      <c r="A2938" t="s">
        <v>3948</v>
      </c>
      <c r="B2938" t="s">
        <v>232</v>
      </c>
      <c r="C2938">
        <v>19</v>
      </c>
      <c r="D2938" t="str">
        <f>VLOOKUP(B2938,Products!$A:$E,2,FALSE)</f>
        <v>Product_112</v>
      </c>
      <c r="E2938" t="str">
        <f>VLOOKUP(B2938,Products!$A:$E,3,FALSE)</f>
        <v>Storage</v>
      </c>
    </row>
    <row r="2939" spans="1:5" x14ac:dyDescent="0.3">
      <c r="A2939" t="s">
        <v>3949</v>
      </c>
      <c r="B2939" t="s">
        <v>250</v>
      </c>
      <c r="C2939">
        <v>86</v>
      </c>
      <c r="D2939" t="str">
        <f>VLOOKUP(B2939,Products!$A:$E,2,FALSE)</f>
        <v>Product_121</v>
      </c>
      <c r="E2939" t="str">
        <f>VLOOKUP(B2939,Products!$A:$E,3,FALSE)</f>
        <v>Storage</v>
      </c>
    </row>
    <row r="2940" spans="1:5" x14ac:dyDescent="0.3">
      <c r="A2940" t="s">
        <v>3950</v>
      </c>
      <c r="B2940" t="s">
        <v>454</v>
      </c>
      <c r="C2940">
        <v>46</v>
      </c>
      <c r="D2940" t="str">
        <f>VLOOKUP(B2940,Products!$A:$E,2,FALSE)</f>
        <v>Product_223</v>
      </c>
      <c r="E2940" t="str">
        <f>VLOOKUP(B2940,Products!$A:$E,3,FALSE)</f>
        <v>Storage</v>
      </c>
    </row>
    <row r="2941" spans="1:5" x14ac:dyDescent="0.3">
      <c r="A2941" t="s">
        <v>3951</v>
      </c>
      <c r="B2941" t="s">
        <v>24</v>
      </c>
      <c r="C2941">
        <v>26</v>
      </c>
      <c r="D2941" t="str">
        <f>VLOOKUP(B2941,Products!$A:$E,2,FALSE)</f>
        <v>Product_8</v>
      </c>
      <c r="E2941" t="str">
        <f>VLOOKUP(B2941,Products!$A:$E,3,FALSE)</f>
        <v>Storage</v>
      </c>
    </row>
    <row r="2942" spans="1:5" x14ac:dyDescent="0.3">
      <c r="A2942" t="s">
        <v>3952</v>
      </c>
      <c r="B2942" t="s">
        <v>822</v>
      </c>
      <c r="C2942">
        <v>40</v>
      </c>
      <c r="D2942" t="str">
        <f>VLOOKUP(B2942,Products!$A:$E,2,FALSE)</f>
        <v>Product_407</v>
      </c>
      <c r="E2942" t="str">
        <f>VLOOKUP(B2942,Products!$A:$E,3,FALSE)</f>
        <v>Networking</v>
      </c>
    </row>
    <row r="2943" spans="1:5" x14ac:dyDescent="0.3">
      <c r="A2943" t="s">
        <v>3953</v>
      </c>
      <c r="B2943" t="s">
        <v>608</v>
      </c>
      <c r="C2943">
        <v>20</v>
      </c>
      <c r="D2943" t="str">
        <f>VLOOKUP(B2943,Products!$A:$E,2,FALSE)</f>
        <v>Product_300</v>
      </c>
      <c r="E2943" t="str">
        <f>VLOOKUP(B2943,Products!$A:$E,3,FALSE)</f>
        <v>Accessories</v>
      </c>
    </row>
    <row r="2944" spans="1:5" x14ac:dyDescent="0.3">
      <c r="A2944" t="s">
        <v>3954</v>
      </c>
      <c r="B2944" t="s">
        <v>414</v>
      </c>
      <c r="C2944">
        <v>36</v>
      </c>
      <c r="D2944" t="str">
        <f>VLOOKUP(B2944,Products!$A:$E,2,FALSE)</f>
        <v>Product_203</v>
      </c>
      <c r="E2944" t="str">
        <f>VLOOKUP(B2944,Products!$A:$E,3,FALSE)</f>
        <v>Accessories</v>
      </c>
    </row>
    <row r="2945" spans="1:5" x14ac:dyDescent="0.3">
      <c r="A2945" t="s">
        <v>3955</v>
      </c>
      <c r="B2945" t="s">
        <v>17</v>
      </c>
      <c r="C2945">
        <v>10</v>
      </c>
      <c r="D2945" t="str">
        <f>VLOOKUP(B2945,Products!$A:$E,2,FALSE)</f>
        <v>Product_5</v>
      </c>
      <c r="E2945" t="str">
        <f>VLOOKUP(B2945,Products!$A:$E,3,FALSE)</f>
        <v>Networking</v>
      </c>
    </row>
    <row r="2946" spans="1:5" x14ac:dyDescent="0.3">
      <c r="A2946" t="s">
        <v>3956</v>
      </c>
      <c r="B2946" t="s">
        <v>604</v>
      </c>
      <c r="C2946">
        <v>93</v>
      </c>
      <c r="D2946" t="str">
        <f>VLOOKUP(B2946,Products!$A:$E,2,FALSE)</f>
        <v>Product_298</v>
      </c>
      <c r="E2946" t="str">
        <f>VLOOKUP(B2946,Products!$A:$E,3,FALSE)</f>
        <v>Office Supplies</v>
      </c>
    </row>
    <row r="2947" spans="1:5" x14ac:dyDescent="0.3">
      <c r="A2947" t="s">
        <v>3957</v>
      </c>
      <c r="B2947" t="s">
        <v>496</v>
      </c>
      <c r="C2947">
        <v>93</v>
      </c>
      <c r="D2947" t="str">
        <f>VLOOKUP(B2947,Products!$A:$E,2,FALSE)</f>
        <v>Product_244</v>
      </c>
      <c r="E2947" t="str">
        <f>VLOOKUP(B2947,Products!$A:$E,3,FALSE)</f>
        <v>Accessories</v>
      </c>
    </row>
    <row r="2948" spans="1:5" x14ac:dyDescent="0.3">
      <c r="A2948" t="s">
        <v>3958</v>
      </c>
      <c r="B2948" t="s">
        <v>620</v>
      </c>
      <c r="C2948">
        <v>24</v>
      </c>
      <c r="D2948" t="str">
        <f>VLOOKUP(B2948,Products!$A:$E,2,FALSE)</f>
        <v>Product_306</v>
      </c>
      <c r="E2948" t="str">
        <f>VLOOKUP(B2948,Products!$A:$E,3,FALSE)</f>
        <v>Accessories</v>
      </c>
    </row>
    <row r="2949" spans="1:5" x14ac:dyDescent="0.3">
      <c r="A2949" t="s">
        <v>3959</v>
      </c>
      <c r="B2949" t="s">
        <v>390</v>
      </c>
      <c r="C2949">
        <v>16</v>
      </c>
      <c r="D2949" t="str">
        <f>VLOOKUP(B2949,Products!$A:$E,2,FALSE)</f>
        <v>Product_191</v>
      </c>
      <c r="E2949" t="str">
        <f>VLOOKUP(B2949,Products!$A:$E,3,FALSE)</f>
        <v>Networking</v>
      </c>
    </row>
    <row r="2950" spans="1:5" x14ac:dyDescent="0.3">
      <c r="A2950" t="s">
        <v>3960</v>
      </c>
      <c r="B2950" t="s">
        <v>264</v>
      </c>
      <c r="C2950">
        <v>25</v>
      </c>
      <c r="D2950" t="str">
        <f>VLOOKUP(B2950,Products!$A:$E,2,FALSE)</f>
        <v>Product_128</v>
      </c>
      <c r="E2950" t="str">
        <f>VLOOKUP(B2950,Products!$A:$E,3,FALSE)</f>
        <v>Office Supplies</v>
      </c>
    </row>
    <row r="2951" spans="1:5" x14ac:dyDescent="0.3">
      <c r="A2951" t="s">
        <v>3961</v>
      </c>
      <c r="B2951" t="s">
        <v>520</v>
      </c>
      <c r="C2951">
        <v>16</v>
      </c>
      <c r="D2951" t="str">
        <f>VLOOKUP(B2951,Products!$A:$E,2,FALSE)</f>
        <v>Product_256</v>
      </c>
      <c r="E2951" t="str">
        <f>VLOOKUP(B2951,Products!$A:$E,3,FALSE)</f>
        <v>Office Supplies</v>
      </c>
    </row>
    <row r="2952" spans="1:5" x14ac:dyDescent="0.3">
      <c r="A2952" t="s">
        <v>3962</v>
      </c>
      <c r="B2952" t="s">
        <v>712</v>
      </c>
      <c r="C2952">
        <v>84</v>
      </c>
      <c r="D2952" t="str">
        <f>VLOOKUP(B2952,Products!$A:$E,2,FALSE)</f>
        <v>Product_352</v>
      </c>
      <c r="E2952" t="str">
        <f>VLOOKUP(B2952,Products!$A:$E,3,FALSE)</f>
        <v>Storage</v>
      </c>
    </row>
    <row r="2953" spans="1:5" x14ac:dyDescent="0.3">
      <c r="A2953" t="s">
        <v>3963</v>
      </c>
      <c r="B2953" t="s">
        <v>356</v>
      </c>
      <c r="C2953">
        <v>85</v>
      </c>
      <c r="D2953" t="str">
        <f>VLOOKUP(B2953,Products!$A:$E,2,FALSE)</f>
        <v>Product_174</v>
      </c>
      <c r="E2953" t="str">
        <f>VLOOKUP(B2953,Products!$A:$E,3,FALSE)</f>
        <v>Storage</v>
      </c>
    </row>
    <row r="2954" spans="1:5" x14ac:dyDescent="0.3">
      <c r="A2954" t="s">
        <v>3964</v>
      </c>
      <c r="B2954" t="s">
        <v>70</v>
      </c>
      <c r="C2954">
        <v>12</v>
      </c>
      <c r="D2954" t="str">
        <f>VLOOKUP(B2954,Products!$A:$E,2,FALSE)</f>
        <v>Product_31</v>
      </c>
      <c r="E2954" t="str">
        <f>VLOOKUP(B2954,Products!$A:$E,3,FALSE)</f>
        <v>Accessories</v>
      </c>
    </row>
    <row r="2955" spans="1:5" x14ac:dyDescent="0.3">
      <c r="A2955" t="s">
        <v>3965</v>
      </c>
      <c r="B2955" t="s">
        <v>374</v>
      </c>
      <c r="C2955">
        <v>87</v>
      </c>
      <c r="D2955" t="str">
        <f>VLOOKUP(B2955,Products!$A:$E,2,FALSE)</f>
        <v>Product_183</v>
      </c>
      <c r="E2955" t="str">
        <f>VLOOKUP(B2955,Products!$A:$E,3,FALSE)</f>
        <v>Electronics</v>
      </c>
    </row>
    <row r="2956" spans="1:5" x14ac:dyDescent="0.3">
      <c r="A2956" t="s">
        <v>3966</v>
      </c>
      <c r="B2956" t="s">
        <v>166</v>
      </c>
      <c r="C2956">
        <v>94</v>
      </c>
      <c r="D2956" t="str">
        <f>VLOOKUP(B2956,Products!$A:$E,2,FALSE)</f>
        <v>Product_79</v>
      </c>
      <c r="E2956" t="str">
        <f>VLOOKUP(B2956,Products!$A:$E,3,FALSE)</f>
        <v>Storage</v>
      </c>
    </row>
    <row r="2957" spans="1:5" x14ac:dyDescent="0.3">
      <c r="A2957" t="s">
        <v>3967</v>
      </c>
      <c r="B2957" t="s">
        <v>558</v>
      </c>
      <c r="C2957">
        <v>18</v>
      </c>
      <c r="D2957" t="str">
        <f>VLOOKUP(B2957,Products!$A:$E,2,FALSE)</f>
        <v>Product_275</v>
      </c>
      <c r="E2957" t="str">
        <f>VLOOKUP(B2957,Products!$A:$E,3,FALSE)</f>
        <v>Accessories</v>
      </c>
    </row>
    <row r="2958" spans="1:5" x14ac:dyDescent="0.3">
      <c r="A2958" t="s">
        <v>3968</v>
      </c>
      <c r="B2958" t="s">
        <v>138</v>
      </c>
      <c r="C2958">
        <v>67</v>
      </c>
      <c r="D2958" t="str">
        <f>VLOOKUP(B2958,Products!$A:$E,2,FALSE)</f>
        <v>Product_65</v>
      </c>
      <c r="E2958" t="str">
        <f>VLOOKUP(B2958,Products!$A:$E,3,FALSE)</f>
        <v>Office Supplies</v>
      </c>
    </row>
    <row r="2959" spans="1:5" x14ac:dyDescent="0.3">
      <c r="A2959" t="s">
        <v>3969</v>
      </c>
      <c r="B2959" t="s">
        <v>248</v>
      </c>
      <c r="C2959">
        <v>45</v>
      </c>
      <c r="D2959" t="str">
        <f>VLOOKUP(B2959,Products!$A:$E,2,FALSE)</f>
        <v>Product_120</v>
      </c>
      <c r="E2959" t="str">
        <f>VLOOKUP(B2959,Products!$A:$E,3,FALSE)</f>
        <v>Accessories</v>
      </c>
    </row>
    <row r="2960" spans="1:5" x14ac:dyDescent="0.3">
      <c r="A2960" t="s">
        <v>3970</v>
      </c>
      <c r="B2960" t="s">
        <v>580</v>
      </c>
      <c r="C2960">
        <v>87</v>
      </c>
      <c r="D2960" t="str">
        <f>VLOOKUP(B2960,Products!$A:$E,2,FALSE)</f>
        <v>Product_286</v>
      </c>
      <c r="E2960" t="str">
        <f>VLOOKUP(B2960,Products!$A:$E,3,FALSE)</f>
        <v>Storage</v>
      </c>
    </row>
    <row r="2961" spans="1:5" x14ac:dyDescent="0.3">
      <c r="A2961" t="s">
        <v>3971</v>
      </c>
      <c r="B2961" t="s">
        <v>784</v>
      </c>
      <c r="C2961">
        <v>49</v>
      </c>
      <c r="D2961" t="str">
        <f>VLOOKUP(B2961,Products!$A:$E,2,FALSE)</f>
        <v>Product_388</v>
      </c>
      <c r="E2961" t="str">
        <f>VLOOKUP(B2961,Products!$A:$E,3,FALSE)</f>
        <v>Office Supplies</v>
      </c>
    </row>
    <row r="2962" spans="1:5" x14ac:dyDescent="0.3">
      <c r="A2962" t="s">
        <v>3972</v>
      </c>
      <c r="B2962" t="s">
        <v>834</v>
      </c>
      <c r="C2962">
        <v>61</v>
      </c>
      <c r="D2962" t="str">
        <f>VLOOKUP(B2962,Products!$A:$E,2,FALSE)</f>
        <v>Product_413</v>
      </c>
      <c r="E2962" t="str">
        <f>VLOOKUP(B2962,Products!$A:$E,3,FALSE)</f>
        <v>Accessories</v>
      </c>
    </row>
    <row r="2963" spans="1:5" x14ac:dyDescent="0.3">
      <c r="A2963" t="s">
        <v>3973</v>
      </c>
      <c r="B2963" t="s">
        <v>760</v>
      </c>
      <c r="C2963">
        <v>29</v>
      </c>
      <c r="D2963" t="str">
        <f>VLOOKUP(B2963,Products!$A:$E,2,FALSE)</f>
        <v>Product_376</v>
      </c>
      <c r="E2963" t="str">
        <f>VLOOKUP(B2963,Products!$A:$E,3,FALSE)</f>
        <v>Networking</v>
      </c>
    </row>
    <row r="2964" spans="1:5" x14ac:dyDescent="0.3">
      <c r="A2964" t="s">
        <v>3974</v>
      </c>
      <c r="B2964" t="s">
        <v>30</v>
      </c>
      <c r="C2964">
        <v>93</v>
      </c>
      <c r="D2964" t="str">
        <f>VLOOKUP(B2964,Products!$A:$E,2,FALSE)</f>
        <v>Product_11</v>
      </c>
      <c r="E2964" t="str">
        <f>VLOOKUP(B2964,Products!$A:$E,3,FALSE)</f>
        <v>Electronics</v>
      </c>
    </row>
    <row r="2965" spans="1:5" x14ac:dyDescent="0.3">
      <c r="A2965" t="s">
        <v>3975</v>
      </c>
      <c r="B2965" t="s">
        <v>396</v>
      </c>
      <c r="C2965">
        <v>50</v>
      </c>
      <c r="D2965" t="str">
        <f>VLOOKUP(B2965,Products!$A:$E,2,FALSE)</f>
        <v>Product_194</v>
      </c>
      <c r="E2965" t="str">
        <f>VLOOKUP(B2965,Products!$A:$E,3,FALSE)</f>
        <v>Networking</v>
      </c>
    </row>
    <row r="2966" spans="1:5" x14ac:dyDescent="0.3">
      <c r="A2966" t="s">
        <v>3976</v>
      </c>
      <c r="B2966" t="s">
        <v>750</v>
      </c>
      <c r="C2966">
        <v>22</v>
      </c>
      <c r="D2966" t="str">
        <f>VLOOKUP(B2966,Products!$A:$E,2,FALSE)</f>
        <v>Product_371</v>
      </c>
      <c r="E2966" t="str">
        <f>VLOOKUP(B2966,Products!$A:$E,3,FALSE)</f>
        <v>Storage</v>
      </c>
    </row>
    <row r="2967" spans="1:5" x14ac:dyDescent="0.3">
      <c r="A2967" t="s">
        <v>3977</v>
      </c>
      <c r="B2967" t="s">
        <v>266</v>
      </c>
      <c r="C2967">
        <v>10</v>
      </c>
      <c r="D2967" t="str">
        <f>VLOOKUP(B2967,Products!$A:$E,2,FALSE)</f>
        <v>Product_129</v>
      </c>
      <c r="E2967" t="str">
        <f>VLOOKUP(B2967,Products!$A:$E,3,FALSE)</f>
        <v>Electronics</v>
      </c>
    </row>
    <row r="2968" spans="1:5" x14ac:dyDescent="0.3">
      <c r="A2968" t="s">
        <v>3978</v>
      </c>
      <c r="B2968" t="s">
        <v>506</v>
      </c>
      <c r="C2968">
        <v>95</v>
      </c>
      <c r="D2968" t="str">
        <f>VLOOKUP(B2968,Products!$A:$E,2,FALSE)</f>
        <v>Product_249</v>
      </c>
      <c r="E2968" t="str">
        <f>VLOOKUP(B2968,Products!$A:$E,3,FALSE)</f>
        <v>Storage</v>
      </c>
    </row>
    <row r="2969" spans="1:5" x14ac:dyDescent="0.3">
      <c r="A2969" t="s">
        <v>3979</v>
      </c>
      <c r="B2969" t="s">
        <v>458</v>
      </c>
      <c r="C2969">
        <v>76</v>
      </c>
      <c r="D2969" t="str">
        <f>VLOOKUP(B2969,Products!$A:$E,2,FALSE)</f>
        <v>Product_225</v>
      </c>
      <c r="E2969" t="str">
        <f>VLOOKUP(B2969,Products!$A:$E,3,FALSE)</f>
        <v>Accessories</v>
      </c>
    </row>
    <row r="2970" spans="1:5" x14ac:dyDescent="0.3">
      <c r="A2970" t="s">
        <v>3980</v>
      </c>
      <c r="B2970" t="s">
        <v>310</v>
      </c>
      <c r="C2970">
        <v>74</v>
      </c>
      <c r="D2970" t="str">
        <f>VLOOKUP(B2970,Products!$A:$E,2,FALSE)</f>
        <v>Product_151</v>
      </c>
      <c r="E2970" t="str">
        <f>VLOOKUP(B2970,Products!$A:$E,3,FALSE)</f>
        <v>Storage</v>
      </c>
    </row>
    <row r="2971" spans="1:5" x14ac:dyDescent="0.3">
      <c r="A2971" t="s">
        <v>3981</v>
      </c>
      <c r="B2971" t="s">
        <v>722</v>
      </c>
      <c r="C2971">
        <v>67</v>
      </c>
      <c r="D2971" t="str">
        <f>VLOOKUP(B2971,Products!$A:$E,2,FALSE)</f>
        <v>Product_357</v>
      </c>
      <c r="E2971" t="str">
        <f>VLOOKUP(B2971,Products!$A:$E,3,FALSE)</f>
        <v>Accessories</v>
      </c>
    </row>
    <row r="2972" spans="1:5" x14ac:dyDescent="0.3">
      <c r="A2972" t="s">
        <v>3982</v>
      </c>
      <c r="B2972" t="s">
        <v>204</v>
      </c>
      <c r="C2972">
        <v>77</v>
      </c>
      <c r="D2972" t="str">
        <f>VLOOKUP(B2972,Products!$A:$E,2,FALSE)</f>
        <v>Product_98</v>
      </c>
      <c r="E2972" t="str">
        <f>VLOOKUP(B2972,Products!$A:$E,3,FALSE)</f>
        <v>Networking</v>
      </c>
    </row>
    <row r="2973" spans="1:5" x14ac:dyDescent="0.3">
      <c r="A2973" t="s">
        <v>3983</v>
      </c>
      <c r="B2973" t="s">
        <v>200</v>
      </c>
      <c r="C2973">
        <v>74</v>
      </c>
      <c r="D2973" t="str">
        <f>VLOOKUP(B2973,Products!$A:$E,2,FALSE)</f>
        <v>Product_96</v>
      </c>
      <c r="E2973" t="str">
        <f>VLOOKUP(B2973,Products!$A:$E,3,FALSE)</f>
        <v>Office Supplies</v>
      </c>
    </row>
    <row r="2974" spans="1:5" x14ac:dyDescent="0.3">
      <c r="A2974" t="s">
        <v>3984</v>
      </c>
      <c r="B2974" t="s">
        <v>366</v>
      </c>
      <c r="C2974">
        <v>46</v>
      </c>
      <c r="D2974" t="str">
        <f>VLOOKUP(B2974,Products!$A:$E,2,FALSE)</f>
        <v>Product_179</v>
      </c>
      <c r="E2974" t="str">
        <f>VLOOKUP(B2974,Products!$A:$E,3,FALSE)</f>
        <v>Storage</v>
      </c>
    </row>
    <row r="2975" spans="1:5" x14ac:dyDescent="0.3">
      <c r="A2975" t="s">
        <v>3985</v>
      </c>
      <c r="B2975" t="s">
        <v>758</v>
      </c>
      <c r="C2975">
        <v>64</v>
      </c>
      <c r="D2975" t="str">
        <f>VLOOKUP(B2975,Products!$A:$E,2,FALSE)</f>
        <v>Product_375</v>
      </c>
      <c r="E2975" t="str">
        <f>VLOOKUP(B2975,Products!$A:$E,3,FALSE)</f>
        <v>Accessories</v>
      </c>
    </row>
    <row r="2976" spans="1:5" x14ac:dyDescent="0.3">
      <c r="A2976" t="s">
        <v>3986</v>
      </c>
      <c r="B2976" t="s">
        <v>290</v>
      </c>
      <c r="C2976">
        <v>81</v>
      </c>
      <c r="D2976" t="str">
        <f>VLOOKUP(B2976,Products!$A:$E,2,FALSE)</f>
        <v>Product_141</v>
      </c>
      <c r="E2976" t="str">
        <f>VLOOKUP(B2976,Products!$A:$E,3,FALSE)</f>
        <v>Electronics</v>
      </c>
    </row>
    <row r="2977" spans="1:5" x14ac:dyDescent="0.3">
      <c r="A2977" t="s">
        <v>3987</v>
      </c>
      <c r="B2977" t="s">
        <v>946</v>
      </c>
      <c r="C2977">
        <v>75</v>
      </c>
      <c r="D2977" t="str">
        <f>VLOOKUP(B2977,Products!$A:$E,2,FALSE)</f>
        <v>Product_469</v>
      </c>
      <c r="E2977" t="str">
        <f>VLOOKUP(B2977,Products!$A:$E,3,FALSE)</f>
        <v>Office Supplies</v>
      </c>
    </row>
    <row r="2978" spans="1:5" x14ac:dyDescent="0.3">
      <c r="A2978" t="s">
        <v>3988</v>
      </c>
      <c r="B2978" t="s">
        <v>174</v>
      </c>
      <c r="C2978">
        <v>13</v>
      </c>
      <c r="D2978" t="str">
        <f>VLOOKUP(B2978,Products!$A:$E,2,FALSE)</f>
        <v>Product_83</v>
      </c>
      <c r="E2978" t="str">
        <f>VLOOKUP(B2978,Products!$A:$E,3,FALSE)</f>
        <v>Accessories</v>
      </c>
    </row>
    <row r="2979" spans="1:5" x14ac:dyDescent="0.3">
      <c r="A2979" t="s">
        <v>3989</v>
      </c>
      <c r="B2979" t="s">
        <v>552</v>
      </c>
      <c r="C2979">
        <v>24</v>
      </c>
      <c r="D2979" t="str">
        <f>VLOOKUP(B2979,Products!$A:$E,2,FALSE)</f>
        <v>Product_272</v>
      </c>
      <c r="E2979" t="str">
        <f>VLOOKUP(B2979,Products!$A:$E,3,FALSE)</f>
        <v>Office Supplies</v>
      </c>
    </row>
    <row r="2980" spans="1:5" x14ac:dyDescent="0.3">
      <c r="A2980" t="s">
        <v>3990</v>
      </c>
      <c r="B2980" t="s">
        <v>470</v>
      </c>
      <c r="C2980">
        <v>42</v>
      </c>
      <c r="D2980" t="str">
        <f>VLOOKUP(B2980,Products!$A:$E,2,FALSE)</f>
        <v>Product_231</v>
      </c>
      <c r="E2980" t="str">
        <f>VLOOKUP(B2980,Products!$A:$E,3,FALSE)</f>
        <v>Accessories</v>
      </c>
    </row>
    <row r="2981" spans="1:5" x14ac:dyDescent="0.3">
      <c r="A2981" t="s">
        <v>3991</v>
      </c>
      <c r="B2981" t="s">
        <v>848</v>
      </c>
      <c r="C2981">
        <v>38</v>
      </c>
      <c r="D2981" t="str">
        <f>VLOOKUP(B2981,Products!$A:$E,2,FALSE)</f>
        <v>Product_420</v>
      </c>
      <c r="E2981" t="str">
        <f>VLOOKUP(B2981,Products!$A:$E,3,FALSE)</f>
        <v>Networking</v>
      </c>
    </row>
    <row r="2982" spans="1:5" x14ac:dyDescent="0.3">
      <c r="A2982" t="s">
        <v>3992</v>
      </c>
      <c r="B2982" t="s">
        <v>564</v>
      </c>
      <c r="C2982">
        <v>51</v>
      </c>
      <c r="D2982" t="str">
        <f>VLOOKUP(B2982,Products!$A:$E,2,FALSE)</f>
        <v>Product_278</v>
      </c>
      <c r="E2982" t="str">
        <f>VLOOKUP(B2982,Products!$A:$E,3,FALSE)</f>
        <v>Electronics</v>
      </c>
    </row>
    <row r="2983" spans="1:5" x14ac:dyDescent="0.3">
      <c r="A2983" t="s">
        <v>3993</v>
      </c>
      <c r="B2983" t="s">
        <v>474</v>
      </c>
      <c r="C2983">
        <v>5</v>
      </c>
      <c r="D2983" t="str">
        <f>VLOOKUP(B2983,Products!$A:$E,2,FALSE)</f>
        <v>Product_233</v>
      </c>
      <c r="E2983" t="str">
        <f>VLOOKUP(B2983,Products!$A:$E,3,FALSE)</f>
        <v>Accessories</v>
      </c>
    </row>
    <row r="2984" spans="1:5" x14ac:dyDescent="0.3">
      <c r="A2984" t="s">
        <v>3994</v>
      </c>
      <c r="B2984" t="s">
        <v>804</v>
      </c>
      <c r="C2984">
        <v>86</v>
      </c>
      <c r="D2984" t="str">
        <f>VLOOKUP(B2984,Products!$A:$E,2,FALSE)</f>
        <v>Product_398</v>
      </c>
      <c r="E2984" t="str">
        <f>VLOOKUP(B2984,Products!$A:$E,3,FALSE)</f>
        <v>Networking</v>
      </c>
    </row>
    <row r="2985" spans="1:5" x14ac:dyDescent="0.3">
      <c r="A2985" t="s">
        <v>3995</v>
      </c>
      <c r="B2985" t="s">
        <v>528</v>
      </c>
      <c r="C2985">
        <v>53</v>
      </c>
      <c r="D2985" t="str">
        <f>VLOOKUP(B2985,Products!$A:$E,2,FALSE)</f>
        <v>Product_260</v>
      </c>
      <c r="E2985" t="str">
        <f>VLOOKUP(B2985,Products!$A:$E,3,FALSE)</f>
        <v>Storage</v>
      </c>
    </row>
    <row r="2986" spans="1:5" x14ac:dyDescent="0.3">
      <c r="A2986" t="s">
        <v>3996</v>
      </c>
      <c r="B2986" t="s">
        <v>760</v>
      </c>
      <c r="C2986">
        <v>28</v>
      </c>
      <c r="D2986" t="str">
        <f>VLOOKUP(B2986,Products!$A:$E,2,FALSE)</f>
        <v>Product_376</v>
      </c>
      <c r="E2986" t="str">
        <f>VLOOKUP(B2986,Products!$A:$E,3,FALSE)</f>
        <v>Networking</v>
      </c>
    </row>
    <row r="2987" spans="1:5" x14ac:dyDescent="0.3">
      <c r="A2987" t="s">
        <v>3997</v>
      </c>
      <c r="B2987" t="s">
        <v>914</v>
      </c>
      <c r="C2987">
        <v>7</v>
      </c>
      <c r="D2987" t="str">
        <f>VLOOKUP(B2987,Products!$A:$E,2,FALSE)</f>
        <v>Product_453</v>
      </c>
      <c r="E2987" t="str">
        <f>VLOOKUP(B2987,Products!$A:$E,3,FALSE)</f>
        <v>Office Supplies</v>
      </c>
    </row>
    <row r="2988" spans="1:5" x14ac:dyDescent="0.3">
      <c r="A2988" t="s">
        <v>3998</v>
      </c>
      <c r="B2988" t="s">
        <v>644</v>
      </c>
      <c r="C2988">
        <v>51</v>
      </c>
      <c r="D2988" t="str">
        <f>VLOOKUP(B2988,Products!$A:$E,2,FALSE)</f>
        <v>Product_318</v>
      </c>
      <c r="E2988" t="str">
        <f>VLOOKUP(B2988,Products!$A:$E,3,FALSE)</f>
        <v>Storage</v>
      </c>
    </row>
    <row r="2989" spans="1:5" x14ac:dyDescent="0.3">
      <c r="A2989" t="s">
        <v>3999</v>
      </c>
      <c r="B2989" t="s">
        <v>804</v>
      </c>
      <c r="C2989">
        <v>84</v>
      </c>
      <c r="D2989" t="str">
        <f>VLOOKUP(B2989,Products!$A:$E,2,FALSE)</f>
        <v>Product_398</v>
      </c>
      <c r="E2989" t="str">
        <f>VLOOKUP(B2989,Products!$A:$E,3,FALSE)</f>
        <v>Networking</v>
      </c>
    </row>
    <row r="2990" spans="1:5" x14ac:dyDescent="0.3">
      <c r="A2990" t="s">
        <v>4000</v>
      </c>
      <c r="B2990" t="s">
        <v>254</v>
      </c>
      <c r="C2990">
        <v>46</v>
      </c>
      <c r="D2990" t="str">
        <f>VLOOKUP(B2990,Products!$A:$E,2,FALSE)</f>
        <v>Product_123</v>
      </c>
      <c r="E2990" t="str">
        <f>VLOOKUP(B2990,Products!$A:$E,3,FALSE)</f>
        <v>Electronics</v>
      </c>
    </row>
    <row r="2991" spans="1:5" x14ac:dyDescent="0.3">
      <c r="A2991" t="s">
        <v>4001</v>
      </c>
      <c r="B2991" t="s">
        <v>748</v>
      </c>
      <c r="C2991">
        <v>13</v>
      </c>
      <c r="D2991" t="str">
        <f>VLOOKUP(B2991,Products!$A:$E,2,FALSE)</f>
        <v>Product_370</v>
      </c>
      <c r="E2991" t="str">
        <f>VLOOKUP(B2991,Products!$A:$E,3,FALSE)</f>
        <v>Networking</v>
      </c>
    </row>
    <row r="2992" spans="1:5" x14ac:dyDescent="0.3">
      <c r="A2992" t="s">
        <v>4002</v>
      </c>
      <c r="B2992" t="s">
        <v>684</v>
      </c>
      <c r="C2992">
        <v>73</v>
      </c>
      <c r="D2992" t="str">
        <f>VLOOKUP(B2992,Products!$A:$E,2,FALSE)</f>
        <v>Product_338</v>
      </c>
      <c r="E2992" t="str">
        <f>VLOOKUP(B2992,Products!$A:$E,3,FALSE)</f>
        <v>Networking</v>
      </c>
    </row>
    <row r="2993" spans="1:5" x14ac:dyDescent="0.3">
      <c r="A2993" t="s">
        <v>4003</v>
      </c>
      <c r="B2993" t="s">
        <v>848</v>
      </c>
      <c r="C2993">
        <v>54</v>
      </c>
      <c r="D2993" t="str">
        <f>VLOOKUP(B2993,Products!$A:$E,2,FALSE)</f>
        <v>Product_420</v>
      </c>
      <c r="E2993" t="str">
        <f>VLOOKUP(B2993,Products!$A:$E,3,FALSE)</f>
        <v>Networking</v>
      </c>
    </row>
    <row r="2994" spans="1:5" x14ac:dyDescent="0.3">
      <c r="A2994" t="s">
        <v>4004</v>
      </c>
      <c r="B2994" t="s">
        <v>204</v>
      </c>
      <c r="C2994">
        <v>72</v>
      </c>
      <c r="D2994" t="str">
        <f>VLOOKUP(B2994,Products!$A:$E,2,FALSE)</f>
        <v>Product_98</v>
      </c>
      <c r="E2994" t="str">
        <f>VLOOKUP(B2994,Products!$A:$E,3,FALSE)</f>
        <v>Networking</v>
      </c>
    </row>
    <row r="2995" spans="1:5" x14ac:dyDescent="0.3">
      <c r="A2995" t="s">
        <v>4005</v>
      </c>
      <c r="B2995" t="s">
        <v>708</v>
      </c>
      <c r="C2995">
        <v>68</v>
      </c>
      <c r="D2995" t="str">
        <f>VLOOKUP(B2995,Products!$A:$E,2,FALSE)</f>
        <v>Product_350</v>
      </c>
      <c r="E2995" t="str">
        <f>VLOOKUP(B2995,Products!$A:$E,3,FALSE)</f>
        <v>Networking</v>
      </c>
    </row>
    <row r="2996" spans="1:5" x14ac:dyDescent="0.3">
      <c r="A2996" t="s">
        <v>4006</v>
      </c>
      <c r="B2996" t="s">
        <v>794</v>
      </c>
      <c r="C2996">
        <v>75</v>
      </c>
      <c r="D2996" t="str">
        <f>VLOOKUP(B2996,Products!$A:$E,2,FALSE)</f>
        <v>Product_393</v>
      </c>
      <c r="E2996" t="str">
        <f>VLOOKUP(B2996,Products!$A:$E,3,FALSE)</f>
        <v>Electronics</v>
      </c>
    </row>
    <row r="2997" spans="1:5" x14ac:dyDescent="0.3">
      <c r="A2997" t="s">
        <v>4007</v>
      </c>
      <c r="B2997" t="s">
        <v>166</v>
      </c>
      <c r="C2997">
        <v>83</v>
      </c>
      <c r="D2997" t="str">
        <f>VLOOKUP(B2997,Products!$A:$E,2,FALSE)</f>
        <v>Product_79</v>
      </c>
      <c r="E2997" t="str">
        <f>VLOOKUP(B2997,Products!$A:$E,3,FALSE)</f>
        <v>Storage</v>
      </c>
    </row>
    <row r="2998" spans="1:5" x14ac:dyDescent="0.3">
      <c r="A2998" t="s">
        <v>4008</v>
      </c>
      <c r="B2998" t="s">
        <v>298</v>
      </c>
      <c r="C2998">
        <v>46</v>
      </c>
      <c r="D2998" t="str">
        <f>VLOOKUP(B2998,Products!$A:$E,2,FALSE)</f>
        <v>Product_145</v>
      </c>
      <c r="E2998" t="str">
        <f>VLOOKUP(B2998,Products!$A:$E,3,FALSE)</f>
        <v>Office Supplies</v>
      </c>
    </row>
    <row r="2999" spans="1:5" x14ac:dyDescent="0.3">
      <c r="A2999" t="s">
        <v>4009</v>
      </c>
      <c r="B2999" t="s">
        <v>428</v>
      </c>
      <c r="C2999">
        <v>87</v>
      </c>
      <c r="D2999" t="str">
        <f>VLOOKUP(B2999,Products!$A:$E,2,FALSE)</f>
        <v>Product_210</v>
      </c>
      <c r="E2999" t="str">
        <f>VLOOKUP(B2999,Products!$A:$E,3,FALSE)</f>
        <v>Electronics</v>
      </c>
    </row>
    <row r="3000" spans="1:5" x14ac:dyDescent="0.3">
      <c r="A3000" t="s">
        <v>4010</v>
      </c>
      <c r="B3000" t="s">
        <v>338</v>
      </c>
      <c r="C3000">
        <v>19</v>
      </c>
      <c r="D3000" t="str">
        <f>VLOOKUP(B3000,Products!$A:$E,2,FALSE)</f>
        <v>Product_165</v>
      </c>
      <c r="E3000" t="str">
        <f>VLOOKUP(B3000,Products!$A:$E,3,FALSE)</f>
        <v>Office Supplies</v>
      </c>
    </row>
    <row r="3001" spans="1:5" x14ac:dyDescent="0.3">
      <c r="A3001" t="s">
        <v>4011</v>
      </c>
      <c r="B3001" t="s">
        <v>108</v>
      </c>
      <c r="C3001">
        <v>71</v>
      </c>
      <c r="D3001" t="str">
        <f>VLOOKUP(B3001,Products!$A:$E,2,FALSE)</f>
        <v>Product_50</v>
      </c>
      <c r="E3001" t="str">
        <f>VLOOKUP(B3001,Products!$A:$E,3,FALSE)</f>
        <v>Networking</v>
      </c>
    </row>
    <row r="3002" spans="1:5" x14ac:dyDescent="0.3">
      <c r="A3002" t="s">
        <v>4012</v>
      </c>
      <c r="B3002" t="s">
        <v>684</v>
      </c>
      <c r="C3002">
        <v>13</v>
      </c>
      <c r="D3002" t="str">
        <f>VLOOKUP(B3002,Products!$A:$E,2,FALSE)</f>
        <v>Product_338</v>
      </c>
      <c r="E3002" t="str">
        <f>VLOOKUP(B3002,Products!$A:$E,3,FALSE)</f>
        <v>Networking</v>
      </c>
    </row>
    <row r="3003" spans="1:5" x14ac:dyDescent="0.3">
      <c r="A3003" t="s">
        <v>4013</v>
      </c>
      <c r="B3003" t="s">
        <v>54</v>
      </c>
      <c r="C3003">
        <v>21</v>
      </c>
      <c r="D3003" t="str">
        <f>VLOOKUP(B3003,Products!$A:$E,2,FALSE)</f>
        <v>Product_23</v>
      </c>
      <c r="E3003" t="str">
        <f>VLOOKUP(B3003,Products!$A:$E,3,FALSE)</f>
        <v>Accessories</v>
      </c>
    </row>
    <row r="3004" spans="1:5" x14ac:dyDescent="0.3">
      <c r="A3004" t="s">
        <v>4014</v>
      </c>
      <c r="B3004" t="s">
        <v>192</v>
      </c>
      <c r="C3004">
        <v>9</v>
      </c>
      <c r="D3004" t="str">
        <f>VLOOKUP(B3004,Products!$A:$E,2,FALSE)</f>
        <v>Product_92</v>
      </c>
      <c r="E3004" t="str">
        <f>VLOOKUP(B3004,Products!$A:$E,3,FALSE)</f>
        <v>Electronics</v>
      </c>
    </row>
    <row r="3005" spans="1:5" x14ac:dyDescent="0.3">
      <c r="A3005" t="s">
        <v>4015</v>
      </c>
      <c r="B3005" t="s">
        <v>216</v>
      </c>
      <c r="C3005">
        <v>18</v>
      </c>
      <c r="D3005" t="str">
        <f>VLOOKUP(B3005,Products!$A:$E,2,FALSE)</f>
        <v>Product_104</v>
      </c>
      <c r="E3005" t="str">
        <f>VLOOKUP(B3005,Products!$A:$E,3,FALSE)</f>
        <v>Networking</v>
      </c>
    </row>
    <row r="3006" spans="1:5" x14ac:dyDescent="0.3">
      <c r="A3006" t="s">
        <v>4016</v>
      </c>
      <c r="B3006" t="s">
        <v>506</v>
      </c>
      <c r="C3006">
        <v>29</v>
      </c>
      <c r="D3006" t="str">
        <f>VLOOKUP(B3006,Products!$A:$E,2,FALSE)</f>
        <v>Product_249</v>
      </c>
      <c r="E3006" t="str">
        <f>VLOOKUP(B3006,Products!$A:$E,3,FALSE)</f>
        <v>Storage</v>
      </c>
    </row>
    <row r="3007" spans="1:5" x14ac:dyDescent="0.3">
      <c r="A3007" t="s">
        <v>4017</v>
      </c>
      <c r="B3007" t="s">
        <v>110</v>
      </c>
      <c r="C3007">
        <v>9</v>
      </c>
      <c r="D3007" t="str">
        <f>VLOOKUP(B3007,Products!$A:$E,2,FALSE)</f>
        <v>Product_51</v>
      </c>
      <c r="E3007" t="str">
        <f>VLOOKUP(B3007,Products!$A:$E,3,FALSE)</f>
        <v>Storage</v>
      </c>
    </row>
    <row r="3008" spans="1:5" x14ac:dyDescent="0.3">
      <c r="A3008" t="s">
        <v>4018</v>
      </c>
      <c r="B3008" t="s">
        <v>594</v>
      </c>
      <c r="C3008">
        <v>87</v>
      </c>
      <c r="D3008" t="str">
        <f>VLOOKUP(B3008,Products!$A:$E,2,FALSE)</f>
        <v>Product_293</v>
      </c>
      <c r="E3008" t="str">
        <f>VLOOKUP(B3008,Products!$A:$E,3,FALSE)</f>
        <v>Networking</v>
      </c>
    </row>
    <row r="3009" spans="1:5" x14ac:dyDescent="0.3">
      <c r="A3009" t="s">
        <v>4019</v>
      </c>
      <c r="B3009" t="s">
        <v>866</v>
      </c>
      <c r="C3009">
        <v>54</v>
      </c>
      <c r="D3009" t="str">
        <f>VLOOKUP(B3009,Products!$A:$E,2,FALSE)</f>
        <v>Product_429</v>
      </c>
      <c r="E3009" t="str">
        <f>VLOOKUP(B3009,Products!$A:$E,3,FALSE)</f>
        <v>Office Supplies</v>
      </c>
    </row>
    <row r="3010" spans="1:5" x14ac:dyDescent="0.3">
      <c r="A3010" t="s">
        <v>4020</v>
      </c>
      <c r="B3010" t="s">
        <v>682</v>
      </c>
      <c r="C3010">
        <v>67</v>
      </c>
      <c r="D3010" t="str">
        <f>VLOOKUP(B3010,Products!$A:$E,2,FALSE)</f>
        <v>Product_337</v>
      </c>
      <c r="E3010" t="str">
        <f>VLOOKUP(B3010,Products!$A:$E,3,FALSE)</f>
        <v>Storage</v>
      </c>
    </row>
    <row r="3011" spans="1:5" x14ac:dyDescent="0.3">
      <c r="A3011" t="s">
        <v>4021</v>
      </c>
      <c r="B3011" t="s">
        <v>548</v>
      </c>
      <c r="C3011">
        <v>84</v>
      </c>
      <c r="D3011" t="str">
        <f>VLOOKUP(B3011,Products!$A:$E,2,FALSE)</f>
        <v>Product_270</v>
      </c>
      <c r="E3011" t="str">
        <f>VLOOKUP(B3011,Products!$A:$E,3,FALSE)</f>
        <v>Electronics</v>
      </c>
    </row>
    <row r="3012" spans="1:5" x14ac:dyDescent="0.3">
      <c r="A3012" t="s">
        <v>4022</v>
      </c>
      <c r="B3012" t="s">
        <v>728</v>
      </c>
      <c r="C3012">
        <v>80</v>
      </c>
      <c r="D3012" t="str">
        <f>VLOOKUP(B3012,Products!$A:$E,2,FALSE)</f>
        <v>Product_360</v>
      </c>
      <c r="E3012" t="str">
        <f>VLOOKUP(B3012,Products!$A:$E,3,FALSE)</f>
        <v>Office Supplies</v>
      </c>
    </row>
    <row r="3013" spans="1:5" x14ac:dyDescent="0.3">
      <c r="A3013" t="s">
        <v>4023</v>
      </c>
      <c r="B3013" t="s">
        <v>272</v>
      </c>
      <c r="C3013">
        <v>11</v>
      </c>
      <c r="D3013" t="str">
        <f>VLOOKUP(B3013,Products!$A:$E,2,FALSE)</f>
        <v>Product_132</v>
      </c>
      <c r="E3013" t="str">
        <f>VLOOKUP(B3013,Products!$A:$E,3,FALSE)</f>
        <v>Storage</v>
      </c>
    </row>
    <row r="3014" spans="1:5" x14ac:dyDescent="0.3">
      <c r="A3014" t="s">
        <v>4024</v>
      </c>
      <c r="B3014" t="s">
        <v>384</v>
      </c>
      <c r="C3014">
        <v>33</v>
      </c>
      <c r="D3014" t="str">
        <f>VLOOKUP(B3014,Products!$A:$E,2,FALSE)</f>
        <v>Product_188</v>
      </c>
      <c r="E3014" t="str">
        <f>VLOOKUP(B3014,Products!$A:$E,3,FALSE)</f>
        <v>Office Supplies</v>
      </c>
    </row>
    <row r="3015" spans="1:5" x14ac:dyDescent="0.3">
      <c r="A3015" t="s">
        <v>4025</v>
      </c>
      <c r="B3015" t="s">
        <v>630</v>
      </c>
      <c r="C3015">
        <v>96</v>
      </c>
      <c r="D3015" t="str">
        <f>VLOOKUP(B3015,Products!$A:$E,2,FALSE)</f>
        <v>Product_311</v>
      </c>
      <c r="E3015" t="str">
        <f>VLOOKUP(B3015,Products!$A:$E,3,FALSE)</f>
        <v>Networking</v>
      </c>
    </row>
    <row r="3016" spans="1:5" x14ac:dyDescent="0.3">
      <c r="A3016" t="s">
        <v>4026</v>
      </c>
      <c r="B3016" t="s">
        <v>82</v>
      </c>
      <c r="C3016">
        <v>6</v>
      </c>
      <c r="D3016" t="str">
        <f>VLOOKUP(B3016,Products!$A:$E,2,FALSE)</f>
        <v>Product_37</v>
      </c>
      <c r="E3016" t="str">
        <f>VLOOKUP(B3016,Products!$A:$E,3,FALSE)</f>
        <v>Storage</v>
      </c>
    </row>
    <row r="3017" spans="1:5" x14ac:dyDescent="0.3">
      <c r="A3017" t="s">
        <v>4027</v>
      </c>
      <c r="B3017" t="s">
        <v>962</v>
      </c>
      <c r="C3017">
        <v>31</v>
      </c>
      <c r="D3017" t="str">
        <f>VLOOKUP(B3017,Products!$A:$E,2,FALSE)</f>
        <v>Product_477</v>
      </c>
      <c r="E3017" t="str">
        <f>VLOOKUP(B3017,Products!$A:$E,3,FALSE)</f>
        <v>Networking</v>
      </c>
    </row>
    <row r="3018" spans="1:5" x14ac:dyDescent="0.3">
      <c r="A3018" t="s">
        <v>4028</v>
      </c>
      <c r="B3018" t="s">
        <v>680</v>
      </c>
      <c r="C3018">
        <v>67</v>
      </c>
      <c r="D3018" t="str">
        <f>VLOOKUP(B3018,Products!$A:$E,2,FALSE)</f>
        <v>Product_336</v>
      </c>
      <c r="E3018" t="str">
        <f>VLOOKUP(B3018,Products!$A:$E,3,FALSE)</f>
        <v>Storage</v>
      </c>
    </row>
    <row r="3019" spans="1:5" x14ac:dyDescent="0.3">
      <c r="A3019" t="s">
        <v>4029</v>
      </c>
      <c r="B3019" t="s">
        <v>960</v>
      </c>
      <c r="C3019">
        <v>15</v>
      </c>
      <c r="D3019" t="str">
        <f>VLOOKUP(B3019,Products!$A:$E,2,FALSE)</f>
        <v>Product_476</v>
      </c>
      <c r="E3019" t="str">
        <f>VLOOKUP(B3019,Products!$A:$E,3,FALSE)</f>
        <v>Office Supplies</v>
      </c>
    </row>
    <row r="3020" spans="1:5" x14ac:dyDescent="0.3">
      <c r="A3020" t="s">
        <v>4030</v>
      </c>
      <c r="B3020" t="s">
        <v>488</v>
      </c>
      <c r="C3020">
        <v>86</v>
      </c>
      <c r="D3020" t="str">
        <f>VLOOKUP(B3020,Products!$A:$E,2,FALSE)</f>
        <v>Product_240</v>
      </c>
      <c r="E3020" t="str">
        <f>VLOOKUP(B3020,Products!$A:$E,3,FALSE)</f>
        <v>Storage</v>
      </c>
    </row>
    <row r="3021" spans="1:5" x14ac:dyDescent="0.3">
      <c r="A3021" t="s">
        <v>4031</v>
      </c>
      <c r="B3021" t="s">
        <v>72</v>
      </c>
      <c r="C3021">
        <v>51</v>
      </c>
      <c r="D3021" t="str">
        <f>VLOOKUP(B3021,Products!$A:$E,2,FALSE)</f>
        <v>Product_32</v>
      </c>
      <c r="E3021" t="str">
        <f>VLOOKUP(B3021,Products!$A:$E,3,FALSE)</f>
        <v>Networking</v>
      </c>
    </row>
    <row r="3022" spans="1:5" x14ac:dyDescent="0.3">
      <c r="A3022" t="s">
        <v>4032</v>
      </c>
      <c r="B3022" t="s">
        <v>580</v>
      </c>
      <c r="C3022">
        <v>100</v>
      </c>
      <c r="D3022" t="str">
        <f>VLOOKUP(B3022,Products!$A:$E,2,FALSE)</f>
        <v>Product_286</v>
      </c>
      <c r="E3022" t="str">
        <f>VLOOKUP(B3022,Products!$A:$E,3,FALSE)</f>
        <v>Storage</v>
      </c>
    </row>
    <row r="3023" spans="1:5" x14ac:dyDescent="0.3">
      <c r="A3023" t="s">
        <v>4033</v>
      </c>
      <c r="B3023" t="s">
        <v>970</v>
      </c>
      <c r="C3023">
        <v>58</v>
      </c>
      <c r="D3023" t="str">
        <f>VLOOKUP(B3023,Products!$A:$E,2,FALSE)</f>
        <v>Product_481</v>
      </c>
      <c r="E3023" t="str">
        <f>VLOOKUP(B3023,Products!$A:$E,3,FALSE)</f>
        <v>Storage</v>
      </c>
    </row>
    <row r="3024" spans="1:5" x14ac:dyDescent="0.3">
      <c r="A3024" t="s">
        <v>4034</v>
      </c>
      <c r="B3024" t="s">
        <v>850</v>
      </c>
      <c r="C3024">
        <v>52</v>
      </c>
      <c r="D3024" t="str">
        <f>VLOOKUP(B3024,Products!$A:$E,2,FALSE)</f>
        <v>Product_421</v>
      </c>
      <c r="E3024" t="str">
        <f>VLOOKUP(B3024,Products!$A:$E,3,FALSE)</f>
        <v>Accessories</v>
      </c>
    </row>
    <row r="3025" spans="1:5" x14ac:dyDescent="0.3">
      <c r="A3025" t="s">
        <v>4035</v>
      </c>
      <c r="B3025" t="s">
        <v>822</v>
      </c>
      <c r="C3025">
        <v>95</v>
      </c>
      <c r="D3025" t="str">
        <f>VLOOKUP(B3025,Products!$A:$E,2,FALSE)</f>
        <v>Product_407</v>
      </c>
      <c r="E3025" t="str">
        <f>VLOOKUP(B3025,Products!$A:$E,3,FALSE)</f>
        <v>Networking</v>
      </c>
    </row>
    <row r="3026" spans="1:5" x14ac:dyDescent="0.3">
      <c r="A3026" t="s">
        <v>4036</v>
      </c>
      <c r="B3026" t="s">
        <v>68</v>
      </c>
      <c r="C3026">
        <v>83</v>
      </c>
      <c r="D3026" t="str">
        <f>VLOOKUP(B3026,Products!$A:$E,2,FALSE)</f>
        <v>Product_30</v>
      </c>
      <c r="E3026" t="str">
        <f>VLOOKUP(B3026,Products!$A:$E,3,FALSE)</f>
        <v>Accessories</v>
      </c>
    </row>
    <row r="3027" spans="1:5" x14ac:dyDescent="0.3">
      <c r="A3027" t="s">
        <v>4037</v>
      </c>
      <c r="B3027" t="s">
        <v>282</v>
      </c>
      <c r="C3027">
        <v>72</v>
      </c>
      <c r="D3027" t="str">
        <f>VLOOKUP(B3027,Products!$A:$E,2,FALSE)</f>
        <v>Product_137</v>
      </c>
      <c r="E3027" t="str">
        <f>VLOOKUP(B3027,Products!$A:$E,3,FALSE)</f>
        <v>Storage</v>
      </c>
    </row>
    <row r="3028" spans="1:5" x14ac:dyDescent="0.3">
      <c r="A3028" t="s">
        <v>4038</v>
      </c>
      <c r="B3028" t="s">
        <v>50</v>
      </c>
      <c r="C3028">
        <v>98</v>
      </c>
      <c r="D3028" t="str">
        <f>VLOOKUP(B3028,Products!$A:$E,2,FALSE)</f>
        <v>Product_21</v>
      </c>
      <c r="E3028" t="str">
        <f>VLOOKUP(B3028,Products!$A:$E,3,FALSE)</f>
        <v>Office Supplies</v>
      </c>
    </row>
    <row r="3029" spans="1:5" x14ac:dyDescent="0.3">
      <c r="A3029" t="s">
        <v>4039</v>
      </c>
      <c r="B3029" t="s">
        <v>82</v>
      </c>
      <c r="C3029">
        <v>43</v>
      </c>
      <c r="D3029" t="str">
        <f>VLOOKUP(B3029,Products!$A:$E,2,FALSE)</f>
        <v>Product_37</v>
      </c>
      <c r="E3029" t="str">
        <f>VLOOKUP(B3029,Products!$A:$E,3,FALSE)</f>
        <v>Storage</v>
      </c>
    </row>
    <row r="3030" spans="1:5" x14ac:dyDescent="0.3">
      <c r="A3030" t="s">
        <v>4040</v>
      </c>
      <c r="B3030" t="s">
        <v>88</v>
      </c>
      <c r="C3030">
        <v>32</v>
      </c>
      <c r="D3030" t="str">
        <f>VLOOKUP(B3030,Products!$A:$E,2,FALSE)</f>
        <v>Product_40</v>
      </c>
      <c r="E3030" t="str">
        <f>VLOOKUP(B3030,Products!$A:$E,3,FALSE)</f>
        <v>Accessories</v>
      </c>
    </row>
    <row r="3031" spans="1:5" x14ac:dyDescent="0.3">
      <c r="A3031" t="s">
        <v>4041</v>
      </c>
      <c r="B3031" t="s">
        <v>992</v>
      </c>
      <c r="C3031">
        <v>71</v>
      </c>
      <c r="D3031" t="str">
        <f>VLOOKUP(B3031,Products!$A:$E,2,FALSE)</f>
        <v>Product_492</v>
      </c>
      <c r="E3031" t="str">
        <f>VLOOKUP(B3031,Products!$A:$E,3,FALSE)</f>
        <v>Electronics</v>
      </c>
    </row>
    <row r="3032" spans="1:5" x14ac:dyDescent="0.3">
      <c r="A3032" t="s">
        <v>4042</v>
      </c>
      <c r="B3032" t="s">
        <v>108</v>
      </c>
      <c r="C3032">
        <v>17</v>
      </c>
      <c r="D3032" t="str">
        <f>VLOOKUP(B3032,Products!$A:$E,2,FALSE)</f>
        <v>Product_50</v>
      </c>
      <c r="E3032" t="str">
        <f>VLOOKUP(B3032,Products!$A:$E,3,FALSE)</f>
        <v>Networking</v>
      </c>
    </row>
    <row r="3033" spans="1:5" x14ac:dyDescent="0.3">
      <c r="A3033" t="s">
        <v>4043</v>
      </c>
      <c r="B3033" t="s">
        <v>752</v>
      </c>
      <c r="C3033">
        <v>34</v>
      </c>
      <c r="D3033" t="str">
        <f>VLOOKUP(B3033,Products!$A:$E,2,FALSE)</f>
        <v>Product_372</v>
      </c>
      <c r="E3033" t="str">
        <f>VLOOKUP(B3033,Products!$A:$E,3,FALSE)</f>
        <v>Networking</v>
      </c>
    </row>
    <row r="3034" spans="1:5" x14ac:dyDescent="0.3">
      <c r="A3034" t="s">
        <v>4044</v>
      </c>
      <c r="B3034" t="s">
        <v>554</v>
      </c>
      <c r="C3034">
        <v>54</v>
      </c>
      <c r="D3034" t="str">
        <f>VLOOKUP(B3034,Products!$A:$E,2,FALSE)</f>
        <v>Product_273</v>
      </c>
      <c r="E3034" t="str">
        <f>VLOOKUP(B3034,Products!$A:$E,3,FALSE)</f>
        <v>Networking</v>
      </c>
    </row>
    <row r="3035" spans="1:5" x14ac:dyDescent="0.3">
      <c r="A3035" t="s">
        <v>4045</v>
      </c>
      <c r="B3035" t="s">
        <v>204</v>
      </c>
      <c r="C3035">
        <v>29</v>
      </c>
      <c r="D3035" t="str">
        <f>VLOOKUP(B3035,Products!$A:$E,2,FALSE)</f>
        <v>Product_98</v>
      </c>
      <c r="E3035" t="str">
        <f>VLOOKUP(B3035,Products!$A:$E,3,FALSE)</f>
        <v>Networking</v>
      </c>
    </row>
    <row r="3036" spans="1:5" x14ac:dyDescent="0.3">
      <c r="A3036" t="s">
        <v>4046</v>
      </c>
      <c r="B3036" t="s">
        <v>548</v>
      </c>
      <c r="C3036">
        <v>89</v>
      </c>
      <c r="D3036" t="str">
        <f>VLOOKUP(B3036,Products!$A:$E,2,FALSE)</f>
        <v>Product_270</v>
      </c>
      <c r="E3036" t="str">
        <f>VLOOKUP(B3036,Products!$A:$E,3,FALSE)</f>
        <v>Electronics</v>
      </c>
    </row>
    <row r="3037" spans="1:5" x14ac:dyDescent="0.3">
      <c r="A3037" t="s">
        <v>4047</v>
      </c>
      <c r="B3037" t="s">
        <v>264</v>
      </c>
      <c r="C3037">
        <v>77</v>
      </c>
      <c r="D3037" t="str">
        <f>VLOOKUP(B3037,Products!$A:$E,2,FALSE)</f>
        <v>Product_128</v>
      </c>
      <c r="E3037" t="str">
        <f>VLOOKUP(B3037,Products!$A:$E,3,FALSE)</f>
        <v>Office Supplies</v>
      </c>
    </row>
    <row r="3038" spans="1:5" x14ac:dyDescent="0.3">
      <c r="A3038" t="s">
        <v>4048</v>
      </c>
      <c r="B3038" t="s">
        <v>650</v>
      </c>
      <c r="C3038">
        <v>27</v>
      </c>
      <c r="D3038" t="str">
        <f>VLOOKUP(B3038,Products!$A:$E,2,FALSE)</f>
        <v>Product_321</v>
      </c>
      <c r="E3038" t="str">
        <f>VLOOKUP(B3038,Products!$A:$E,3,FALSE)</f>
        <v>Electronics</v>
      </c>
    </row>
    <row r="3039" spans="1:5" x14ac:dyDescent="0.3">
      <c r="A3039" t="s">
        <v>4049</v>
      </c>
      <c r="B3039" t="s">
        <v>580</v>
      </c>
      <c r="C3039">
        <v>100</v>
      </c>
      <c r="D3039" t="str">
        <f>VLOOKUP(B3039,Products!$A:$E,2,FALSE)</f>
        <v>Product_286</v>
      </c>
      <c r="E3039" t="str">
        <f>VLOOKUP(B3039,Products!$A:$E,3,FALSE)</f>
        <v>Storage</v>
      </c>
    </row>
    <row r="3040" spans="1:5" x14ac:dyDescent="0.3">
      <c r="A3040" t="s">
        <v>4050</v>
      </c>
      <c r="B3040" t="s">
        <v>580</v>
      </c>
      <c r="C3040">
        <v>58</v>
      </c>
      <c r="D3040" t="str">
        <f>VLOOKUP(B3040,Products!$A:$E,2,FALSE)</f>
        <v>Product_286</v>
      </c>
      <c r="E3040" t="str">
        <f>VLOOKUP(B3040,Products!$A:$E,3,FALSE)</f>
        <v>Storage</v>
      </c>
    </row>
    <row r="3041" spans="1:5" x14ac:dyDescent="0.3">
      <c r="A3041" t="s">
        <v>4051</v>
      </c>
      <c r="B3041" t="s">
        <v>774</v>
      </c>
      <c r="C3041">
        <v>18</v>
      </c>
      <c r="D3041" t="str">
        <f>VLOOKUP(B3041,Products!$A:$E,2,FALSE)</f>
        <v>Product_383</v>
      </c>
      <c r="E3041" t="str">
        <f>VLOOKUP(B3041,Products!$A:$E,3,FALSE)</f>
        <v>Electronics</v>
      </c>
    </row>
    <row r="3042" spans="1:5" x14ac:dyDescent="0.3">
      <c r="A3042" t="s">
        <v>4052</v>
      </c>
      <c r="B3042" t="s">
        <v>794</v>
      </c>
      <c r="C3042">
        <v>86</v>
      </c>
      <c r="D3042" t="str">
        <f>VLOOKUP(B3042,Products!$A:$E,2,FALSE)</f>
        <v>Product_393</v>
      </c>
      <c r="E3042" t="str">
        <f>VLOOKUP(B3042,Products!$A:$E,3,FALSE)</f>
        <v>Electronics</v>
      </c>
    </row>
    <row r="3043" spans="1:5" x14ac:dyDescent="0.3">
      <c r="A3043" t="s">
        <v>4053</v>
      </c>
      <c r="B3043" t="s">
        <v>600</v>
      </c>
      <c r="C3043">
        <v>50</v>
      </c>
      <c r="D3043" t="str">
        <f>VLOOKUP(B3043,Products!$A:$E,2,FALSE)</f>
        <v>Product_296</v>
      </c>
      <c r="E3043" t="str">
        <f>VLOOKUP(B3043,Products!$A:$E,3,FALSE)</f>
        <v>Office Supplies</v>
      </c>
    </row>
    <row r="3044" spans="1:5" x14ac:dyDescent="0.3">
      <c r="A3044" t="s">
        <v>4054</v>
      </c>
      <c r="B3044" t="s">
        <v>700</v>
      </c>
      <c r="C3044">
        <v>63</v>
      </c>
      <c r="D3044" t="str">
        <f>VLOOKUP(B3044,Products!$A:$E,2,FALSE)</f>
        <v>Product_346</v>
      </c>
      <c r="E3044" t="str">
        <f>VLOOKUP(B3044,Products!$A:$E,3,FALSE)</f>
        <v>Electronics</v>
      </c>
    </row>
    <row r="3045" spans="1:5" x14ac:dyDescent="0.3">
      <c r="A3045" t="s">
        <v>4055</v>
      </c>
      <c r="B3045" t="s">
        <v>728</v>
      </c>
      <c r="C3045">
        <v>90</v>
      </c>
      <c r="D3045" t="str">
        <f>VLOOKUP(B3045,Products!$A:$E,2,FALSE)</f>
        <v>Product_360</v>
      </c>
      <c r="E3045" t="str">
        <f>VLOOKUP(B3045,Products!$A:$E,3,FALSE)</f>
        <v>Office Supplies</v>
      </c>
    </row>
    <row r="3046" spans="1:5" x14ac:dyDescent="0.3">
      <c r="A3046" t="s">
        <v>4056</v>
      </c>
      <c r="B3046" t="s">
        <v>446</v>
      </c>
      <c r="C3046">
        <v>18</v>
      </c>
      <c r="D3046" t="str">
        <f>VLOOKUP(B3046,Products!$A:$E,2,FALSE)</f>
        <v>Product_219</v>
      </c>
      <c r="E3046" t="str">
        <f>VLOOKUP(B3046,Products!$A:$E,3,FALSE)</f>
        <v>Accessories</v>
      </c>
    </row>
    <row r="3047" spans="1:5" x14ac:dyDescent="0.3">
      <c r="A3047" t="s">
        <v>4057</v>
      </c>
      <c r="B3047" t="s">
        <v>180</v>
      </c>
      <c r="C3047">
        <v>28</v>
      </c>
      <c r="D3047" t="str">
        <f>VLOOKUP(B3047,Products!$A:$E,2,FALSE)</f>
        <v>Product_86</v>
      </c>
      <c r="E3047" t="str">
        <f>VLOOKUP(B3047,Products!$A:$E,3,FALSE)</f>
        <v>Storage</v>
      </c>
    </row>
    <row r="3048" spans="1:5" x14ac:dyDescent="0.3">
      <c r="A3048" t="s">
        <v>4058</v>
      </c>
      <c r="B3048" t="s">
        <v>572</v>
      </c>
      <c r="C3048">
        <v>56</v>
      </c>
      <c r="D3048" t="str">
        <f>VLOOKUP(B3048,Products!$A:$E,2,FALSE)</f>
        <v>Product_282</v>
      </c>
      <c r="E3048" t="str">
        <f>VLOOKUP(B3048,Products!$A:$E,3,FALSE)</f>
        <v>Networking</v>
      </c>
    </row>
    <row r="3049" spans="1:5" x14ac:dyDescent="0.3">
      <c r="A3049" t="s">
        <v>4059</v>
      </c>
      <c r="B3049" t="s">
        <v>526</v>
      </c>
      <c r="C3049">
        <v>48</v>
      </c>
      <c r="D3049" t="str">
        <f>VLOOKUP(B3049,Products!$A:$E,2,FALSE)</f>
        <v>Product_259</v>
      </c>
      <c r="E3049" t="str">
        <f>VLOOKUP(B3049,Products!$A:$E,3,FALSE)</f>
        <v>Electronics</v>
      </c>
    </row>
    <row r="3050" spans="1:5" x14ac:dyDescent="0.3">
      <c r="A3050" t="s">
        <v>4060</v>
      </c>
      <c r="B3050" t="s">
        <v>682</v>
      </c>
      <c r="C3050">
        <v>25</v>
      </c>
      <c r="D3050" t="str">
        <f>VLOOKUP(B3050,Products!$A:$E,2,FALSE)</f>
        <v>Product_337</v>
      </c>
      <c r="E3050" t="str">
        <f>VLOOKUP(B3050,Products!$A:$E,3,FALSE)</f>
        <v>Storage</v>
      </c>
    </row>
    <row r="3051" spans="1:5" x14ac:dyDescent="0.3">
      <c r="A3051" t="s">
        <v>4061</v>
      </c>
      <c r="B3051" t="s">
        <v>556</v>
      </c>
      <c r="C3051">
        <v>81</v>
      </c>
      <c r="D3051" t="str">
        <f>VLOOKUP(B3051,Products!$A:$E,2,FALSE)</f>
        <v>Product_274</v>
      </c>
      <c r="E3051" t="str">
        <f>VLOOKUP(B3051,Products!$A:$E,3,FALSE)</f>
        <v>Accessories</v>
      </c>
    </row>
    <row r="3052" spans="1:5" x14ac:dyDescent="0.3">
      <c r="A3052" t="s">
        <v>4062</v>
      </c>
      <c r="B3052" t="s">
        <v>462</v>
      </c>
      <c r="C3052">
        <v>50</v>
      </c>
      <c r="D3052" t="str">
        <f>VLOOKUP(B3052,Products!$A:$E,2,FALSE)</f>
        <v>Product_227</v>
      </c>
      <c r="E3052" t="str">
        <f>VLOOKUP(B3052,Products!$A:$E,3,FALSE)</f>
        <v>Accessories</v>
      </c>
    </row>
    <row r="3053" spans="1:5" x14ac:dyDescent="0.3">
      <c r="A3053" t="s">
        <v>4063</v>
      </c>
      <c r="B3053" t="s">
        <v>934</v>
      </c>
      <c r="C3053">
        <v>45</v>
      </c>
      <c r="D3053" t="str">
        <f>VLOOKUP(B3053,Products!$A:$E,2,FALSE)</f>
        <v>Product_463</v>
      </c>
      <c r="E3053" t="str">
        <f>VLOOKUP(B3053,Products!$A:$E,3,FALSE)</f>
        <v>Networking</v>
      </c>
    </row>
    <row r="3054" spans="1:5" x14ac:dyDescent="0.3">
      <c r="A3054" t="s">
        <v>4064</v>
      </c>
      <c r="B3054" t="s">
        <v>572</v>
      </c>
      <c r="C3054">
        <v>46</v>
      </c>
      <c r="D3054" t="str">
        <f>VLOOKUP(B3054,Products!$A:$E,2,FALSE)</f>
        <v>Product_282</v>
      </c>
      <c r="E3054" t="str">
        <f>VLOOKUP(B3054,Products!$A:$E,3,FALSE)</f>
        <v>Networking</v>
      </c>
    </row>
    <row r="3055" spans="1:5" x14ac:dyDescent="0.3">
      <c r="A3055" t="s">
        <v>4065</v>
      </c>
      <c r="B3055" t="s">
        <v>874</v>
      </c>
      <c r="C3055">
        <v>52</v>
      </c>
      <c r="D3055" t="str">
        <f>VLOOKUP(B3055,Products!$A:$E,2,FALSE)</f>
        <v>Product_433</v>
      </c>
      <c r="E3055" t="str">
        <f>VLOOKUP(B3055,Products!$A:$E,3,FALSE)</f>
        <v>Office Supplies</v>
      </c>
    </row>
    <row r="3056" spans="1:5" x14ac:dyDescent="0.3">
      <c r="A3056" t="s">
        <v>4066</v>
      </c>
      <c r="B3056" t="s">
        <v>432</v>
      </c>
      <c r="C3056">
        <v>86</v>
      </c>
      <c r="D3056" t="str">
        <f>VLOOKUP(B3056,Products!$A:$E,2,FALSE)</f>
        <v>Product_212</v>
      </c>
      <c r="E3056" t="str">
        <f>VLOOKUP(B3056,Products!$A:$E,3,FALSE)</f>
        <v>Networking</v>
      </c>
    </row>
    <row r="3057" spans="1:5" x14ac:dyDescent="0.3">
      <c r="A3057" t="s">
        <v>4067</v>
      </c>
      <c r="B3057" t="s">
        <v>450</v>
      </c>
      <c r="C3057">
        <v>97</v>
      </c>
      <c r="D3057" t="str">
        <f>VLOOKUP(B3057,Products!$A:$E,2,FALSE)</f>
        <v>Product_221</v>
      </c>
      <c r="E3057" t="str">
        <f>VLOOKUP(B3057,Products!$A:$E,3,FALSE)</f>
        <v>Office Supplies</v>
      </c>
    </row>
    <row r="3058" spans="1:5" x14ac:dyDescent="0.3">
      <c r="A3058" t="s">
        <v>4068</v>
      </c>
      <c r="B3058" t="s">
        <v>340</v>
      </c>
      <c r="C3058">
        <v>82</v>
      </c>
      <c r="D3058" t="str">
        <f>VLOOKUP(B3058,Products!$A:$E,2,FALSE)</f>
        <v>Product_166</v>
      </c>
      <c r="E3058" t="str">
        <f>VLOOKUP(B3058,Products!$A:$E,3,FALSE)</f>
        <v>Accessories</v>
      </c>
    </row>
    <row r="3059" spans="1:5" x14ac:dyDescent="0.3">
      <c r="A3059" t="s">
        <v>4069</v>
      </c>
      <c r="B3059" t="s">
        <v>256</v>
      </c>
      <c r="C3059">
        <v>77</v>
      </c>
      <c r="D3059" t="str">
        <f>VLOOKUP(B3059,Products!$A:$E,2,FALSE)</f>
        <v>Product_124</v>
      </c>
      <c r="E3059" t="str">
        <f>VLOOKUP(B3059,Products!$A:$E,3,FALSE)</f>
        <v>Storage</v>
      </c>
    </row>
    <row r="3060" spans="1:5" x14ac:dyDescent="0.3">
      <c r="A3060" t="s">
        <v>4070</v>
      </c>
      <c r="B3060" t="s">
        <v>568</v>
      </c>
      <c r="C3060">
        <v>32</v>
      </c>
      <c r="D3060" t="str">
        <f>VLOOKUP(B3060,Products!$A:$E,2,FALSE)</f>
        <v>Product_280</v>
      </c>
      <c r="E3060" t="str">
        <f>VLOOKUP(B3060,Products!$A:$E,3,FALSE)</f>
        <v>Electronics</v>
      </c>
    </row>
    <row r="3061" spans="1:5" x14ac:dyDescent="0.3">
      <c r="A3061" t="s">
        <v>4071</v>
      </c>
      <c r="B3061" t="s">
        <v>394</v>
      </c>
      <c r="C3061">
        <v>75</v>
      </c>
      <c r="D3061" t="str">
        <f>VLOOKUP(B3061,Products!$A:$E,2,FALSE)</f>
        <v>Product_193</v>
      </c>
      <c r="E3061" t="str">
        <f>VLOOKUP(B3061,Products!$A:$E,3,FALSE)</f>
        <v>Accessories</v>
      </c>
    </row>
    <row r="3062" spans="1:5" x14ac:dyDescent="0.3">
      <c r="A3062" t="s">
        <v>4072</v>
      </c>
      <c r="B3062" t="s">
        <v>958</v>
      </c>
      <c r="C3062">
        <v>100</v>
      </c>
      <c r="D3062" t="str">
        <f>VLOOKUP(B3062,Products!$A:$E,2,FALSE)</f>
        <v>Product_475</v>
      </c>
      <c r="E3062" t="str">
        <f>VLOOKUP(B3062,Products!$A:$E,3,FALSE)</f>
        <v>Electronics</v>
      </c>
    </row>
    <row r="3063" spans="1:5" x14ac:dyDescent="0.3">
      <c r="A3063" t="s">
        <v>4073</v>
      </c>
      <c r="B3063" t="s">
        <v>270</v>
      </c>
      <c r="C3063">
        <v>51</v>
      </c>
      <c r="D3063" t="str">
        <f>VLOOKUP(B3063,Products!$A:$E,2,FALSE)</f>
        <v>Product_131</v>
      </c>
      <c r="E3063" t="str">
        <f>VLOOKUP(B3063,Products!$A:$E,3,FALSE)</f>
        <v>Electronics</v>
      </c>
    </row>
    <row r="3064" spans="1:5" x14ac:dyDescent="0.3">
      <c r="A3064" t="s">
        <v>4074</v>
      </c>
      <c r="B3064" t="s">
        <v>994</v>
      </c>
      <c r="C3064">
        <v>62</v>
      </c>
      <c r="D3064" t="str">
        <f>VLOOKUP(B3064,Products!$A:$E,2,FALSE)</f>
        <v>Product_493</v>
      </c>
      <c r="E3064" t="str">
        <f>VLOOKUP(B3064,Products!$A:$E,3,FALSE)</f>
        <v>Networking</v>
      </c>
    </row>
    <row r="3065" spans="1:5" x14ac:dyDescent="0.3">
      <c r="A3065" t="s">
        <v>4075</v>
      </c>
      <c r="B3065" t="s">
        <v>468</v>
      </c>
      <c r="C3065">
        <v>55</v>
      </c>
      <c r="D3065" t="str">
        <f>VLOOKUP(B3065,Products!$A:$E,2,FALSE)</f>
        <v>Product_230</v>
      </c>
      <c r="E3065" t="str">
        <f>VLOOKUP(B3065,Products!$A:$E,3,FALSE)</f>
        <v>Electronics</v>
      </c>
    </row>
    <row r="3066" spans="1:5" x14ac:dyDescent="0.3">
      <c r="A3066" t="s">
        <v>4076</v>
      </c>
      <c r="B3066" t="s">
        <v>5</v>
      </c>
      <c r="C3066">
        <v>97</v>
      </c>
      <c r="D3066" t="str">
        <f>VLOOKUP(B3066,Products!$A:$E,2,FALSE)</f>
        <v>Product_1</v>
      </c>
      <c r="E3066" t="str">
        <f>VLOOKUP(B3066,Products!$A:$E,3,FALSE)</f>
        <v>Electronics</v>
      </c>
    </row>
    <row r="3067" spans="1:5" x14ac:dyDescent="0.3">
      <c r="A3067" t="s">
        <v>4077</v>
      </c>
      <c r="B3067" t="s">
        <v>44</v>
      </c>
      <c r="C3067">
        <v>41</v>
      </c>
      <c r="D3067" t="str">
        <f>VLOOKUP(B3067,Products!$A:$E,2,FALSE)</f>
        <v>Product_18</v>
      </c>
      <c r="E3067" t="str">
        <f>VLOOKUP(B3067,Products!$A:$E,3,FALSE)</f>
        <v>Networking</v>
      </c>
    </row>
    <row r="3068" spans="1:5" x14ac:dyDescent="0.3">
      <c r="A3068" t="s">
        <v>4078</v>
      </c>
      <c r="B3068" t="s">
        <v>620</v>
      </c>
      <c r="C3068">
        <v>7</v>
      </c>
      <c r="D3068" t="str">
        <f>VLOOKUP(B3068,Products!$A:$E,2,FALSE)</f>
        <v>Product_306</v>
      </c>
      <c r="E3068" t="str">
        <f>VLOOKUP(B3068,Products!$A:$E,3,FALSE)</f>
        <v>Accessories</v>
      </c>
    </row>
    <row r="3069" spans="1:5" x14ac:dyDescent="0.3">
      <c r="A3069" t="s">
        <v>4079</v>
      </c>
      <c r="B3069" t="s">
        <v>540</v>
      </c>
      <c r="C3069">
        <v>22</v>
      </c>
      <c r="D3069" t="str">
        <f>VLOOKUP(B3069,Products!$A:$E,2,FALSE)</f>
        <v>Product_266</v>
      </c>
      <c r="E3069" t="str">
        <f>VLOOKUP(B3069,Products!$A:$E,3,FALSE)</f>
        <v>Electronics</v>
      </c>
    </row>
    <row r="3070" spans="1:5" x14ac:dyDescent="0.3">
      <c r="A3070" t="s">
        <v>4080</v>
      </c>
      <c r="B3070" t="s">
        <v>920</v>
      </c>
      <c r="C3070">
        <v>43</v>
      </c>
      <c r="D3070" t="str">
        <f>VLOOKUP(B3070,Products!$A:$E,2,FALSE)</f>
        <v>Product_456</v>
      </c>
      <c r="E3070" t="str">
        <f>VLOOKUP(B3070,Products!$A:$E,3,FALSE)</f>
        <v>Electronics</v>
      </c>
    </row>
    <row r="3071" spans="1:5" x14ac:dyDescent="0.3">
      <c r="A3071" t="s">
        <v>4081</v>
      </c>
      <c r="B3071" t="s">
        <v>14</v>
      </c>
      <c r="C3071">
        <v>43</v>
      </c>
      <c r="D3071" t="str">
        <f>VLOOKUP(B3071,Products!$A:$E,2,FALSE)</f>
        <v>Product_4</v>
      </c>
      <c r="E3071" t="str">
        <f>VLOOKUP(B3071,Products!$A:$E,3,FALSE)</f>
        <v>Storage</v>
      </c>
    </row>
    <row r="3072" spans="1:5" x14ac:dyDescent="0.3">
      <c r="A3072" t="s">
        <v>4082</v>
      </c>
      <c r="B3072" t="s">
        <v>236</v>
      </c>
      <c r="C3072">
        <v>32</v>
      </c>
      <c r="D3072" t="str">
        <f>VLOOKUP(B3072,Products!$A:$E,2,FALSE)</f>
        <v>Product_114</v>
      </c>
      <c r="E3072" t="str">
        <f>VLOOKUP(B3072,Products!$A:$E,3,FALSE)</f>
        <v>Electronics</v>
      </c>
    </row>
    <row r="3073" spans="1:5" x14ac:dyDescent="0.3">
      <c r="A3073" t="s">
        <v>4083</v>
      </c>
      <c r="B3073" t="s">
        <v>886</v>
      </c>
      <c r="C3073">
        <v>45</v>
      </c>
      <c r="D3073" t="str">
        <f>VLOOKUP(B3073,Products!$A:$E,2,FALSE)</f>
        <v>Product_439</v>
      </c>
      <c r="E3073" t="str">
        <f>VLOOKUP(B3073,Products!$A:$E,3,FALSE)</f>
        <v>Networking</v>
      </c>
    </row>
    <row r="3074" spans="1:5" x14ac:dyDescent="0.3">
      <c r="A3074" t="s">
        <v>4084</v>
      </c>
      <c r="B3074" t="s">
        <v>32</v>
      </c>
      <c r="C3074">
        <v>93</v>
      </c>
      <c r="D3074" t="str">
        <f>VLOOKUP(B3074,Products!$A:$E,2,FALSE)</f>
        <v>Product_12</v>
      </c>
      <c r="E3074" t="str">
        <f>VLOOKUP(B3074,Products!$A:$E,3,FALSE)</f>
        <v>Accessories</v>
      </c>
    </row>
    <row r="3075" spans="1:5" x14ac:dyDescent="0.3">
      <c r="A3075" t="s">
        <v>4085</v>
      </c>
      <c r="B3075" t="s">
        <v>852</v>
      </c>
      <c r="C3075">
        <v>40</v>
      </c>
      <c r="D3075" t="str">
        <f>VLOOKUP(B3075,Products!$A:$E,2,FALSE)</f>
        <v>Product_422</v>
      </c>
      <c r="E3075" t="str">
        <f>VLOOKUP(B3075,Products!$A:$E,3,FALSE)</f>
        <v>Accessories</v>
      </c>
    </row>
    <row r="3076" spans="1:5" x14ac:dyDescent="0.3">
      <c r="A3076" t="s">
        <v>4086</v>
      </c>
      <c r="B3076" t="s">
        <v>950</v>
      </c>
      <c r="C3076">
        <v>75</v>
      </c>
      <c r="D3076" t="str">
        <f>VLOOKUP(B3076,Products!$A:$E,2,FALSE)</f>
        <v>Product_471</v>
      </c>
      <c r="E3076" t="str">
        <f>VLOOKUP(B3076,Products!$A:$E,3,FALSE)</f>
        <v>Office Supplies</v>
      </c>
    </row>
    <row r="3077" spans="1:5" x14ac:dyDescent="0.3">
      <c r="A3077" t="s">
        <v>4087</v>
      </c>
      <c r="B3077" t="s">
        <v>532</v>
      </c>
      <c r="C3077">
        <v>76</v>
      </c>
      <c r="D3077" t="str">
        <f>VLOOKUP(B3077,Products!$A:$E,2,FALSE)</f>
        <v>Product_262</v>
      </c>
      <c r="E3077" t="str">
        <f>VLOOKUP(B3077,Products!$A:$E,3,FALSE)</f>
        <v>Electronics</v>
      </c>
    </row>
    <row r="3078" spans="1:5" x14ac:dyDescent="0.3">
      <c r="A3078" t="s">
        <v>4088</v>
      </c>
      <c r="B3078" t="s">
        <v>594</v>
      </c>
      <c r="C3078">
        <v>78</v>
      </c>
      <c r="D3078" t="str">
        <f>VLOOKUP(B3078,Products!$A:$E,2,FALSE)</f>
        <v>Product_293</v>
      </c>
      <c r="E3078" t="str">
        <f>VLOOKUP(B3078,Products!$A:$E,3,FALSE)</f>
        <v>Networking</v>
      </c>
    </row>
    <row r="3079" spans="1:5" x14ac:dyDescent="0.3">
      <c r="A3079" t="s">
        <v>4089</v>
      </c>
      <c r="B3079" t="s">
        <v>168</v>
      </c>
      <c r="C3079">
        <v>17</v>
      </c>
      <c r="D3079" t="str">
        <f>VLOOKUP(B3079,Products!$A:$E,2,FALSE)</f>
        <v>Product_80</v>
      </c>
      <c r="E3079" t="str">
        <f>VLOOKUP(B3079,Products!$A:$E,3,FALSE)</f>
        <v>Accessories</v>
      </c>
    </row>
    <row r="3080" spans="1:5" x14ac:dyDescent="0.3">
      <c r="A3080" t="s">
        <v>4090</v>
      </c>
      <c r="B3080" t="s">
        <v>48</v>
      </c>
      <c r="C3080">
        <v>63</v>
      </c>
      <c r="D3080" t="str">
        <f>VLOOKUP(B3080,Products!$A:$E,2,FALSE)</f>
        <v>Product_20</v>
      </c>
      <c r="E3080" t="str">
        <f>VLOOKUP(B3080,Products!$A:$E,3,FALSE)</f>
        <v>Office Supplies</v>
      </c>
    </row>
    <row r="3081" spans="1:5" x14ac:dyDescent="0.3">
      <c r="A3081" t="s">
        <v>4091</v>
      </c>
      <c r="B3081" t="s">
        <v>374</v>
      </c>
      <c r="C3081">
        <v>24</v>
      </c>
      <c r="D3081" t="str">
        <f>VLOOKUP(B3081,Products!$A:$E,2,FALSE)</f>
        <v>Product_183</v>
      </c>
      <c r="E3081" t="str">
        <f>VLOOKUP(B3081,Products!$A:$E,3,FALSE)</f>
        <v>Electronics</v>
      </c>
    </row>
    <row r="3082" spans="1:5" x14ac:dyDescent="0.3">
      <c r="A3082" t="s">
        <v>4092</v>
      </c>
      <c r="B3082" t="s">
        <v>150</v>
      </c>
      <c r="C3082">
        <v>38</v>
      </c>
      <c r="D3082" t="str">
        <f>VLOOKUP(B3082,Products!$A:$E,2,FALSE)</f>
        <v>Product_71</v>
      </c>
      <c r="E3082" t="str">
        <f>VLOOKUP(B3082,Products!$A:$E,3,FALSE)</f>
        <v>Accessories</v>
      </c>
    </row>
    <row r="3083" spans="1:5" x14ac:dyDescent="0.3">
      <c r="A3083" t="s">
        <v>4093</v>
      </c>
      <c r="B3083" t="s">
        <v>384</v>
      </c>
      <c r="C3083">
        <v>79</v>
      </c>
      <c r="D3083" t="str">
        <f>VLOOKUP(B3083,Products!$A:$E,2,FALSE)</f>
        <v>Product_188</v>
      </c>
      <c r="E3083" t="str">
        <f>VLOOKUP(B3083,Products!$A:$E,3,FALSE)</f>
        <v>Office Supplies</v>
      </c>
    </row>
    <row r="3084" spans="1:5" x14ac:dyDescent="0.3">
      <c r="A3084" t="s">
        <v>4094</v>
      </c>
      <c r="B3084" t="s">
        <v>264</v>
      </c>
      <c r="C3084">
        <v>34</v>
      </c>
      <c r="D3084" t="str">
        <f>VLOOKUP(B3084,Products!$A:$E,2,FALSE)</f>
        <v>Product_128</v>
      </c>
      <c r="E3084" t="str">
        <f>VLOOKUP(B3084,Products!$A:$E,3,FALSE)</f>
        <v>Office Supplies</v>
      </c>
    </row>
    <row r="3085" spans="1:5" x14ac:dyDescent="0.3">
      <c r="A3085" t="s">
        <v>4095</v>
      </c>
      <c r="B3085" t="s">
        <v>272</v>
      </c>
      <c r="C3085">
        <v>43</v>
      </c>
      <c r="D3085" t="str">
        <f>VLOOKUP(B3085,Products!$A:$E,2,FALSE)</f>
        <v>Product_132</v>
      </c>
      <c r="E3085" t="str">
        <f>VLOOKUP(B3085,Products!$A:$E,3,FALSE)</f>
        <v>Storage</v>
      </c>
    </row>
    <row r="3086" spans="1:5" x14ac:dyDescent="0.3">
      <c r="A3086" t="s">
        <v>4096</v>
      </c>
      <c r="B3086" t="s">
        <v>104</v>
      </c>
      <c r="C3086">
        <v>78</v>
      </c>
      <c r="D3086" t="str">
        <f>VLOOKUP(B3086,Products!$A:$E,2,FALSE)</f>
        <v>Product_48</v>
      </c>
      <c r="E3086" t="str">
        <f>VLOOKUP(B3086,Products!$A:$E,3,FALSE)</f>
        <v>Accessories</v>
      </c>
    </row>
    <row r="3087" spans="1:5" x14ac:dyDescent="0.3">
      <c r="A3087" t="s">
        <v>4097</v>
      </c>
      <c r="B3087" t="s">
        <v>418</v>
      </c>
      <c r="C3087">
        <v>77</v>
      </c>
      <c r="D3087" t="str">
        <f>VLOOKUP(B3087,Products!$A:$E,2,FALSE)</f>
        <v>Product_205</v>
      </c>
      <c r="E3087" t="str">
        <f>VLOOKUP(B3087,Products!$A:$E,3,FALSE)</f>
        <v>Storage</v>
      </c>
    </row>
    <row r="3088" spans="1:5" x14ac:dyDescent="0.3">
      <c r="A3088" t="s">
        <v>4098</v>
      </c>
      <c r="B3088" t="s">
        <v>948</v>
      </c>
      <c r="C3088">
        <v>32</v>
      </c>
      <c r="D3088" t="str">
        <f>VLOOKUP(B3088,Products!$A:$E,2,FALSE)</f>
        <v>Product_470</v>
      </c>
      <c r="E3088" t="str">
        <f>VLOOKUP(B3088,Products!$A:$E,3,FALSE)</f>
        <v>Networking</v>
      </c>
    </row>
    <row r="3089" spans="1:5" x14ac:dyDescent="0.3">
      <c r="A3089" t="s">
        <v>4099</v>
      </c>
      <c r="B3089" t="s">
        <v>760</v>
      </c>
      <c r="C3089">
        <v>14</v>
      </c>
      <c r="D3089" t="str">
        <f>VLOOKUP(B3089,Products!$A:$E,2,FALSE)</f>
        <v>Product_376</v>
      </c>
      <c r="E3089" t="str">
        <f>VLOOKUP(B3089,Products!$A:$E,3,FALSE)</f>
        <v>Networking</v>
      </c>
    </row>
    <row r="3090" spans="1:5" x14ac:dyDescent="0.3">
      <c r="A3090" t="s">
        <v>4100</v>
      </c>
      <c r="B3090" t="s">
        <v>750</v>
      </c>
      <c r="C3090">
        <v>46</v>
      </c>
      <c r="D3090" t="str">
        <f>VLOOKUP(B3090,Products!$A:$E,2,FALSE)</f>
        <v>Product_371</v>
      </c>
      <c r="E3090" t="str">
        <f>VLOOKUP(B3090,Products!$A:$E,3,FALSE)</f>
        <v>Storage</v>
      </c>
    </row>
    <row r="3091" spans="1:5" x14ac:dyDescent="0.3">
      <c r="A3091" t="s">
        <v>4101</v>
      </c>
      <c r="B3091" t="s">
        <v>820</v>
      </c>
      <c r="C3091">
        <v>66</v>
      </c>
      <c r="D3091" t="str">
        <f>VLOOKUP(B3091,Products!$A:$E,2,FALSE)</f>
        <v>Product_406</v>
      </c>
      <c r="E3091" t="str">
        <f>VLOOKUP(B3091,Products!$A:$E,3,FALSE)</f>
        <v>Office Supplies</v>
      </c>
    </row>
    <row r="3092" spans="1:5" x14ac:dyDescent="0.3">
      <c r="A3092" t="s">
        <v>4102</v>
      </c>
      <c r="B3092" t="s">
        <v>186</v>
      </c>
      <c r="C3092">
        <v>67</v>
      </c>
      <c r="D3092" t="str">
        <f>VLOOKUP(B3092,Products!$A:$E,2,FALSE)</f>
        <v>Product_89</v>
      </c>
      <c r="E3092" t="str">
        <f>VLOOKUP(B3092,Products!$A:$E,3,FALSE)</f>
        <v>Storage</v>
      </c>
    </row>
    <row r="3093" spans="1:5" x14ac:dyDescent="0.3">
      <c r="A3093" t="s">
        <v>4103</v>
      </c>
      <c r="B3093" t="s">
        <v>854</v>
      </c>
      <c r="C3093">
        <v>93</v>
      </c>
      <c r="D3093" t="str">
        <f>VLOOKUP(B3093,Products!$A:$E,2,FALSE)</f>
        <v>Product_423</v>
      </c>
      <c r="E3093" t="str">
        <f>VLOOKUP(B3093,Products!$A:$E,3,FALSE)</f>
        <v>Office Supplies</v>
      </c>
    </row>
    <row r="3094" spans="1:5" x14ac:dyDescent="0.3">
      <c r="A3094" t="s">
        <v>4104</v>
      </c>
      <c r="B3094" t="s">
        <v>728</v>
      </c>
      <c r="C3094">
        <v>78</v>
      </c>
      <c r="D3094" t="str">
        <f>VLOOKUP(B3094,Products!$A:$E,2,FALSE)</f>
        <v>Product_360</v>
      </c>
      <c r="E3094" t="str">
        <f>VLOOKUP(B3094,Products!$A:$E,3,FALSE)</f>
        <v>Office Supplies</v>
      </c>
    </row>
    <row r="3095" spans="1:5" x14ac:dyDescent="0.3">
      <c r="A3095" t="s">
        <v>4105</v>
      </c>
      <c r="B3095" t="s">
        <v>848</v>
      </c>
      <c r="C3095">
        <v>17</v>
      </c>
      <c r="D3095" t="str">
        <f>VLOOKUP(B3095,Products!$A:$E,2,FALSE)</f>
        <v>Product_420</v>
      </c>
      <c r="E3095" t="str">
        <f>VLOOKUP(B3095,Products!$A:$E,3,FALSE)</f>
        <v>Networking</v>
      </c>
    </row>
    <row r="3096" spans="1:5" x14ac:dyDescent="0.3">
      <c r="A3096" t="s">
        <v>4106</v>
      </c>
      <c r="B3096" t="s">
        <v>618</v>
      </c>
      <c r="C3096">
        <v>87</v>
      </c>
      <c r="D3096" t="str">
        <f>VLOOKUP(B3096,Products!$A:$E,2,FALSE)</f>
        <v>Product_305</v>
      </c>
      <c r="E3096" t="str">
        <f>VLOOKUP(B3096,Products!$A:$E,3,FALSE)</f>
        <v>Accessories</v>
      </c>
    </row>
    <row r="3097" spans="1:5" x14ac:dyDescent="0.3">
      <c r="A3097" t="s">
        <v>4107</v>
      </c>
      <c r="B3097" t="s">
        <v>316</v>
      </c>
      <c r="C3097">
        <v>9</v>
      </c>
      <c r="D3097" t="str">
        <f>VLOOKUP(B3097,Products!$A:$E,2,FALSE)</f>
        <v>Product_154</v>
      </c>
      <c r="E3097" t="str">
        <f>VLOOKUP(B3097,Products!$A:$E,3,FALSE)</f>
        <v>Accessories</v>
      </c>
    </row>
    <row r="3098" spans="1:5" x14ac:dyDescent="0.3">
      <c r="A3098" t="s">
        <v>4108</v>
      </c>
      <c r="B3098" t="s">
        <v>758</v>
      </c>
      <c r="C3098">
        <v>78</v>
      </c>
      <c r="D3098" t="str">
        <f>VLOOKUP(B3098,Products!$A:$E,2,FALSE)</f>
        <v>Product_375</v>
      </c>
      <c r="E3098" t="str">
        <f>VLOOKUP(B3098,Products!$A:$E,3,FALSE)</f>
        <v>Accessories</v>
      </c>
    </row>
    <row r="3099" spans="1:5" x14ac:dyDescent="0.3">
      <c r="A3099" t="s">
        <v>4109</v>
      </c>
      <c r="B3099" t="s">
        <v>400</v>
      </c>
      <c r="C3099">
        <v>15</v>
      </c>
      <c r="D3099" t="str">
        <f>VLOOKUP(B3099,Products!$A:$E,2,FALSE)</f>
        <v>Product_196</v>
      </c>
      <c r="E3099" t="str">
        <f>VLOOKUP(B3099,Products!$A:$E,3,FALSE)</f>
        <v>Office Supplies</v>
      </c>
    </row>
    <row r="3100" spans="1:5" x14ac:dyDescent="0.3">
      <c r="A3100" t="s">
        <v>4110</v>
      </c>
      <c r="B3100" t="s">
        <v>808</v>
      </c>
      <c r="C3100">
        <v>12</v>
      </c>
      <c r="D3100" t="str">
        <f>VLOOKUP(B3100,Products!$A:$E,2,FALSE)</f>
        <v>Product_400</v>
      </c>
      <c r="E3100" t="str">
        <f>VLOOKUP(B3100,Products!$A:$E,3,FALSE)</f>
        <v>Networking</v>
      </c>
    </row>
    <row r="3101" spans="1:5" x14ac:dyDescent="0.3">
      <c r="A3101" t="s">
        <v>4111</v>
      </c>
      <c r="B3101" t="s">
        <v>952</v>
      </c>
      <c r="C3101">
        <v>47</v>
      </c>
      <c r="D3101" t="str">
        <f>VLOOKUP(B3101,Products!$A:$E,2,FALSE)</f>
        <v>Product_472</v>
      </c>
      <c r="E3101" t="str">
        <f>VLOOKUP(B3101,Products!$A:$E,3,FALSE)</f>
        <v>Electronics</v>
      </c>
    </row>
    <row r="3102" spans="1:5" x14ac:dyDescent="0.3">
      <c r="A3102" t="s">
        <v>4112</v>
      </c>
      <c r="B3102" t="s">
        <v>366</v>
      </c>
      <c r="C3102">
        <v>60</v>
      </c>
      <c r="D3102" t="str">
        <f>VLOOKUP(B3102,Products!$A:$E,2,FALSE)</f>
        <v>Product_179</v>
      </c>
      <c r="E3102" t="str">
        <f>VLOOKUP(B3102,Products!$A:$E,3,FALSE)</f>
        <v>Storage</v>
      </c>
    </row>
    <row r="3103" spans="1:5" x14ac:dyDescent="0.3">
      <c r="A3103" t="s">
        <v>4113</v>
      </c>
      <c r="B3103" t="s">
        <v>436</v>
      </c>
      <c r="C3103">
        <v>20</v>
      </c>
      <c r="D3103" t="str">
        <f>VLOOKUP(B3103,Products!$A:$E,2,FALSE)</f>
        <v>Product_214</v>
      </c>
      <c r="E3103" t="str">
        <f>VLOOKUP(B3103,Products!$A:$E,3,FALSE)</f>
        <v>Electronics</v>
      </c>
    </row>
    <row r="3104" spans="1:5" x14ac:dyDescent="0.3">
      <c r="A3104" t="s">
        <v>4114</v>
      </c>
      <c r="B3104" t="s">
        <v>900</v>
      </c>
      <c r="C3104">
        <v>34</v>
      </c>
      <c r="D3104" t="str">
        <f>VLOOKUP(B3104,Products!$A:$E,2,FALSE)</f>
        <v>Product_446</v>
      </c>
      <c r="E3104" t="str">
        <f>VLOOKUP(B3104,Products!$A:$E,3,FALSE)</f>
        <v>Accessories</v>
      </c>
    </row>
    <row r="3105" spans="1:5" x14ac:dyDescent="0.3">
      <c r="A3105" t="s">
        <v>4115</v>
      </c>
      <c r="B3105" t="s">
        <v>774</v>
      </c>
      <c r="C3105">
        <v>88</v>
      </c>
      <c r="D3105" t="str">
        <f>VLOOKUP(B3105,Products!$A:$E,2,FALSE)</f>
        <v>Product_383</v>
      </c>
      <c r="E3105" t="str">
        <f>VLOOKUP(B3105,Products!$A:$E,3,FALSE)</f>
        <v>Electronics</v>
      </c>
    </row>
    <row r="3106" spans="1:5" x14ac:dyDescent="0.3">
      <c r="A3106" t="s">
        <v>4116</v>
      </c>
      <c r="B3106" t="s">
        <v>878</v>
      </c>
      <c r="C3106">
        <v>82</v>
      </c>
      <c r="D3106" t="str">
        <f>VLOOKUP(B3106,Products!$A:$E,2,FALSE)</f>
        <v>Product_435</v>
      </c>
      <c r="E3106" t="str">
        <f>VLOOKUP(B3106,Products!$A:$E,3,FALSE)</f>
        <v>Accessories</v>
      </c>
    </row>
    <row r="3107" spans="1:5" x14ac:dyDescent="0.3">
      <c r="A3107" t="s">
        <v>4117</v>
      </c>
      <c r="B3107" t="s">
        <v>960</v>
      </c>
      <c r="C3107">
        <v>6</v>
      </c>
      <c r="D3107" t="str">
        <f>VLOOKUP(B3107,Products!$A:$E,2,FALSE)</f>
        <v>Product_476</v>
      </c>
      <c r="E3107" t="str">
        <f>VLOOKUP(B3107,Products!$A:$E,3,FALSE)</f>
        <v>Office Supplies</v>
      </c>
    </row>
    <row r="3108" spans="1:5" x14ac:dyDescent="0.3">
      <c r="A3108" t="s">
        <v>4118</v>
      </c>
      <c r="B3108" t="s">
        <v>658</v>
      </c>
      <c r="C3108">
        <v>85</v>
      </c>
      <c r="D3108" t="str">
        <f>VLOOKUP(B3108,Products!$A:$E,2,FALSE)</f>
        <v>Product_325</v>
      </c>
      <c r="E3108" t="str">
        <f>VLOOKUP(B3108,Products!$A:$E,3,FALSE)</f>
        <v>Networking</v>
      </c>
    </row>
    <row r="3109" spans="1:5" x14ac:dyDescent="0.3">
      <c r="A3109" t="s">
        <v>4119</v>
      </c>
      <c r="B3109" t="s">
        <v>400</v>
      </c>
      <c r="C3109">
        <v>11</v>
      </c>
      <c r="D3109" t="str">
        <f>VLOOKUP(B3109,Products!$A:$E,2,FALSE)</f>
        <v>Product_196</v>
      </c>
      <c r="E3109" t="str">
        <f>VLOOKUP(B3109,Products!$A:$E,3,FALSE)</f>
        <v>Office Supplies</v>
      </c>
    </row>
    <row r="3110" spans="1:5" x14ac:dyDescent="0.3">
      <c r="A3110" t="s">
        <v>4120</v>
      </c>
      <c r="B3110" t="s">
        <v>322</v>
      </c>
      <c r="C3110">
        <v>72</v>
      </c>
      <c r="D3110" t="str">
        <f>VLOOKUP(B3110,Products!$A:$E,2,FALSE)</f>
        <v>Product_157</v>
      </c>
      <c r="E3110" t="str">
        <f>VLOOKUP(B3110,Products!$A:$E,3,FALSE)</f>
        <v>Electronics</v>
      </c>
    </row>
    <row r="3111" spans="1:5" x14ac:dyDescent="0.3">
      <c r="A3111" t="s">
        <v>4121</v>
      </c>
      <c r="B3111" t="s">
        <v>52</v>
      </c>
      <c r="C3111">
        <v>45</v>
      </c>
      <c r="D3111" t="str">
        <f>VLOOKUP(B3111,Products!$A:$E,2,FALSE)</f>
        <v>Product_22</v>
      </c>
      <c r="E3111" t="str">
        <f>VLOOKUP(B3111,Products!$A:$E,3,FALSE)</f>
        <v>Electronics</v>
      </c>
    </row>
    <row r="3112" spans="1:5" x14ac:dyDescent="0.3">
      <c r="A3112" t="s">
        <v>4122</v>
      </c>
      <c r="B3112" t="s">
        <v>562</v>
      </c>
      <c r="C3112">
        <v>77</v>
      </c>
      <c r="D3112" t="str">
        <f>VLOOKUP(B3112,Products!$A:$E,2,FALSE)</f>
        <v>Product_277</v>
      </c>
      <c r="E3112" t="str">
        <f>VLOOKUP(B3112,Products!$A:$E,3,FALSE)</f>
        <v>Electronics</v>
      </c>
    </row>
    <row r="3113" spans="1:5" x14ac:dyDescent="0.3">
      <c r="A3113" t="s">
        <v>4123</v>
      </c>
      <c r="B3113" t="s">
        <v>162</v>
      </c>
      <c r="C3113">
        <v>46</v>
      </c>
      <c r="D3113" t="str">
        <f>VLOOKUP(B3113,Products!$A:$E,2,FALSE)</f>
        <v>Product_77</v>
      </c>
      <c r="E3113" t="str">
        <f>VLOOKUP(B3113,Products!$A:$E,3,FALSE)</f>
        <v>Networking</v>
      </c>
    </row>
    <row r="3114" spans="1:5" x14ac:dyDescent="0.3">
      <c r="A3114" t="s">
        <v>4124</v>
      </c>
      <c r="B3114" t="s">
        <v>524</v>
      </c>
      <c r="C3114">
        <v>94</v>
      </c>
      <c r="D3114" t="str">
        <f>VLOOKUP(B3114,Products!$A:$E,2,FALSE)</f>
        <v>Product_258</v>
      </c>
      <c r="E3114" t="str">
        <f>VLOOKUP(B3114,Products!$A:$E,3,FALSE)</f>
        <v>Networking</v>
      </c>
    </row>
    <row r="3115" spans="1:5" x14ac:dyDescent="0.3">
      <c r="A3115" t="s">
        <v>4125</v>
      </c>
      <c r="B3115" t="s">
        <v>236</v>
      </c>
      <c r="C3115">
        <v>24</v>
      </c>
      <c r="D3115" t="str">
        <f>VLOOKUP(B3115,Products!$A:$E,2,FALSE)</f>
        <v>Product_114</v>
      </c>
      <c r="E3115" t="str">
        <f>VLOOKUP(B3115,Products!$A:$E,3,FALSE)</f>
        <v>Electronics</v>
      </c>
    </row>
    <row r="3116" spans="1:5" x14ac:dyDescent="0.3">
      <c r="A3116" t="s">
        <v>4126</v>
      </c>
      <c r="B3116" t="s">
        <v>60</v>
      </c>
      <c r="C3116">
        <v>91</v>
      </c>
      <c r="D3116" t="str">
        <f>VLOOKUP(B3116,Products!$A:$E,2,FALSE)</f>
        <v>Product_26</v>
      </c>
      <c r="E3116" t="str">
        <f>VLOOKUP(B3116,Products!$A:$E,3,FALSE)</f>
        <v>Office Supplies</v>
      </c>
    </row>
    <row r="3117" spans="1:5" x14ac:dyDescent="0.3">
      <c r="A3117" t="s">
        <v>4127</v>
      </c>
      <c r="B3117" t="s">
        <v>758</v>
      </c>
      <c r="C3117">
        <v>55</v>
      </c>
      <c r="D3117" t="str">
        <f>VLOOKUP(B3117,Products!$A:$E,2,FALSE)</f>
        <v>Product_375</v>
      </c>
      <c r="E3117" t="str">
        <f>VLOOKUP(B3117,Products!$A:$E,3,FALSE)</f>
        <v>Accessories</v>
      </c>
    </row>
    <row r="3118" spans="1:5" x14ac:dyDescent="0.3">
      <c r="A3118" t="s">
        <v>4128</v>
      </c>
      <c r="B3118" t="s">
        <v>1004</v>
      </c>
      <c r="C3118">
        <v>62</v>
      </c>
      <c r="D3118" t="str">
        <f>VLOOKUP(B3118,Products!$A:$E,2,FALSE)</f>
        <v>Product_498</v>
      </c>
      <c r="E3118" t="str">
        <f>VLOOKUP(B3118,Products!$A:$E,3,FALSE)</f>
        <v>Office Supplies</v>
      </c>
    </row>
    <row r="3119" spans="1:5" x14ac:dyDescent="0.3">
      <c r="A3119" t="s">
        <v>4129</v>
      </c>
      <c r="B3119" t="s">
        <v>780</v>
      </c>
      <c r="C3119">
        <v>81</v>
      </c>
      <c r="D3119" t="str">
        <f>VLOOKUP(B3119,Products!$A:$E,2,FALSE)</f>
        <v>Product_386</v>
      </c>
      <c r="E3119" t="str">
        <f>VLOOKUP(B3119,Products!$A:$E,3,FALSE)</f>
        <v>Electronics</v>
      </c>
    </row>
    <row r="3120" spans="1:5" x14ac:dyDescent="0.3">
      <c r="A3120" t="s">
        <v>4130</v>
      </c>
      <c r="B3120" t="s">
        <v>598</v>
      </c>
      <c r="C3120">
        <v>69</v>
      </c>
      <c r="D3120" t="str">
        <f>VLOOKUP(B3120,Products!$A:$E,2,FALSE)</f>
        <v>Product_295</v>
      </c>
      <c r="E3120" t="str">
        <f>VLOOKUP(B3120,Products!$A:$E,3,FALSE)</f>
        <v>Networking</v>
      </c>
    </row>
    <row r="3121" spans="1:5" x14ac:dyDescent="0.3">
      <c r="A3121" t="s">
        <v>4131</v>
      </c>
      <c r="B3121" t="s">
        <v>102</v>
      </c>
      <c r="C3121">
        <v>33</v>
      </c>
      <c r="D3121" t="str">
        <f>VLOOKUP(B3121,Products!$A:$E,2,FALSE)</f>
        <v>Product_47</v>
      </c>
      <c r="E3121" t="str">
        <f>VLOOKUP(B3121,Products!$A:$E,3,FALSE)</f>
        <v>Electronics</v>
      </c>
    </row>
    <row r="3122" spans="1:5" x14ac:dyDescent="0.3">
      <c r="A3122" t="s">
        <v>4132</v>
      </c>
      <c r="B3122" t="s">
        <v>452</v>
      </c>
      <c r="C3122">
        <v>42</v>
      </c>
      <c r="D3122" t="str">
        <f>VLOOKUP(B3122,Products!$A:$E,2,FALSE)</f>
        <v>Product_222</v>
      </c>
      <c r="E3122" t="str">
        <f>VLOOKUP(B3122,Products!$A:$E,3,FALSE)</f>
        <v>Networking</v>
      </c>
    </row>
    <row r="3123" spans="1:5" x14ac:dyDescent="0.3">
      <c r="A3123" t="s">
        <v>4133</v>
      </c>
      <c r="B3123" t="s">
        <v>814</v>
      </c>
      <c r="C3123">
        <v>55</v>
      </c>
      <c r="D3123" t="str">
        <f>VLOOKUP(B3123,Products!$A:$E,2,FALSE)</f>
        <v>Product_403</v>
      </c>
      <c r="E3123" t="str">
        <f>VLOOKUP(B3123,Products!$A:$E,3,FALSE)</f>
        <v>Networking</v>
      </c>
    </row>
    <row r="3124" spans="1:5" x14ac:dyDescent="0.3">
      <c r="A3124" t="s">
        <v>4134</v>
      </c>
      <c r="B3124" t="s">
        <v>160</v>
      </c>
      <c r="C3124">
        <v>21</v>
      </c>
      <c r="D3124" t="str">
        <f>VLOOKUP(B3124,Products!$A:$E,2,FALSE)</f>
        <v>Product_76</v>
      </c>
      <c r="E3124" t="str">
        <f>VLOOKUP(B3124,Products!$A:$E,3,FALSE)</f>
        <v>Accessories</v>
      </c>
    </row>
    <row r="3125" spans="1:5" x14ac:dyDescent="0.3">
      <c r="A3125" t="s">
        <v>4135</v>
      </c>
      <c r="B3125" t="s">
        <v>354</v>
      </c>
      <c r="C3125">
        <v>15</v>
      </c>
      <c r="D3125" t="str">
        <f>VLOOKUP(B3125,Products!$A:$E,2,FALSE)</f>
        <v>Product_173</v>
      </c>
      <c r="E3125" t="str">
        <f>VLOOKUP(B3125,Products!$A:$E,3,FALSE)</f>
        <v>Electronics</v>
      </c>
    </row>
    <row r="3126" spans="1:5" x14ac:dyDescent="0.3">
      <c r="A3126" t="s">
        <v>4136</v>
      </c>
      <c r="B3126" t="s">
        <v>496</v>
      </c>
      <c r="C3126">
        <v>78</v>
      </c>
      <c r="D3126" t="str">
        <f>VLOOKUP(B3126,Products!$A:$E,2,FALSE)</f>
        <v>Product_244</v>
      </c>
      <c r="E3126" t="str">
        <f>VLOOKUP(B3126,Products!$A:$E,3,FALSE)</f>
        <v>Accessories</v>
      </c>
    </row>
    <row r="3127" spans="1:5" x14ac:dyDescent="0.3">
      <c r="A3127" t="s">
        <v>4137</v>
      </c>
      <c r="B3127" t="s">
        <v>772</v>
      </c>
      <c r="C3127">
        <v>11</v>
      </c>
      <c r="D3127" t="str">
        <f>VLOOKUP(B3127,Products!$A:$E,2,FALSE)</f>
        <v>Product_382</v>
      </c>
      <c r="E3127" t="str">
        <f>VLOOKUP(B3127,Products!$A:$E,3,FALSE)</f>
        <v>Storage</v>
      </c>
    </row>
    <row r="3128" spans="1:5" x14ac:dyDescent="0.3">
      <c r="A3128" t="s">
        <v>4138</v>
      </c>
      <c r="B3128" t="s">
        <v>570</v>
      </c>
      <c r="C3128">
        <v>56</v>
      </c>
      <c r="D3128" t="str">
        <f>VLOOKUP(B3128,Products!$A:$E,2,FALSE)</f>
        <v>Product_281</v>
      </c>
      <c r="E3128" t="str">
        <f>VLOOKUP(B3128,Products!$A:$E,3,FALSE)</f>
        <v>Office Supplies</v>
      </c>
    </row>
    <row r="3129" spans="1:5" x14ac:dyDescent="0.3">
      <c r="A3129" t="s">
        <v>4139</v>
      </c>
      <c r="B3129" t="s">
        <v>278</v>
      </c>
      <c r="C3129">
        <v>15</v>
      </c>
      <c r="D3129" t="str">
        <f>VLOOKUP(B3129,Products!$A:$E,2,FALSE)</f>
        <v>Product_135</v>
      </c>
      <c r="E3129" t="str">
        <f>VLOOKUP(B3129,Products!$A:$E,3,FALSE)</f>
        <v>Accessories</v>
      </c>
    </row>
    <row r="3130" spans="1:5" x14ac:dyDescent="0.3">
      <c r="A3130" t="s">
        <v>4140</v>
      </c>
      <c r="B3130" t="s">
        <v>418</v>
      </c>
      <c r="C3130">
        <v>69</v>
      </c>
      <c r="D3130" t="str">
        <f>VLOOKUP(B3130,Products!$A:$E,2,FALSE)</f>
        <v>Product_205</v>
      </c>
      <c r="E3130" t="str">
        <f>VLOOKUP(B3130,Products!$A:$E,3,FALSE)</f>
        <v>Storage</v>
      </c>
    </row>
    <row r="3131" spans="1:5" x14ac:dyDescent="0.3">
      <c r="A3131" t="s">
        <v>4141</v>
      </c>
      <c r="B3131" t="s">
        <v>454</v>
      </c>
      <c r="C3131">
        <v>94</v>
      </c>
      <c r="D3131" t="str">
        <f>VLOOKUP(B3131,Products!$A:$E,2,FALSE)</f>
        <v>Product_223</v>
      </c>
      <c r="E3131" t="str">
        <f>VLOOKUP(B3131,Products!$A:$E,3,FALSE)</f>
        <v>Storage</v>
      </c>
    </row>
    <row r="3132" spans="1:5" x14ac:dyDescent="0.3">
      <c r="A3132" t="s">
        <v>4142</v>
      </c>
      <c r="B3132" t="s">
        <v>142</v>
      </c>
      <c r="C3132">
        <v>22</v>
      </c>
      <c r="D3132" t="str">
        <f>VLOOKUP(B3132,Products!$A:$E,2,FALSE)</f>
        <v>Product_67</v>
      </c>
      <c r="E3132" t="str">
        <f>VLOOKUP(B3132,Products!$A:$E,3,FALSE)</f>
        <v>Office Supplies</v>
      </c>
    </row>
    <row r="3133" spans="1:5" x14ac:dyDescent="0.3">
      <c r="A3133" t="s">
        <v>4143</v>
      </c>
      <c r="B3133" t="s">
        <v>502</v>
      </c>
      <c r="C3133">
        <v>76</v>
      </c>
      <c r="D3133" t="str">
        <f>VLOOKUP(B3133,Products!$A:$E,2,FALSE)</f>
        <v>Product_247</v>
      </c>
      <c r="E3133" t="str">
        <f>VLOOKUP(B3133,Products!$A:$E,3,FALSE)</f>
        <v>Networking</v>
      </c>
    </row>
    <row r="3134" spans="1:5" x14ac:dyDescent="0.3">
      <c r="A3134" t="s">
        <v>4144</v>
      </c>
      <c r="B3134" t="s">
        <v>212</v>
      </c>
      <c r="C3134">
        <v>67</v>
      </c>
      <c r="D3134" t="str">
        <f>VLOOKUP(B3134,Products!$A:$E,2,FALSE)</f>
        <v>Product_102</v>
      </c>
      <c r="E3134" t="str">
        <f>VLOOKUP(B3134,Products!$A:$E,3,FALSE)</f>
        <v>Storage</v>
      </c>
    </row>
    <row r="3135" spans="1:5" x14ac:dyDescent="0.3">
      <c r="A3135" t="s">
        <v>4145</v>
      </c>
      <c r="B3135" t="s">
        <v>414</v>
      </c>
      <c r="C3135">
        <v>88</v>
      </c>
      <c r="D3135" t="str">
        <f>VLOOKUP(B3135,Products!$A:$E,2,FALSE)</f>
        <v>Product_203</v>
      </c>
      <c r="E3135" t="str">
        <f>VLOOKUP(B3135,Products!$A:$E,3,FALSE)</f>
        <v>Accessories</v>
      </c>
    </row>
    <row r="3136" spans="1:5" x14ac:dyDescent="0.3">
      <c r="A3136" t="s">
        <v>4146</v>
      </c>
      <c r="B3136" t="s">
        <v>594</v>
      </c>
      <c r="C3136">
        <v>30</v>
      </c>
      <c r="D3136" t="str">
        <f>VLOOKUP(B3136,Products!$A:$E,2,FALSE)</f>
        <v>Product_293</v>
      </c>
      <c r="E3136" t="str">
        <f>VLOOKUP(B3136,Products!$A:$E,3,FALSE)</f>
        <v>Networking</v>
      </c>
    </row>
    <row r="3137" spans="1:5" x14ac:dyDescent="0.3">
      <c r="A3137" t="s">
        <v>4147</v>
      </c>
      <c r="B3137" t="s">
        <v>584</v>
      </c>
      <c r="C3137">
        <v>83</v>
      </c>
      <c r="D3137" t="str">
        <f>VLOOKUP(B3137,Products!$A:$E,2,FALSE)</f>
        <v>Product_288</v>
      </c>
      <c r="E3137" t="str">
        <f>VLOOKUP(B3137,Products!$A:$E,3,FALSE)</f>
        <v>Networking</v>
      </c>
    </row>
    <row r="3138" spans="1:5" x14ac:dyDescent="0.3">
      <c r="A3138" t="s">
        <v>4148</v>
      </c>
      <c r="B3138" t="s">
        <v>762</v>
      </c>
      <c r="C3138">
        <v>72</v>
      </c>
      <c r="D3138" t="str">
        <f>VLOOKUP(B3138,Products!$A:$E,2,FALSE)</f>
        <v>Product_377</v>
      </c>
      <c r="E3138" t="str">
        <f>VLOOKUP(B3138,Products!$A:$E,3,FALSE)</f>
        <v>Networking</v>
      </c>
    </row>
    <row r="3139" spans="1:5" x14ac:dyDescent="0.3">
      <c r="A3139" t="s">
        <v>4149</v>
      </c>
      <c r="B3139" t="s">
        <v>262</v>
      </c>
      <c r="C3139">
        <v>36</v>
      </c>
      <c r="D3139" t="str">
        <f>VLOOKUP(B3139,Products!$A:$E,2,FALSE)</f>
        <v>Product_127</v>
      </c>
      <c r="E3139" t="str">
        <f>VLOOKUP(B3139,Products!$A:$E,3,FALSE)</f>
        <v>Networking</v>
      </c>
    </row>
    <row r="3140" spans="1:5" x14ac:dyDescent="0.3">
      <c r="A3140" t="s">
        <v>4150</v>
      </c>
      <c r="B3140" t="s">
        <v>82</v>
      </c>
      <c r="C3140">
        <v>39</v>
      </c>
      <c r="D3140" t="str">
        <f>VLOOKUP(B3140,Products!$A:$E,2,FALSE)</f>
        <v>Product_37</v>
      </c>
      <c r="E3140" t="str">
        <f>VLOOKUP(B3140,Products!$A:$E,3,FALSE)</f>
        <v>Storage</v>
      </c>
    </row>
    <row r="3141" spans="1:5" x14ac:dyDescent="0.3">
      <c r="A3141" t="s">
        <v>4151</v>
      </c>
      <c r="B3141" t="s">
        <v>804</v>
      </c>
      <c r="C3141">
        <v>60</v>
      </c>
      <c r="D3141" t="str">
        <f>VLOOKUP(B3141,Products!$A:$E,2,FALSE)</f>
        <v>Product_398</v>
      </c>
      <c r="E3141" t="str">
        <f>VLOOKUP(B3141,Products!$A:$E,3,FALSE)</f>
        <v>Networking</v>
      </c>
    </row>
    <row r="3142" spans="1:5" x14ac:dyDescent="0.3">
      <c r="A3142" t="s">
        <v>4152</v>
      </c>
      <c r="B3142" t="s">
        <v>340</v>
      </c>
      <c r="C3142">
        <v>92</v>
      </c>
      <c r="D3142" t="str">
        <f>VLOOKUP(B3142,Products!$A:$E,2,FALSE)</f>
        <v>Product_166</v>
      </c>
      <c r="E3142" t="str">
        <f>VLOOKUP(B3142,Products!$A:$E,3,FALSE)</f>
        <v>Accessories</v>
      </c>
    </row>
    <row r="3143" spans="1:5" x14ac:dyDescent="0.3">
      <c r="A3143" t="s">
        <v>4153</v>
      </c>
      <c r="B3143" t="s">
        <v>956</v>
      </c>
      <c r="C3143">
        <v>78</v>
      </c>
      <c r="D3143" t="str">
        <f>VLOOKUP(B3143,Products!$A:$E,2,FALSE)</f>
        <v>Product_474</v>
      </c>
      <c r="E3143" t="str">
        <f>VLOOKUP(B3143,Products!$A:$E,3,FALSE)</f>
        <v>Networking</v>
      </c>
    </row>
    <row r="3144" spans="1:5" x14ac:dyDescent="0.3">
      <c r="A3144" t="s">
        <v>4154</v>
      </c>
      <c r="B3144" t="s">
        <v>100</v>
      </c>
      <c r="C3144">
        <v>19</v>
      </c>
      <c r="D3144" t="str">
        <f>VLOOKUP(B3144,Products!$A:$E,2,FALSE)</f>
        <v>Product_46</v>
      </c>
      <c r="E3144" t="str">
        <f>VLOOKUP(B3144,Products!$A:$E,3,FALSE)</f>
        <v>Networking</v>
      </c>
    </row>
    <row r="3145" spans="1:5" x14ac:dyDescent="0.3">
      <c r="A3145" t="s">
        <v>4155</v>
      </c>
      <c r="B3145" t="s">
        <v>696</v>
      </c>
      <c r="C3145">
        <v>57</v>
      </c>
      <c r="D3145" t="str">
        <f>VLOOKUP(B3145,Products!$A:$E,2,FALSE)</f>
        <v>Product_344</v>
      </c>
      <c r="E3145" t="str">
        <f>VLOOKUP(B3145,Products!$A:$E,3,FALSE)</f>
        <v>Accessories</v>
      </c>
    </row>
    <row r="3146" spans="1:5" x14ac:dyDescent="0.3">
      <c r="A3146" t="s">
        <v>4156</v>
      </c>
      <c r="B3146" t="s">
        <v>442</v>
      </c>
      <c r="C3146">
        <v>51</v>
      </c>
      <c r="D3146" t="str">
        <f>VLOOKUP(B3146,Products!$A:$E,2,FALSE)</f>
        <v>Product_217</v>
      </c>
      <c r="E3146" t="str">
        <f>VLOOKUP(B3146,Products!$A:$E,3,FALSE)</f>
        <v>Networking</v>
      </c>
    </row>
    <row r="3147" spans="1:5" x14ac:dyDescent="0.3">
      <c r="A3147" t="s">
        <v>4157</v>
      </c>
      <c r="B3147" t="s">
        <v>366</v>
      </c>
      <c r="C3147">
        <v>29</v>
      </c>
      <c r="D3147" t="str">
        <f>VLOOKUP(B3147,Products!$A:$E,2,FALSE)</f>
        <v>Product_179</v>
      </c>
      <c r="E3147" t="str">
        <f>VLOOKUP(B3147,Products!$A:$E,3,FALSE)</f>
        <v>Storage</v>
      </c>
    </row>
    <row r="3148" spans="1:5" x14ac:dyDescent="0.3">
      <c r="A3148" t="s">
        <v>4158</v>
      </c>
      <c r="B3148" t="s">
        <v>338</v>
      </c>
      <c r="C3148">
        <v>49</v>
      </c>
      <c r="D3148" t="str">
        <f>VLOOKUP(B3148,Products!$A:$E,2,FALSE)</f>
        <v>Product_165</v>
      </c>
      <c r="E3148" t="str">
        <f>VLOOKUP(B3148,Products!$A:$E,3,FALSE)</f>
        <v>Office Supplies</v>
      </c>
    </row>
    <row r="3149" spans="1:5" x14ac:dyDescent="0.3">
      <c r="A3149" t="s">
        <v>4159</v>
      </c>
      <c r="B3149" t="s">
        <v>618</v>
      </c>
      <c r="C3149">
        <v>88</v>
      </c>
      <c r="D3149" t="str">
        <f>VLOOKUP(B3149,Products!$A:$E,2,FALSE)</f>
        <v>Product_305</v>
      </c>
      <c r="E3149" t="str">
        <f>VLOOKUP(B3149,Products!$A:$E,3,FALSE)</f>
        <v>Accessories</v>
      </c>
    </row>
    <row r="3150" spans="1:5" x14ac:dyDescent="0.3">
      <c r="A3150" t="s">
        <v>4160</v>
      </c>
      <c r="B3150" t="s">
        <v>34</v>
      </c>
      <c r="C3150">
        <v>44</v>
      </c>
      <c r="D3150" t="str">
        <f>VLOOKUP(B3150,Products!$A:$E,2,FALSE)</f>
        <v>Product_13</v>
      </c>
      <c r="E3150" t="str">
        <f>VLOOKUP(B3150,Products!$A:$E,3,FALSE)</f>
        <v>Office Supplies</v>
      </c>
    </row>
    <row r="3151" spans="1:5" x14ac:dyDescent="0.3">
      <c r="A3151" t="s">
        <v>4161</v>
      </c>
      <c r="B3151" t="s">
        <v>182</v>
      </c>
      <c r="C3151">
        <v>49</v>
      </c>
      <c r="D3151" t="str">
        <f>VLOOKUP(B3151,Products!$A:$E,2,FALSE)</f>
        <v>Product_87</v>
      </c>
      <c r="E3151" t="str">
        <f>VLOOKUP(B3151,Products!$A:$E,3,FALSE)</f>
        <v>Networking</v>
      </c>
    </row>
    <row r="3152" spans="1:5" x14ac:dyDescent="0.3">
      <c r="A3152" t="s">
        <v>4162</v>
      </c>
      <c r="B3152" t="s">
        <v>640</v>
      </c>
      <c r="C3152">
        <v>61</v>
      </c>
      <c r="D3152" t="str">
        <f>VLOOKUP(B3152,Products!$A:$E,2,FALSE)</f>
        <v>Product_316</v>
      </c>
      <c r="E3152" t="str">
        <f>VLOOKUP(B3152,Products!$A:$E,3,FALSE)</f>
        <v>Networking</v>
      </c>
    </row>
    <row r="3153" spans="1:5" x14ac:dyDescent="0.3">
      <c r="A3153" t="s">
        <v>4163</v>
      </c>
      <c r="B3153" t="s">
        <v>648</v>
      </c>
      <c r="C3153">
        <v>23</v>
      </c>
      <c r="D3153" t="str">
        <f>VLOOKUP(B3153,Products!$A:$E,2,FALSE)</f>
        <v>Product_320</v>
      </c>
      <c r="E3153" t="str">
        <f>VLOOKUP(B3153,Products!$A:$E,3,FALSE)</f>
        <v>Office Supplies</v>
      </c>
    </row>
    <row r="3154" spans="1:5" x14ac:dyDescent="0.3">
      <c r="A3154" t="s">
        <v>4164</v>
      </c>
      <c r="B3154" t="s">
        <v>460</v>
      </c>
      <c r="C3154">
        <v>10</v>
      </c>
      <c r="D3154" t="str">
        <f>VLOOKUP(B3154,Products!$A:$E,2,FALSE)</f>
        <v>Product_226</v>
      </c>
      <c r="E3154" t="str">
        <f>VLOOKUP(B3154,Products!$A:$E,3,FALSE)</f>
        <v>Networking</v>
      </c>
    </row>
    <row r="3155" spans="1:5" x14ac:dyDescent="0.3">
      <c r="A3155" t="s">
        <v>4165</v>
      </c>
      <c r="B3155" t="s">
        <v>956</v>
      </c>
      <c r="C3155">
        <v>34</v>
      </c>
      <c r="D3155" t="str">
        <f>VLOOKUP(B3155,Products!$A:$E,2,FALSE)</f>
        <v>Product_474</v>
      </c>
      <c r="E3155" t="str">
        <f>VLOOKUP(B3155,Products!$A:$E,3,FALSE)</f>
        <v>Networking</v>
      </c>
    </row>
    <row r="3156" spans="1:5" x14ac:dyDescent="0.3">
      <c r="A3156" t="s">
        <v>4166</v>
      </c>
      <c r="B3156" t="s">
        <v>214</v>
      </c>
      <c r="C3156">
        <v>92</v>
      </c>
      <c r="D3156" t="str">
        <f>VLOOKUP(B3156,Products!$A:$E,2,FALSE)</f>
        <v>Product_103</v>
      </c>
      <c r="E3156" t="str">
        <f>VLOOKUP(B3156,Products!$A:$E,3,FALSE)</f>
        <v>Accessories</v>
      </c>
    </row>
    <row r="3157" spans="1:5" x14ac:dyDescent="0.3">
      <c r="A3157" t="s">
        <v>4167</v>
      </c>
      <c r="B3157" t="s">
        <v>392</v>
      </c>
      <c r="C3157">
        <v>24</v>
      </c>
      <c r="D3157" t="str">
        <f>VLOOKUP(B3157,Products!$A:$E,2,FALSE)</f>
        <v>Product_192</v>
      </c>
      <c r="E3157" t="str">
        <f>VLOOKUP(B3157,Products!$A:$E,3,FALSE)</f>
        <v>Office Supplies</v>
      </c>
    </row>
    <row r="3158" spans="1:5" x14ac:dyDescent="0.3">
      <c r="A3158" t="s">
        <v>4168</v>
      </c>
      <c r="B3158" t="s">
        <v>784</v>
      </c>
      <c r="C3158">
        <v>98</v>
      </c>
      <c r="D3158" t="str">
        <f>VLOOKUP(B3158,Products!$A:$E,2,FALSE)</f>
        <v>Product_388</v>
      </c>
      <c r="E3158" t="str">
        <f>VLOOKUP(B3158,Products!$A:$E,3,FALSE)</f>
        <v>Office Supplies</v>
      </c>
    </row>
    <row r="3159" spans="1:5" x14ac:dyDescent="0.3">
      <c r="A3159" t="s">
        <v>4169</v>
      </c>
      <c r="B3159" t="s">
        <v>882</v>
      </c>
      <c r="C3159">
        <v>15</v>
      </c>
      <c r="D3159" t="str">
        <f>VLOOKUP(B3159,Products!$A:$E,2,FALSE)</f>
        <v>Product_437</v>
      </c>
      <c r="E3159" t="str">
        <f>VLOOKUP(B3159,Products!$A:$E,3,FALSE)</f>
        <v>Accessories</v>
      </c>
    </row>
    <row r="3160" spans="1:5" x14ac:dyDescent="0.3">
      <c r="A3160" t="s">
        <v>4170</v>
      </c>
      <c r="B3160" t="s">
        <v>124</v>
      </c>
      <c r="C3160">
        <v>99</v>
      </c>
      <c r="D3160" t="str">
        <f>VLOOKUP(B3160,Products!$A:$E,2,FALSE)</f>
        <v>Product_58</v>
      </c>
      <c r="E3160" t="str">
        <f>VLOOKUP(B3160,Products!$A:$E,3,FALSE)</f>
        <v>Office Supplies</v>
      </c>
    </row>
    <row r="3161" spans="1:5" x14ac:dyDescent="0.3">
      <c r="A3161" t="s">
        <v>4171</v>
      </c>
      <c r="B3161" t="s">
        <v>64</v>
      </c>
      <c r="C3161">
        <v>36</v>
      </c>
      <c r="D3161" t="str">
        <f>VLOOKUP(B3161,Products!$A:$E,2,FALSE)</f>
        <v>Product_28</v>
      </c>
      <c r="E3161" t="str">
        <f>VLOOKUP(B3161,Products!$A:$E,3,FALSE)</f>
        <v>Office Supplies</v>
      </c>
    </row>
    <row r="3162" spans="1:5" x14ac:dyDescent="0.3">
      <c r="A3162" t="s">
        <v>4172</v>
      </c>
      <c r="B3162" t="s">
        <v>980</v>
      </c>
      <c r="C3162">
        <v>84</v>
      </c>
      <c r="D3162" t="str">
        <f>VLOOKUP(B3162,Products!$A:$E,2,FALSE)</f>
        <v>Product_486</v>
      </c>
      <c r="E3162" t="str">
        <f>VLOOKUP(B3162,Products!$A:$E,3,FALSE)</f>
        <v>Electronics</v>
      </c>
    </row>
    <row r="3163" spans="1:5" x14ac:dyDescent="0.3">
      <c r="A3163" t="s">
        <v>4173</v>
      </c>
      <c r="B3163" t="s">
        <v>958</v>
      </c>
      <c r="C3163">
        <v>23</v>
      </c>
      <c r="D3163" t="str">
        <f>VLOOKUP(B3163,Products!$A:$E,2,FALSE)</f>
        <v>Product_475</v>
      </c>
      <c r="E3163" t="str">
        <f>VLOOKUP(B3163,Products!$A:$E,3,FALSE)</f>
        <v>Electronics</v>
      </c>
    </row>
    <row r="3164" spans="1:5" x14ac:dyDescent="0.3">
      <c r="A3164" t="s">
        <v>4174</v>
      </c>
      <c r="B3164" t="s">
        <v>898</v>
      </c>
      <c r="C3164">
        <v>41</v>
      </c>
      <c r="D3164" t="str">
        <f>VLOOKUP(B3164,Products!$A:$E,2,FALSE)</f>
        <v>Product_445</v>
      </c>
      <c r="E3164" t="str">
        <f>VLOOKUP(B3164,Products!$A:$E,3,FALSE)</f>
        <v>Office Supplies</v>
      </c>
    </row>
    <row r="3165" spans="1:5" x14ac:dyDescent="0.3">
      <c r="A3165" t="s">
        <v>4175</v>
      </c>
      <c r="B3165" t="s">
        <v>24</v>
      </c>
      <c r="C3165">
        <v>48</v>
      </c>
      <c r="D3165" t="str">
        <f>VLOOKUP(B3165,Products!$A:$E,2,FALSE)</f>
        <v>Product_8</v>
      </c>
      <c r="E3165" t="str">
        <f>VLOOKUP(B3165,Products!$A:$E,3,FALSE)</f>
        <v>Storage</v>
      </c>
    </row>
    <row r="3166" spans="1:5" x14ac:dyDescent="0.3">
      <c r="A3166" t="s">
        <v>4176</v>
      </c>
      <c r="B3166" t="s">
        <v>720</v>
      </c>
      <c r="C3166">
        <v>19</v>
      </c>
      <c r="D3166" t="str">
        <f>VLOOKUP(B3166,Products!$A:$E,2,FALSE)</f>
        <v>Product_356</v>
      </c>
      <c r="E3166" t="str">
        <f>VLOOKUP(B3166,Products!$A:$E,3,FALSE)</f>
        <v>Accessories</v>
      </c>
    </row>
    <row r="3167" spans="1:5" x14ac:dyDescent="0.3">
      <c r="A3167" t="s">
        <v>4177</v>
      </c>
      <c r="B3167" t="s">
        <v>322</v>
      </c>
      <c r="C3167">
        <v>62</v>
      </c>
      <c r="D3167" t="str">
        <f>VLOOKUP(B3167,Products!$A:$E,2,FALSE)</f>
        <v>Product_157</v>
      </c>
      <c r="E3167" t="str">
        <f>VLOOKUP(B3167,Products!$A:$E,3,FALSE)</f>
        <v>Electronics</v>
      </c>
    </row>
    <row r="3168" spans="1:5" x14ac:dyDescent="0.3">
      <c r="A3168" t="s">
        <v>4178</v>
      </c>
      <c r="B3168" t="s">
        <v>492</v>
      </c>
      <c r="C3168">
        <v>7</v>
      </c>
      <c r="D3168" t="str">
        <f>VLOOKUP(B3168,Products!$A:$E,2,FALSE)</f>
        <v>Product_242</v>
      </c>
      <c r="E3168" t="str">
        <f>VLOOKUP(B3168,Products!$A:$E,3,FALSE)</f>
        <v>Networking</v>
      </c>
    </row>
    <row r="3169" spans="1:5" x14ac:dyDescent="0.3">
      <c r="A3169" t="s">
        <v>4179</v>
      </c>
      <c r="B3169" t="s">
        <v>348</v>
      </c>
      <c r="C3169">
        <v>31</v>
      </c>
      <c r="D3169" t="str">
        <f>VLOOKUP(B3169,Products!$A:$E,2,FALSE)</f>
        <v>Product_170</v>
      </c>
      <c r="E3169" t="str">
        <f>VLOOKUP(B3169,Products!$A:$E,3,FALSE)</f>
        <v>Office Supplies</v>
      </c>
    </row>
    <row r="3170" spans="1:5" x14ac:dyDescent="0.3">
      <c r="A3170" t="s">
        <v>4180</v>
      </c>
      <c r="B3170" t="s">
        <v>766</v>
      </c>
      <c r="C3170">
        <v>73</v>
      </c>
      <c r="D3170" t="str">
        <f>VLOOKUP(B3170,Products!$A:$E,2,FALSE)</f>
        <v>Product_379</v>
      </c>
      <c r="E3170" t="str">
        <f>VLOOKUP(B3170,Products!$A:$E,3,FALSE)</f>
        <v>Office Supplies</v>
      </c>
    </row>
    <row r="3171" spans="1:5" x14ac:dyDescent="0.3">
      <c r="A3171" t="s">
        <v>4181</v>
      </c>
      <c r="B3171" t="s">
        <v>226</v>
      </c>
      <c r="C3171">
        <v>31</v>
      </c>
      <c r="D3171" t="str">
        <f>VLOOKUP(B3171,Products!$A:$E,2,FALSE)</f>
        <v>Product_109</v>
      </c>
      <c r="E3171" t="str">
        <f>VLOOKUP(B3171,Products!$A:$E,3,FALSE)</f>
        <v>Storage</v>
      </c>
    </row>
    <row r="3172" spans="1:5" x14ac:dyDescent="0.3">
      <c r="A3172" t="s">
        <v>4182</v>
      </c>
      <c r="B3172" t="s">
        <v>568</v>
      </c>
      <c r="C3172">
        <v>71</v>
      </c>
      <c r="D3172" t="str">
        <f>VLOOKUP(B3172,Products!$A:$E,2,FALSE)</f>
        <v>Product_280</v>
      </c>
      <c r="E3172" t="str">
        <f>VLOOKUP(B3172,Products!$A:$E,3,FALSE)</f>
        <v>Electronics</v>
      </c>
    </row>
    <row r="3173" spans="1:5" x14ac:dyDescent="0.3">
      <c r="A3173" t="s">
        <v>4183</v>
      </c>
      <c r="B3173" t="s">
        <v>778</v>
      </c>
      <c r="C3173">
        <v>38</v>
      </c>
      <c r="D3173" t="str">
        <f>VLOOKUP(B3173,Products!$A:$E,2,FALSE)</f>
        <v>Product_385</v>
      </c>
      <c r="E3173" t="str">
        <f>VLOOKUP(B3173,Products!$A:$E,3,FALSE)</f>
        <v>Networking</v>
      </c>
    </row>
    <row r="3174" spans="1:5" x14ac:dyDescent="0.3">
      <c r="A3174" t="s">
        <v>4184</v>
      </c>
      <c r="B3174" t="s">
        <v>570</v>
      </c>
      <c r="C3174">
        <v>66</v>
      </c>
      <c r="D3174" t="str">
        <f>VLOOKUP(B3174,Products!$A:$E,2,FALSE)</f>
        <v>Product_281</v>
      </c>
      <c r="E3174" t="str">
        <f>VLOOKUP(B3174,Products!$A:$E,3,FALSE)</f>
        <v>Office Supplies</v>
      </c>
    </row>
    <row r="3175" spans="1:5" x14ac:dyDescent="0.3">
      <c r="A3175" t="s">
        <v>4185</v>
      </c>
      <c r="B3175" t="s">
        <v>646</v>
      </c>
      <c r="C3175">
        <v>98</v>
      </c>
      <c r="D3175" t="str">
        <f>VLOOKUP(B3175,Products!$A:$E,2,FALSE)</f>
        <v>Product_319</v>
      </c>
      <c r="E3175" t="str">
        <f>VLOOKUP(B3175,Products!$A:$E,3,FALSE)</f>
        <v>Accessories</v>
      </c>
    </row>
    <row r="3176" spans="1:5" x14ac:dyDescent="0.3">
      <c r="A3176" t="s">
        <v>4186</v>
      </c>
      <c r="B3176" t="s">
        <v>154</v>
      </c>
      <c r="C3176">
        <v>93</v>
      </c>
      <c r="D3176" t="str">
        <f>VLOOKUP(B3176,Products!$A:$E,2,FALSE)</f>
        <v>Product_73</v>
      </c>
      <c r="E3176" t="str">
        <f>VLOOKUP(B3176,Products!$A:$E,3,FALSE)</f>
        <v>Office Supplies</v>
      </c>
    </row>
    <row r="3177" spans="1:5" x14ac:dyDescent="0.3">
      <c r="A3177" t="s">
        <v>4187</v>
      </c>
      <c r="B3177" t="s">
        <v>724</v>
      </c>
      <c r="C3177">
        <v>90</v>
      </c>
      <c r="D3177" t="str">
        <f>VLOOKUP(B3177,Products!$A:$E,2,FALSE)</f>
        <v>Product_358</v>
      </c>
      <c r="E3177" t="str">
        <f>VLOOKUP(B3177,Products!$A:$E,3,FALSE)</f>
        <v>Storage</v>
      </c>
    </row>
    <row r="3178" spans="1:5" x14ac:dyDescent="0.3">
      <c r="A3178" t="s">
        <v>4188</v>
      </c>
      <c r="B3178" t="s">
        <v>28</v>
      </c>
      <c r="C3178">
        <v>53</v>
      </c>
      <c r="D3178" t="str">
        <f>VLOOKUP(B3178,Products!$A:$E,2,FALSE)</f>
        <v>Product_10</v>
      </c>
      <c r="E3178" t="str">
        <f>VLOOKUP(B3178,Products!$A:$E,3,FALSE)</f>
        <v>Networking</v>
      </c>
    </row>
    <row r="3179" spans="1:5" x14ac:dyDescent="0.3">
      <c r="A3179" t="s">
        <v>4189</v>
      </c>
      <c r="B3179" t="s">
        <v>606</v>
      </c>
      <c r="C3179">
        <v>89</v>
      </c>
      <c r="D3179" t="str">
        <f>VLOOKUP(B3179,Products!$A:$E,2,FALSE)</f>
        <v>Product_299</v>
      </c>
      <c r="E3179" t="str">
        <f>VLOOKUP(B3179,Products!$A:$E,3,FALSE)</f>
        <v>Storage</v>
      </c>
    </row>
    <row r="3180" spans="1:5" x14ac:dyDescent="0.3">
      <c r="A3180" t="s">
        <v>4190</v>
      </c>
      <c r="B3180" t="s">
        <v>548</v>
      </c>
      <c r="C3180">
        <v>10</v>
      </c>
      <c r="D3180" t="str">
        <f>VLOOKUP(B3180,Products!$A:$E,2,FALSE)</f>
        <v>Product_270</v>
      </c>
      <c r="E3180" t="str">
        <f>VLOOKUP(B3180,Products!$A:$E,3,FALSE)</f>
        <v>Electronics</v>
      </c>
    </row>
    <row r="3181" spans="1:5" x14ac:dyDescent="0.3">
      <c r="A3181" t="s">
        <v>4191</v>
      </c>
      <c r="B3181" t="s">
        <v>270</v>
      </c>
      <c r="C3181">
        <v>26</v>
      </c>
      <c r="D3181" t="str">
        <f>VLOOKUP(B3181,Products!$A:$E,2,FALSE)</f>
        <v>Product_131</v>
      </c>
      <c r="E3181" t="str">
        <f>VLOOKUP(B3181,Products!$A:$E,3,FALSE)</f>
        <v>Electronics</v>
      </c>
    </row>
    <row r="3182" spans="1:5" x14ac:dyDescent="0.3">
      <c r="A3182" t="s">
        <v>4192</v>
      </c>
      <c r="B3182" t="s">
        <v>70</v>
      </c>
      <c r="C3182">
        <v>41</v>
      </c>
      <c r="D3182" t="str">
        <f>VLOOKUP(B3182,Products!$A:$E,2,FALSE)</f>
        <v>Product_31</v>
      </c>
      <c r="E3182" t="str">
        <f>VLOOKUP(B3182,Products!$A:$E,3,FALSE)</f>
        <v>Accessories</v>
      </c>
    </row>
    <row r="3183" spans="1:5" x14ac:dyDescent="0.3">
      <c r="A3183" t="s">
        <v>4193</v>
      </c>
      <c r="B3183" t="s">
        <v>214</v>
      </c>
      <c r="C3183">
        <v>94</v>
      </c>
      <c r="D3183" t="str">
        <f>VLOOKUP(B3183,Products!$A:$E,2,FALSE)</f>
        <v>Product_103</v>
      </c>
      <c r="E3183" t="str">
        <f>VLOOKUP(B3183,Products!$A:$E,3,FALSE)</f>
        <v>Accessories</v>
      </c>
    </row>
    <row r="3184" spans="1:5" x14ac:dyDescent="0.3">
      <c r="A3184" t="s">
        <v>4194</v>
      </c>
      <c r="B3184" t="s">
        <v>642</v>
      </c>
      <c r="C3184">
        <v>39</v>
      </c>
      <c r="D3184" t="str">
        <f>VLOOKUP(B3184,Products!$A:$E,2,FALSE)</f>
        <v>Product_317</v>
      </c>
      <c r="E3184" t="str">
        <f>VLOOKUP(B3184,Products!$A:$E,3,FALSE)</f>
        <v>Storage</v>
      </c>
    </row>
    <row r="3185" spans="1:5" x14ac:dyDescent="0.3">
      <c r="A3185" t="s">
        <v>4195</v>
      </c>
      <c r="B3185" t="s">
        <v>64</v>
      </c>
      <c r="C3185">
        <v>64</v>
      </c>
      <c r="D3185" t="str">
        <f>VLOOKUP(B3185,Products!$A:$E,2,FALSE)</f>
        <v>Product_28</v>
      </c>
      <c r="E3185" t="str">
        <f>VLOOKUP(B3185,Products!$A:$E,3,FALSE)</f>
        <v>Office Supplies</v>
      </c>
    </row>
    <row r="3186" spans="1:5" x14ac:dyDescent="0.3">
      <c r="A3186" t="s">
        <v>4196</v>
      </c>
      <c r="B3186" t="s">
        <v>680</v>
      </c>
      <c r="C3186">
        <v>6</v>
      </c>
      <c r="D3186" t="str">
        <f>VLOOKUP(B3186,Products!$A:$E,2,FALSE)</f>
        <v>Product_336</v>
      </c>
      <c r="E3186" t="str">
        <f>VLOOKUP(B3186,Products!$A:$E,3,FALSE)</f>
        <v>Storage</v>
      </c>
    </row>
    <row r="3187" spans="1:5" x14ac:dyDescent="0.3">
      <c r="A3187" t="s">
        <v>4197</v>
      </c>
      <c r="B3187" t="s">
        <v>78</v>
      </c>
      <c r="C3187">
        <v>54</v>
      </c>
      <c r="D3187" t="str">
        <f>VLOOKUP(B3187,Products!$A:$E,2,FALSE)</f>
        <v>Product_35</v>
      </c>
      <c r="E3187" t="str">
        <f>VLOOKUP(B3187,Products!$A:$E,3,FALSE)</f>
        <v>Electronics</v>
      </c>
    </row>
    <row r="3188" spans="1:5" x14ac:dyDescent="0.3">
      <c r="A3188" t="s">
        <v>4198</v>
      </c>
      <c r="B3188" t="s">
        <v>686</v>
      </c>
      <c r="C3188">
        <v>39</v>
      </c>
      <c r="D3188" t="str">
        <f>VLOOKUP(B3188,Products!$A:$E,2,FALSE)</f>
        <v>Product_339</v>
      </c>
      <c r="E3188" t="str">
        <f>VLOOKUP(B3188,Products!$A:$E,3,FALSE)</f>
        <v>Storage</v>
      </c>
    </row>
    <row r="3189" spans="1:5" x14ac:dyDescent="0.3">
      <c r="A3189" t="s">
        <v>4199</v>
      </c>
      <c r="B3189" t="s">
        <v>688</v>
      </c>
      <c r="C3189">
        <v>89</v>
      </c>
      <c r="D3189" t="str">
        <f>VLOOKUP(B3189,Products!$A:$E,2,FALSE)</f>
        <v>Product_340</v>
      </c>
      <c r="E3189" t="str">
        <f>VLOOKUP(B3189,Products!$A:$E,3,FALSE)</f>
        <v>Storage</v>
      </c>
    </row>
    <row r="3190" spans="1:5" x14ac:dyDescent="0.3">
      <c r="A3190" t="s">
        <v>4200</v>
      </c>
      <c r="B3190" t="s">
        <v>378</v>
      </c>
      <c r="C3190">
        <v>18</v>
      </c>
      <c r="D3190" t="str">
        <f>VLOOKUP(B3190,Products!$A:$E,2,FALSE)</f>
        <v>Product_185</v>
      </c>
      <c r="E3190" t="str">
        <f>VLOOKUP(B3190,Products!$A:$E,3,FALSE)</f>
        <v>Storage</v>
      </c>
    </row>
    <row r="3191" spans="1:5" x14ac:dyDescent="0.3">
      <c r="A3191" t="s">
        <v>4201</v>
      </c>
      <c r="B3191" t="s">
        <v>28</v>
      </c>
      <c r="C3191">
        <v>42</v>
      </c>
      <c r="D3191" t="str">
        <f>VLOOKUP(B3191,Products!$A:$E,2,FALSE)</f>
        <v>Product_10</v>
      </c>
      <c r="E3191" t="str">
        <f>VLOOKUP(B3191,Products!$A:$E,3,FALSE)</f>
        <v>Networking</v>
      </c>
    </row>
    <row r="3192" spans="1:5" x14ac:dyDescent="0.3">
      <c r="A3192" t="s">
        <v>4202</v>
      </c>
      <c r="B3192" t="s">
        <v>898</v>
      </c>
      <c r="C3192">
        <v>88</v>
      </c>
      <c r="D3192" t="str">
        <f>VLOOKUP(B3192,Products!$A:$E,2,FALSE)</f>
        <v>Product_445</v>
      </c>
      <c r="E3192" t="str">
        <f>VLOOKUP(B3192,Products!$A:$E,3,FALSE)</f>
        <v>Office Supplies</v>
      </c>
    </row>
    <row r="3193" spans="1:5" x14ac:dyDescent="0.3">
      <c r="A3193" t="s">
        <v>4203</v>
      </c>
      <c r="B3193" t="s">
        <v>404</v>
      </c>
      <c r="C3193">
        <v>34</v>
      </c>
      <c r="D3193" t="str">
        <f>VLOOKUP(B3193,Products!$A:$E,2,FALSE)</f>
        <v>Product_198</v>
      </c>
      <c r="E3193" t="str">
        <f>VLOOKUP(B3193,Products!$A:$E,3,FALSE)</f>
        <v>Accessories</v>
      </c>
    </row>
    <row r="3194" spans="1:5" x14ac:dyDescent="0.3">
      <c r="A3194" t="s">
        <v>4204</v>
      </c>
      <c r="B3194" t="s">
        <v>398</v>
      </c>
      <c r="C3194">
        <v>70</v>
      </c>
      <c r="D3194" t="str">
        <f>VLOOKUP(B3194,Products!$A:$E,2,FALSE)</f>
        <v>Product_195</v>
      </c>
      <c r="E3194" t="str">
        <f>VLOOKUP(B3194,Products!$A:$E,3,FALSE)</f>
        <v>Accessories</v>
      </c>
    </row>
    <row r="3195" spans="1:5" x14ac:dyDescent="0.3">
      <c r="A3195" t="s">
        <v>4205</v>
      </c>
      <c r="B3195" t="s">
        <v>736</v>
      </c>
      <c r="C3195">
        <v>17</v>
      </c>
      <c r="D3195" t="str">
        <f>VLOOKUP(B3195,Products!$A:$E,2,FALSE)</f>
        <v>Product_364</v>
      </c>
      <c r="E3195" t="str">
        <f>VLOOKUP(B3195,Products!$A:$E,3,FALSE)</f>
        <v>Networking</v>
      </c>
    </row>
    <row r="3196" spans="1:5" x14ac:dyDescent="0.3">
      <c r="A3196" t="s">
        <v>4206</v>
      </c>
      <c r="B3196" t="s">
        <v>934</v>
      </c>
      <c r="C3196">
        <v>45</v>
      </c>
      <c r="D3196" t="str">
        <f>VLOOKUP(B3196,Products!$A:$E,2,FALSE)</f>
        <v>Product_463</v>
      </c>
      <c r="E3196" t="str">
        <f>VLOOKUP(B3196,Products!$A:$E,3,FALSE)</f>
        <v>Networking</v>
      </c>
    </row>
    <row r="3197" spans="1:5" x14ac:dyDescent="0.3">
      <c r="A3197" t="s">
        <v>4207</v>
      </c>
      <c r="B3197" t="s">
        <v>506</v>
      </c>
      <c r="C3197">
        <v>81</v>
      </c>
      <c r="D3197" t="str">
        <f>VLOOKUP(B3197,Products!$A:$E,2,FALSE)</f>
        <v>Product_249</v>
      </c>
      <c r="E3197" t="str">
        <f>VLOOKUP(B3197,Products!$A:$E,3,FALSE)</f>
        <v>Storage</v>
      </c>
    </row>
    <row r="3198" spans="1:5" x14ac:dyDescent="0.3">
      <c r="A3198" t="s">
        <v>4208</v>
      </c>
      <c r="B3198" t="s">
        <v>554</v>
      </c>
      <c r="C3198">
        <v>16</v>
      </c>
      <c r="D3198" t="str">
        <f>VLOOKUP(B3198,Products!$A:$E,2,FALSE)</f>
        <v>Product_273</v>
      </c>
      <c r="E3198" t="str">
        <f>VLOOKUP(B3198,Products!$A:$E,3,FALSE)</f>
        <v>Networking</v>
      </c>
    </row>
    <row r="3199" spans="1:5" x14ac:dyDescent="0.3">
      <c r="A3199" t="s">
        <v>4209</v>
      </c>
      <c r="B3199" t="s">
        <v>200</v>
      </c>
      <c r="C3199">
        <v>30</v>
      </c>
      <c r="D3199" t="str">
        <f>VLOOKUP(B3199,Products!$A:$E,2,FALSE)</f>
        <v>Product_96</v>
      </c>
      <c r="E3199" t="str">
        <f>VLOOKUP(B3199,Products!$A:$E,3,FALSE)</f>
        <v>Office Supplies</v>
      </c>
    </row>
    <row r="3200" spans="1:5" x14ac:dyDescent="0.3">
      <c r="A3200" t="s">
        <v>4210</v>
      </c>
      <c r="B3200" t="s">
        <v>522</v>
      </c>
      <c r="C3200">
        <v>63</v>
      </c>
      <c r="D3200" t="str">
        <f>VLOOKUP(B3200,Products!$A:$E,2,FALSE)</f>
        <v>Product_257</v>
      </c>
      <c r="E3200" t="str">
        <f>VLOOKUP(B3200,Products!$A:$E,3,FALSE)</f>
        <v>Networking</v>
      </c>
    </row>
    <row r="3201" spans="1:5" x14ac:dyDescent="0.3">
      <c r="A3201" t="s">
        <v>4211</v>
      </c>
      <c r="B3201" t="s">
        <v>584</v>
      </c>
      <c r="C3201">
        <v>96</v>
      </c>
      <c r="D3201" t="str">
        <f>VLOOKUP(B3201,Products!$A:$E,2,FALSE)</f>
        <v>Product_288</v>
      </c>
      <c r="E3201" t="str">
        <f>VLOOKUP(B3201,Products!$A:$E,3,FALSE)</f>
        <v>Networking</v>
      </c>
    </row>
    <row r="3202" spans="1:5" x14ac:dyDescent="0.3">
      <c r="A3202" t="s">
        <v>4212</v>
      </c>
      <c r="B3202" t="s">
        <v>32</v>
      </c>
      <c r="C3202">
        <v>10</v>
      </c>
      <c r="D3202" t="str">
        <f>VLOOKUP(B3202,Products!$A:$E,2,FALSE)</f>
        <v>Product_12</v>
      </c>
      <c r="E3202" t="str">
        <f>VLOOKUP(B3202,Products!$A:$E,3,FALSE)</f>
        <v>Accessories</v>
      </c>
    </row>
    <row r="3203" spans="1:5" x14ac:dyDescent="0.3">
      <c r="A3203" t="s">
        <v>4213</v>
      </c>
      <c r="B3203" t="s">
        <v>262</v>
      </c>
      <c r="C3203">
        <v>72</v>
      </c>
      <c r="D3203" t="str">
        <f>VLOOKUP(B3203,Products!$A:$E,2,FALSE)</f>
        <v>Product_127</v>
      </c>
      <c r="E3203" t="str">
        <f>VLOOKUP(B3203,Products!$A:$E,3,FALSE)</f>
        <v>Networking</v>
      </c>
    </row>
    <row r="3204" spans="1:5" x14ac:dyDescent="0.3">
      <c r="A3204" t="s">
        <v>4214</v>
      </c>
      <c r="B3204" t="s">
        <v>322</v>
      </c>
      <c r="C3204">
        <v>47</v>
      </c>
      <c r="D3204" t="str">
        <f>VLOOKUP(B3204,Products!$A:$E,2,FALSE)</f>
        <v>Product_157</v>
      </c>
      <c r="E3204" t="str">
        <f>VLOOKUP(B3204,Products!$A:$E,3,FALSE)</f>
        <v>Electronics</v>
      </c>
    </row>
    <row r="3205" spans="1:5" x14ac:dyDescent="0.3">
      <c r="A3205" t="s">
        <v>4215</v>
      </c>
      <c r="B3205" t="s">
        <v>510</v>
      </c>
      <c r="C3205">
        <v>55</v>
      </c>
      <c r="D3205" t="str">
        <f>VLOOKUP(B3205,Products!$A:$E,2,FALSE)</f>
        <v>Product_251</v>
      </c>
      <c r="E3205" t="str">
        <f>VLOOKUP(B3205,Products!$A:$E,3,FALSE)</f>
        <v>Electronics</v>
      </c>
    </row>
    <row r="3206" spans="1:5" x14ac:dyDescent="0.3">
      <c r="A3206" t="s">
        <v>4216</v>
      </c>
      <c r="B3206" t="s">
        <v>772</v>
      </c>
      <c r="C3206">
        <v>25</v>
      </c>
      <c r="D3206" t="str">
        <f>VLOOKUP(B3206,Products!$A:$E,2,FALSE)</f>
        <v>Product_382</v>
      </c>
      <c r="E3206" t="str">
        <f>VLOOKUP(B3206,Products!$A:$E,3,FALSE)</f>
        <v>Storage</v>
      </c>
    </row>
    <row r="3207" spans="1:5" x14ac:dyDescent="0.3">
      <c r="A3207" t="s">
        <v>4217</v>
      </c>
      <c r="B3207" t="s">
        <v>28</v>
      </c>
      <c r="C3207">
        <v>49</v>
      </c>
      <c r="D3207" t="str">
        <f>VLOOKUP(B3207,Products!$A:$E,2,FALSE)</f>
        <v>Product_10</v>
      </c>
      <c r="E3207" t="str">
        <f>VLOOKUP(B3207,Products!$A:$E,3,FALSE)</f>
        <v>Networking</v>
      </c>
    </row>
    <row r="3208" spans="1:5" x14ac:dyDescent="0.3">
      <c r="A3208" t="s">
        <v>4218</v>
      </c>
      <c r="B3208" t="s">
        <v>710</v>
      </c>
      <c r="C3208">
        <v>50</v>
      </c>
      <c r="D3208" t="str">
        <f>VLOOKUP(B3208,Products!$A:$E,2,FALSE)</f>
        <v>Product_351</v>
      </c>
      <c r="E3208" t="str">
        <f>VLOOKUP(B3208,Products!$A:$E,3,FALSE)</f>
        <v>Accessories</v>
      </c>
    </row>
    <row r="3209" spans="1:5" x14ac:dyDescent="0.3">
      <c r="A3209" t="s">
        <v>4219</v>
      </c>
      <c r="B3209" t="s">
        <v>372</v>
      </c>
      <c r="C3209">
        <v>85</v>
      </c>
      <c r="D3209" t="str">
        <f>VLOOKUP(B3209,Products!$A:$E,2,FALSE)</f>
        <v>Product_182</v>
      </c>
      <c r="E3209" t="str">
        <f>VLOOKUP(B3209,Products!$A:$E,3,FALSE)</f>
        <v>Storage</v>
      </c>
    </row>
    <row r="3210" spans="1:5" x14ac:dyDescent="0.3">
      <c r="A3210" t="s">
        <v>4220</v>
      </c>
      <c r="B3210" t="s">
        <v>318</v>
      </c>
      <c r="C3210">
        <v>35</v>
      </c>
      <c r="D3210" t="str">
        <f>VLOOKUP(B3210,Products!$A:$E,2,FALSE)</f>
        <v>Product_155</v>
      </c>
      <c r="E3210" t="str">
        <f>VLOOKUP(B3210,Products!$A:$E,3,FALSE)</f>
        <v>Office Supplies</v>
      </c>
    </row>
    <row r="3211" spans="1:5" x14ac:dyDescent="0.3">
      <c r="A3211" t="s">
        <v>4221</v>
      </c>
      <c r="B3211" t="s">
        <v>522</v>
      </c>
      <c r="C3211">
        <v>40</v>
      </c>
      <c r="D3211" t="str">
        <f>VLOOKUP(B3211,Products!$A:$E,2,FALSE)</f>
        <v>Product_257</v>
      </c>
      <c r="E3211" t="str">
        <f>VLOOKUP(B3211,Products!$A:$E,3,FALSE)</f>
        <v>Networking</v>
      </c>
    </row>
    <row r="3212" spans="1:5" x14ac:dyDescent="0.3">
      <c r="A3212" t="s">
        <v>4222</v>
      </c>
      <c r="B3212" t="s">
        <v>840</v>
      </c>
      <c r="C3212">
        <v>12</v>
      </c>
      <c r="D3212" t="str">
        <f>VLOOKUP(B3212,Products!$A:$E,2,FALSE)</f>
        <v>Product_416</v>
      </c>
      <c r="E3212" t="str">
        <f>VLOOKUP(B3212,Products!$A:$E,3,FALSE)</f>
        <v>Accessories</v>
      </c>
    </row>
    <row r="3213" spans="1:5" x14ac:dyDescent="0.3">
      <c r="A3213" t="s">
        <v>4223</v>
      </c>
      <c r="B3213" t="s">
        <v>650</v>
      </c>
      <c r="C3213">
        <v>37</v>
      </c>
      <c r="D3213" t="str">
        <f>VLOOKUP(B3213,Products!$A:$E,2,FALSE)</f>
        <v>Product_321</v>
      </c>
      <c r="E3213" t="str">
        <f>VLOOKUP(B3213,Products!$A:$E,3,FALSE)</f>
        <v>Electronics</v>
      </c>
    </row>
    <row r="3214" spans="1:5" x14ac:dyDescent="0.3">
      <c r="A3214" t="s">
        <v>4224</v>
      </c>
      <c r="B3214" t="s">
        <v>908</v>
      </c>
      <c r="C3214">
        <v>54</v>
      </c>
      <c r="D3214" t="str">
        <f>VLOOKUP(B3214,Products!$A:$E,2,FALSE)</f>
        <v>Product_450</v>
      </c>
      <c r="E3214" t="str">
        <f>VLOOKUP(B3214,Products!$A:$E,3,FALSE)</f>
        <v>Networking</v>
      </c>
    </row>
    <row r="3215" spans="1:5" x14ac:dyDescent="0.3">
      <c r="A3215" t="s">
        <v>4225</v>
      </c>
      <c r="B3215" t="s">
        <v>920</v>
      </c>
      <c r="C3215">
        <v>8</v>
      </c>
      <c r="D3215" t="str">
        <f>VLOOKUP(B3215,Products!$A:$E,2,FALSE)</f>
        <v>Product_456</v>
      </c>
      <c r="E3215" t="str">
        <f>VLOOKUP(B3215,Products!$A:$E,3,FALSE)</f>
        <v>Electronics</v>
      </c>
    </row>
    <row r="3216" spans="1:5" x14ac:dyDescent="0.3">
      <c r="A3216" t="s">
        <v>4226</v>
      </c>
      <c r="B3216" t="s">
        <v>976</v>
      </c>
      <c r="C3216">
        <v>76</v>
      </c>
      <c r="D3216" t="str">
        <f>VLOOKUP(B3216,Products!$A:$E,2,FALSE)</f>
        <v>Product_484</v>
      </c>
      <c r="E3216" t="str">
        <f>VLOOKUP(B3216,Products!$A:$E,3,FALSE)</f>
        <v>Networking</v>
      </c>
    </row>
    <row r="3217" spans="1:5" x14ac:dyDescent="0.3">
      <c r="A3217" t="s">
        <v>4227</v>
      </c>
      <c r="B3217" t="s">
        <v>980</v>
      </c>
      <c r="C3217">
        <v>40</v>
      </c>
      <c r="D3217" t="str">
        <f>VLOOKUP(B3217,Products!$A:$E,2,FALSE)</f>
        <v>Product_486</v>
      </c>
      <c r="E3217" t="str">
        <f>VLOOKUP(B3217,Products!$A:$E,3,FALSE)</f>
        <v>Electronics</v>
      </c>
    </row>
    <row r="3218" spans="1:5" x14ac:dyDescent="0.3">
      <c r="A3218" t="s">
        <v>4228</v>
      </c>
      <c r="B3218" t="s">
        <v>240</v>
      </c>
      <c r="C3218">
        <v>24</v>
      </c>
      <c r="D3218" t="str">
        <f>VLOOKUP(B3218,Products!$A:$E,2,FALSE)</f>
        <v>Product_116</v>
      </c>
      <c r="E3218" t="str">
        <f>VLOOKUP(B3218,Products!$A:$E,3,FALSE)</f>
        <v>Storage</v>
      </c>
    </row>
    <row r="3219" spans="1:5" x14ac:dyDescent="0.3">
      <c r="A3219" t="s">
        <v>4229</v>
      </c>
      <c r="B3219" t="s">
        <v>358</v>
      </c>
      <c r="C3219">
        <v>55</v>
      </c>
      <c r="D3219" t="str">
        <f>VLOOKUP(B3219,Products!$A:$E,2,FALSE)</f>
        <v>Product_175</v>
      </c>
      <c r="E3219" t="str">
        <f>VLOOKUP(B3219,Products!$A:$E,3,FALSE)</f>
        <v>Storage</v>
      </c>
    </row>
    <row r="3220" spans="1:5" x14ac:dyDescent="0.3">
      <c r="A3220" t="s">
        <v>4230</v>
      </c>
      <c r="B3220" t="s">
        <v>682</v>
      </c>
      <c r="C3220">
        <v>22</v>
      </c>
      <c r="D3220" t="str">
        <f>VLOOKUP(B3220,Products!$A:$E,2,FALSE)</f>
        <v>Product_337</v>
      </c>
      <c r="E3220" t="str">
        <f>VLOOKUP(B3220,Products!$A:$E,3,FALSE)</f>
        <v>Storage</v>
      </c>
    </row>
    <row r="3221" spans="1:5" x14ac:dyDescent="0.3">
      <c r="A3221" t="s">
        <v>4231</v>
      </c>
      <c r="B3221" t="s">
        <v>98</v>
      </c>
      <c r="C3221">
        <v>98</v>
      </c>
      <c r="D3221" t="str">
        <f>VLOOKUP(B3221,Products!$A:$E,2,FALSE)</f>
        <v>Product_45</v>
      </c>
      <c r="E3221" t="str">
        <f>VLOOKUP(B3221,Products!$A:$E,3,FALSE)</f>
        <v>Accessories</v>
      </c>
    </row>
    <row r="3222" spans="1:5" x14ac:dyDescent="0.3">
      <c r="A3222" t="s">
        <v>4232</v>
      </c>
      <c r="B3222" t="s">
        <v>400</v>
      </c>
      <c r="C3222">
        <v>71</v>
      </c>
      <c r="D3222" t="str">
        <f>VLOOKUP(B3222,Products!$A:$E,2,FALSE)</f>
        <v>Product_196</v>
      </c>
      <c r="E3222" t="str">
        <f>VLOOKUP(B3222,Products!$A:$E,3,FALSE)</f>
        <v>Office Supplies</v>
      </c>
    </row>
    <row r="3223" spans="1:5" x14ac:dyDescent="0.3">
      <c r="A3223" t="s">
        <v>4233</v>
      </c>
      <c r="B3223" t="s">
        <v>992</v>
      </c>
      <c r="C3223">
        <v>91</v>
      </c>
      <c r="D3223" t="str">
        <f>VLOOKUP(B3223,Products!$A:$E,2,FALSE)</f>
        <v>Product_492</v>
      </c>
      <c r="E3223" t="str">
        <f>VLOOKUP(B3223,Products!$A:$E,3,FALSE)</f>
        <v>Electronics</v>
      </c>
    </row>
    <row r="3224" spans="1:5" x14ac:dyDescent="0.3">
      <c r="A3224" t="s">
        <v>4234</v>
      </c>
      <c r="B3224" t="s">
        <v>636</v>
      </c>
      <c r="C3224">
        <v>85</v>
      </c>
      <c r="D3224" t="str">
        <f>VLOOKUP(B3224,Products!$A:$E,2,FALSE)</f>
        <v>Product_314</v>
      </c>
      <c r="E3224" t="str">
        <f>VLOOKUP(B3224,Products!$A:$E,3,FALSE)</f>
        <v>Storage</v>
      </c>
    </row>
    <row r="3225" spans="1:5" x14ac:dyDescent="0.3">
      <c r="A3225" t="s">
        <v>4235</v>
      </c>
      <c r="B3225" t="s">
        <v>712</v>
      </c>
      <c r="C3225">
        <v>34</v>
      </c>
      <c r="D3225" t="str">
        <f>VLOOKUP(B3225,Products!$A:$E,2,FALSE)</f>
        <v>Product_352</v>
      </c>
      <c r="E3225" t="str">
        <f>VLOOKUP(B3225,Products!$A:$E,3,FALSE)</f>
        <v>Storage</v>
      </c>
    </row>
    <row r="3226" spans="1:5" x14ac:dyDescent="0.3">
      <c r="A3226" t="s">
        <v>4236</v>
      </c>
      <c r="B3226" t="s">
        <v>436</v>
      </c>
      <c r="C3226">
        <v>35</v>
      </c>
      <c r="D3226" t="str">
        <f>VLOOKUP(B3226,Products!$A:$E,2,FALSE)</f>
        <v>Product_214</v>
      </c>
      <c r="E3226" t="str">
        <f>VLOOKUP(B3226,Products!$A:$E,3,FALSE)</f>
        <v>Electronics</v>
      </c>
    </row>
    <row r="3227" spans="1:5" x14ac:dyDescent="0.3">
      <c r="A3227" t="s">
        <v>4237</v>
      </c>
      <c r="B3227" t="s">
        <v>596</v>
      </c>
      <c r="C3227">
        <v>24</v>
      </c>
      <c r="D3227" t="str">
        <f>VLOOKUP(B3227,Products!$A:$E,2,FALSE)</f>
        <v>Product_294</v>
      </c>
      <c r="E3227" t="str">
        <f>VLOOKUP(B3227,Products!$A:$E,3,FALSE)</f>
        <v>Networking</v>
      </c>
    </row>
    <row r="3228" spans="1:5" x14ac:dyDescent="0.3">
      <c r="A3228" t="s">
        <v>4238</v>
      </c>
      <c r="B3228" t="s">
        <v>446</v>
      </c>
      <c r="C3228">
        <v>44</v>
      </c>
      <c r="D3228" t="str">
        <f>VLOOKUP(B3228,Products!$A:$E,2,FALSE)</f>
        <v>Product_219</v>
      </c>
      <c r="E3228" t="str">
        <f>VLOOKUP(B3228,Products!$A:$E,3,FALSE)</f>
        <v>Accessories</v>
      </c>
    </row>
    <row r="3229" spans="1:5" x14ac:dyDescent="0.3">
      <c r="A3229" t="s">
        <v>4239</v>
      </c>
      <c r="B3229" t="s">
        <v>940</v>
      </c>
      <c r="C3229">
        <v>82</v>
      </c>
      <c r="D3229" t="str">
        <f>VLOOKUP(B3229,Products!$A:$E,2,FALSE)</f>
        <v>Product_466</v>
      </c>
      <c r="E3229" t="str">
        <f>VLOOKUP(B3229,Products!$A:$E,3,FALSE)</f>
        <v>Networking</v>
      </c>
    </row>
    <row r="3230" spans="1:5" x14ac:dyDescent="0.3">
      <c r="A3230" t="s">
        <v>4240</v>
      </c>
      <c r="B3230" t="s">
        <v>346</v>
      </c>
      <c r="C3230">
        <v>62</v>
      </c>
      <c r="D3230" t="str">
        <f>VLOOKUP(B3230,Products!$A:$E,2,FALSE)</f>
        <v>Product_169</v>
      </c>
      <c r="E3230" t="str">
        <f>VLOOKUP(B3230,Products!$A:$E,3,FALSE)</f>
        <v>Accessories</v>
      </c>
    </row>
    <row r="3231" spans="1:5" x14ac:dyDescent="0.3">
      <c r="A3231" t="s">
        <v>4241</v>
      </c>
      <c r="B3231" t="s">
        <v>564</v>
      </c>
      <c r="C3231">
        <v>21</v>
      </c>
      <c r="D3231" t="str">
        <f>VLOOKUP(B3231,Products!$A:$E,2,FALSE)</f>
        <v>Product_278</v>
      </c>
      <c r="E3231" t="str">
        <f>VLOOKUP(B3231,Products!$A:$E,3,FALSE)</f>
        <v>Electronics</v>
      </c>
    </row>
    <row r="3232" spans="1:5" x14ac:dyDescent="0.3">
      <c r="A3232" t="s">
        <v>4242</v>
      </c>
      <c r="B3232" t="s">
        <v>220</v>
      </c>
      <c r="C3232">
        <v>88</v>
      </c>
      <c r="D3232" t="str">
        <f>VLOOKUP(B3232,Products!$A:$E,2,FALSE)</f>
        <v>Product_106</v>
      </c>
      <c r="E3232" t="str">
        <f>VLOOKUP(B3232,Products!$A:$E,3,FALSE)</f>
        <v>Networking</v>
      </c>
    </row>
    <row r="3233" spans="1:5" x14ac:dyDescent="0.3">
      <c r="A3233" t="s">
        <v>4243</v>
      </c>
      <c r="B3233" t="s">
        <v>150</v>
      </c>
      <c r="C3233">
        <v>79</v>
      </c>
      <c r="D3233" t="str">
        <f>VLOOKUP(B3233,Products!$A:$E,2,FALSE)</f>
        <v>Product_71</v>
      </c>
      <c r="E3233" t="str">
        <f>VLOOKUP(B3233,Products!$A:$E,3,FALSE)</f>
        <v>Accessories</v>
      </c>
    </row>
    <row r="3234" spans="1:5" x14ac:dyDescent="0.3">
      <c r="A3234" t="s">
        <v>4244</v>
      </c>
      <c r="B3234" t="s">
        <v>564</v>
      </c>
      <c r="C3234">
        <v>92</v>
      </c>
      <c r="D3234" t="str">
        <f>VLOOKUP(B3234,Products!$A:$E,2,FALSE)</f>
        <v>Product_278</v>
      </c>
      <c r="E3234" t="str">
        <f>VLOOKUP(B3234,Products!$A:$E,3,FALSE)</f>
        <v>Electronics</v>
      </c>
    </row>
    <row r="3235" spans="1:5" x14ac:dyDescent="0.3">
      <c r="A3235" t="s">
        <v>4245</v>
      </c>
      <c r="B3235" t="s">
        <v>828</v>
      </c>
      <c r="C3235">
        <v>30</v>
      </c>
      <c r="D3235" t="str">
        <f>VLOOKUP(B3235,Products!$A:$E,2,FALSE)</f>
        <v>Product_410</v>
      </c>
      <c r="E3235" t="str">
        <f>VLOOKUP(B3235,Products!$A:$E,3,FALSE)</f>
        <v>Storage</v>
      </c>
    </row>
    <row r="3236" spans="1:5" x14ac:dyDescent="0.3">
      <c r="A3236" t="s">
        <v>4246</v>
      </c>
      <c r="B3236" t="s">
        <v>892</v>
      </c>
      <c r="C3236">
        <v>22</v>
      </c>
      <c r="D3236" t="str">
        <f>VLOOKUP(B3236,Products!$A:$E,2,FALSE)</f>
        <v>Product_442</v>
      </c>
      <c r="E3236" t="str">
        <f>VLOOKUP(B3236,Products!$A:$E,3,FALSE)</f>
        <v>Networking</v>
      </c>
    </row>
    <row r="3237" spans="1:5" x14ac:dyDescent="0.3">
      <c r="A3237" t="s">
        <v>4247</v>
      </c>
      <c r="B3237" t="s">
        <v>326</v>
      </c>
      <c r="C3237">
        <v>93</v>
      </c>
      <c r="D3237" t="str">
        <f>VLOOKUP(B3237,Products!$A:$E,2,FALSE)</f>
        <v>Product_159</v>
      </c>
      <c r="E3237" t="str">
        <f>VLOOKUP(B3237,Products!$A:$E,3,FALSE)</f>
        <v>Accessories</v>
      </c>
    </row>
    <row r="3238" spans="1:5" x14ac:dyDescent="0.3">
      <c r="A3238" t="s">
        <v>4248</v>
      </c>
      <c r="B3238" t="s">
        <v>732</v>
      </c>
      <c r="C3238">
        <v>72</v>
      </c>
      <c r="D3238" t="str">
        <f>VLOOKUP(B3238,Products!$A:$E,2,FALSE)</f>
        <v>Product_362</v>
      </c>
      <c r="E3238" t="str">
        <f>VLOOKUP(B3238,Products!$A:$E,3,FALSE)</f>
        <v>Networking</v>
      </c>
    </row>
    <row r="3239" spans="1:5" x14ac:dyDescent="0.3">
      <c r="A3239" t="s">
        <v>4249</v>
      </c>
      <c r="B3239" t="s">
        <v>940</v>
      </c>
      <c r="C3239">
        <v>22</v>
      </c>
      <c r="D3239" t="str">
        <f>VLOOKUP(B3239,Products!$A:$E,2,FALSE)</f>
        <v>Product_466</v>
      </c>
      <c r="E3239" t="str">
        <f>VLOOKUP(B3239,Products!$A:$E,3,FALSE)</f>
        <v>Networking</v>
      </c>
    </row>
    <row r="3240" spans="1:5" x14ac:dyDescent="0.3">
      <c r="A3240" t="s">
        <v>4250</v>
      </c>
      <c r="B3240" t="s">
        <v>450</v>
      </c>
      <c r="C3240">
        <v>23</v>
      </c>
      <c r="D3240" t="str">
        <f>VLOOKUP(B3240,Products!$A:$E,2,FALSE)</f>
        <v>Product_221</v>
      </c>
      <c r="E3240" t="str">
        <f>VLOOKUP(B3240,Products!$A:$E,3,FALSE)</f>
        <v>Office Supplies</v>
      </c>
    </row>
    <row r="3241" spans="1:5" x14ac:dyDescent="0.3">
      <c r="A3241" t="s">
        <v>4251</v>
      </c>
      <c r="B3241" t="s">
        <v>680</v>
      </c>
      <c r="C3241">
        <v>77</v>
      </c>
      <c r="D3241" t="str">
        <f>VLOOKUP(B3241,Products!$A:$E,2,FALSE)</f>
        <v>Product_336</v>
      </c>
      <c r="E3241" t="str">
        <f>VLOOKUP(B3241,Products!$A:$E,3,FALSE)</f>
        <v>Storage</v>
      </c>
    </row>
    <row r="3242" spans="1:5" x14ac:dyDescent="0.3">
      <c r="A3242" t="s">
        <v>4252</v>
      </c>
      <c r="B3242" t="s">
        <v>948</v>
      </c>
      <c r="C3242">
        <v>25</v>
      </c>
      <c r="D3242" t="str">
        <f>VLOOKUP(B3242,Products!$A:$E,2,FALSE)</f>
        <v>Product_470</v>
      </c>
      <c r="E3242" t="str">
        <f>VLOOKUP(B3242,Products!$A:$E,3,FALSE)</f>
        <v>Networking</v>
      </c>
    </row>
    <row r="3243" spans="1:5" x14ac:dyDescent="0.3">
      <c r="A3243" t="s">
        <v>4253</v>
      </c>
      <c r="B3243" t="s">
        <v>334</v>
      </c>
      <c r="C3243">
        <v>13</v>
      </c>
      <c r="D3243" t="str">
        <f>VLOOKUP(B3243,Products!$A:$E,2,FALSE)</f>
        <v>Product_163</v>
      </c>
      <c r="E3243" t="str">
        <f>VLOOKUP(B3243,Products!$A:$E,3,FALSE)</f>
        <v>Accessories</v>
      </c>
    </row>
    <row r="3244" spans="1:5" x14ac:dyDescent="0.3">
      <c r="A3244" t="s">
        <v>4254</v>
      </c>
      <c r="B3244" t="s">
        <v>580</v>
      </c>
      <c r="C3244">
        <v>73</v>
      </c>
      <c r="D3244" t="str">
        <f>VLOOKUP(B3244,Products!$A:$E,2,FALSE)</f>
        <v>Product_286</v>
      </c>
      <c r="E3244" t="str">
        <f>VLOOKUP(B3244,Products!$A:$E,3,FALSE)</f>
        <v>Storage</v>
      </c>
    </row>
    <row r="3245" spans="1:5" x14ac:dyDescent="0.3">
      <c r="A3245" t="s">
        <v>4255</v>
      </c>
      <c r="B3245" t="s">
        <v>980</v>
      </c>
      <c r="C3245">
        <v>97</v>
      </c>
      <c r="D3245" t="str">
        <f>VLOOKUP(B3245,Products!$A:$E,2,FALSE)</f>
        <v>Product_486</v>
      </c>
      <c r="E3245" t="str">
        <f>VLOOKUP(B3245,Products!$A:$E,3,FALSE)</f>
        <v>Electronics</v>
      </c>
    </row>
    <row r="3246" spans="1:5" x14ac:dyDescent="0.3">
      <c r="A3246" t="s">
        <v>4256</v>
      </c>
      <c r="B3246" t="s">
        <v>130</v>
      </c>
      <c r="C3246">
        <v>28</v>
      </c>
      <c r="D3246" t="str">
        <f>VLOOKUP(B3246,Products!$A:$E,2,FALSE)</f>
        <v>Product_61</v>
      </c>
      <c r="E3246" t="str">
        <f>VLOOKUP(B3246,Products!$A:$E,3,FALSE)</f>
        <v>Storage</v>
      </c>
    </row>
    <row r="3247" spans="1:5" x14ac:dyDescent="0.3">
      <c r="A3247" t="s">
        <v>4257</v>
      </c>
      <c r="B3247" t="s">
        <v>334</v>
      </c>
      <c r="C3247">
        <v>23</v>
      </c>
      <c r="D3247" t="str">
        <f>VLOOKUP(B3247,Products!$A:$E,2,FALSE)</f>
        <v>Product_163</v>
      </c>
      <c r="E3247" t="str">
        <f>VLOOKUP(B3247,Products!$A:$E,3,FALSE)</f>
        <v>Accessories</v>
      </c>
    </row>
    <row r="3248" spans="1:5" x14ac:dyDescent="0.3">
      <c r="A3248" t="s">
        <v>4258</v>
      </c>
      <c r="B3248" t="s">
        <v>754</v>
      </c>
      <c r="C3248">
        <v>8</v>
      </c>
      <c r="D3248" t="str">
        <f>VLOOKUP(B3248,Products!$A:$E,2,FALSE)</f>
        <v>Product_373</v>
      </c>
      <c r="E3248" t="str">
        <f>VLOOKUP(B3248,Products!$A:$E,3,FALSE)</f>
        <v>Office Supplies</v>
      </c>
    </row>
    <row r="3249" spans="1:5" x14ac:dyDescent="0.3">
      <c r="A3249" t="s">
        <v>4259</v>
      </c>
      <c r="B3249" t="s">
        <v>792</v>
      </c>
      <c r="C3249">
        <v>45</v>
      </c>
      <c r="D3249" t="str">
        <f>VLOOKUP(B3249,Products!$A:$E,2,FALSE)</f>
        <v>Product_392</v>
      </c>
      <c r="E3249" t="str">
        <f>VLOOKUP(B3249,Products!$A:$E,3,FALSE)</f>
        <v>Electronics</v>
      </c>
    </row>
    <row r="3250" spans="1:5" x14ac:dyDescent="0.3">
      <c r="A3250" t="s">
        <v>4260</v>
      </c>
      <c r="B3250" t="s">
        <v>910</v>
      </c>
      <c r="C3250">
        <v>57</v>
      </c>
      <c r="D3250" t="str">
        <f>VLOOKUP(B3250,Products!$A:$E,2,FALSE)</f>
        <v>Product_451</v>
      </c>
      <c r="E3250" t="str">
        <f>VLOOKUP(B3250,Products!$A:$E,3,FALSE)</f>
        <v>Accessories</v>
      </c>
    </row>
    <row r="3251" spans="1:5" x14ac:dyDescent="0.3">
      <c r="A3251" t="s">
        <v>4261</v>
      </c>
      <c r="B3251" t="s">
        <v>994</v>
      </c>
      <c r="C3251">
        <v>57</v>
      </c>
      <c r="D3251" t="str">
        <f>VLOOKUP(B3251,Products!$A:$E,2,FALSE)</f>
        <v>Product_493</v>
      </c>
      <c r="E3251" t="str">
        <f>VLOOKUP(B3251,Products!$A:$E,3,FALSE)</f>
        <v>Networking</v>
      </c>
    </row>
    <row r="3252" spans="1:5" x14ac:dyDescent="0.3">
      <c r="A3252" t="s">
        <v>4262</v>
      </c>
      <c r="B3252" t="s">
        <v>320</v>
      </c>
      <c r="C3252">
        <v>61</v>
      </c>
      <c r="D3252" t="str">
        <f>VLOOKUP(B3252,Products!$A:$E,2,FALSE)</f>
        <v>Product_156</v>
      </c>
      <c r="E3252" t="str">
        <f>VLOOKUP(B3252,Products!$A:$E,3,FALSE)</f>
        <v>Accessories</v>
      </c>
    </row>
    <row r="3253" spans="1:5" x14ac:dyDescent="0.3">
      <c r="A3253" t="s">
        <v>4263</v>
      </c>
      <c r="B3253" t="s">
        <v>772</v>
      </c>
      <c r="C3253">
        <v>86</v>
      </c>
      <c r="D3253" t="str">
        <f>VLOOKUP(B3253,Products!$A:$E,2,FALSE)</f>
        <v>Product_382</v>
      </c>
      <c r="E3253" t="str">
        <f>VLOOKUP(B3253,Products!$A:$E,3,FALSE)</f>
        <v>Storage</v>
      </c>
    </row>
    <row r="3254" spans="1:5" x14ac:dyDescent="0.3">
      <c r="A3254" t="s">
        <v>4264</v>
      </c>
      <c r="B3254" t="s">
        <v>964</v>
      </c>
      <c r="C3254">
        <v>99</v>
      </c>
      <c r="D3254" t="str">
        <f>VLOOKUP(B3254,Products!$A:$E,2,FALSE)</f>
        <v>Product_478</v>
      </c>
      <c r="E3254" t="str">
        <f>VLOOKUP(B3254,Products!$A:$E,3,FALSE)</f>
        <v>Office Supplies</v>
      </c>
    </row>
    <row r="3255" spans="1:5" x14ac:dyDescent="0.3">
      <c r="A3255" t="s">
        <v>4265</v>
      </c>
      <c r="B3255" t="s">
        <v>290</v>
      </c>
      <c r="C3255">
        <v>24</v>
      </c>
      <c r="D3255" t="str">
        <f>VLOOKUP(B3255,Products!$A:$E,2,FALSE)</f>
        <v>Product_141</v>
      </c>
      <c r="E3255" t="str">
        <f>VLOOKUP(B3255,Products!$A:$E,3,FALSE)</f>
        <v>Electronics</v>
      </c>
    </row>
    <row r="3256" spans="1:5" x14ac:dyDescent="0.3">
      <c r="A3256" t="s">
        <v>4266</v>
      </c>
      <c r="B3256" t="s">
        <v>806</v>
      </c>
      <c r="C3256">
        <v>29</v>
      </c>
      <c r="D3256" t="str">
        <f>VLOOKUP(B3256,Products!$A:$E,2,FALSE)</f>
        <v>Product_399</v>
      </c>
      <c r="E3256" t="str">
        <f>VLOOKUP(B3256,Products!$A:$E,3,FALSE)</f>
        <v>Networking</v>
      </c>
    </row>
    <row r="3257" spans="1:5" x14ac:dyDescent="0.3">
      <c r="A3257" t="s">
        <v>4267</v>
      </c>
      <c r="B3257" t="s">
        <v>118</v>
      </c>
      <c r="C3257">
        <v>21</v>
      </c>
      <c r="D3257" t="str">
        <f>VLOOKUP(B3257,Products!$A:$E,2,FALSE)</f>
        <v>Product_55</v>
      </c>
      <c r="E3257" t="str">
        <f>VLOOKUP(B3257,Products!$A:$E,3,FALSE)</f>
        <v>Office Supplies</v>
      </c>
    </row>
    <row r="3258" spans="1:5" x14ac:dyDescent="0.3">
      <c r="A3258" t="s">
        <v>4268</v>
      </c>
      <c r="B3258" t="s">
        <v>198</v>
      </c>
      <c r="C3258">
        <v>8</v>
      </c>
      <c r="D3258" t="str">
        <f>VLOOKUP(B3258,Products!$A:$E,2,FALSE)</f>
        <v>Product_95</v>
      </c>
      <c r="E3258" t="str">
        <f>VLOOKUP(B3258,Products!$A:$E,3,FALSE)</f>
        <v>Electronics</v>
      </c>
    </row>
    <row r="3259" spans="1:5" x14ac:dyDescent="0.3">
      <c r="A3259" t="s">
        <v>4269</v>
      </c>
      <c r="B3259" t="s">
        <v>790</v>
      </c>
      <c r="C3259">
        <v>83</v>
      </c>
      <c r="D3259" t="str">
        <f>VLOOKUP(B3259,Products!$A:$E,2,FALSE)</f>
        <v>Product_391</v>
      </c>
      <c r="E3259" t="str">
        <f>VLOOKUP(B3259,Products!$A:$E,3,FALSE)</f>
        <v>Accessories</v>
      </c>
    </row>
    <row r="3260" spans="1:5" x14ac:dyDescent="0.3">
      <c r="A3260" t="s">
        <v>4270</v>
      </c>
      <c r="B3260" t="s">
        <v>640</v>
      </c>
      <c r="C3260">
        <v>39</v>
      </c>
      <c r="D3260" t="str">
        <f>VLOOKUP(B3260,Products!$A:$E,2,FALSE)</f>
        <v>Product_316</v>
      </c>
      <c r="E3260" t="str">
        <f>VLOOKUP(B3260,Products!$A:$E,3,FALSE)</f>
        <v>Networking</v>
      </c>
    </row>
    <row r="3261" spans="1:5" x14ac:dyDescent="0.3">
      <c r="A3261" t="s">
        <v>4271</v>
      </c>
      <c r="B3261" t="s">
        <v>630</v>
      </c>
      <c r="C3261">
        <v>77</v>
      </c>
      <c r="D3261" t="str">
        <f>VLOOKUP(B3261,Products!$A:$E,2,FALSE)</f>
        <v>Product_311</v>
      </c>
      <c r="E3261" t="str">
        <f>VLOOKUP(B3261,Products!$A:$E,3,FALSE)</f>
        <v>Networking</v>
      </c>
    </row>
    <row r="3262" spans="1:5" x14ac:dyDescent="0.3">
      <c r="A3262" t="s">
        <v>4272</v>
      </c>
      <c r="B3262" t="s">
        <v>636</v>
      </c>
      <c r="C3262">
        <v>34</v>
      </c>
      <c r="D3262" t="str">
        <f>VLOOKUP(B3262,Products!$A:$E,2,FALSE)</f>
        <v>Product_314</v>
      </c>
      <c r="E3262" t="str">
        <f>VLOOKUP(B3262,Products!$A:$E,3,FALSE)</f>
        <v>Storage</v>
      </c>
    </row>
    <row r="3263" spans="1:5" x14ac:dyDescent="0.3">
      <c r="A3263" t="s">
        <v>4273</v>
      </c>
      <c r="B3263" t="s">
        <v>620</v>
      </c>
      <c r="C3263">
        <v>34</v>
      </c>
      <c r="D3263" t="str">
        <f>VLOOKUP(B3263,Products!$A:$E,2,FALSE)</f>
        <v>Product_306</v>
      </c>
      <c r="E3263" t="str">
        <f>VLOOKUP(B3263,Products!$A:$E,3,FALSE)</f>
        <v>Accessories</v>
      </c>
    </row>
    <row r="3264" spans="1:5" x14ac:dyDescent="0.3">
      <c r="A3264" t="s">
        <v>4274</v>
      </c>
      <c r="B3264" t="s">
        <v>246</v>
      </c>
      <c r="C3264">
        <v>92</v>
      </c>
      <c r="D3264" t="str">
        <f>VLOOKUP(B3264,Products!$A:$E,2,FALSE)</f>
        <v>Product_119</v>
      </c>
      <c r="E3264" t="str">
        <f>VLOOKUP(B3264,Products!$A:$E,3,FALSE)</f>
        <v>Electronics</v>
      </c>
    </row>
    <row r="3265" spans="1:5" x14ac:dyDescent="0.3">
      <c r="A3265" t="s">
        <v>4275</v>
      </c>
      <c r="B3265" t="s">
        <v>36</v>
      </c>
      <c r="C3265">
        <v>50</v>
      </c>
      <c r="D3265" t="str">
        <f>VLOOKUP(B3265,Products!$A:$E,2,FALSE)</f>
        <v>Product_14</v>
      </c>
      <c r="E3265" t="str">
        <f>VLOOKUP(B3265,Products!$A:$E,3,FALSE)</f>
        <v>Accessories</v>
      </c>
    </row>
    <row r="3266" spans="1:5" x14ac:dyDescent="0.3">
      <c r="A3266" t="s">
        <v>4276</v>
      </c>
      <c r="B3266" t="s">
        <v>90</v>
      </c>
      <c r="C3266">
        <v>93</v>
      </c>
      <c r="D3266" t="str">
        <f>VLOOKUP(B3266,Products!$A:$E,2,FALSE)</f>
        <v>Product_41</v>
      </c>
      <c r="E3266" t="str">
        <f>VLOOKUP(B3266,Products!$A:$E,3,FALSE)</f>
        <v>Accessories</v>
      </c>
    </row>
    <row r="3267" spans="1:5" x14ac:dyDescent="0.3">
      <c r="A3267" t="s">
        <v>4277</v>
      </c>
      <c r="B3267" t="s">
        <v>808</v>
      </c>
      <c r="C3267">
        <v>66</v>
      </c>
      <c r="D3267" t="str">
        <f>VLOOKUP(B3267,Products!$A:$E,2,FALSE)</f>
        <v>Product_400</v>
      </c>
      <c r="E3267" t="str">
        <f>VLOOKUP(B3267,Products!$A:$E,3,FALSE)</f>
        <v>Networking</v>
      </c>
    </row>
    <row r="3268" spans="1:5" x14ac:dyDescent="0.3">
      <c r="A3268" t="s">
        <v>4278</v>
      </c>
      <c r="B3268" t="s">
        <v>146</v>
      </c>
      <c r="C3268">
        <v>69</v>
      </c>
      <c r="D3268" t="str">
        <f>VLOOKUP(B3268,Products!$A:$E,2,FALSE)</f>
        <v>Product_69</v>
      </c>
      <c r="E3268" t="str">
        <f>VLOOKUP(B3268,Products!$A:$E,3,FALSE)</f>
        <v>Electronics</v>
      </c>
    </row>
    <row r="3269" spans="1:5" x14ac:dyDescent="0.3">
      <c r="A3269" t="s">
        <v>4279</v>
      </c>
      <c r="B3269" t="s">
        <v>876</v>
      </c>
      <c r="C3269">
        <v>82</v>
      </c>
      <c r="D3269" t="str">
        <f>VLOOKUP(B3269,Products!$A:$E,2,FALSE)</f>
        <v>Product_434</v>
      </c>
      <c r="E3269" t="str">
        <f>VLOOKUP(B3269,Products!$A:$E,3,FALSE)</f>
        <v>Office Supplies</v>
      </c>
    </row>
    <row r="3270" spans="1:5" x14ac:dyDescent="0.3">
      <c r="A3270" t="s">
        <v>4280</v>
      </c>
      <c r="B3270" t="s">
        <v>490</v>
      </c>
      <c r="C3270">
        <v>96</v>
      </c>
      <c r="D3270" t="str">
        <f>VLOOKUP(B3270,Products!$A:$E,2,FALSE)</f>
        <v>Product_241</v>
      </c>
      <c r="E3270" t="str">
        <f>VLOOKUP(B3270,Products!$A:$E,3,FALSE)</f>
        <v>Electronics</v>
      </c>
    </row>
    <row r="3271" spans="1:5" x14ac:dyDescent="0.3">
      <c r="A3271" t="s">
        <v>4281</v>
      </c>
      <c r="B3271" t="s">
        <v>674</v>
      </c>
      <c r="C3271">
        <v>52</v>
      </c>
      <c r="D3271" t="str">
        <f>VLOOKUP(B3271,Products!$A:$E,2,FALSE)</f>
        <v>Product_333</v>
      </c>
      <c r="E3271" t="str">
        <f>VLOOKUP(B3271,Products!$A:$E,3,FALSE)</f>
        <v>Storage</v>
      </c>
    </row>
    <row r="3272" spans="1:5" x14ac:dyDescent="0.3">
      <c r="A3272" t="s">
        <v>4282</v>
      </c>
      <c r="B3272" t="s">
        <v>198</v>
      </c>
      <c r="C3272">
        <v>54</v>
      </c>
      <c r="D3272" t="str">
        <f>VLOOKUP(B3272,Products!$A:$E,2,FALSE)</f>
        <v>Product_95</v>
      </c>
      <c r="E3272" t="str">
        <f>VLOOKUP(B3272,Products!$A:$E,3,FALSE)</f>
        <v>Electronics</v>
      </c>
    </row>
    <row r="3273" spans="1:5" x14ac:dyDescent="0.3">
      <c r="A3273" t="s">
        <v>4283</v>
      </c>
      <c r="B3273" t="s">
        <v>512</v>
      </c>
      <c r="C3273">
        <v>65</v>
      </c>
      <c r="D3273" t="str">
        <f>VLOOKUP(B3273,Products!$A:$E,2,FALSE)</f>
        <v>Product_252</v>
      </c>
      <c r="E3273" t="str">
        <f>VLOOKUP(B3273,Products!$A:$E,3,FALSE)</f>
        <v>Networking</v>
      </c>
    </row>
    <row r="3274" spans="1:5" x14ac:dyDescent="0.3">
      <c r="A3274" t="s">
        <v>4284</v>
      </c>
      <c r="B3274" t="s">
        <v>150</v>
      </c>
      <c r="C3274">
        <v>25</v>
      </c>
      <c r="D3274" t="str">
        <f>VLOOKUP(B3274,Products!$A:$E,2,FALSE)</f>
        <v>Product_71</v>
      </c>
      <c r="E3274" t="str">
        <f>VLOOKUP(B3274,Products!$A:$E,3,FALSE)</f>
        <v>Accessories</v>
      </c>
    </row>
    <row r="3275" spans="1:5" x14ac:dyDescent="0.3">
      <c r="A3275" t="s">
        <v>4285</v>
      </c>
      <c r="B3275" t="s">
        <v>206</v>
      </c>
      <c r="C3275">
        <v>33</v>
      </c>
      <c r="D3275" t="str">
        <f>VLOOKUP(B3275,Products!$A:$E,2,FALSE)</f>
        <v>Product_99</v>
      </c>
      <c r="E3275" t="str">
        <f>VLOOKUP(B3275,Products!$A:$E,3,FALSE)</f>
        <v>Accessories</v>
      </c>
    </row>
    <row r="3276" spans="1:5" x14ac:dyDescent="0.3">
      <c r="A3276" t="s">
        <v>4286</v>
      </c>
      <c r="B3276" t="s">
        <v>42</v>
      </c>
      <c r="C3276">
        <v>57</v>
      </c>
      <c r="D3276" t="str">
        <f>VLOOKUP(B3276,Products!$A:$E,2,FALSE)</f>
        <v>Product_17</v>
      </c>
      <c r="E3276" t="str">
        <f>VLOOKUP(B3276,Products!$A:$E,3,FALSE)</f>
        <v>Office Supplies</v>
      </c>
    </row>
    <row r="3277" spans="1:5" x14ac:dyDescent="0.3">
      <c r="A3277" t="s">
        <v>4287</v>
      </c>
      <c r="B3277" t="s">
        <v>792</v>
      </c>
      <c r="C3277">
        <v>6</v>
      </c>
      <c r="D3277" t="str">
        <f>VLOOKUP(B3277,Products!$A:$E,2,FALSE)</f>
        <v>Product_392</v>
      </c>
      <c r="E3277" t="str">
        <f>VLOOKUP(B3277,Products!$A:$E,3,FALSE)</f>
        <v>Electronics</v>
      </c>
    </row>
    <row r="3278" spans="1:5" x14ac:dyDescent="0.3">
      <c r="A3278" t="s">
        <v>4288</v>
      </c>
      <c r="B3278" t="s">
        <v>956</v>
      </c>
      <c r="C3278">
        <v>39</v>
      </c>
      <c r="D3278" t="str">
        <f>VLOOKUP(B3278,Products!$A:$E,2,FALSE)</f>
        <v>Product_474</v>
      </c>
      <c r="E3278" t="str">
        <f>VLOOKUP(B3278,Products!$A:$E,3,FALSE)</f>
        <v>Networking</v>
      </c>
    </row>
    <row r="3279" spans="1:5" x14ac:dyDescent="0.3">
      <c r="A3279" t="s">
        <v>4289</v>
      </c>
      <c r="B3279" t="s">
        <v>982</v>
      </c>
      <c r="C3279">
        <v>57</v>
      </c>
      <c r="D3279" t="str">
        <f>VLOOKUP(B3279,Products!$A:$E,2,FALSE)</f>
        <v>Product_487</v>
      </c>
      <c r="E3279" t="str">
        <f>VLOOKUP(B3279,Products!$A:$E,3,FALSE)</f>
        <v>Networking</v>
      </c>
    </row>
    <row r="3280" spans="1:5" x14ac:dyDescent="0.3">
      <c r="A3280" t="s">
        <v>4290</v>
      </c>
      <c r="B3280" t="s">
        <v>236</v>
      </c>
      <c r="C3280">
        <v>100</v>
      </c>
      <c r="D3280" t="str">
        <f>VLOOKUP(B3280,Products!$A:$E,2,FALSE)</f>
        <v>Product_114</v>
      </c>
      <c r="E3280" t="str">
        <f>VLOOKUP(B3280,Products!$A:$E,3,FALSE)</f>
        <v>Electronics</v>
      </c>
    </row>
    <row r="3281" spans="1:5" x14ac:dyDescent="0.3">
      <c r="A3281" t="s">
        <v>4291</v>
      </c>
      <c r="B3281" t="s">
        <v>696</v>
      </c>
      <c r="C3281">
        <v>30</v>
      </c>
      <c r="D3281" t="str">
        <f>VLOOKUP(B3281,Products!$A:$E,2,FALSE)</f>
        <v>Product_344</v>
      </c>
      <c r="E3281" t="str">
        <f>VLOOKUP(B3281,Products!$A:$E,3,FALSE)</f>
        <v>Accessories</v>
      </c>
    </row>
    <row r="3282" spans="1:5" x14ac:dyDescent="0.3">
      <c r="A3282" t="s">
        <v>4292</v>
      </c>
      <c r="B3282" t="s">
        <v>784</v>
      </c>
      <c r="C3282">
        <v>31</v>
      </c>
      <c r="D3282" t="str">
        <f>VLOOKUP(B3282,Products!$A:$E,2,FALSE)</f>
        <v>Product_388</v>
      </c>
      <c r="E3282" t="str">
        <f>VLOOKUP(B3282,Products!$A:$E,3,FALSE)</f>
        <v>Office Supplies</v>
      </c>
    </row>
    <row r="3283" spans="1:5" x14ac:dyDescent="0.3">
      <c r="A3283" t="s">
        <v>4293</v>
      </c>
      <c r="B3283" t="s">
        <v>76</v>
      </c>
      <c r="C3283">
        <v>27</v>
      </c>
      <c r="D3283" t="str">
        <f>VLOOKUP(B3283,Products!$A:$E,2,FALSE)</f>
        <v>Product_34</v>
      </c>
      <c r="E3283" t="str">
        <f>VLOOKUP(B3283,Products!$A:$E,3,FALSE)</f>
        <v>Office Supplies</v>
      </c>
    </row>
    <row r="3284" spans="1:5" x14ac:dyDescent="0.3">
      <c r="A3284" t="s">
        <v>4294</v>
      </c>
      <c r="B3284" t="s">
        <v>958</v>
      </c>
      <c r="C3284">
        <v>61</v>
      </c>
      <c r="D3284" t="str">
        <f>VLOOKUP(B3284,Products!$A:$E,2,FALSE)</f>
        <v>Product_475</v>
      </c>
      <c r="E3284" t="str">
        <f>VLOOKUP(B3284,Products!$A:$E,3,FALSE)</f>
        <v>Electronics</v>
      </c>
    </row>
    <row r="3285" spans="1:5" x14ac:dyDescent="0.3">
      <c r="A3285" t="s">
        <v>4295</v>
      </c>
      <c r="B3285" t="s">
        <v>896</v>
      </c>
      <c r="C3285">
        <v>83</v>
      </c>
      <c r="D3285" t="str">
        <f>VLOOKUP(B3285,Products!$A:$E,2,FALSE)</f>
        <v>Product_444</v>
      </c>
      <c r="E3285" t="str">
        <f>VLOOKUP(B3285,Products!$A:$E,3,FALSE)</f>
        <v>Electronics</v>
      </c>
    </row>
    <row r="3286" spans="1:5" x14ac:dyDescent="0.3">
      <c r="A3286" t="s">
        <v>4296</v>
      </c>
      <c r="B3286" t="s">
        <v>510</v>
      </c>
      <c r="C3286">
        <v>93</v>
      </c>
      <c r="D3286" t="str">
        <f>VLOOKUP(B3286,Products!$A:$E,2,FALSE)</f>
        <v>Product_251</v>
      </c>
      <c r="E3286" t="str">
        <f>VLOOKUP(B3286,Products!$A:$E,3,FALSE)</f>
        <v>Electronics</v>
      </c>
    </row>
    <row r="3287" spans="1:5" x14ac:dyDescent="0.3">
      <c r="A3287" t="s">
        <v>4297</v>
      </c>
      <c r="B3287" t="s">
        <v>342</v>
      </c>
      <c r="C3287">
        <v>63</v>
      </c>
      <c r="D3287" t="str">
        <f>VLOOKUP(B3287,Products!$A:$E,2,FALSE)</f>
        <v>Product_167</v>
      </c>
      <c r="E3287" t="str">
        <f>VLOOKUP(B3287,Products!$A:$E,3,FALSE)</f>
        <v>Electronics</v>
      </c>
    </row>
    <row r="3288" spans="1:5" x14ac:dyDescent="0.3">
      <c r="A3288" t="s">
        <v>4298</v>
      </c>
      <c r="B3288" t="s">
        <v>918</v>
      </c>
      <c r="C3288">
        <v>36</v>
      </c>
      <c r="D3288" t="str">
        <f>VLOOKUP(B3288,Products!$A:$E,2,FALSE)</f>
        <v>Product_455</v>
      </c>
      <c r="E3288" t="str">
        <f>VLOOKUP(B3288,Products!$A:$E,3,FALSE)</f>
        <v>Storage</v>
      </c>
    </row>
    <row r="3289" spans="1:5" x14ac:dyDescent="0.3">
      <c r="A3289" t="s">
        <v>4299</v>
      </c>
      <c r="B3289" t="s">
        <v>446</v>
      </c>
      <c r="C3289">
        <v>56</v>
      </c>
      <c r="D3289" t="str">
        <f>VLOOKUP(B3289,Products!$A:$E,2,FALSE)</f>
        <v>Product_219</v>
      </c>
      <c r="E3289" t="str">
        <f>VLOOKUP(B3289,Products!$A:$E,3,FALSE)</f>
        <v>Accessories</v>
      </c>
    </row>
    <row r="3290" spans="1:5" x14ac:dyDescent="0.3">
      <c r="A3290" t="s">
        <v>4300</v>
      </c>
      <c r="B3290" t="s">
        <v>804</v>
      </c>
      <c r="C3290">
        <v>10</v>
      </c>
      <c r="D3290" t="str">
        <f>VLOOKUP(B3290,Products!$A:$E,2,FALSE)</f>
        <v>Product_398</v>
      </c>
      <c r="E3290" t="str">
        <f>VLOOKUP(B3290,Products!$A:$E,3,FALSE)</f>
        <v>Networking</v>
      </c>
    </row>
    <row r="3291" spans="1:5" x14ac:dyDescent="0.3">
      <c r="A3291" t="s">
        <v>4301</v>
      </c>
      <c r="B3291" t="s">
        <v>632</v>
      </c>
      <c r="C3291">
        <v>99</v>
      </c>
      <c r="D3291" t="str">
        <f>VLOOKUP(B3291,Products!$A:$E,2,FALSE)</f>
        <v>Product_312</v>
      </c>
      <c r="E3291" t="str">
        <f>VLOOKUP(B3291,Products!$A:$E,3,FALSE)</f>
        <v>Office Supplies</v>
      </c>
    </row>
    <row r="3292" spans="1:5" x14ac:dyDescent="0.3">
      <c r="A3292" t="s">
        <v>4302</v>
      </c>
      <c r="B3292" t="s">
        <v>854</v>
      </c>
      <c r="C3292">
        <v>53</v>
      </c>
      <c r="D3292" t="str">
        <f>VLOOKUP(B3292,Products!$A:$E,2,FALSE)</f>
        <v>Product_423</v>
      </c>
      <c r="E3292" t="str">
        <f>VLOOKUP(B3292,Products!$A:$E,3,FALSE)</f>
        <v>Office Supplies</v>
      </c>
    </row>
    <row r="3293" spans="1:5" x14ac:dyDescent="0.3">
      <c r="A3293" t="s">
        <v>4303</v>
      </c>
      <c r="B3293" t="s">
        <v>746</v>
      </c>
      <c r="C3293">
        <v>45</v>
      </c>
      <c r="D3293" t="str">
        <f>VLOOKUP(B3293,Products!$A:$E,2,FALSE)</f>
        <v>Product_369</v>
      </c>
      <c r="E3293" t="str">
        <f>VLOOKUP(B3293,Products!$A:$E,3,FALSE)</f>
        <v>Accessories</v>
      </c>
    </row>
    <row r="3294" spans="1:5" x14ac:dyDescent="0.3">
      <c r="A3294" t="s">
        <v>4304</v>
      </c>
      <c r="B3294" t="s">
        <v>412</v>
      </c>
      <c r="C3294">
        <v>83</v>
      </c>
      <c r="D3294" t="str">
        <f>VLOOKUP(B3294,Products!$A:$E,2,FALSE)</f>
        <v>Product_202</v>
      </c>
      <c r="E3294" t="str">
        <f>VLOOKUP(B3294,Products!$A:$E,3,FALSE)</f>
        <v>Storage</v>
      </c>
    </row>
    <row r="3295" spans="1:5" x14ac:dyDescent="0.3">
      <c r="A3295" t="s">
        <v>4305</v>
      </c>
      <c r="B3295" t="s">
        <v>970</v>
      </c>
      <c r="C3295">
        <v>100</v>
      </c>
      <c r="D3295" t="str">
        <f>VLOOKUP(B3295,Products!$A:$E,2,FALSE)</f>
        <v>Product_481</v>
      </c>
      <c r="E3295" t="str">
        <f>VLOOKUP(B3295,Products!$A:$E,3,FALSE)</f>
        <v>Storage</v>
      </c>
    </row>
    <row r="3296" spans="1:5" x14ac:dyDescent="0.3">
      <c r="A3296" t="s">
        <v>4306</v>
      </c>
      <c r="B3296" t="s">
        <v>594</v>
      </c>
      <c r="C3296">
        <v>81</v>
      </c>
      <c r="D3296" t="str">
        <f>VLOOKUP(B3296,Products!$A:$E,2,FALSE)</f>
        <v>Product_293</v>
      </c>
      <c r="E3296" t="str">
        <f>VLOOKUP(B3296,Products!$A:$E,3,FALSE)</f>
        <v>Networking</v>
      </c>
    </row>
    <row r="3297" spans="1:5" x14ac:dyDescent="0.3">
      <c r="A3297" t="s">
        <v>4307</v>
      </c>
      <c r="B3297" t="s">
        <v>558</v>
      </c>
      <c r="C3297">
        <v>72</v>
      </c>
      <c r="D3297" t="str">
        <f>VLOOKUP(B3297,Products!$A:$E,2,FALSE)</f>
        <v>Product_275</v>
      </c>
      <c r="E3297" t="str">
        <f>VLOOKUP(B3297,Products!$A:$E,3,FALSE)</f>
        <v>Accessories</v>
      </c>
    </row>
    <row r="3298" spans="1:5" x14ac:dyDescent="0.3">
      <c r="A3298" t="s">
        <v>4308</v>
      </c>
      <c r="B3298" t="s">
        <v>666</v>
      </c>
      <c r="C3298">
        <v>95</v>
      </c>
      <c r="D3298" t="str">
        <f>VLOOKUP(B3298,Products!$A:$E,2,FALSE)</f>
        <v>Product_329</v>
      </c>
      <c r="E3298" t="str">
        <f>VLOOKUP(B3298,Products!$A:$E,3,FALSE)</f>
        <v>Office Supplies</v>
      </c>
    </row>
    <row r="3299" spans="1:5" x14ac:dyDescent="0.3">
      <c r="A3299" t="s">
        <v>4309</v>
      </c>
      <c r="B3299" t="s">
        <v>814</v>
      </c>
      <c r="C3299">
        <v>9</v>
      </c>
      <c r="D3299" t="str">
        <f>VLOOKUP(B3299,Products!$A:$E,2,FALSE)</f>
        <v>Product_403</v>
      </c>
      <c r="E3299" t="str">
        <f>VLOOKUP(B3299,Products!$A:$E,3,FALSE)</f>
        <v>Networking</v>
      </c>
    </row>
    <row r="3300" spans="1:5" x14ac:dyDescent="0.3">
      <c r="A3300" t="s">
        <v>4310</v>
      </c>
      <c r="B3300" t="s">
        <v>542</v>
      </c>
      <c r="C3300">
        <v>18</v>
      </c>
      <c r="D3300" t="str">
        <f>VLOOKUP(B3300,Products!$A:$E,2,FALSE)</f>
        <v>Product_267</v>
      </c>
      <c r="E3300" t="str">
        <f>VLOOKUP(B3300,Products!$A:$E,3,FALSE)</f>
        <v>Networking</v>
      </c>
    </row>
    <row r="3301" spans="1:5" x14ac:dyDescent="0.3">
      <c r="A3301" t="s">
        <v>4311</v>
      </c>
      <c r="B3301" t="s">
        <v>472</v>
      </c>
      <c r="C3301">
        <v>63</v>
      </c>
      <c r="D3301" t="str">
        <f>VLOOKUP(B3301,Products!$A:$E,2,FALSE)</f>
        <v>Product_232</v>
      </c>
      <c r="E3301" t="str">
        <f>VLOOKUP(B3301,Products!$A:$E,3,FALSE)</f>
        <v>Office Supplies</v>
      </c>
    </row>
    <row r="3302" spans="1:5" x14ac:dyDescent="0.3">
      <c r="A3302" t="s">
        <v>4312</v>
      </c>
      <c r="B3302" t="s">
        <v>856</v>
      </c>
      <c r="C3302">
        <v>10</v>
      </c>
      <c r="D3302" t="str">
        <f>VLOOKUP(B3302,Products!$A:$E,2,FALSE)</f>
        <v>Product_424</v>
      </c>
      <c r="E3302" t="str">
        <f>VLOOKUP(B3302,Products!$A:$E,3,FALSE)</f>
        <v>Networking</v>
      </c>
    </row>
    <row r="3303" spans="1:5" x14ac:dyDescent="0.3">
      <c r="A3303" t="s">
        <v>4313</v>
      </c>
      <c r="B3303" t="s">
        <v>908</v>
      </c>
      <c r="C3303">
        <v>36</v>
      </c>
      <c r="D3303" t="str">
        <f>VLOOKUP(B3303,Products!$A:$E,2,FALSE)</f>
        <v>Product_450</v>
      </c>
      <c r="E3303" t="str">
        <f>VLOOKUP(B3303,Products!$A:$E,3,FALSE)</f>
        <v>Networking</v>
      </c>
    </row>
    <row r="3304" spans="1:5" x14ac:dyDescent="0.3">
      <c r="A3304" t="s">
        <v>4314</v>
      </c>
      <c r="B3304" t="s">
        <v>540</v>
      </c>
      <c r="C3304">
        <v>73</v>
      </c>
      <c r="D3304" t="str">
        <f>VLOOKUP(B3304,Products!$A:$E,2,FALSE)</f>
        <v>Product_266</v>
      </c>
      <c r="E3304" t="str">
        <f>VLOOKUP(B3304,Products!$A:$E,3,FALSE)</f>
        <v>Electronics</v>
      </c>
    </row>
    <row r="3305" spans="1:5" x14ac:dyDescent="0.3">
      <c r="A3305" t="s">
        <v>4315</v>
      </c>
      <c r="B3305" t="s">
        <v>414</v>
      </c>
      <c r="C3305">
        <v>99</v>
      </c>
      <c r="D3305" t="str">
        <f>VLOOKUP(B3305,Products!$A:$E,2,FALSE)</f>
        <v>Product_203</v>
      </c>
      <c r="E3305" t="str">
        <f>VLOOKUP(B3305,Products!$A:$E,3,FALSE)</f>
        <v>Accessories</v>
      </c>
    </row>
    <row r="3306" spans="1:5" x14ac:dyDescent="0.3">
      <c r="A3306" t="s">
        <v>4316</v>
      </c>
      <c r="B3306" t="s">
        <v>50</v>
      </c>
      <c r="C3306">
        <v>76</v>
      </c>
      <c r="D3306" t="str">
        <f>VLOOKUP(B3306,Products!$A:$E,2,FALSE)</f>
        <v>Product_21</v>
      </c>
      <c r="E3306" t="str">
        <f>VLOOKUP(B3306,Products!$A:$E,3,FALSE)</f>
        <v>Office Supplies</v>
      </c>
    </row>
    <row r="3307" spans="1:5" x14ac:dyDescent="0.3">
      <c r="A3307" t="s">
        <v>4317</v>
      </c>
      <c r="B3307" t="s">
        <v>406</v>
      </c>
      <c r="C3307">
        <v>71</v>
      </c>
      <c r="D3307" t="str">
        <f>VLOOKUP(B3307,Products!$A:$E,2,FALSE)</f>
        <v>Product_199</v>
      </c>
      <c r="E3307" t="str">
        <f>VLOOKUP(B3307,Products!$A:$E,3,FALSE)</f>
        <v>Storage</v>
      </c>
    </row>
    <row r="3308" spans="1:5" x14ac:dyDescent="0.3">
      <c r="A3308" t="s">
        <v>4318</v>
      </c>
      <c r="B3308" t="s">
        <v>792</v>
      </c>
      <c r="C3308">
        <v>85</v>
      </c>
      <c r="D3308" t="str">
        <f>VLOOKUP(B3308,Products!$A:$E,2,FALSE)</f>
        <v>Product_392</v>
      </c>
      <c r="E3308" t="str">
        <f>VLOOKUP(B3308,Products!$A:$E,3,FALSE)</f>
        <v>Electronics</v>
      </c>
    </row>
    <row r="3309" spans="1:5" x14ac:dyDescent="0.3">
      <c r="A3309" t="s">
        <v>4319</v>
      </c>
      <c r="B3309" t="s">
        <v>994</v>
      </c>
      <c r="C3309">
        <v>11</v>
      </c>
      <c r="D3309" t="str">
        <f>VLOOKUP(B3309,Products!$A:$E,2,FALSE)</f>
        <v>Product_493</v>
      </c>
      <c r="E3309" t="str">
        <f>VLOOKUP(B3309,Products!$A:$E,3,FALSE)</f>
        <v>Networking</v>
      </c>
    </row>
    <row r="3310" spans="1:5" x14ac:dyDescent="0.3">
      <c r="A3310" t="s">
        <v>4320</v>
      </c>
      <c r="B3310" t="s">
        <v>204</v>
      </c>
      <c r="C3310">
        <v>42</v>
      </c>
      <c r="D3310" t="str">
        <f>VLOOKUP(B3310,Products!$A:$E,2,FALSE)</f>
        <v>Product_98</v>
      </c>
      <c r="E3310" t="str">
        <f>VLOOKUP(B3310,Products!$A:$E,3,FALSE)</f>
        <v>Networking</v>
      </c>
    </row>
    <row r="3311" spans="1:5" x14ac:dyDescent="0.3">
      <c r="A3311" t="s">
        <v>4321</v>
      </c>
      <c r="B3311" t="s">
        <v>460</v>
      </c>
      <c r="C3311">
        <v>55</v>
      </c>
      <c r="D3311" t="str">
        <f>VLOOKUP(B3311,Products!$A:$E,2,FALSE)</f>
        <v>Product_226</v>
      </c>
      <c r="E3311" t="str">
        <f>VLOOKUP(B3311,Products!$A:$E,3,FALSE)</f>
        <v>Networking</v>
      </c>
    </row>
    <row r="3312" spans="1:5" x14ac:dyDescent="0.3">
      <c r="A3312" t="s">
        <v>4322</v>
      </c>
      <c r="B3312" t="s">
        <v>914</v>
      </c>
      <c r="C3312">
        <v>43</v>
      </c>
      <c r="D3312" t="str">
        <f>VLOOKUP(B3312,Products!$A:$E,2,FALSE)</f>
        <v>Product_453</v>
      </c>
      <c r="E3312" t="str">
        <f>VLOOKUP(B3312,Products!$A:$E,3,FALSE)</f>
        <v>Office Supplies</v>
      </c>
    </row>
    <row r="3313" spans="1:5" x14ac:dyDescent="0.3">
      <c r="A3313" t="s">
        <v>4323</v>
      </c>
      <c r="B3313" t="s">
        <v>802</v>
      </c>
      <c r="C3313">
        <v>41</v>
      </c>
      <c r="D3313" t="str">
        <f>VLOOKUP(B3313,Products!$A:$E,2,FALSE)</f>
        <v>Product_397</v>
      </c>
      <c r="E3313" t="str">
        <f>VLOOKUP(B3313,Products!$A:$E,3,FALSE)</f>
        <v>Office Supplies</v>
      </c>
    </row>
    <row r="3314" spans="1:5" x14ac:dyDescent="0.3">
      <c r="A3314" t="s">
        <v>4324</v>
      </c>
      <c r="B3314" t="s">
        <v>482</v>
      </c>
      <c r="C3314">
        <v>26</v>
      </c>
      <c r="D3314" t="str">
        <f>VLOOKUP(B3314,Products!$A:$E,2,FALSE)</f>
        <v>Product_237</v>
      </c>
      <c r="E3314" t="str">
        <f>VLOOKUP(B3314,Products!$A:$E,3,FALSE)</f>
        <v>Networking</v>
      </c>
    </row>
    <row r="3315" spans="1:5" x14ac:dyDescent="0.3">
      <c r="A3315" t="s">
        <v>4325</v>
      </c>
      <c r="B3315" t="s">
        <v>442</v>
      </c>
      <c r="C3315">
        <v>42</v>
      </c>
      <c r="D3315" t="str">
        <f>VLOOKUP(B3315,Products!$A:$E,2,FALSE)</f>
        <v>Product_217</v>
      </c>
      <c r="E3315" t="str">
        <f>VLOOKUP(B3315,Products!$A:$E,3,FALSE)</f>
        <v>Networking</v>
      </c>
    </row>
    <row r="3316" spans="1:5" x14ac:dyDescent="0.3">
      <c r="A3316" t="s">
        <v>4326</v>
      </c>
      <c r="B3316" t="s">
        <v>636</v>
      </c>
      <c r="C3316">
        <v>11</v>
      </c>
      <c r="D3316" t="str">
        <f>VLOOKUP(B3316,Products!$A:$E,2,FALSE)</f>
        <v>Product_314</v>
      </c>
      <c r="E3316" t="str">
        <f>VLOOKUP(B3316,Products!$A:$E,3,FALSE)</f>
        <v>Storage</v>
      </c>
    </row>
    <row r="3317" spans="1:5" x14ac:dyDescent="0.3">
      <c r="A3317" t="s">
        <v>4327</v>
      </c>
      <c r="B3317" t="s">
        <v>716</v>
      </c>
      <c r="C3317">
        <v>71</v>
      </c>
      <c r="D3317" t="str">
        <f>VLOOKUP(B3317,Products!$A:$E,2,FALSE)</f>
        <v>Product_354</v>
      </c>
      <c r="E3317" t="str">
        <f>VLOOKUP(B3317,Products!$A:$E,3,FALSE)</f>
        <v>Storage</v>
      </c>
    </row>
    <row r="3318" spans="1:5" x14ac:dyDescent="0.3">
      <c r="A3318" t="s">
        <v>4328</v>
      </c>
      <c r="B3318" t="s">
        <v>934</v>
      </c>
      <c r="C3318">
        <v>23</v>
      </c>
      <c r="D3318" t="str">
        <f>VLOOKUP(B3318,Products!$A:$E,2,FALSE)</f>
        <v>Product_463</v>
      </c>
      <c r="E3318" t="str">
        <f>VLOOKUP(B3318,Products!$A:$E,3,FALSE)</f>
        <v>Networking</v>
      </c>
    </row>
    <row r="3319" spans="1:5" x14ac:dyDescent="0.3">
      <c r="A3319" t="s">
        <v>4329</v>
      </c>
      <c r="B3319" t="s">
        <v>484</v>
      </c>
      <c r="C3319">
        <v>87</v>
      </c>
      <c r="D3319" t="str">
        <f>VLOOKUP(B3319,Products!$A:$E,2,FALSE)</f>
        <v>Product_238</v>
      </c>
      <c r="E3319" t="str">
        <f>VLOOKUP(B3319,Products!$A:$E,3,FALSE)</f>
        <v>Accessories</v>
      </c>
    </row>
    <row r="3320" spans="1:5" x14ac:dyDescent="0.3">
      <c r="A3320" t="s">
        <v>4330</v>
      </c>
      <c r="B3320" t="s">
        <v>472</v>
      </c>
      <c r="C3320">
        <v>16</v>
      </c>
      <c r="D3320" t="str">
        <f>VLOOKUP(B3320,Products!$A:$E,2,FALSE)</f>
        <v>Product_232</v>
      </c>
      <c r="E3320" t="str">
        <f>VLOOKUP(B3320,Products!$A:$E,3,FALSE)</f>
        <v>Office Supplies</v>
      </c>
    </row>
    <row r="3321" spans="1:5" x14ac:dyDescent="0.3">
      <c r="A3321" t="s">
        <v>4331</v>
      </c>
      <c r="B3321" t="s">
        <v>748</v>
      </c>
      <c r="C3321">
        <v>69</v>
      </c>
      <c r="D3321" t="str">
        <f>VLOOKUP(B3321,Products!$A:$E,2,FALSE)</f>
        <v>Product_370</v>
      </c>
      <c r="E3321" t="str">
        <f>VLOOKUP(B3321,Products!$A:$E,3,FALSE)</f>
        <v>Networking</v>
      </c>
    </row>
    <row r="3322" spans="1:5" x14ac:dyDescent="0.3">
      <c r="A3322" t="s">
        <v>4332</v>
      </c>
      <c r="B3322" t="s">
        <v>124</v>
      </c>
      <c r="C3322">
        <v>28</v>
      </c>
      <c r="D3322" t="str">
        <f>VLOOKUP(B3322,Products!$A:$E,2,FALSE)</f>
        <v>Product_58</v>
      </c>
      <c r="E3322" t="str">
        <f>VLOOKUP(B3322,Products!$A:$E,3,FALSE)</f>
        <v>Office Supplies</v>
      </c>
    </row>
    <row r="3323" spans="1:5" x14ac:dyDescent="0.3">
      <c r="A3323" t="s">
        <v>4333</v>
      </c>
      <c r="B3323" t="s">
        <v>806</v>
      </c>
      <c r="C3323">
        <v>79</v>
      </c>
      <c r="D3323" t="str">
        <f>VLOOKUP(B3323,Products!$A:$E,2,FALSE)</f>
        <v>Product_399</v>
      </c>
      <c r="E3323" t="str">
        <f>VLOOKUP(B3323,Products!$A:$E,3,FALSE)</f>
        <v>Networking</v>
      </c>
    </row>
    <row r="3324" spans="1:5" x14ac:dyDescent="0.3">
      <c r="A3324" t="s">
        <v>4334</v>
      </c>
      <c r="B3324" t="s">
        <v>970</v>
      </c>
      <c r="C3324">
        <v>94</v>
      </c>
      <c r="D3324" t="str">
        <f>VLOOKUP(B3324,Products!$A:$E,2,FALSE)</f>
        <v>Product_481</v>
      </c>
      <c r="E3324" t="str">
        <f>VLOOKUP(B3324,Products!$A:$E,3,FALSE)</f>
        <v>Storage</v>
      </c>
    </row>
    <row r="3325" spans="1:5" x14ac:dyDescent="0.3">
      <c r="A3325" t="s">
        <v>4335</v>
      </c>
      <c r="B3325" t="s">
        <v>568</v>
      </c>
      <c r="C3325">
        <v>22</v>
      </c>
      <c r="D3325" t="str">
        <f>VLOOKUP(B3325,Products!$A:$E,2,FALSE)</f>
        <v>Product_280</v>
      </c>
      <c r="E3325" t="str">
        <f>VLOOKUP(B3325,Products!$A:$E,3,FALSE)</f>
        <v>Electronics</v>
      </c>
    </row>
    <row r="3326" spans="1:5" x14ac:dyDescent="0.3">
      <c r="A3326" t="s">
        <v>4336</v>
      </c>
      <c r="B3326" t="s">
        <v>412</v>
      </c>
      <c r="C3326">
        <v>57</v>
      </c>
      <c r="D3326" t="str">
        <f>VLOOKUP(B3326,Products!$A:$E,2,FALSE)</f>
        <v>Product_202</v>
      </c>
      <c r="E3326" t="str">
        <f>VLOOKUP(B3326,Products!$A:$E,3,FALSE)</f>
        <v>Storage</v>
      </c>
    </row>
    <row r="3327" spans="1:5" x14ac:dyDescent="0.3">
      <c r="A3327" t="s">
        <v>4337</v>
      </c>
      <c r="B3327" t="s">
        <v>340</v>
      </c>
      <c r="C3327">
        <v>62</v>
      </c>
      <c r="D3327" t="str">
        <f>VLOOKUP(B3327,Products!$A:$E,2,FALSE)</f>
        <v>Product_166</v>
      </c>
      <c r="E3327" t="str">
        <f>VLOOKUP(B3327,Products!$A:$E,3,FALSE)</f>
        <v>Accessories</v>
      </c>
    </row>
    <row r="3328" spans="1:5" x14ac:dyDescent="0.3">
      <c r="A3328" t="s">
        <v>4338</v>
      </c>
      <c r="B3328" t="s">
        <v>34</v>
      </c>
      <c r="C3328">
        <v>27</v>
      </c>
      <c r="D3328" t="str">
        <f>VLOOKUP(B3328,Products!$A:$E,2,FALSE)</f>
        <v>Product_13</v>
      </c>
      <c r="E3328" t="str">
        <f>VLOOKUP(B3328,Products!$A:$E,3,FALSE)</f>
        <v>Office Supplies</v>
      </c>
    </row>
    <row r="3329" spans="1:5" x14ac:dyDescent="0.3">
      <c r="A3329" t="s">
        <v>4339</v>
      </c>
      <c r="B3329" t="s">
        <v>474</v>
      </c>
      <c r="C3329">
        <v>80</v>
      </c>
      <c r="D3329" t="str">
        <f>VLOOKUP(B3329,Products!$A:$E,2,FALSE)</f>
        <v>Product_233</v>
      </c>
      <c r="E3329" t="str">
        <f>VLOOKUP(B3329,Products!$A:$E,3,FALSE)</f>
        <v>Accessories</v>
      </c>
    </row>
    <row r="3330" spans="1:5" x14ac:dyDescent="0.3">
      <c r="A3330" t="s">
        <v>4340</v>
      </c>
      <c r="B3330" t="s">
        <v>928</v>
      </c>
      <c r="C3330">
        <v>96</v>
      </c>
      <c r="D3330" t="str">
        <f>VLOOKUP(B3330,Products!$A:$E,2,FALSE)</f>
        <v>Product_460</v>
      </c>
      <c r="E3330" t="str">
        <f>VLOOKUP(B3330,Products!$A:$E,3,FALSE)</f>
        <v>Accessories</v>
      </c>
    </row>
    <row r="3331" spans="1:5" x14ac:dyDescent="0.3">
      <c r="A3331" t="s">
        <v>4341</v>
      </c>
      <c r="B3331" t="s">
        <v>926</v>
      </c>
      <c r="C3331">
        <v>30</v>
      </c>
      <c r="D3331" t="str">
        <f>VLOOKUP(B3331,Products!$A:$E,2,FALSE)</f>
        <v>Product_459</v>
      </c>
      <c r="E3331" t="str">
        <f>VLOOKUP(B3331,Products!$A:$E,3,FALSE)</f>
        <v>Office Supplies</v>
      </c>
    </row>
    <row r="3332" spans="1:5" x14ac:dyDescent="0.3">
      <c r="A3332" t="s">
        <v>4342</v>
      </c>
      <c r="B3332" t="s">
        <v>912</v>
      </c>
      <c r="C3332">
        <v>63</v>
      </c>
      <c r="D3332" t="str">
        <f>VLOOKUP(B3332,Products!$A:$E,2,FALSE)</f>
        <v>Product_452</v>
      </c>
      <c r="E3332" t="str">
        <f>VLOOKUP(B3332,Products!$A:$E,3,FALSE)</f>
        <v>Office Supplies</v>
      </c>
    </row>
    <row r="3333" spans="1:5" x14ac:dyDescent="0.3">
      <c r="A3333" t="s">
        <v>4343</v>
      </c>
      <c r="B3333" t="s">
        <v>102</v>
      </c>
      <c r="C3333">
        <v>37</v>
      </c>
      <c r="D3333" t="str">
        <f>VLOOKUP(B3333,Products!$A:$E,2,FALSE)</f>
        <v>Product_47</v>
      </c>
      <c r="E3333" t="str">
        <f>VLOOKUP(B3333,Products!$A:$E,3,FALSE)</f>
        <v>Electronics</v>
      </c>
    </row>
    <row r="3334" spans="1:5" x14ac:dyDescent="0.3">
      <c r="A3334" t="s">
        <v>4344</v>
      </c>
      <c r="B3334" t="s">
        <v>340</v>
      </c>
      <c r="C3334">
        <v>93</v>
      </c>
      <c r="D3334" t="str">
        <f>VLOOKUP(B3334,Products!$A:$E,2,FALSE)</f>
        <v>Product_166</v>
      </c>
      <c r="E3334" t="str">
        <f>VLOOKUP(B3334,Products!$A:$E,3,FALSE)</f>
        <v>Accessories</v>
      </c>
    </row>
    <row r="3335" spans="1:5" x14ac:dyDescent="0.3">
      <c r="A3335" t="s">
        <v>4345</v>
      </c>
      <c r="B3335" t="s">
        <v>674</v>
      </c>
      <c r="C3335">
        <v>96</v>
      </c>
      <c r="D3335" t="str">
        <f>VLOOKUP(B3335,Products!$A:$E,2,FALSE)</f>
        <v>Product_333</v>
      </c>
      <c r="E3335" t="str">
        <f>VLOOKUP(B3335,Products!$A:$E,3,FALSE)</f>
        <v>Storage</v>
      </c>
    </row>
    <row r="3336" spans="1:5" x14ac:dyDescent="0.3">
      <c r="A3336" t="s">
        <v>4346</v>
      </c>
      <c r="B3336" t="s">
        <v>824</v>
      </c>
      <c r="C3336">
        <v>25</v>
      </c>
      <c r="D3336" t="str">
        <f>VLOOKUP(B3336,Products!$A:$E,2,FALSE)</f>
        <v>Product_408</v>
      </c>
      <c r="E3336" t="str">
        <f>VLOOKUP(B3336,Products!$A:$E,3,FALSE)</f>
        <v>Storage</v>
      </c>
    </row>
    <row r="3337" spans="1:5" x14ac:dyDescent="0.3">
      <c r="A3337" t="s">
        <v>4347</v>
      </c>
      <c r="B3337" t="s">
        <v>744</v>
      </c>
      <c r="C3337">
        <v>98</v>
      </c>
      <c r="D3337" t="str">
        <f>VLOOKUP(B3337,Products!$A:$E,2,FALSE)</f>
        <v>Product_368</v>
      </c>
      <c r="E3337" t="str">
        <f>VLOOKUP(B3337,Products!$A:$E,3,FALSE)</f>
        <v>Office Supplies</v>
      </c>
    </row>
    <row r="3338" spans="1:5" x14ac:dyDescent="0.3">
      <c r="A3338" t="s">
        <v>4348</v>
      </c>
      <c r="B3338" t="s">
        <v>136</v>
      </c>
      <c r="C3338">
        <v>16</v>
      </c>
      <c r="D3338" t="str">
        <f>VLOOKUP(B3338,Products!$A:$E,2,FALSE)</f>
        <v>Product_64</v>
      </c>
      <c r="E3338" t="str">
        <f>VLOOKUP(B3338,Products!$A:$E,3,FALSE)</f>
        <v>Storage</v>
      </c>
    </row>
    <row r="3339" spans="1:5" x14ac:dyDescent="0.3">
      <c r="A3339" t="s">
        <v>4349</v>
      </c>
      <c r="B3339" t="s">
        <v>126</v>
      </c>
      <c r="C3339">
        <v>95</v>
      </c>
      <c r="D3339" t="str">
        <f>VLOOKUP(B3339,Products!$A:$E,2,FALSE)</f>
        <v>Product_59</v>
      </c>
      <c r="E3339" t="str">
        <f>VLOOKUP(B3339,Products!$A:$E,3,FALSE)</f>
        <v>Accessories</v>
      </c>
    </row>
    <row r="3340" spans="1:5" x14ac:dyDescent="0.3">
      <c r="A3340" t="s">
        <v>4350</v>
      </c>
      <c r="B3340" t="s">
        <v>470</v>
      </c>
      <c r="C3340">
        <v>86</v>
      </c>
      <c r="D3340" t="str">
        <f>VLOOKUP(B3340,Products!$A:$E,2,FALSE)</f>
        <v>Product_231</v>
      </c>
      <c r="E3340" t="str">
        <f>VLOOKUP(B3340,Products!$A:$E,3,FALSE)</f>
        <v>Accessories</v>
      </c>
    </row>
    <row r="3341" spans="1:5" x14ac:dyDescent="0.3">
      <c r="A3341" t="s">
        <v>4351</v>
      </c>
      <c r="B3341" t="s">
        <v>380</v>
      </c>
      <c r="C3341">
        <v>15</v>
      </c>
      <c r="D3341" t="str">
        <f>VLOOKUP(B3341,Products!$A:$E,2,FALSE)</f>
        <v>Product_186</v>
      </c>
      <c r="E3341" t="str">
        <f>VLOOKUP(B3341,Products!$A:$E,3,FALSE)</f>
        <v>Accessories</v>
      </c>
    </row>
    <row r="3342" spans="1:5" x14ac:dyDescent="0.3">
      <c r="A3342" t="s">
        <v>4352</v>
      </c>
      <c r="B3342" t="s">
        <v>546</v>
      </c>
      <c r="C3342">
        <v>95</v>
      </c>
      <c r="D3342" t="str">
        <f>VLOOKUP(B3342,Products!$A:$E,2,FALSE)</f>
        <v>Product_269</v>
      </c>
      <c r="E3342" t="str">
        <f>VLOOKUP(B3342,Products!$A:$E,3,FALSE)</f>
        <v>Storage</v>
      </c>
    </row>
    <row r="3343" spans="1:5" x14ac:dyDescent="0.3">
      <c r="A3343" t="s">
        <v>4353</v>
      </c>
      <c r="B3343" t="s">
        <v>402</v>
      </c>
      <c r="C3343">
        <v>98</v>
      </c>
      <c r="D3343" t="str">
        <f>VLOOKUP(B3343,Products!$A:$E,2,FALSE)</f>
        <v>Product_197</v>
      </c>
      <c r="E3343" t="str">
        <f>VLOOKUP(B3343,Products!$A:$E,3,FALSE)</f>
        <v>Electronics</v>
      </c>
    </row>
    <row r="3344" spans="1:5" x14ac:dyDescent="0.3">
      <c r="A3344" t="s">
        <v>4354</v>
      </c>
      <c r="B3344" t="s">
        <v>820</v>
      </c>
      <c r="C3344">
        <v>70</v>
      </c>
      <c r="D3344" t="str">
        <f>VLOOKUP(B3344,Products!$A:$E,2,FALSE)</f>
        <v>Product_406</v>
      </c>
      <c r="E3344" t="str">
        <f>VLOOKUP(B3344,Products!$A:$E,3,FALSE)</f>
        <v>Office Supplies</v>
      </c>
    </row>
    <row r="3345" spans="1:5" x14ac:dyDescent="0.3">
      <c r="A3345" t="s">
        <v>4355</v>
      </c>
      <c r="B3345" t="s">
        <v>636</v>
      </c>
      <c r="C3345">
        <v>25</v>
      </c>
      <c r="D3345" t="str">
        <f>VLOOKUP(B3345,Products!$A:$E,2,FALSE)</f>
        <v>Product_314</v>
      </c>
      <c r="E3345" t="str">
        <f>VLOOKUP(B3345,Products!$A:$E,3,FALSE)</f>
        <v>Storage</v>
      </c>
    </row>
    <row r="3346" spans="1:5" x14ac:dyDescent="0.3">
      <c r="A3346" t="s">
        <v>4356</v>
      </c>
      <c r="B3346" t="s">
        <v>396</v>
      </c>
      <c r="C3346">
        <v>75</v>
      </c>
      <c r="D3346" t="str">
        <f>VLOOKUP(B3346,Products!$A:$E,2,FALSE)</f>
        <v>Product_194</v>
      </c>
      <c r="E3346" t="str">
        <f>VLOOKUP(B3346,Products!$A:$E,3,FALSE)</f>
        <v>Networking</v>
      </c>
    </row>
    <row r="3347" spans="1:5" x14ac:dyDescent="0.3">
      <c r="A3347" t="s">
        <v>4357</v>
      </c>
      <c r="B3347" t="s">
        <v>398</v>
      </c>
      <c r="C3347">
        <v>10</v>
      </c>
      <c r="D3347" t="str">
        <f>VLOOKUP(B3347,Products!$A:$E,2,FALSE)</f>
        <v>Product_195</v>
      </c>
      <c r="E3347" t="str">
        <f>VLOOKUP(B3347,Products!$A:$E,3,FALSE)</f>
        <v>Accessories</v>
      </c>
    </row>
    <row r="3348" spans="1:5" x14ac:dyDescent="0.3">
      <c r="A3348" t="s">
        <v>4358</v>
      </c>
      <c r="B3348" t="s">
        <v>796</v>
      </c>
      <c r="C3348">
        <v>26</v>
      </c>
      <c r="D3348" t="str">
        <f>VLOOKUP(B3348,Products!$A:$E,2,FALSE)</f>
        <v>Product_394</v>
      </c>
      <c r="E3348" t="str">
        <f>VLOOKUP(B3348,Products!$A:$E,3,FALSE)</f>
        <v>Electronics</v>
      </c>
    </row>
    <row r="3349" spans="1:5" x14ac:dyDescent="0.3">
      <c r="A3349" t="s">
        <v>4359</v>
      </c>
      <c r="B3349" t="s">
        <v>944</v>
      </c>
      <c r="C3349">
        <v>47</v>
      </c>
      <c r="D3349" t="str">
        <f>VLOOKUP(B3349,Products!$A:$E,2,FALSE)</f>
        <v>Product_468</v>
      </c>
      <c r="E3349" t="str">
        <f>VLOOKUP(B3349,Products!$A:$E,3,FALSE)</f>
        <v>Office Supplies</v>
      </c>
    </row>
    <row r="3350" spans="1:5" x14ac:dyDescent="0.3">
      <c r="A3350" t="s">
        <v>4360</v>
      </c>
      <c r="B3350" t="s">
        <v>588</v>
      </c>
      <c r="C3350">
        <v>89</v>
      </c>
      <c r="D3350" t="str">
        <f>VLOOKUP(B3350,Products!$A:$E,2,FALSE)</f>
        <v>Product_290</v>
      </c>
      <c r="E3350" t="str">
        <f>VLOOKUP(B3350,Products!$A:$E,3,FALSE)</f>
        <v>Accessories</v>
      </c>
    </row>
    <row r="3351" spans="1:5" x14ac:dyDescent="0.3">
      <c r="A3351" t="s">
        <v>4361</v>
      </c>
      <c r="B3351" t="s">
        <v>892</v>
      </c>
      <c r="C3351">
        <v>24</v>
      </c>
      <c r="D3351" t="str">
        <f>VLOOKUP(B3351,Products!$A:$E,2,FALSE)</f>
        <v>Product_442</v>
      </c>
      <c r="E3351" t="str">
        <f>VLOOKUP(B3351,Products!$A:$E,3,FALSE)</f>
        <v>Networking</v>
      </c>
    </row>
    <row r="3352" spans="1:5" x14ac:dyDescent="0.3">
      <c r="A3352" t="s">
        <v>4362</v>
      </c>
      <c r="B3352" t="s">
        <v>176</v>
      </c>
      <c r="C3352">
        <v>23</v>
      </c>
      <c r="D3352" t="str">
        <f>VLOOKUP(B3352,Products!$A:$E,2,FALSE)</f>
        <v>Product_84</v>
      </c>
      <c r="E3352" t="str">
        <f>VLOOKUP(B3352,Products!$A:$E,3,FALSE)</f>
        <v>Electronics</v>
      </c>
    </row>
    <row r="3353" spans="1:5" x14ac:dyDescent="0.3">
      <c r="A3353" t="s">
        <v>4363</v>
      </c>
      <c r="B3353" t="s">
        <v>192</v>
      </c>
      <c r="C3353">
        <v>96</v>
      </c>
      <c r="D3353" t="str">
        <f>VLOOKUP(B3353,Products!$A:$E,2,FALSE)</f>
        <v>Product_92</v>
      </c>
      <c r="E3353" t="str">
        <f>VLOOKUP(B3353,Products!$A:$E,3,FALSE)</f>
        <v>Electronics</v>
      </c>
    </row>
    <row r="3354" spans="1:5" x14ac:dyDescent="0.3">
      <c r="A3354" t="s">
        <v>4364</v>
      </c>
      <c r="B3354" t="s">
        <v>62</v>
      </c>
      <c r="C3354">
        <v>58</v>
      </c>
      <c r="D3354" t="str">
        <f>VLOOKUP(B3354,Products!$A:$E,2,FALSE)</f>
        <v>Product_27</v>
      </c>
      <c r="E3354" t="str">
        <f>VLOOKUP(B3354,Products!$A:$E,3,FALSE)</f>
        <v>Office Supplies</v>
      </c>
    </row>
    <row r="3355" spans="1:5" x14ac:dyDescent="0.3">
      <c r="A3355" t="s">
        <v>4365</v>
      </c>
      <c r="B3355" t="s">
        <v>324</v>
      </c>
      <c r="C3355">
        <v>44</v>
      </c>
      <c r="D3355" t="str">
        <f>VLOOKUP(B3355,Products!$A:$E,2,FALSE)</f>
        <v>Product_158</v>
      </c>
      <c r="E3355" t="str">
        <f>VLOOKUP(B3355,Products!$A:$E,3,FALSE)</f>
        <v>Electronics</v>
      </c>
    </row>
    <row r="3356" spans="1:5" x14ac:dyDescent="0.3">
      <c r="A3356" t="s">
        <v>4366</v>
      </c>
      <c r="B3356" t="s">
        <v>756</v>
      </c>
      <c r="C3356">
        <v>62</v>
      </c>
      <c r="D3356" t="str">
        <f>VLOOKUP(B3356,Products!$A:$E,2,FALSE)</f>
        <v>Product_374</v>
      </c>
      <c r="E3356" t="str">
        <f>VLOOKUP(B3356,Products!$A:$E,3,FALSE)</f>
        <v>Office Supplies</v>
      </c>
    </row>
    <row r="3357" spans="1:5" x14ac:dyDescent="0.3">
      <c r="A3357" t="s">
        <v>4367</v>
      </c>
      <c r="B3357" t="s">
        <v>304</v>
      </c>
      <c r="C3357">
        <v>85</v>
      </c>
      <c r="D3357" t="str">
        <f>VLOOKUP(B3357,Products!$A:$E,2,FALSE)</f>
        <v>Product_148</v>
      </c>
      <c r="E3357" t="str">
        <f>VLOOKUP(B3357,Products!$A:$E,3,FALSE)</f>
        <v>Electronics</v>
      </c>
    </row>
    <row r="3358" spans="1:5" x14ac:dyDescent="0.3">
      <c r="A3358" t="s">
        <v>4368</v>
      </c>
      <c r="B3358" t="s">
        <v>194</v>
      </c>
      <c r="C3358">
        <v>20</v>
      </c>
      <c r="D3358" t="str">
        <f>VLOOKUP(B3358,Products!$A:$E,2,FALSE)</f>
        <v>Product_93</v>
      </c>
      <c r="E3358" t="str">
        <f>VLOOKUP(B3358,Products!$A:$E,3,FALSE)</f>
        <v>Office Supplies</v>
      </c>
    </row>
    <row r="3359" spans="1:5" x14ac:dyDescent="0.3">
      <c r="A3359" t="s">
        <v>4369</v>
      </c>
      <c r="B3359" t="s">
        <v>930</v>
      </c>
      <c r="C3359">
        <v>21</v>
      </c>
      <c r="D3359" t="str">
        <f>VLOOKUP(B3359,Products!$A:$E,2,FALSE)</f>
        <v>Product_461</v>
      </c>
      <c r="E3359" t="str">
        <f>VLOOKUP(B3359,Products!$A:$E,3,FALSE)</f>
        <v>Accessories</v>
      </c>
    </row>
    <row r="3360" spans="1:5" x14ac:dyDescent="0.3">
      <c r="A3360" t="s">
        <v>4370</v>
      </c>
      <c r="B3360" t="s">
        <v>992</v>
      </c>
      <c r="C3360">
        <v>30</v>
      </c>
      <c r="D3360" t="str">
        <f>VLOOKUP(B3360,Products!$A:$E,2,FALSE)</f>
        <v>Product_492</v>
      </c>
      <c r="E3360" t="str">
        <f>VLOOKUP(B3360,Products!$A:$E,3,FALSE)</f>
        <v>Electronics</v>
      </c>
    </row>
    <row r="3361" spans="1:5" x14ac:dyDescent="0.3">
      <c r="A3361" t="s">
        <v>4371</v>
      </c>
      <c r="B3361" t="s">
        <v>8</v>
      </c>
      <c r="C3361">
        <v>84</v>
      </c>
      <c r="D3361" t="str">
        <f>VLOOKUP(B3361,Products!$A:$E,2,FALSE)</f>
        <v>Product_2</v>
      </c>
      <c r="E3361" t="str">
        <f>VLOOKUP(B3361,Products!$A:$E,3,FALSE)</f>
        <v>Office Supplies</v>
      </c>
    </row>
    <row r="3362" spans="1:5" x14ac:dyDescent="0.3">
      <c r="A3362" t="s">
        <v>4372</v>
      </c>
      <c r="B3362" t="s">
        <v>792</v>
      </c>
      <c r="C3362">
        <v>37</v>
      </c>
      <c r="D3362" t="str">
        <f>VLOOKUP(B3362,Products!$A:$E,2,FALSE)</f>
        <v>Product_392</v>
      </c>
      <c r="E3362" t="str">
        <f>VLOOKUP(B3362,Products!$A:$E,3,FALSE)</f>
        <v>Electronics</v>
      </c>
    </row>
    <row r="3363" spans="1:5" x14ac:dyDescent="0.3">
      <c r="A3363" t="s">
        <v>4373</v>
      </c>
      <c r="B3363" t="s">
        <v>22</v>
      </c>
      <c r="C3363">
        <v>63</v>
      </c>
      <c r="D3363" t="str">
        <f>VLOOKUP(B3363,Products!$A:$E,2,FALSE)</f>
        <v>Product_7</v>
      </c>
      <c r="E3363" t="str">
        <f>VLOOKUP(B3363,Products!$A:$E,3,FALSE)</f>
        <v>Storage</v>
      </c>
    </row>
    <row r="3364" spans="1:5" x14ac:dyDescent="0.3">
      <c r="A3364" t="s">
        <v>4374</v>
      </c>
      <c r="B3364" t="s">
        <v>518</v>
      </c>
      <c r="C3364">
        <v>68</v>
      </c>
      <c r="D3364" t="str">
        <f>VLOOKUP(B3364,Products!$A:$E,2,FALSE)</f>
        <v>Product_255</v>
      </c>
      <c r="E3364" t="str">
        <f>VLOOKUP(B3364,Products!$A:$E,3,FALSE)</f>
        <v>Accessories</v>
      </c>
    </row>
    <row r="3365" spans="1:5" x14ac:dyDescent="0.3">
      <c r="A3365" t="s">
        <v>4375</v>
      </c>
      <c r="B3365" t="s">
        <v>566</v>
      </c>
      <c r="C3365">
        <v>5</v>
      </c>
      <c r="D3365" t="str">
        <f>VLOOKUP(B3365,Products!$A:$E,2,FALSE)</f>
        <v>Product_279</v>
      </c>
      <c r="E3365" t="str">
        <f>VLOOKUP(B3365,Products!$A:$E,3,FALSE)</f>
        <v>Networking</v>
      </c>
    </row>
    <row r="3366" spans="1:5" x14ac:dyDescent="0.3">
      <c r="A3366" t="s">
        <v>4376</v>
      </c>
      <c r="B3366" t="s">
        <v>632</v>
      </c>
      <c r="C3366">
        <v>68</v>
      </c>
      <c r="D3366" t="str">
        <f>VLOOKUP(B3366,Products!$A:$E,2,FALSE)</f>
        <v>Product_312</v>
      </c>
      <c r="E3366" t="str">
        <f>VLOOKUP(B3366,Products!$A:$E,3,FALSE)</f>
        <v>Office Supplies</v>
      </c>
    </row>
    <row r="3367" spans="1:5" x14ac:dyDescent="0.3">
      <c r="A3367" t="s">
        <v>4377</v>
      </c>
      <c r="B3367" t="s">
        <v>252</v>
      </c>
      <c r="C3367">
        <v>32</v>
      </c>
      <c r="D3367" t="str">
        <f>VLOOKUP(B3367,Products!$A:$E,2,FALSE)</f>
        <v>Product_122</v>
      </c>
      <c r="E3367" t="str">
        <f>VLOOKUP(B3367,Products!$A:$E,3,FALSE)</f>
        <v>Storage</v>
      </c>
    </row>
    <row r="3368" spans="1:5" x14ac:dyDescent="0.3">
      <c r="A3368" t="s">
        <v>4378</v>
      </c>
      <c r="B3368" t="s">
        <v>612</v>
      </c>
      <c r="C3368">
        <v>89</v>
      </c>
      <c r="D3368" t="str">
        <f>VLOOKUP(B3368,Products!$A:$E,2,FALSE)</f>
        <v>Product_302</v>
      </c>
      <c r="E3368" t="str">
        <f>VLOOKUP(B3368,Products!$A:$E,3,FALSE)</f>
        <v>Accessories</v>
      </c>
    </row>
    <row r="3369" spans="1:5" x14ac:dyDescent="0.3">
      <c r="A3369" t="s">
        <v>4379</v>
      </c>
      <c r="B3369" t="s">
        <v>496</v>
      </c>
      <c r="C3369">
        <v>63</v>
      </c>
      <c r="D3369" t="str">
        <f>VLOOKUP(B3369,Products!$A:$E,2,FALSE)</f>
        <v>Product_244</v>
      </c>
      <c r="E3369" t="str">
        <f>VLOOKUP(B3369,Products!$A:$E,3,FALSE)</f>
        <v>Accessories</v>
      </c>
    </row>
    <row r="3370" spans="1:5" x14ac:dyDescent="0.3">
      <c r="A3370" t="s">
        <v>4380</v>
      </c>
      <c r="B3370" t="s">
        <v>428</v>
      </c>
      <c r="C3370">
        <v>61</v>
      </c>
      <c r="D3370" t="str">
        <f>VLOOKUP(B3370,Products!$A:$E,2,FALSE)</f>
        <v>Product_210</v>
      </c>
      <c r="E3370" t="str">
        <f>VLOOKUP(B3370,Products!$A:$E,3,FALSE)</f>
        <v>Electronics</v>
      </c>
    </row>
    <row r="3371" spans="1:5" x14ac:dyDescent="0.3">
      <c r="A3371" t="s">
        <v>4381</v>
      </c>
      <c r="B3371" t="s">
        <v>90</v>
      </c>
      <c r="C3371">
        <v>81</v>
      </c>
      <c r="D3371" t="str">
        <f>VLOOKUP(B3371,Products!$A:$E,2,FALSE)</f>
        <v>Product_41</v>
      </c>
      <c r="E3371" t="str">
        <f>VLOOKUP(B3371,Products!$A:$E,3,FALSE)</f>
        <v>Accessories</v>
      </c>
    </row>
    <row r="3372" spans="1:5" x14ac:dyDescent="0.3">
      <c r="A3372" t="s">
        <v>4382</v>
      </c>
      <c r="B3372" t="s">
        <v>624</v>
      </c>
      <c r="C3372">
        <v>5</v>
      </c>
      <c r="D3372" t="str">
        <f>VLOOKUP(B3372,Products!$A:$E,2,FALSE)</f>
        <v>Product_308</v>
      </c>
      <c r="E3372" t="str">
        <f>VLOOKUP(B3372,Products!$A:$E,3,FALSE)</f>
        <v>Storage</v>
      </c>
    </row>
    <row r="3373" spans="1:5" x14ac:dyDescent="0.3">
      <c r="A3373" t="s">
        <v>4383</v>
      </c>
      <c r="B3373" t="s">
        <v>260</v>
      </c>
      <c r="C3373">
        <v>75</v>
      </c>
      <c r="D3373" t="str">
        <f>VLOOKUP(B3373,Products!$A:$E,2,FALSE)</f>
        <v>Product_126</v>
      </c>
      <c r="E3373" t="str">
        <f>VLOOKUP(B3373,Products!$A:$E,3,FALSE)</f>
        <v>Office Supplies</v>
      </c>
    </row>
    <row r="3374" spans="1:5" x14ac:dyDescent="0.3">
      <c r="A3374" t="s">
        <v>4384</v>
      </c>
      <c r="B3374" t="s">
        <v>294</v>
      </c>
      <c r="C3374">
        <v>84</v>
      </c>
      <c r="D3374" t="str">
        <f>VLOOKUP(B3374,Products!$A:$E,2,FALSE)</f>
        <v>Product_143</v>
      </c>
      <c r="E3374" t="str">
        <f>VLOOKUP(B3374,Products!$A:$E,3,FALSE)</f>
        <v>Office Supplies</v>
      </c>
    </row>
    <row r="3375" spans="1:5" x14ac:dyDescent="0.3">
      <c r="A3375" t="s">
        <v>4385</v>
      </c>
      <c r="B3375" t="s">
        <v>652</v>
      </c>
      <c r="C3375">
        <v>76</v>
      </c>
      <c r="D3375" t="str">
        <f>VLOOKUP(B3375,Products!$A:$E,2,FALSE)</f>
        <v>Product_322</v>
      </c>
      <c r="E3375" t="str">
        <f>VLOOKUP(B3375,Products!$A:$E,3,FALSE)</f>
        <v>Accessories</v>
      </c>
    </row>
    <row r="3376" spans="1:5" x14ac:dyDescent="0.3">
      <c r="A3376" t="s">
        <v>4386</v>
      </c>
      <c r="B3376" t="s">
        <v>848</v>
      </c>
      <c r="C3376">
        <v>31</v>
      </c>
      <c r="D3376" t="str">
        <f>VLOOKUP(B3376,Products!$A:$E,2,FALSE)</f>
        <v>Product_420</v>
      </c>
      <c r="E3376" t="str">
        <f>VLOOKUP(B3376,Products!$A:$E,3,FALSE)</f>
        <v>Networking</v>
      </c>
    </row>
    <row r="3377" spans="1:5" x14ac:dyDescent="0.3">
      <c r="A3377" t="s">
        <v>4387</v>
      </c>
      <c r="B3377" t="s">
        <v>60</v>
      </c>
      <c r="C3377">
        <v>28</v>
      </c>
      <c r="D3377" t="str">
        <f>VLOOKUP(B3377,Products!$A:$E,2,FALSE)</f>
        <v>Product_26</v>
      </c>
      <c r="E3377" t="str">
        <f>VLOOKUP(B3377,Products!$A:$E,3,FALSE)</f>
        <v>Office Supplies</v>
      </c>
    </row>
    <row r="3378" spans="1:5" x14ac:dyDescent="0.3">
      <c r="A3378" t="s">
        <v>4388</v>
      </c>
      <c r="B3378" t="s">
        <v>160</v>
      </c>
      <c r="C3378">
        <v>12</v>
      </c>
      <c r="D3378" t="str">
        <f>VLOOKUP(B3378,Products!$A:$E,2,FALSE)</f>
        <v>Product_76</v>
      </c>
      <c r="E3378" t="str">
        <f>VLOOKUP(B3378,Products!$A:$E,3,FALSE)</f>
        <v>Accessories</v>
      </c>
    </row>
    <row r="3379" spans="1:5" x14ac:dyDescent="0.3">
      <c r="A3379" t="s">
        <v>4389</v>
      </c>
      <c r="B3379" t="s">
        <v>678</v>
      </c>
      <c r="C3379">
        <v>49</v>
      </c>
      <c r="D3379" t="str">
        <f>VLOOKUP(B3379,Products!$A:$E,2,FALSE)</f>
        <v>Product_335</v>
      </c>
      <c r="E3379" t="str">
        <f>VLOOKUP(B3379,Products!$A:$E,3,FALSE)</f>
        <v>Networking</v>
      </c>
    </row>
    <row r="3380" spans="1:5" x14ac:dyDescent="0.3">
      <c r="A3380" t="s">
        <v>4390</v>
      </c>
      <c r="B3380" t="s">
        <v>46</v>
      </c>
      <c r="C3380">
        <v>23</v>
      </c>
      <c r="D3380" t="str">
        <f>VLOOKUP(B3380,Products!$A:$E,2,FALSE)</f>
        <v>Product_19</v>
      </c>
      <c r="E3380" t="str">
        <f>VLOOKUP(B3380,Products!$A:$E,3,FALSE)</f>
        <v>Networking</v>
      </c>
    </row>
    <row r="3381" spans="1:5" x14ac:dyDescent="0.3">
      <c r="A3381" t="s">
        <v>4391</v>
      </c>
      <c r="B3381" t="s">
        <v>884</v>
      </c>
      <c r="C3381">
        <v>9</v>
      </c>
      <c r="D3381" t="str">
        <f>VLOOKUP(B3381,Products!$A:$E,2,FALSE)</f>
        <v>Product_438</v>
      </c>
      <c r="E3381" t="str">
        <f>VLOOKUP(B3381,Products!$A:$E,3,FALSE)</f>
        <v>Electronics</v>
      </c>
    </row>
    <row r="3382" spans="1:5" x14ac:dyDescent="0.3">
      <c r="A3382" t="s">
        <v>4392</v>
      </c>
      <c r="B3382" t="s">
        <v>692</v>
      </c>
      <c r="C3382">
        <v>78</v>
      </c>
      <c r="D3382" t="str">
        <f>VLOOKUP(B3382,Products!$A:$E,2,FALSE)</f>
        <v>Product_342</v>
      </c>
      <c r="E3382" t="str">
        <f>VLOOKUP(B3382,Products!$A:$E,3,FALSE)</f>
        <v>Accessories</v>
      </c>
    </row>
    <row r="3383" spans="1:5" x14ac:dyDescent="0.3">
      <c r="A3383" t="s">
        <v>4393</v>
      </c>
      <c r="B3383" t="s">
        <v>868</v>
      </c>
      <c r="C3383">
        <v>82</v>
      </c>
      <c r="D3383" t="str">
        <f>VLOOKUP(B3383,Products!$A:$E,2,FALSE)</f>
        <v>Product_430</v>
      </c>
      <c r="E3383" t="str">
        <f>VLOOKUP(B3383,Products!$A:$E,3,FALSE)</f>
        <v>Electronics</v>
      </c>
    </row>
    <row r="3384" spans="1:5" x14ac:dyDescent="0.3">
      <c r="A3384" t="s">
        <v>4394</v>
      </c>
      <c r="B3384" t="s">
        <v>314</v>
      </c>
      <c r="C3384">
        <v>47</v>
      </c>
      <c r="D3384" t="str">
        <f>VLOOKUP(B3384,Products!$A:$E,2,FALSE)</f>
        <v>Product_153</v>
      </c>
      <c r="E3384" t="str">
        <f>VLOOKUP(B3384,Products!$A:$E,3,FALSE)</f>
        <v>Electronics</v>
      </c>
    </row>
    <row r="3385" spans="1:5" x14ac:dyDescent="0.3">
      <c r="A3385" t="s">
        <v>4395</v>
      </c>
      <c r="B3385" t="s">
        <v>952</v>
      </c>
      <c r="C3385">
        <v>16</v>
      </c>
      <c r="D3385" t="str">
        <f>VLOOKUP(B3385,Products!$A:$E,2,FALSE)</f>
        <v>Product_472</v>
      </c>
      <c r="E3385" t="str">
        <f>VLOOKUP(B3385,Products!$A:$E,3,FALSE)</f>
        <v>Electronics</v>
      </c>
    </row>
    <row r="3386" spans="1:5" x14ac:dyDescent="0.3">
      <c r="A3386" t="s">
        <v>4396</v>
      </c>
      <c r="B3386" t="s">
        <v>60</v>
      </c>
      <c r="C3386">
        <v>18</v>
      </c>
      <c r="D3386" t="str">
        <f>VLOOKUP(B3386,Products!$A:$E,2,FALSE)</f>
        <v>Product_26</v>
      </c>
      <c r="E3386" t="str">
        <f>VLOOKUP(B3386,Products!$A:$E,3,FALSE)</f>
        <v>Office Supplies</v>
      </c>
    </row>
    <row r="3387" spans="1:5" x14ac:dyDescent="0.3">
      <c r="A3387" t="s">
        <v>4397</v>
      </c>
      <c r="B3387" t="s">
        <v>436</v>
      </c>
      <c r="C3387">
        <v>27</v>
      </c>
      <c r="D3387" t="str">
        <f>VLOOKUP(B3387,Products!$A:$E,2,FALSE)</f>
        <v>Product_214</v>
      </c>
      <c r="E3387" t="str">
        <f>VLOOKUP(B3387,Products!$A:$E,3,FALSE)</f>
        <v>Electronics</v>
      </c>
    </row>
    <row r="3388" spans="1:5" x14ac:dyDescent="0.3">
      <c r="A3388" t="s">
        <v>4398</v>
      </c>
      <c r="B3388" t="s">
        <v>174</v>
      </c>
      <c r="C3388">
        <v>91</v>
      </c>
      <c r="D3388" t="str">
        <f>VLOOKUP(B3388,Products!$A:$E,2,FALSE)</f>
        <v>Product_83</v>
      </c>
      <c r="E3388" t="str">
        <f>VLOOKUP(B3388,Products!$A:$E,3,FALSE)</f>
        <v>Accessories</v>
      </c>
    </row>
    <row r="3389" spans="1:5" x14ac:dyDescent="0.3">
      <c r="A3389" t="s">
        <v>4399</v>
      </c>
      <c r="B3389" t="s">
        <v>300</v>
      </c>
      <c r="C3389">
        <v>83</v>
      </c>
      <c r="D3389" t="str">
        <f>VLOOKUP(B3389,Products!$A:$E,2,FALSE)</f>
        <v>Product_146</v>
      </c>
      <c r="E3389" t="str">
        <f>VLOOKUP(B3389,Products!$A:$E,3,FALSE)</f>
        <v>Office Supplies</v>
      </c>
    </row>
    <row r="3390" spans="1:5" x14ac:dyDescent="0.3">
      <c r="A3390" t="s">
        <v>4400</v>
      </c>
      <c r="B3390" t="s">
        <v>686</v>
      </c>
      <c r="C3390">
        <v>93</v>
      </c>
      <c r="D3390" t="str">
        <f>VLOOKUP(B3390,Products!$A:$E,2,FALSE)</f>
        <v>Product_339</v>
      </c>
      <c r="E3390" t="str">
        <f>VLOOKUP(B3390,Products!$A:$E,3,FALSE)</f>
        <v>Storage</v>
      </c>
    </row>
    <row r="3391" spans="1:5" x14ac:dyDescent="0.3">
      <c r="A3391" t="s">
        <v>4401</v>
      </c>
      <c r="B3391" t="s">
        <v>726</v>
      </c>
      <c r="C3391">
        <v>81</v>
      </c>
      <c r="D3391" t="str">
        <f>VLOOKUP(B3391,Products!$A:$E,2,FALSE)</f>
        <v>Product_359</v>
      </c>
      <c r="E3391" t="str">
        <f>VLOOKUP(B3391,Products!$A:$E,3,FALSE)</f>
        <v>Electronics</v>
      </c>
    </row>
    <row r="3392" spans="1:5" x14ac:dyDescent="0.3">
      <c r="A3392" t="s">
        <v>4402</v>
      </c>
      <c r="B3392" t="s">
        <v>596</v>
      </c>
      <c r="C3392">
        <v>76</v>
      </c>
      <c r="D3392" t="str">
        <f>VLOOKUP(B3392,Products!$A:$E,2,FALSE)</f>
        <v>Product_294</v>
      </c>
      <c r="E3392" t="str">
        <f>VLOOKUP(B3392,Products!$A:$E,3,FALSE)</f>
        <v>Networking</v>
      </c>
    </row>
    <row r="3393" spans="1:5" x14ac:dyDescent="0.3">
      <c r="A3393" t="s">
        <v>4403</v>
      </c>
      <c r="B3393" t="s">
        <v>190</v>
      </c>
      <c r="C3393">
        <v>63</v>
      </c>
      <c r="D3393" t="str">
        <f>VLOOKUP(B3393,Products!$A:$E,2,FALSE)</f>
        <v>Product_91</v>
      </c>
      <c r="E3393" t="str">
        <f>VLOOKUP(B3393,Products!$A:$E,3,FALSE)</f>
        <v>Networking</v>
      </c>
    </row>
    <row r="3394" spans="1:5" x14ac:dyDescent="0.3">
      <c r="A3394" t="s">
        <v>4404</v>
      </c>
      <c r="B3394" t="s">
        <v>776</v>
      </c>
      <c r="C3394">
        <v>79</v>
      </c>
      <c r="D3394" t="str">
        <f>VLOOKUP(B3394,Products!$A:$E,2,FALSE)</f>
        <v>Product_384</v>
      </c>
      <c r="E3394" t="str">
        <f>VLOOKUP(B3394,Products!$A:$E,3,FALSE)</f>
        <v>Office Supplies</v>
      </c>
    </row>
    <row r="3395" spans="1:5" x14ac:dyDescent="0.3">
      <c r="A3395" t="s">
        <v>4405</v>
      </c>
      <c r="B3395" t="s">
        <v>378</v>
      </c>
      <c r="C3395">
        <v>9</v>
      </c>
      <c r="D3395" t="str">
        <f>VLOOKUP(B3395,Products!$A:$E,2,FALSE)</f>
        <v>Product_185</v>
      </c>
      <c r="E3395" t="str">
        <f>VLOOKUP(B3395,Products!$A:$E,3,FALSE)</f>
        <v>Storage</v>
      </c>
    </row>
    <row r="3396" spans="1:5" x14ac:dyDescent="0.3">
      <c r="A3396" t="s">
        <v>4406</v>
      </c>
      <c r="B3396" t="s">
        <v>104</v>
      </c>
      <c r="C3396">
        <v>43</v>
      </c>
      <c r="D3396" t="str">
        <f>VLOOKUP(B3396,Products!$A:$E,2,FALSE)</f>
        <v>Product_48</v>
      </c>
      <c r="E3396" t="str">
        <f>VLOOKUP(B3396,Products!$A:$E,3,FALSE)</f>
        <v>Accessories</v>
      </c>
    </row>
    <row r="3397" spans="1:5" x14ac:dyDescent="0.3">
      <c r="A3397" t="s">
        <v>4407</v>
      </c>
      <c r="B3397" t="s">
        <v>340</v>
      </c>
      <c r="C3397">
        <v>52</v>
      </c>
      <c r="D3397" t="str">
        <f>VLOOKUP(B3397,Products!$A:$E,2,FALSE)</f>
        <v>Product_166</v>
      </c>
      <c r="E3397" t="str">
        <f>VLOOKUP(B3397,Products!$A:$E,3,FALSE)</f>
        <v>Accessories</v>
      </c>
    </row>
    <row r="3398" spans="1:5" x14ac:dyDescent="0.3">
      <c r="A3398" t="s">
        <v>4408</v>
      </c>
      <c r="B3398" t="s">
        <v>928</v>
      </c>
      <c r="C3398">
        <v>53</v>
      </c>
      <c r="D3398" t="str">
        <f>VLOOKUP(B3398,Products!$A:$E,2,FALSE)</f>
        <v>Product_460</v>
      </c>
      <c r="E3398" t="str">
        <f>VLOOKUP(B3398,Products!$A:$E,3,FALSE)</f>
        <v>Accessories</v>
      </c>
    </row>
    <row r="3399" spans="1:5" x14ac:dyDescent="0.3">
      <c r="A3399" t="s">
        <v>4409</v>
      </c>
      <c r="B3399" t="s">
        <v>848</v>
      </c>
      <c r="C3399">
        <v>13</v>
      </c>
      <c r="D3399" t="str">
        <f>VLOOKUP(B3399,Products!$A:$E,2,FALSE)</f>
        <v>Product_420</v>
      </c>
      <c r="E3399" t="str">
        <f>VLOOKUP(B3399,Products!$A:$E,3,FALSE)</f>
        <v>Networking</v>
      </c>
    </row>
    <row r="3400" spans="1:5" x14ac:dyDescent="0.3">
      <c r="A3400" t="s">
        <v>4410</v>
      </c>
      <c r="B3400" t="s">
        <v>786</v>
      </c>
      <c r="C3400">
        <v>59</v>
      </c>
      <c r="D3400" t="str">
        <f>VLOOKUP(B3400,Products!$A:$E,2,FALSE)</f>
        <v>Product_389</v>
      </c>
      <c r="E3400" t="str">
        <f>VLOOKUP(B3400,Products!$A:$E,3,FALSE)</f>
        <v>Networking</v>
      </c>
    </row>
    <row r="3401" spans="1:5" x14ac:dyDescent="0.3">
      <c r="A3401" t="s">
        <v>4411</v>
      </c>
      <c r="B3401" t="s">
        <v>872</v>
      </c>
      <c r="C3401">
        <v>75</v>
      </c>
      <c r="D3401" t="str">
        <f>VLOOKUP(B3401,Products!$A:$E,2,FALSE)</f>
        <v>Product_432</v>
      </c>
      <c r="E3401" t="str">
        <f>VLOOKUP(B3401,Products!$A:$E,3,FALSE)</f>
        <v>Office Supplies</v>
      </c>
    </row>
    <row r="3402" spans="1:5" x14ac:dyDescent="0.3">
      <c r="A3402" t="s">
        <v>4412</v>
      </c>
      <c r="B3402" t="s">
        <v>76</v>
      </c>
      <c r="C3402">
        <v>42</v>
      </c>
      <c r="D3402" t="str">
        <f>VLOOKUP(B3402,Products!$A:$E,2,FALSE)</f>
        <v>Product_34</v>
      </c>
      <c r="E3402" t="str">
        <f>VLOOKUP(B3402,Products!$A:$E,3,FALSE)</f>
        <v>Office Supplies</v>
      </c>
    </row>
    <row r="3403" spans="1:5" x14ac:dyDescent="0.3">
      <c r="A3403" t="s">
        <v>4413</v>
      </c>
      <c r="B3403" t="s">
        <v>492</v>
      </c>
      <c r="C3403">
        <v>22</v>
      </c>
      <c r="D3403" t="str">
        <f>VLOOKUP(B3403,Products!$A:$E,2,FALSE)</f>
        <v>Product_242</v>
      </c>
      <c r="E3403" t="str">
        <f>VLOOKUP(B3403,Products!$A:$E,3,FALSE)</f>
        <v>Networking</v>
      </c>
    </row>
    <row r="3404" spans="1:5" x14ac:dyDescent="0.3">
      <c r="A3404" t="s">
        <v>4414</v>
      </c>
      <c r="B3404" t="s">
        <v>134</v>
      </c>
      <c r="C3404">
        <v>93</v>
      </c>
      <c r="D3404" t="str">
        <f>VLOOKUP(B3404,Products!$A:$E,2,FALSE)</f>
        <v>Product_63</v>
      </c>
      <c r="E3404" t="str">
        <f>VLOOKUP(B3404,Products!$A:$E,3,FALSE)</f>
        <v>Accessories</v>
      </c>
    </row>
    <row r="3405" spans="1:5" x14ac:dyDescent="0.3">
      <c r="A3405" t="s">
        <v>4415</v>
      </c>
      <c r="B3405" t="s">
        <v>890</v>
      </c>
      <c r="C3405">
        <v>40</v>
      </c>
      <c r="D3405" t="str">
        <f>VLOOKUP(B3405,Products!$A:$E,2,FALSE)</f>
        <v>Product_441</v>
      </c>
      <c r="E3405" t="str">
        <f>VLOOKUP(B3405,Products!$A:$E,3,FALSE)</f>
        <v>Storage</v>
      </c>
    </row>
    <row r="3406" spans="1:5" x14ac:dyDescent="0.3">
      <c r="A3406" t="s">
        <v>4416</v>
      </c>
      <c r="B3406" t="s">
        <v>346</v>
      </c>
      <c r="C3406">
        <v>72</v>
      </c>
      <c r="D3406" t="str">
        <f>VLOOKUP(B3406,Products!$A:$E,2,FALSE)</f>
        <v>Product_169</v>
      </c>
      <c r="E3406" t="str">
        <f>VLOOKUP(B3406,Products!$A:$E,3,FALSE)</f>
        <v>Accessories</v>
      </c>
    </row>
    <row r="3407" spans="1:5" x14ac:dyDescent="0.3">
      <c r="A3407" t="s">
        <v>4417</v>
      </c>
      <c r="B3407" t="s">
        <v>432</v>
      </c>
      <c r="C3407">
        <v>72</v>
      </c>
      <c r="D3407" t="str">
        <f>VLOOKUP(B3407,Products!$A:$E,2,FALSE)</f>
        <v>Product_212</v>
      </c>
      <c r="E3407" t="str">
        <f>VLOOKUP(B3407,Products!$A:$E,3,FALSE)</f>
        <v>Networking</v>
      </c>
    </row>
    <row r="3408" spans="1:5" x14ac:dyDescent="0.3">
      <c r="A3408" t="s">
        <v>4418</v>
      </c>
      <c r="B3408" t="s">
        <v>224</v>
      </c>
      <c r="C3408">
        <v>94</v>
      </c>
      <c r="D3408" t="str">
        <f>VLOOKUP(B3408,Products!$A:$E,2,FALSE)</f>
        <v>Product_108</v>
      </c>
      <c r="E3408" t="str">
        <f>VLOOKUP(B3408,Products!$A:$E,3,FALSE)</f>
        <v>Networking</v>
      </c>
    </row>
    <row r="3409" spans="1:5" x14ac:dyDescent="0.3">
      <c r="A3409" t="s">
        <v>4419</v>
      </c>
      <c r="B3409" t="s">
        <v>224</v>
      </c>
      <c r="C3409">
        <v>83</v>
      </c>
      <c r="D3409" t="str">
        <f>VLOOKUP(B3409,Products!$A:$E,2,FALSE)</f>
        <v>Product_108</v>
      </c>
      <c r="E3409" t="str">
        <f>VLOOKUP(B3409,Products!$A:$E,3,FALSE)</f>
        <v>Networking</v>
      </c>
    </row>
    <row r="3410" spans="1:5" x14ac:dyDescent="0.3">
      <c r="A3410" t="s">
        <v>4420</v>
      </c>
      <c r="B3410" t="s">
        <v>68</v>
      </c>
      <c r="C3410">
        <v>18</v>
      </c>
      <c r="D3410" t="str">
        <f>VLOOKUP(B3410,Products!$A:$E,2,FALSE)</f>
        <v>Product_30</v>
      </c>
      <c r="E3410" t="str">
        <f>VLOOKUP(B3410,Products!$A:$E,3,FALSE)</f>
        <v>Accessories</v>
      </c>
    </row>
    <row r="3411" spans="1:5" x14ac:dyDescent="0.3">
      <c r="A3411" t="s">
        <v>4421</v>
      </c>
      <c r="B3411" t="s">
        <v>594</v>
      </c>
      <c r="C3411">
        <v>98</v>
      </c>
      <c r="D3411" t="str">
        <f>VLOOKUP(B3411,Products!$A:$E,2,FALSE)</f>
        <v>Product_293</v>
      </c>
      <c r="E3411" t="str">
        <f>VLOOKUP(B3411,Products!$A:$E,3,FALSE)</f>
        <v>Networking</v>
      </c>
    </row>
    <row r="3412" spans="1:5" x14ac:dyDescent="0.3">
      <c r="A3412" t="s">
        <v>4422</v>
      </c>
      <c r="B3412" t="s">
        <v>654</v>
      </c>
      <c r="C3412">
        <v>72</v>
      </c>
      <c r="D3412" t="str">
        <f>VLOOKUP(B3412,Products!$A:$E,2,FALSE)</f>
        <v>Product_323</v>
      </c>
      <c r="E3412" t="str">
        <f>VLOOKUP(B3412,Products!$A:$E,3,FALSE)</f>
        <v>Electronics</v>
      </c>
    </row>
    <row r="3413" spans="1:5" x14ac:dyDescent="0.3">
      <c r="A3413" t="s">
        <v>4423</v>
      </c>
      <c r="B3413" t="s">
        <v>98</v>
      </c>
      <c r="C3413">
        <v>66</v>
      </c>
      <c r="D3413" t="str">
        <f>VLOOKUP(B3413,Products!$A:$E,2,FALSE)</f>
        <v>Product_45</v>
      </c>
      <c r="E3413" t="str">
        <f>VLOOKUP(B3413,Products!$A:$E,3,FALSE)</f>
        <v>Accessories</v>
      </c>
    </row>
    <row r="3414" spans="1:5" x14ac:dyDescent="0.3">
      <c r="A3414" t="s">
        <v>4424</v>
      </c>
      <c r="B3414" t="s">
        <v>750</v>
      </c>
      <c r="C3414">
        <v>93</v>
      </c>
      <c r="D3414" t="str">
        <f>VLOOKUP(B3414,Products!$A:$E,2,FALSE)</f>
        <v>Product_371</v>
      </c>
      <c r="E3414" t="str">
        <f>VLOOKUP(B3414,Products!$A:$E,3,FALSE)</f>
        <v>Storage</v>
      </c>
    </row>
    <row r="3415" spans="1:5" x14ac:dyDescent="0.3">
      <c r="A3415" t="s">
        <v>4425</v>
      </c>
      <c r="B3415" t="s">
        <v>628</v>
      </c>
      <c r="C3415">
        <v>95</v>
      </c>
      <c r="D3415" t="str">
        <f>VLOOKUP(B3415,Products!$A:$E,2,FALSE)</f>
        <v>Product_310</v>
      </c>
      <c r="E3415" t="str">
        <f>VLOOKUP(B3415,Products!$A:$E,3,FALSE)</f>
        <v>Office Supplies</v>
      </c>
    </row>
    <row r="3416" spans="1:5" x14ac:dyDescent="0.3">
      <c r="A3416" t="s">
        <v>4426</v>
      </c>
      <c r="B3416" t="s">
        <v>304</v>
      </c>
      <c r="C3416">
        <v>59</v>
      </c>
      <c r="D3416" t="str">
        <f>VLOOKUP(B3416,Products!$A:$E,2,FALSE)</f>
        <v>Product_148</v>
      </c>
      <c r="E3416" t="str">
        <f>VLOOKUP(B3416,Products!$A:$E,3,FALSE)</f>
        <v>Electronics</v>
      </c>
    </row>
    <row r="3417" spans="1:5" x14ac:dyDescent="0.3">
      <c r="A3417" t="s">
        <v>4427</v>
      </c>
      <c r="B3417" t="s">
        <v>632</v>
      </c>
      <c r="C3417">
        <v>45</v>
      </c>
      <c r="D3417" t="str">
        <f>VLOOKUP(B3417,Products!$A:$E,2,FALSE)</f>
        <v>Product_312</v>
      </c>
      <c r="E3417" t="str">
        <f>VLOOKUP(B3417,Products!$A:$E,3,FALSE)</f>
        <v>Office Supplies</v>
      </c>
    </row>
    <row r="3418" spans="1:5" x14ac:dyDescent="0.3">
      <c r="A3418" t="s">
        <v>4428</v>
      </c>
      <c r="B3418" t="s">
        <v>274</v>
      </c>
      <c r="C3418">
        <v>72</v>
      </c>
      <c r="D3418" t="str">
        <f>VLOOKUP(B3418,Products!$A:$E,2,FALSE)</f>
        <v>Product_133</v>
      </c>
      <c r="E3418" t="str">
        <f>VLOOKUP(B3418,Products!$A:$E,3,FALSE)</f>
        <v>Office Supplies</v>
      </c>
    </row>
    <row r="3419" spans="1:5" x14ac:dyDescent="0.3">
      <c r="A3419" t="s">
        <v>4429</v>
      </c>
      <c r="B3419" t="s">
        <v>598</v>
      </c>
      <c r="C3419">
        <v>84</v>
      </c>
      <c r="D3419" t="str">
        <f>VLOOKUP(B3419,Products!$A:$E,2,FALSE)</f>
        <v>Product_295</v>
      </c>
      <c r="E3419" t="str">
        <f>VLOOKUP(B3419,Products!$A:$E,3,FALSE)</f>
        <v>Networking</v>
      </c>
    </row>
    <row r="3420" spans="1:5" x14ac:dyDescent="0.3">
      <c r="A3420" t="s">
        <v>4430</v>
      </c>
      <c r="B3420" t="s">
        <v>372</v>
      </c>
      <c r="C3420">
        <v>21</v>
      </c>
      <c r="D3420" t="str">
        <f>VLOOKUP(B3420,Products!$A:$E,2,FALSE)</f>
        <v>Product_182</v>
      </c>
      <c r="E3420" t="str">
        <f>VLOOKUP(B3420,Products!$A:$E,3,FALSE)</f>
        <v>Storage</v>
      </c>
    </row>
    <row r="3421" spans="1:5" x14ac:dyDescent="0.3">
      <c r="A3421" t="s">
        <v>4431</v>
      </c>
      <c r="B3421" t="s">
        <v>638</v>
      </c>
      <c r="C3421">
        <v>77</v>
      </c>
      <c r="D3421" t="str">
        <f>VLOOKUP(B3421,Products!$A:$E,2,FALSE)</f>
        <v>Product_315</v>
      </c>
      <c r="E3421" t="str">
        <f>VLOOKUP(B3421,Products!$A:$E,3,FALSE)</f>
        <v>Accessories</v>
      </c>
    </row>
    <row r="3422" spans="1:5" x14ac:dyDescent="0.3">
      <c r="A3422" t="s">
        <v>4432</v>
      </c>
      <c r="B3422" t="s">
        <v>518</v>
      </c>
      <c r="C3422">
        <v>71</v>
      </c>
      <c r="D3422" t="str">
        <f>VLOOKUP(B3422,Products!$A:$E,2,FALSE)</f>
        <v>Product_255</v>
      </c>
      <c r="E3422" t="str">
        <f>VLOOKUP(B3422,Products!$A:$E,3,FALSE)</f>
        <v>Accessories</v>
      </c>
    </row>
    <row r="3423" spans="1:5" x14ac:dyDescent="0.3">
      <c r="A3423" t="s">
        <v>4433</v>
      </c>
      <c r="B3423" t="s">
        <v>756</v>
      </c>
      <c r="C3423">
        <v>85</v>
      </c>
      <c r="D3423" t="str">
        <f>VLOOKUP(B3423,Products!$A:$E,2,FALSE)</f>
        <v>Product_374</v>
      </c>
      <c r="E3423" t="str">
        <f>VLOOKUP(B3423,Products!$A:$E,3,FALSE)</f>
        <v>Office Supplies</v>
      </c>
    </row>
    <row r="3424" spans="1:5" x14ac:dyDescent="0.3">
      <c r="A3424" t="s">
        <v>4434</v>
      </c>
      <c r="B3424" t="s">
        <v>518</v>
      </c>
      <c r="C3424">
        <v>68</v>
      </c>
      <c r="D3424" t="str">
        <f>VLOOKUP(B3424,Products!$A:$E,2,FALSE)</f>
        <v>Product_255</v>
      </c>
      <c r="E3424" t="str">
        <f>VLOOKUP(B3424,Products!$A:$E,3,FALSE)</f>
        <v>Accessories</v>
      </c>
    </row>
    <row r="3425" spans="1:5" x14ac:dyDescent="0.3">
      <c r="A3425" t="s">
        <v>4435</v>
      </c>
      <c r="B3425" t="s">
        <v>836</v>
      </c>
      <c r="C3425">
        <v>28</v>
      </c>
      <c r="D3425" t="str">
        <f>VLOOKUP(B3425,Products!$A:$E,2,FALSE)</f>
        <v>Product_414</v>
      </c>
      <c r="E3425" t="str">
        <f>VLOOKUP(B3425,Products!$A:$E,3,FALSE)</f>
        <v>Office Supplies</v>
      </c>
    </row>
    <row r="3426" spans="1:5" x14ac:dyDescent="0.3">
      <c r="A3426" t="s">
        <v>4436</v>
      </c>
      <c r="B3426" t="s">
        <v>914</v>
      </c>
      <c r="C3426">
        <v>83</v>
      </c>
      <c r="D3426" t="str">
        <f>VLOOKUP(B3426,Products!$A:$E,2,FALSE)</f>
        <v>Product_453</v>
      </c>
      <c r="E3426" t="str">
        <f>VLOOKUP(B3426,Products!$A:$E,3,FALSE)</f>
        <v>Office Supplies</v>
      </c>
    </row>
    <row r="3427" spans="1:5" x14ac:dyDescent="0.3">
      <c r="A3427" t="s">
        <v>4437</v>
      </c>
      <c r="B3427" t="s">
        <v>248</v>
      </c>
      <c r="C3427">
        <v>95</v>
      </c>
      <c r="D3427" t="str">
        <f>VLOOKUP(B3427,Products!$A:$E,2,FALSE)</f>
        <v>Product_120</v>
      </c>
      <c r="E3427" t="str">
        <f>VLOOKUP(B3427,Products!$A:$E,3,FALSE)</f>
        <v>Accessories</v>
      </c>
    </row>
    <row r="3428" spans="1:5" x14ac:dyDescent="0.3">
      <c r="A3428" t="s">
        <v>4438</v>
      </c>
      <c r="B3428" t="s">
        <v>306</v>
      </c>
      <c r="C3428">
        <v>29</v>
      </c>
      <c r="D3428" t="str">
        <f>VLOOKUP(B3428,Products!$A:$E,2,FALSE)</f>
        <v>Product_149</v>
      </c>
      <c r="E3428" t="str">
        <f>VLOOKUP(B3428,Products!$A:$E,3,FALSE)</f>
        <v>Accessories</v>
      </c>
    </row>
    <row r="3429" spans="1:5" x14ac:dyDescent="0.3">
      <c r="A3429" t="s">
        <v>4439</v>
      </c>
      <c r="B3429" t="s">
        <v>5</v>
      </c>
      <c r="C3429">
        <v>20</v>
      </c>
      <c r="D3429" t="str">
        <f>VLOOKUP(B3429,Products!$A:$E,2,FALSE)</f>
        <v>Product_1</v>
      </c>
      <c r="E3429" t="str">
        <f>VLOOKUP(B3429,Products!$A:$E,3,FALSE)</f>
        <v>Electronics</v>
      </c>
    </row>
    <row r="3430" spans="1:5" x14ac:dyDescent="0.3">
      <c r="A3430" t="s">
        <v>4440</v>
      </c>
      <c r="B3430" t="s">
        <v>34</v>
      </c>
      <c r="C3430">
        <v>64</v>
      </c>
      <c r="D3430" t="str">
        <f>VLOOKUP(B3430,Products!$A:$E,2,FALSE)</f>
        <v>Product_13</v>
      </c>
      <c r="E3430" t="str">
        <f>VLOOKUP(B3430,Products!$A:$E,3,FALSE)</f>
        <v>Office Supplies</v>
      </c>
    </row>
    <row r="3431" spans="1:5" x14ac:dyDescent="0.3">
      <c r="A3431" t="s">
        <v>4441</v>
      </c>
      <c r="B3431" t="s">
        <v>650</v>
      </c>
      <c r="C3431">
        <v>20</v>
      </c>
      <c r="D3431" t="str">
        <f>VLOOKUP(B3431,Products!$A:$E,2,FALSE)</f>
        <v>Product_321</v>
      </c>
      <c r="E3431" t="str">
        <f>VLOOKUP(B3431,Products!$A:$E,3,FALSE)</f>
        <v>Electronics</v>
      </c>
    </row>
    <row r="3432" spans="1:5" x14ac:dyDescent="0.3">
      <c r="A3432" t="s">
        <v>4442</v>
      </c>
      <c r="B3432" t="s">
        <v>764</v>
      </c>
      <c r="C3432">
        <v>31</v>
      </c>
      <c r="D3432" t="str">
        <f>VLOOKUP(B3432,Products!$A:$E,2,FALSE)</f>
        <v>Product_378</v>
      </c>
      <c r="E3432" t="str">
        <f>VLOOKUP(B3432,Products!$A:$E,3,FALSE)</f>
        <v>Electronics</v>
      </c>
    </row>
    <row r="3433" spans="1:5" x14ac:dyDescent="0.3">
      <c r="A3433" t="s">
        <v>4443</v>
      </c>
      <c r="B3433" t="s">
        <v>828</v>
      </c>
      <c r="C3433">
        <v>83</v>
      </c>
      <c r="D3433" t="str">
        <f>VLOOKUP(B3433,Products!$A:$E,2,FALSE)</f>
        <v>Product_410</v>
      </c>
      <c r="E3433" t="str">
        <f>VLOOKUP(B3433,Products!$A:$E,3,FALSE)</f>
        <v>Storage</v>
      </c>
    </row>
    <row r="3434" spans="1:5" x14ac:dyDescent="0.3">
      <c r="A3434" t="s">
        <v>4444</v>
      </c>
      <c r="B3434" t="s">
        <v>434</v>
      </c>
      <c r="C3434">
        <v>57</v>
      </c>
      <c r="D3434" t="str">
        <f>VLOOKUP(B3434,Products!$A:$E,2,FALSE)</f>
        <v>Product_213</v>
      </c>
      <c r="E3434" t="str">
        <f>VLOOKUP(B3434,Products!$A:$E,3,FALSE)</f>
        <v>Accessories</v>
      </c>
    </row>
    <row r="3435" spans="1:5" x14ac:dyDescent="0.3">
      <c r="A3435" t="s">
        <v>4445</v>
      </c>
      <c r="B3435" t="s">
        <v>56</v>
      </c>
      <c r="C3435">
        <v>47</v>
      </c>
      <c r="D3435" t="str">
        <f>VLOOKUP(B3435,Products!$A:$E,2,FALSE)</f>
        <v>Product_24</v>
      </c>
      <c r="E3435" t="str">
        <f>VLOOKUP(B3435,Products!$A:$E,3,FALSE)</f>
        <v>Accessories</v>
      </c>
    </row>
    <row r="3436" spans="1:5" x14ac:dyDescent="0.3">
      <c r="A3436" t="s">
        <v>4446</v>
      </c>
      <c r="B3436" t="s">
        <v>368</v>
      </c>
      <c r="C3436">
        <v>76</v>
      </c>
      <c r="D3436" t="str">
        <f>VLOOKUP(B3436,Products!$A:$E,2,FALSE)</f>
        <v>Product_180</v>
      </c>
      <c r="E3436" t="str">
        <f>VLOOKUP(B3436,Products!$A:$E,3,FALSE)</f>
        <v>Office Supplies</v>
      </c>
    </row>
    <row r="3437" spans="1:5" x14ac:dyDescent="0.3">
      <c r="A3437" t="s">
        <v>4447</v>
      </c>
      <c r="B3437" t="s">
        <v>834</v>
      </c>
      <c r="C3437">
        <v>86</v>
      </c>
      <c r="D3437" t="str">
        <f>VLOOKUP(B3437,Products!$A:$E,2,FALSE)</f>
        <v>Product_413</v>
      </c>
      <c r="E3437" t="str">
        <f>VLOOKUP(B3437,Products!$A:$E,3,FALSE)</f>
        <v>Accessories</v>
      </c>
    </row>
    <row r="3438" spans="1:5" x14ac:dyDescent="0.3">
      <c r="A3438" t="s">
        <v>4448</v>
      </c>
      <c r="B3438" t="s">
        <v>226</v>
      </c>
      <c r="C3438">
        <v>6</v>
      </c>
      <c r="D3438" t="str">
        <f>VLOOKUP(B3438,Products!$A:$E,2,FALSE)</f>
        <v>Product_109</v>
      </c>
      <c r="E3438" t="str">
        <f>VLOOKUP(B3438,Products!$A:$E,3,FALSE)</f>
        <v>Storage</v>
      </c>
    </row>
    <row r="3439" spans="1:5" x14ac:dyDescent="0.3">
      <c r="A3439" t="s">
        <v>4449</v>
      </c>
      <c r="B3439" t="s">
        <v>664</v>
      </c>
      <c r="C3439">
        <v>30</v>
      </c>
      <c r="D3439" t="str">
        <f>VLOOKUP(B3439,Products!$A:$E,2,FALSE)</f>
        <v>Product_328</v>
      </c>
      <c r="E3439" t="str">
        <f>VLOOKUP(B3439,Products!$A:$E,3,FALSE)</f>
        <v>Office Supplies</v>
      </c>
    </row>
    <row r="3440" spans="1:5" x14ac:dyDescent="0.3">
      <c r="A3440" t="s">
        <v>4450</v>
      </c>
      <c r="B3440" t="s">
        <v>716</v>
      </c>
      <c r="C3440">
        <v>41</v>
      </c>
      <c r="D3440" t="str">
        <f>VLOOKUP(B3440,Products!$A:$E,2,FALSE)</f>
        <v>Product_354</v>
      </c>
      <c r="E3440" t="str">
        <f>VLOOKUP(B3440,Products!$A:$E,3,FALSE)</f>
        <v>Storage</v>
      </c>
    </row>
    <row r="3441" spans="1:5" x14ac:dyDescent="0.3">
      <c r="A3441" t="s">
        <v>4451</v>
      </c>
      <c r="B3441" t="s">
        <v>270</v>
      </c>
      <c r="C3441">
        <v>13</v>
      </c>
      <c r="D3441" t="str">
        <f>VLOOKUP(B3441,Products!$A:$E,2,FALSE)</f>
        <v>Product_131</v>
      </c>
      <c r="E3441" t="str">
        <f>VLOOKUP(B3441,Products!$A:$E,3,FALSE)</f>
        <v>Electronics</v>
      </c>
    </row>
    <row r="3442" spans="1:5" x14ac:dyDescent="0.3">
      <c r="A3442" t="s">
        <v>4452</v>
      </c>
      <c r="B3442" t="s">
        <v>324</v>
      </c>
      <c r="C3442">
        <v>43</v>
      </c>
      <c r="D3442" t="str">
        <f>VLOOKUP(B3442,Products!$A:$E,2,FALSE)</f>
        <v>Product_158</v>
      </c>
      <c r="E3442" t="str">
        <f>VLOOKUP(B3442,Products!$A:$E,3,FALSE)</f>
        <v>Electronics</v>
      </c>
    </row>
    <row r="3443" spans="1:5" x14ac:dyDescent="0.3">
      <c r="A3443" t="s">
        <v>4453</v>
      </c>
      <c r="B3443" t="s">
        <v>528</v>
      </c>
      <c r="C3443">
        <v>75</v>
      </c>
      <c r="D3443" t="str">
        <f>VLOOKUP(B3443,Products!$A:$E,2,FALSE)</f>
        <v>Product_260</v>
      </c>
      <c r="E3443" t="str">
        <f>VLOOKUP(B3443,Products!$A:$E,3,FALSE)</f>
        <v>Storage</v>
      </c>
    </row>
    <row r="3444" spans="1:5" x14ac:dyDescent="0.3">
      <c r="A3444" t="s">
        <v>4454</v>
      </c>
      <c r="B3444" t="s">
        <v>340</v>
      </c>
      <c r="C3444">
        <v>5</v>
      </c>
      <c r="D3444" t="str">
        <f>VLOOKUP(B3444,Products!$A:$E,2,FALSE)</f>
        <v>Product_166</v>
      </c>
      <c r="E3444" t="str">
        <f>VLOOKUP(B3444,Products!$A:$E,3,FALSE)</f>
        <v>Accessories</v>
      </c>
    </row>
    <row r="3445" spans="1:5" x14ac:dyDescent="0.3">
      <c r="A3445" t="s">
        <v>4455</v>
      </c>
      <c r="B3445" t="s">
        <v>126</v>
      </c>
      <c r="C3445">
        <v>92</v>
      </c>
      <c r="D3445" t="str">
        <f>VLOOKUP(B3445,Products!$A:$E,2,FALSE)</f>
        <v>Product_59</v>
      </c>
      <c r="E3445" t="str">
        <f>VLOOKUP(B3445,Products!$A:$E,3,FALSE)</f>
        <v>Accessories</v>
      </c>
    </row>
    <row r="3446" spans="1:5" x14ac:dyDescent="0.3">
      <c r="A3446" t="s">
        <v>4456</v>
      </c>
      <c r="B3446" t="s">
        <v>350</v>
      </c>
      <c r="C3446">
        <v>48</v>
      </c>
      <c r="D3446" t="str">
        <f>VLOOKUP(B3446,Products!$A:$E,2,FALSE)</f>
        <v>Product_171</v>
      </c>
      <c r="E3446" t="str">
        <f>VLOOKUP(B3446,Products!$A:$E,3,FALSE)</f>
        <v>Electronics</v>
      </c>
    </row>
    <row r="3447" spans="1:5" x14ac:dyDescent="0.3">
      <c r="A3447" t="s">
        <v>4457</v>
      </c>
      <c r="B3447" t="s">
        <v>414</v>
      </c>
      <c r="C3447">
        <v>97</v>
      </c>
      <c r="D3447" t="str">
        <f>VLOOKUP(B3447,Products!$A:$E,2,FALSE)</f>
        <v>Product_203</v>
      </c>
      <c r="E3447" t="str">
        <f>VLOOKUP(B3447,Products!$A:$E,3,FALSE)</f>
        <v>Accessories</v>
      </c>
    </row>
    <row r="3448" spans="1:5" x14ac:dyDescent="0.3">
      <c r="A3448" t="s">
        <v>4458</v>
      </c>
      <c r="B3448" t="s">
        <v>592</v>
      </c>
      <c r="C3448">
        <v>83</v>
      </c>
      <c r="D3448" t="str">
        <f>VLOOKUP(B3448,Products!$A:$E,2,FALSE)</f>
        <v>Product_292</v>
      </c>
      <c r="E3448" t="str">
        <f>VLOOKUP(B3448,Products!$A:$E,3,FALSE)</f>
        <v>Networking</v>
      </c>
    </row>
    <row r="3449" spans="1:5" x14ac:dyDescent="0.3">
      <c r="A3449" t="s">
        <v>4459</v>
      </c>
      <c r="B3449" t="s">
        <v>992</v>
      </c>
      <c r="C3449">
        <v>8</v>
      </c>
      <c r="D3449" t="str">
        <f>VLOOKUP(B3449,Products!$A:$E,2,FALSE)</f>
        <v>Product_492</v>
      </c>
      <c r="E3449" t="str">
        <f>VLOOKUP(B3449,Products!$A:$E,3,FALSE)</f>
        <v>Electronics</v>
      </c>
    </row>
    <row r="3450" spans="1:5" x14ac:dyDescent="0.3">
      <c r="A3450" t="s">
        <v>4460</v>
      </c>
      <c r="B3450" t="s">
        <v>862</v>
      </c>
      <c r="C3450">
        <v>27</v>
      </c>
      <c r="D3450" t="str">
        <f>VLOOKUP(B3450,Products!$A:$E,2,FALSE)</f>
        <v>Product_427</v>
      </c>
      <c r="E3450" t="str">
        <f>VLOOKUP(B3450,Products!$A:$E,3,FALSE)</f>
        <v>Networking</v>
      </c>
    </row>
    <row r="3451" spans="1:5" x14ac:dyDescent="0.3">
      <c r="A3451" t="s">
        <v>4461</v>
      </c>
      <c r="B3451" t="s">
        <v>208</v>
      </c>
      <c r="C3451">
        <v>47</v>
      </c>
      <c r="D3451" t="str">
        <f>VLOOKUP(B3451,Products!$A:$E,2,FALSE)</f>
        <v>Product_100</v>
      </c>
      <c r="E3451" t="str">
        <f>VLOOKUP(B3451,Products!$A:$E,3,FALSE)</f>
        <v>Accessories</v>
      </c>
    </row>
    <row r="3452" spans="1:5" x14ac:dyDescent="0.3">
      <c r="A3452" t="s">
        <v>4462</v>
      </c>
      <c r="B3452" t="s">
        <v>862</v>
      </c>
      <c r="C3452">
        <v>48</v>
      </c>
      <c r="D3452" t="str">
        <f>VLOOKUP(B3452,Products!$A:$E,2,FALSE)</f>
        <v>Product_427</v>
      </c>
      <c r="E3452" t="str">
        <f>VLOOKUP(B3452,Products!$A:$E,3,FALSE)</f>
        <v>Networking</v>
      </c>
    </row>
    <row r="3453" spans="1:5" x14ac:dyDescent="0.3">
      <c r="A3453" t="s">
        <v>4463</v>
      </c>
      <c r="B3453" t="s">
        <v>954</v>
      </c>
      <c r="C3453">
        <v>91</v>
      </c>
      <c r="D3453" t="str">
        <f>VLOOKUP(B3453,Products!$A:$E,2,FALSE)</f>
        <v>Product_473</v>
      </c>
      <c r="E3453" t="str">
        <f>VLOOKUP(B3453,Products!$A:$E,3,FALSE)</f>
        <v>Accessories</v>
      </c>
    </row>
    <row r="3454" spans="1:5" x14ac:dyDescent="0.3">
      <c r="A3454" t="s">
        <v>4464</v>
      </c>
      <c r="B3454" t="s">
        <v>500</v>
      </c>
      <c r="C3454">
        <v>65</v>
      </c>
      <c r="D3454" t="str">
        <f>VLOOKUP(B3454,Products!$A:$E,2,FALSE)</f>
        <v>Product_246</v>
      </c>
      <c r="E3454" t="str">
        <f>VLOOKUP(B3454,Products!$A:$E,3,FALSE)</f>
        <v>Electronics</v>
      </c>
    </row>
    <row r="3455" spans="1:5" x14ac:dyDescent="0.3">
      <c r="A3455" t="s">
        <v>4465</v>
      </c>
      <c r="B3455" t="s">
        <v>826</v>
      </c>
      <c r="C3455">
        <v>9</v>
      </c>
      <c r="D3455" t="str">
        <f>VLOOKUP(B3455,Products!$A:$E,2,FALSE)</f>
        <v>Product_409</v>
      </c>
      <c r="E3455" t="str">
        <f>VLOOKUP(B3455,Products!$A:$E,3,FALSE)</f>
        <v>Office Supplies</v>
      </c>
    </row>
    <row r="3456" spans="1:5" x14ac:dyDescent="0.3">
      <c r="A3456" t="s">
        <v>4466</v>
      </c>
      <c r="B3456" t="s">
        <v>670</v>
      </c>
      <c r="C3456">
        <v>22</v>
      </c>
      <c r="D3456" t="str">
        <f>VLOOKUP(B3456,Products!$A:$E,2,FALSE)</f>
        <v>Product_331</v>
      </c>
      <c r="E3456" t="str">
        <f>VLOOKUP(B3456,Products!$A:$E,3,FALSE)</f>
        <v>Electronics</v>
      </c>
    </row>
    <row r="3457" spans="1:5" x14ac:dyDescent="0.3">
      <c r="A3457" t="s">
        <v>4467</v>
      </c>
      <c r="B3457" t="s">
        <v>502</v>
      </c>
      <c r="C3457">
        <v>24</v>
      </c>
      <c r="D3457" t="str">
        <f>VLOOKUP(B3457,Products!$A:$E,2,FALSE)</f>
        <v>Product_247</v>
      </c>
      <c r="E3457" t="str">
        <f>VLOOKUP(B3457,Products!$A:$E,3,FALSE)</f>
        <v>Networking</v>
      </c>
    </row>
    <row r="3458" spans="1:5" x14ac:dyDescent="0.3">
      <c r="A3458" t="s">
        <v>4468</v>
      </c>
      <c r="B3458" t="s">
        <v>652</v>
      </c>
      <c r="C3458">
        <v>63</v>
      </c>
      <c r="D3458" t="str">
        <f>VLOOKUP(B3458,Products!$A:$E,2,FALSE)</f>
        <v>Product_322</v>
      </c>
      <c r="E3458" t="str">
        <f>VLOOKUP(B3458,Products!$A:$E,3,FALSE)</f>
        <v>Accessories</v>
      </c>
    </row>
    <row r="3459" spans="1:5" x14ac:dyDescent="0.3">
      <c r="A3459" t="s">
        <v>4469</v>
      </c>
      <c r="B3459" t="s">
        <v>922</v>
      </c>
      <c r="C3459">
        <v>73</v>
      </c>
      <c r="D3459" t="str">
        <f>VLOOKUP(B3459,Products!$A:$E,2,FALSE)</f>
        <v>Product_457</v>
      </c>
      <c r="E3459" t="str">
        <f>VLOOKUP(B3459,Products!$A:$E,3,FALSE)</f>
        <v>Networking</v>
      </c>
    </row>
    <row r="3460" spans="1:5" x14ac:dyDescent="0.3">
      <c r="A3460" t="s">
        <v>4470</v>
      </c>
      <c r="B3460" t="s">
        <v>926</v>
      </c>
      <c r="C3460">
        <v>47</v>
      </c>
      <c r="D3460" t="str">
        <f>VLOOKUP(B3460,Products!$A:$E,2,FALSE)</f>
        <v>Product_459</v>
      </c>
      <c r="E3460" t="str">
        <f>VLOOKUP(B3460,Products!$A:$E,3,FALSE)</f>
        <v>Office Supplies</v>
      </c>
    </row>
    <row r="3461" spans="1:5" x14ac:dyDescent="0.3">
      <c r="A3461" t="s">
        <v>4471</v>
      </c>
      <c r="B3461" t="s">
        <v>482</v>
      </c>
      <c r="C3461">
        <v>57</v>
      </c>
      <c r="D3461" t="str">
        <f>VLOOKUP(B3461,Products!$A:$E,2,FALSE)</f>
        <v>Product_237</v>
      </c>
      <c r="E3461" t="str">
        <f>VLOOKUP(B3461,Products!$A:$E,3,FALSE)</f>
        <v>Networking</v>
      </c>
    </row>
    <row r="3462" spans="1:5" x14ac:dyDescent="0.3">
      <c r="A3462" t="s">
        <v>4472</v>
      </c>
      <c r="B3462" t="s">
        <v>960</v>
      </c>
      <c r="C3462">
        <v>100</v>
      </c>
      <c r="D3462" t="str">
        <f>VLOOKUP(B3462,Products!$A:$E,2,FALSE)</f>
        <v>Product_476</v>
      </c>
      <c r="E3462" t="str">
        <f>VLOOKUP(B3462,Products!$A:$E,3,FALSE)</f>
        <v>Office Supplies</v>
      </c>
    </row>
    <row r="3463" spans="1:5" x14ac:dyDescent="0.3">
      <c r="A3463" t="s">
        <v>4473</v>
      </c>
      <c r="B3463" t="s">
        <v>66</v>
      </c>
      <c r="C3463">
        <v>71</v>
      </c>
      <c r="D3463" t="str">
        <f>VLOOKUP(B3463,Products!$A:$E,2,FALSE)</f>
        <v>Product_29</v>
      </c>
      <c r="E3463" t="str">
        <f>VLOOKUP(B3463,Products!$A:$E,3,FALSE)</f>
        <v>Electronics</v>
      </c>
    </row>
    <row r="3464" spans="1:5" x14ac:dyDescent="0.3">
      <c r="A3464" t="s">
        <v>4474</v>
      </c>
      <c r="B3464" t="s">
        <v>316</v>
      </c>
      <c r="C3464">
        <v>77</v>
      </c>
      <c r="D3464" t="str">
        <f>VLOOKUP(B3464,Products!$A:$E,2,FALSE)</f>
        <v>Product_154</v>
      </c>
      <c r="E3464" t="str">
        <f>VLOOKUP(B3464,Products!$A:$E,3,FALSE)</f>
        <v>Accessories</v>
      </c>
    </row>
    <row r="3465" spans="1:5" x14ac:dyDescent="0.3">
      <c r="A3465" t="s">
        <v>4475</v>
      </c>
      <c r="B3465" t="s">
        <v>752</v>
      </c>
      <c r="C3465">
        <v>91</v>
      </c>
      <c r="D3465" t="str">
        <f>VLOOKUP(B3465,Products!$A:$E,2,FALSE)</f>
        <v>Product_372</v>
      </c>
      <c r="E3465" t="str">
        <f>VLOOKUP(B3465,Products!$A:$E,3,FALSE)</f>
        <v>Networking</v>
      </c>
    </row>
    <row r="3466" spans="1:5" x14ac:dyDescent="0.3">
      <c r="A3466" t="s">
        <v>4476</v>
      </c>
      <c r="B3466" t="s">
        <v>332</v>
      </c>
      <c r="C3466">
        <v>76</v>
      </c>
      <c r="D3466" t="str">
        <f>VLOOKUP(B3466,Products!$A:$E,2,FALSE)</f>
        <v>Product_162</v>
      </c>
      <c r="E3466" t="str">
        <f>VLOOKUP(B3466,Products!$A:$E,3,FALSE)</f>
        <v>Accessories</v>
      </c>
    </row>
    <row r="3467" spans="1:5" x14ac:dyDescent="0.3">
      <c r="A3467" t="s">
        <v>4477</v>
      </c>
      <c r="B3467" t="s">
        <v>558</v>
      </c>
      <c r="C3467">
        <v>7</v>
      </c>
      <c r="D3467" t="str">
        <f>VLOOKUP(B3467,Products!$A:$E,2,FALSE)</f>
        <v>Product_275</v>
      </c>
      <c r="E3467" t="str">
        <f>VLOOKUP(B3467,Products!$A:$E,3,FALSE)</f>
        <v>Accessories</v>
      </c>
    </row>
    <row r="3468" spans="1:5" x14ac:dyDescent="0.3">
      <c r="A3468" t="s">
        <v>4478</v>
      </c>
      <c r="B3468" t="s">
        <v>222</v>
      </c>
      <c r="C3468">
        <v>78</v>
      </c>
      <c r="D3468" t="str">
        <f>VLOOKUP(B3468,Products!$A:$E,2,FALSE)</f>
        <v>Product_107</v>
      </c>
      <c r="E3468" t="str">
        <f>VLOOKUP(B3468,Products!$A:$E,3,FALSE)</f>
        <v>Office Supplies</v>
      </c>
    </row>
    <row r="3469" spans="1:5" x14ac:dyDescent="0.3">
      <c r="A3469" t="s">
        <v>4479</v>
      </c>
      <c r="B3469" t="s">
        <v>710</v>
      </c>
      <c r="C3469">
        <v>47</v>
      </c>
      <c r="D3469" t="str">
        <f>VLOOKUP(B3469,Products!$A:$E,2,FALSE)</f>
        <v>Product_351</v>
      </c>
      <c r="E3469" t="str">
        <f>VLOOKUP(B3469,Products!$A:$E,3,FALSE)</f>
        <v>Accessories</v>
      </c>
    </row>
    <row r="3470" spans="1:5" x14ac:dyDescent="0.3">
      <c r="A3470" t="s">
        <v>4480</v>
      </c>
      <c r="B3470" t="s">
        <v>828</v>
      </c>
      <c r="C3470">
        <v>50</v>
      </c>
      <c r="D3470" t="str">
        <f>VLOOKUP(B3470,Products!$A:$E,2,FALSE)</f>
        <v>Product_410</v>
      </c>
      <c r="E3470" t="str">
        <f>VLOOKUP(B3470,Products!$A:$E,3,FALSE)</f>
        <v>Storage</v>
      </c>
    </row>
    <row r="3471" spans="1:5" x14ac:dyDescent="0.3">
      <c r="A3471" t="s">
        <v>4481</v>
      </c>
      <c r="B3471" t="s">
        <v>76</v>
      </c>
      <c r="C3471">
        <v>24</v>
      </c>
      <c r="D3471" t="str">
        <f>VLOOKUP(B3471,Products!$A:$E,2,FALSE)</f>
        <v>Product_34</v>
      </c>
      <c r="E3471" t="str">
        <f>VLOOKUP(B3471,Products!$A:$E,3,FALSE)</f>
        <v>Office Supplies</v>
      </c>
    </row>
    <row r="3472" spans="1:5" x14ac:dyDescent="0.3">
      <c r="A3472" t="s">
        <v>4482</v>
      </c>
      <c r="B3472" t="s">
        <v>296</v>
      </c>
      <c r="C3472">
        <v>8</v>
      </c>
      <c r="D3472" t="str">
        <f>VLOOKUP(B3472,Products!$A:$E,2,FALSE)</f>
        <v>Product_144</v>
      </c>
      <c r="E3472" t="str">
        <f>VLOOKUP(B3472,Products!$A:$E,3,FALSE)</f>
        <v>Office Supplies</v>
      </c>
    </row>
    <row r="3473" spans="1:5" x14ac:dyDescent="0.3">
      <c r="A3473" t="s">
        <v>4483</v>
      </c>
      <c r="B3473" t="s">
        <v>356</v>
      </c>
      <c r="C3473">
        <v>53</v>
      </c>
      <c r="D3473" t="str">
        <f>VLOOKUP(B3473,Products!$A:$E,2,FALSE)</f>
        <v>Product_174</v>
      </c>
      <c r="E3473" t="str">
        <f>VLOOKUP(B3473,Products!$A:$E,3,FALSE)</f>
        <v>Storage</v>
      </c>
    </row>
    <row r="3474" spans="1:5" x14ac:dyDescent="0.3">
      <c r="A3474" t="s">
        <v>4484</v>
      </c>
      <c r="B3474" t="s">
        <v>650</v>
      </c>
      <c r="C3474">
        <v>73</v>
      </c>
      <c r="D3474" t="str">
        <f>VLOOKUP(B3474,Products!$A:$E,2,FALSE)</f>
        <v>Product_321</v>
      </c>
      <c r="E3474" t="str">
        <f>VLOOKUP(B3474,Products!$A:$E,3,FALSE)</f>
        <v>Electronics</v>
      </c>
    </row>
    <row r="3475" spans="1:5" x14ac:dyDescent="0.3">
      <c r="A3475" t="s">
        <v>4485</v>
      </c>
      <c r="B3475" t="s">
        <v>872</v>
      </c>
      <c r="C3475">
        <v>26</v>
      </c>
      <c r="D3475" t="str">
        <f>VLOOKUP(B3475,Products!$A:$E,2,FALSE)</f>
        <v>Product_432</v>
      </c>
      <c r="E3475" t="str">
        <f>VLOOKUP(B3475,Products!$A:$E,3,FALSE)</f>
        <v>Office Supplies</v>
      </c>
    </row>
    <row r="3476" spans="1:5" x14ac:dyDescent="0.3">
      <c r="A3476" t="s">
        <v>4486</v>
      </c>
      <c r="B3476" t="s">
        <v>594</v>
      </c>
      <c r="C3476">
        <v>82</v>
      </c>
      <c r="D3476" t="str">
        <f>VLOOKUP(B3476,Products!$A:$E,2,FALSE)</f>
        <v>Product_293</v>
      </c>
      <c r="E3476" t="str">
        <f>VLOOKUP(B3476,Products!$A:$E,3,FALSE)</f>
        <v>Networking</v>
      </c>
    </row>
    <row r="3477" spans="1:5" x14ac:dyDescent="0.3">
      <c r="A3477" t="s">
        <v>4487</v>
      </c>
      <c r="B3477" t="s">
        <v>408</v>
      </c>
      <c r="C3477">
        <v>28</v>
      </c>
      <c r="D3477" t="str">
        <f>VLOOKUP(B3477,Products!$A:$E,2,FALSE)</f>
        <v>Product_200</v>
      </c>
      <c r="E3477" t="str">
        <f>VLOOKUP(B3477,Products!$A:$E,3,FALSE)</f>
        <v>Office Supplies</v>
      </c>
    </row>
    <row r="3478" spans="1:5" x14ac:dyDescent="0.3">
      <c r="A3478" t="s">
        <v>4488</v>
      </c>
      <c r="B3478" t="s">
        <v>618</v>
      </c>
      <c r="C3478">
        <v>19</v>
      </c>
      <c r="D3478" t="str">
        <f>VLOOKUP(B3478,Products!$A:$E,2,FALSE)</f>
        <v>Product_305</v>
      </c>
      <c r="E3478" t="str">
        <f>VLOOKUP(B3478,Products!$A:$E,3,FALSE)</f>
        <v>Accessories</v>
      </c>
    </row>
    <row r="3479" spans="1:5" x14ac:dyDescent="0.3">
      <c r="A3479" t="s">
        <v>4489</v>
      </c>
      <c r="B3479" t="s">
        <v>894</v>
      </c>
      <c r="C3479">
        <v>44</v>
      </c>
      <c r="D3479" t="str">
        <f>VLOOKUP(B3479,Products!$A:$E,2,FALSE)</f>
        <v>Product_443</v>
      </c>
      <c r="E3479" t="str">
        <f>VLOOKUP(B3479,Products!$A:$E,3,FALSE)</f>
        <v>Networking</v>
      </c>
    </row>
    <row r="3480" spans="1:5" x14ac:dyDescent="0.3">
      <c r="A3480" t="s">
        <v>4490</v>
      </c>
      <c r="B3480" t="s">
        <v>732</v>
      </c>
      <c r="C3480">
        <v>45</v>
      </c>
      <c r="D3480" t="str">
        <f>VLOOKUP(B3480,Products!$A:$E,2,FALSE)</f>
        <v>Product_362</v>
      </c>
      <c r="E3480" t="str">
        <f>VLOOKUP(B3480,Products!$A:$E,3,FALSE)</f>
        <v>Networking</v>
      </c>
    </row>
    <row r="3481" spans="1:5" x14ac:dyDescent="0.3">
      <c r="A3481" t="s">
        <v>4491</v>
      </c>
      <c r="B3481" t="s">
        <v>736</v>
      </c>
      <c r="C3481">
        <v>9</v>
      </c>
      <c r="D3481" t="str">
        <f>VLOOKUP(B3481,Products!$A:$E,2,FALSE)</f>
        <v>Product_364</v>
      </c>
      <c r="E3481" t="str">
        <f>VLOOKUP(B3481,Products!$A:$E,3,FALSE)</f>
        <v>Networking</v>
      </c>
    </row>
    <row r="3482" spans="1:5" x14ac:dyDescent="0.3">
      <c r="A3482" t="s">
        <v>4492</v>
      </c>
      <c r="B3482" t="s">
        <v>288</v>
      </c>
      <c r="C3482">
        <v>57</v>
      </c>
      <c r="D3482" t="str">
        <f>VLOOKUP(B3482,Products!$A:$E,2,FALSE)</f>
        <v>Product_140</v>
      </c>
      <c r="E3482" t="str">
        <f>VLOOKUP(B3482,Products!$A:$E,3,FALSE)</f>
        <v>Electronics</v>
      </c>
    </row>
    <row r="3483" spans="1:5" x14ac:dyDescent="0.3">
      <c r="A3483" t="s">
        <v>4493</v>
      </c>
      <c r="B3483" t="s">
        <v>98</v>
      </c>
      <c r="C3483">
        <v>68</v>
      </c>
      <c r="D3483" t="str">
        <f>VLOOKUP(B3483,Products!$A:$E,2,FALSE)</f>
        <v>Product_45</v>
      </c>
      <c r="E3483" t="str">
        <f>VLOOKUP(B3483,Products!$A:$E,3,FALSE)</f>
        <v>Accessories</v>
      </c>
    </row>
    <row r="3484" spans="1:5" x14ac:dyDescent="0.3">
      <c r="A3484" t="s">
        <v>4494</v>
      </c>
      <c r="B3484" t="s">
        <v>908</v>
      </c>
      <c r="C3484">
        <v>35</v>
      </c>
      <c r="D3484" t="str">
        <f>VLOOKUP(B3484,Products!$A:$E,2,FALSE)</f>
        <v>Product_450</v>
      </c>
      <c r="E3484" t="str">
        <f>VLOOKUP(B3484,Products!$A:$E,3,FALSE)</f>
        <v>Networking</v>
      </c>
    </row>
    <row r="3485" spans="1:5" x14ac:dyDescent="0.3">
      <c r="A3485" t="s">
        <v>4495</v>
      </c>
      <c r="B3485" t="s">
        <v>390</v>
      </c>
      <c r="C3485">
        <v>62</v>
      </c>
      <c r="D3485" t="str">
        <f>VLOOKUP(B3485,Products!$A:$E,2,FALSE)</f>
        <v>Product_191</v>
      </c>
      <c r="E3485" t="str">
        <f>VLOOKUP(B3485,Products!$A:$E,3,FALSE)</f>
        <v>Networking</v>
      </c>
    </row>
    <row r="3486" spans="1:5" x14ac:dyDescent="0.3">
      <c r="A3486" t="s">
        <v>4496</v>
      </c>
      <c r="B3486" t="s">
        <v>858</v>
      </c>
      <c r="C3486">
        <v>43</v>
      </c>
      <c r="D3486" t="str">
        <f>VLOOKUP(B3486,Products!$A:$E,2,FALSE)</f>
        <v>Product_425</v>
      </c>
      <c r="E3486" t="str">
        <f>VLOOKUP(B3486,Products!$A:$E,3,FALSE)</f>
        <v>Office Supplies</v>
      </c>
    </row>
    <row r="3487" spans="1:5" x14ac:dyDescent="0.3">
      <c r="A3487" t="s">
        <v>4497</v>
      </c>
      <c r="B3487" t="s">
        <v>230</v>
      </c>
      <c r="C3487">
        <v>72</v>
      </c>
      <c r="D3487" t="str">
        <f>VLOOKUP(B3487,Products!$A:$E,2,FALSE)</f>
        <v>Product_111</v>
      </c>
      <c r="E3487" t="str">
        <f>VLOOKUP(B3487,Products!$A:$E,3,FALSE)</f>
        <v>Office Supplies</v>
      </c>
    </row>
    <row r="3488" spans="1:5" x14ac:dyDescent="0.3">
      <c r="A3488" t="s">
        <v>4498</v>
      </c>
      <c r="B3488" t="s">
        <v>318</v>
      </c>
      <c r="C3488">
        <v>27</v>
      </c>
      <c r="D3488" t="str">
        <f>VLOOKUP(B3488,Products!$A:$E,2,FALSE)</f>
        <v>Product_155</v>
      </c>
      <c r="E3488" t="str">
        <f>VLOOKUP(B3488,Products!$A:$E,3,FALSE)</f>
        <v>Office Supplies</v>
      </c>
    </row>
    <row r="3489" spans="1:5" x14ac:dyDescent="0.3">
      <c r="A3489" t="s">
        <v>4499</v>
      </c>
      <c r="B3489" t="s">
        <v>124</v>
      </c>
      <c r="C3489">
        <v>52</v>
      </c>
      <c r="D3489" t="str">
        <f>VLOOKUP(B3489,Products!$A:$E,2,FALSE)</f>
        <v>Product_58</v>
      </c>
      <c r="E3489" t="str">
        <f>VLOOKUP(B3489,Products!$A:$E,3,FALSE)</f>
        <v>Office Supplies</v>
      </c>
    </row>
    <row r="3490" spans="1:5" x14ac:dyDescent="0.3">
      <c r="A3490" t="s">
        <v>4500</v>
      </c>
      <c r="B3490" t="s">
        <v>812</v>
      </c>
      <c r="C3490">
        <v>9</v>
      </c>
      <c r="D3490" t="str">
        <f>VLOOKUP(B3490,Products!$A:$E,2,FALSE)</f>
        <v>Product_402</v>
      </c>
      <c r="E3490" t="str">
        <f>VLOOKUP(B3490,Products!$A:$E,3,FALSE)</f>
        <v>Accessories</v>
      </c>
    </row>
    <row r="3491" spans="1:5" x14ac:dyDescent="0.3">
      <c r="A3491" t="s">
        <v>4501</v>
      </c>
      <c r="B3491" t="s">
        <v>806</v>
      </c>
      <c r="C3491">
        <v>30</v>
      </c>
      <c r="D3491" t="str">
        <f>VLOOKUP(B3491,Products!$A:$E,2,FALSE)</f>
        <v>Product_399</v>
      </c>
      <c r="E3491" t="str">
        <f>VLOOKUP(B3491,Products!$A:$E,3,FALSE)</f>
        <v>Networking</v>
      </c>
    </row>
    <row r="3492" spans="1:5" x14ac:dyDescent="0.3">
      <c r="A3492" t="s">
        <v>4502</v>
      </c>
      <c r="B3492" t="s">
        <v>944</v>
      </c>
      <c r="C3492">
        <v>16</v>
      </c>
      <c r="D3492" t="str">
        <f>VLOOKUP(B3492,Products!$A:$E,2,FALSE)</f>
        <v>Product_468</v>
      </c>
      <c r="E3492" t="str">
        <f>VLOOKUP(B3492,Products!$A:$E,3,FALSE)</f>
        <v>Office Supplies</v>
      </c>
    </row>
    <row r="3493" spans="1:5" x14ac:dyDescent="0.3">
      <c r="A3493" t="s">
        <v>4503</v>
      </c>
      <c r="B3493" t="s">
        <v>464</v>
      </c>
      <c r="C3493">
        <v>69</v>
      </c>
      <c r="D3493" t="str">
        <f>VLOOKUP(B3493,Products!$A:$E,2,FALSE)</f>
        <v>Product_228</v>
      </c>
      <c r="E3493" t="str">
        <f>VLOOKUP(B3493,Products!$A:$E,3,FALSE)</f>
        <v>Storage</v>
      </c>
    </row>
    <row r="3494" spans="1:5" x14ac:dyDescent="0.3">
      <c r="A3494" t="s">
        <v>4504</v>
      </c>
      <c r="B3494" t="s">
        <v>34</v>
      </c>
      <c r="C3494">
        <v>66</v>
      </c>
      <c r="D3494" t="str">
        <f>VLOOKUP(B3494,Products!$A:$E,2,FALSE)</f>
        <v>Product_13</v>
      </c>
      <c r="E3494" t="str">
        <f>VLOOKUP(B3494,Products!$A:$E,3,FALSE)</f>
        <v>Office Supplies</v>
      </c>
    </row>
    <row r="3495" spans="1:5" x14ac:dyDescent="0.3">
      <c r="A3495" t="s">
        <v>4505</v>
      </c>
      <c r="B3495" t="s">
        <v>936</v>
      </c>
      <c r="C3495">
        <v>69</v>
      </c>
      <c r="D3495" t="str">
        <f>VLOOKUP(B3495,Products!$A:$E,2,FALSE)</f>
        <v>Product_464</v>
      </c>
      <c r="E3495" t="str">
        <f>VLOOKUP(B3495,Products!$A:$E,3,FALSE)</f>
        <v>Office Supplies</v>
      </c>
    </row>
    <row r="3496" spans="1:5" x14ac:dyDescent="0.3">
      <c r="A3496" t="s">
        <v>4506</v>
      </c>
      <c r="B3496" t="s">
        <v>166</v>
      </c>
      <c r="C3496">
        <v>29</v>
      </c>
      <c r="D3496" t="str">
        <f>VLOOKUP(B3496,Products!$A:$E,2,FALSE)</f>
        <v>Product_79</v>
      </c>
      <c r="E3496" t="str">
        <f>VLOOKUP(B3496,Products!$A:$E,3,FALSE)</f>
        <v>Storage</v>
      </c>
    </row>
    <row r="3497" spans="1:5" x14ac:dyDescent="0.3">
      <c r="A3497" t="s">
        <v>4507</v>
      </c>
      <c r="B3497" t="s">
        <v>358</v>
      </c>
      <c r="C3497">
        <v>66</v>
      </c>
      <c r="D3497" t="str">
        <f>VLOOKUP(B3497,Products!$A:$E,2,FALSE)</f>
        <v>Product_175</v>
      </c>
      <c r="E3497" t="str">
        <f>VLOOKUP(B3497,Products!$A:$E,3,FALSE)</f>
        <v>Storage</v>
      </c>
    </row>
    <row r="3498" spans="1:5" x14ac:dyDescent="0.3">
      <c r="A3498" t="s">
        <v>4508</v>
      </c>
      <c r="B3498" t="s">
        <v>760</v>
      </c>
      <c r="C3498">
        <v>72</v>
      </c>
      <c r="D3498" t="str">
        <f>VLOOKUP(B3498,Products!$A:$E,2,FALSE)</f>
        <v>Product_376</v>
      </c>
      <c r="E3498" t="str">
        <f>VLOOKUP(B3498,Products!$A:$E,3,FALSE)</f>
        <v>Networking</v>
      </c>
    </row>
    <row r="3499" spans="1:5" x14ac:dyDescent="0.3">
      <c r="A3499" t="s">
        <v>4509</v>
      </c>
      <c r="B3499" t="s">
        <v>326</v>
      </c>
      <c r="C3499">
        <v>46</v>
      </c>
      <c r="D3499" t="str">
        <f>VLOOKUP(B3499,Products!$A:$E,2,FALSE)</f>
        <v>Product_159</v>
      </c>
      <c r="E3499" t="str">
        <f>VLOOKUP(B3499,Products!$A:$E,3,FALSE)</f>
        <v>Accessories</v>
      </c>
    </row>
    <row r="3500" spans="1:5" x14ac:dyDescent="0.3">
      <c r="A3500" t="s">
        <v>4510</v>
      </c>
      <c r="B3500" t="s">
        <v>156</v>
      </c>
      <c r="C3500">
        <v>17</v>
      </c>
      <c r="D3500" t="str">
        <f>VLOOKUP(B3500,Products!$A:$E,2,FALSE)</f>
        <v>Product_74</v>
      </c>
      <c r="E3500" t="str">
        <f>VLOOKUP(B3500,Products!$A:$E,3,FALSE)</f>
        <v>Storage</v>
      </c>
    </row>
    <row r="3501" spans="1:5" x14ac:dyDescent="0.3">
      <c r="A3501" t="s">
        <v>4511</v>
      </c>
      <c r="B3501" t="s">
        <v>850</v>
      </c>
      <c r="C3501">
        <v>71</v>
      </c>
      <c r="D3501" t="str">
        <f>VLOOKUP(B3501,Products!$A:$E,2,FALSE)</f>
        <v>Product_421</v>
      </c>
      <c r="E3501" t="str">
        <f>VLOOKUP(B3501,Products!$A:$E,3,FALSE)</f>
        <v>Accessories</v>
      </c>
    </row>
    <row r="3502" spans="1:5" x14ac:dyDescent="0.3">
      <c r="A3502" t="s">
        <v>4512</v>
      </c>
      <c r="B3502" t="s">
        <v>702</v>
      </c>
      <c r="C3502">
        <v>21</v>
      </c>
      <c r="D3502" t="str">
        <f>VLOOKUP(B3502,Products!$A:$E,2,FALSE)</f>
        <v>Product_347</v>
      </c>
      <c r="E3502" t="str">
        <f>VLOOKUP(B3502,Products!$A:$E,3,FALSE)</f>
        <v>Storage</v>
      </c>
    </row>
    <row r="3503" spans="1:5" x14ac:dyDescent="0.3">
      <c r="A3503" t="s">
        <v>4513</v>
      </c>
      <c r="B3503" t="s">
        <v>220</v>
      </c>
      <c r="C3503">
        <v>97</v>
      </c>
      <c r="D3503" t="str">
        <f>VLOOKUP(B3503,Products!$A:$E,2,FALSE)</f>
        <v>Product_106</v>
      </c>
      <c r="E3503" t="str">
        <f>VLOOKUP(B3503,Products!$A:$E,3,FALSE)</f>
        <v>Networking</v>
      </c>
    </row>
    <row r="3504" spans="1:5" x14ac:dyDescent="0.3">
      <c r="A3504" t="s">
        <v>4514</v>
      </c>
      <c r="B3504" t="s">
        <v>46</v>
      </c>
      <c r="C3504">
        <v>63</v>
      </c>
      <c r="D3504" t="str">
        <f>VLOOKUP(B3504,Products!$A:$E,2,FALSE)</f>
        <v>Product_19</v>
      </c>
      <c r="E3504" t="str">
        <f>VLOOKUP(B3504,Products!$A:$E,3,FALSE)</f>
        <v>Networking</v>
      </c>
    </row>
    <row r="3505" spans="1:5" x14ac:dyDescent="0.3">
      <c r="A3505" t="s">
        <v>4515</v>
      </c>
      <c r="B3505" t="s">
        <v>406</v>
      </c>
      <c r="C3505">
        <v>96</v>
      </c>
      <c r="D3505" t="str">
        <f>VLOOKUP(B3505,Products!$A:$E,2,FALSE)</f>
        <v>Product_199</v>
      </c>
      <c r="E3505" t="str">
        <f>VLOOKUP(B3505,Products!$A:$E,3,FALSE)</f>
        <v>Storage</v>
      </c>
    </row>
    <row r="3506" spans="1:5" x14ac:dyDescent="0.3">
      <c r="A3506" t="s">
        <v>4516</v>
      </c>
      <c r="B3506" t="s">
        <v>894</v>
      </c>
      <c r="C3506">
        <v>71</v>
      </c>
      <c r="D3506" t="str">
        <f>VLOOKUP(B3506,Products!$A:$E,2,FALSE)</f>
        <v>Product_443</v>
      </c>
      <c r="E3506" t="str">
        <f>VLOOKUP(B3506,Products!$A:$E,3,FALSE)</f>
        <v>Networking</v>
      </c>
    </row>
    <row r="3507" spans="1:5" x14ac:dyDescent="0.3">
      <c r="A3507" t="s">
        <v>4517</v>
      </c>
      <c r="B3507" t="s">
        <v>128</v>
      </c>
      <c r="C3507">
        <v>5</v>
      </c>
      <c r="D3507" t="str">
        <f>VLOOKUP(B3507,Products!$A:$E,2,FALSE)</f>
        <v>Product_60</v>
      </c>
      <c r="E3507" t="str">
        <f>VLOOKUP(B3507,Products!$A:$E,3,FALSE)</f>
        <v>Electronics</v>
      </c>
    </row>
    <row r="3508" spans="1:5" x14ac:dyDescent="0.3">
      <c r="A3508" t="s">
        <v>4518</v>
      </c>
      <c r="B3508" t="s">
        <v>328</v>
      </c>
      <c r="C3508">
        <v>10</v>
      </c>
      <c r="D3508" t="str">
        <f>VLOOKUP(B3508,Products!$A:$E,2,FALSE)</f>
        <v>Product_160</v>
      </c>
      <c r="E3508" t="str">
        <f>VLOOKUP(B3508,Products!$A:$E,3,FALSE)</f>
        <v>Office Supplies</v>
      </c>
    </row>
    <row r="3509" spans="1:5" x14ac:dyDescent="0.3">
      <c r="A3509" t="s">
        <v>4519</v>
      </c>
      <c r="B3509" t="s">
        <v>712</v>
      </c>
      <c r="C3509">
        <v>81</v>
      </c>
      <c r="D3509" t="str">
        <f>VLOOKUP(B3509,Products!$A:$E,2,FALSE)</f>
        <v>Product_352</v>
      </c>
      <c r="E3509" t="str">
        <f>VLOOKUP(B3509,Products!$A:$E,3,FALSE)</f>
        <v>Storage</v>
      </c>
    </row>
    <row r="3510" spans="1:5" x14ac:dyDescent="0.3">
      <c r="A3510" t="s">
        <v>4520</v>
      </c>
      <c r="B3510" t="s">
        <v>902</v>
      </c>
      <c r="C3510">
        <v>16</v>
      </c>
      <c r="D3510" t="str">
        <f>VLOOKUP(B3510,Products!$A:$E,2,FALSE)</f>
        <v>Product_447</v>
      </c>
      <c r="E3510" t="str">
        <f>VLOOKUP(B3510,Products!$A:$E,3,FALSE)</f>
        <v>Office Supplies</v>
      </c>
    </row>
    <row r="3511" spans="1:5" x14ac:dyDescent="0.3">
      <c r="A3511" t="s">
        <v>4521</v>
      </c>
      <c r="B3511" t="s">
        <v>350</v>
      </c>
      <c r="C3511">
        <v>64</v>
      </c>
      <c r="D3511" t="str">
        <f>VLOOKUP(B3511,Products!$A:$E,2,FALSE)</f>
        <v>Product_171</v>
      </c>
      <c r="E3511" t="str">
        <f>VLOOKUP(B3511,Products!$A:$E,3,FALSE)</f>
        <v>Electronics</v>
      </c>
    </row>
    <row r="3512" spans="1:5" x14ac:dyDescent="0.3">
      <c r="A3512" t="s">
        <v>4522</v>
      </c>
      <c r="B3512" t="s">
        <v>920</v>
      </c>
      <c r="C3512">
        <v>10</v>
      </c>
      <c r="D3512" t="str">
        <f>VLOOKUP(B3512,Products!$A:$E,2,FALSE)</f>
        <v>Product_456</v>
      </c>
      <c r="E3512" t="str">
        <f>VLOOKUP(B3512,Products!$A:$E,3,FALSE)</f>
        <v>Electronics</v>
      </c>
    </row>
    <row r="3513" spans="1:5" x14ac:dyDescent="0.3">
      <c r="A3513" t="s">
        <v>4523</v>
      </c>
      <c r="B3513" t="s">
        <v>114</v>
      </c>
      <c r="C3513">
        <v>71</v>
      </c>
      <c r="D3513" t="str">
        <f>VLOOKUP(B3513,Products!$A:$E,2,FALSE)</f>
        <v>Product_53</v>
      </c>
      <c r="E3513" t="str">
        <f>VLOOKUP(B3513,Products!$A:$E,3,FALSE)</f>
        <v>Electronics</v>
      </c>
    </row>
    <row r="3514" spans="1:5" x14ac:dyDescent="0.3">
      <c r="A3514" t="s">
        <v>4524</v>
      </c>
      <c r="B3514" t="s">
        <v>794</v>
      </c>
      <c r="C3514">
        <v>89</v>
      </c>
      <c r="D3514" t="str">
        <f>VLOOKUP(B3514,Products!$A:$E,2,FALSE)</f>
        <v>Product_393</v>
      </c>
      <c r="E3514" t="str">
        <f>VLOOKUP(B3514,Products!$A:$E,3,FALSE)</f>
        <v>Electronics</v>
      </c>
    </row>
    <row r="3515" spans="1:5" x14ac:dyDescent="0.3">
      <c r="A3515" t="s">
        <v>4525</v>
      </c>
      <c r="B3515" t="s">
        <v>772</v>
      </c>
      <c r="C3515">
        <v>44</v>
      </c>
      <c r="D3515" t="str">
        <f>VLOOKUP(B3515,Products!$A:$E,2,FALSE)</f>
        <v>Product_382</v>
      </c>
      <c r="E3515" t="str">
        <f>VLOOKUP(B3515,Products!$A:$E,3,FALSE)</f>
        <v>Storage</v>
      </c>
    </row>
    <row r="3516" spans="1:5" x14ac:dyDescent="0.3">
      <c r="A3516" t="s">
        <v>4526</v>
      </c>
      <c r="B3516" t="s">
        <v>32</v>
      </c>
      <c r="C3516">
        <v>78</v>
      </c>
      <c r="D3516" t="str">
        <f>VLOOKUP(B3516,Products!$A:$E,2,FALSE)</f>
        <v>Product_12</v>
      </c>
      <c r="E3516" t="str">
        <f>VLOOKUP(B3516,Products!$A:$E,3,FALSE)</f>
        <v>Accessories</v>
      </c>
    </row>
    <row r="3517" spans="1:5" x14ac:dyDescent="0.3">
      <c r="A3517" t="s">
        <v>4527</v>
      </c>
      <c r="B3517" t="s">
        <v>786</v>
      </c>
      <c r="C3517">
        <v>44</v>
      </c>
      <c r="D3517" t="str">
        <f>VLOOKUP(B3517,Products!$A:$E,2,FALSE)</f>
        <v>Product_389</v>
      </c>
      <c r="E3517" t="str">
        <f>VLOOKUP(B3517,Products!$A:$E,3,FALSE)</f>
        <v>Networking</v>
      </c>
    </row>
    <row r="3518" spans="1:5" x14ac:dyDescent="0.3">
      <c r="A3518" t="s">
        <v>4528</v>
      </c>
      <c r="B3518" t="s">
        <v>664</v>
      </c>
      <c r="C3518">
        <v>31</v>
      </c>
      <c r="D3518" t="str">
        <f>VLOOKUP(B3518,Products!$A:$E,2,FALSE)</f>
        <v>Product_328</v>
      </c>
      <c r="E3518" t="str">
        <f>VLOOKUP(B3518,Products!$A:$E,3,FALSE)</f>
        <v>Office Supplies</v>
      </c>
    </row>
    <row r="3519" spans="1:5" x14ac:dyDescent="0.3">
      <c r="A3519" t="s">
        <v>4529</v>
      </c>
      <c r="B3519" t="s">
        <v>338</v>
      </c>
      <c r="C3519">
        <v>30</v>
      </c>
      <c r="D3519" t="str">
        <f>VLOOKUP(B3519,Products!$A:$E,2,FALSE)</f>
        <v>Product_165</v>
      </c>
      <c r="E3519" t="str">
        <f>VLOOKUP(B3519,Products!$A:$E,3,FALSE)</f>
        <v>Office Supplies</v>
      </c>
    </row>
    <row r="3520" spans="1:5" x14ac:dyDescent="0.3">
      <c r="A3520" t="s">
        <v>4530</v>
      </c>
      <c r="B3520" t="s">
        <v>206</v>
      </c>
      <c r="C3520">
        <v>41</v>
      </c>
      <c r="D3520" t="str">
        <f>VLOOKUP(B3520,Products!$A:$E,2,FALSE)</f>
        <v>Product_99</v>
      </c>
      <c r="E3520" t="str">
        <f>VLOOKUP(B3520,Products!$A:$E,3,FALSE)</f>
        <v>Accessories</v>
      </c>
    </row>
    <row r="3521" spans="1:5" x14ac:dyDescent="0.3">
      <c r="A3521" t="s">
        <v>4531</v>
      </c>
      <c r="B3521" t="s">
        <v>292</v>
      </c>
      <c r="C3521">
        <v>73</v>
      </c>
      <c r="D3521" t="str">
        <f>VLOOKUP(B3521,Products!$A:$E,2,FALSE)</f>
        <v>Product_142</v>
      </c>
      <c r="E3521" t="str">
        <f>VLOOKUP(B3521,Products!$A:$E,3,FALSE)</f>
        <v>Storage</v>
      </c>
    </row>
    <row r="3522" spans="1:5" x14ac:dyDescent="0.3">
      <c r="A3522" t="s">
        <v>4532</v>
      </c>
      <c r="B3522" t="s">
        <v>336</v>
      </c>
      <c r="C3522">
        <v>61</v>
      </c>
      <c r="D3522" t="str">
        <f>VLOOKUP(B3522,Products!$A:$E,2,FALSE)</f>
        <v>Product_164</v>
      </c>
      <c r="E3522" t="str">
        <f>VLOOKUP(B3522,Products!$A:$E,3,FALSE)</f>
        <v>Networking</v>
      </c>
    </row>
    <row r="3523" spans="1:5" x14ac:dyDescent="0.3">
      <c r="A3523" t="s">
        <v>4533</v>
      </c>
      <c r="B3523" t="s">
        <v>696</v>
      </c>
      <c r="C3523">
        <v>20</v>
      </c>
      <c r="D3523" t="str">
        <f>VLOOKUP(B3523,Products!$A:$E,2,FALSE)</f>
        <v>Product_344</v>
      </c>
      <c r="E3523" t="str">
        <f>VLOOKUP(B3523,Products!$A:$E,3,FALSE)</f>
        <v>Accessories</v>
      </c>
    </row>
    <row r="3524" spans="1:5" x14ac:dyDescent="0.3">
      <c r="A3524" t="s">
        <v>4534</v>
      </c>
      <c r="B3524" t="s">
        <v>288</v>
      </c>
      <c r="C3524">
        <v>24</v>
      </c>
      <c r="D3524" t="str">
        <f>VLOOKUP(B3524,Products!$A:$E,2,FALSE)</f>
        <v>Product_140</v>
      </c>
      <c r="E3524" t="str">
        <f>VLOOKUP(B3524,Products!$A:$E,3,FALSE)</f>
        <v>Electronics</v>
      </c>
    </row>
    <row r="3525" spans="1:5" x14ac:dyDescent="0.3">
      <c r="A3525" t="s">
        <v>4535</v>
      </c>
      <c r="B3525" t="s">
        <v>170</v>
      </c>
      <c r="C3525">
        <v>40</v>
      </c>
      <c r="D3525" t="str">
        <f>VLOOKUP(B3525,Products!$A:$E,2,FALSE)</f>
        <v>Product_81</v>
      </c>
      <c r="E3525" t="str">
        <f>VLOOKUP(B3525,Products!$A:$E,3,FALSE)</f>
        <v>Office Supplies</v>
      </c>
    </row>
    <row r="3526" spans="1:5" x14ac:dyDescent="0.3">
      <c r="A3526" t="s">
        <v>4536</v>
      </c>
      <c r="B3526" t="s">
        <v>126</v>
      </c>
      <c r="C3526">
        <v>6</v>
      </c>
      <c r="D3526" t="str">
        <f>VLOOKUP(B3526,Products!$A:$E,2,FALSE)</f>
        <v>Product_59</v>
      </c>
      <c r="E3526" t="str">
        <f>VLOOKUP(B3526,Products!$A:$E,3,FALSE)</f>
        <v>Accessories</v>
      </c>
    </row>
    <row r="3527" spans="1:5" x14ac:dyDescent="0.3">
      <c r="A3527" t="s">
        <v>4537</v>
      </c>
      <c r="B3527" t="s">
        <v>990</v>
      </c>
      <c r="C3527">
        <v>84</v>
      </c>
      <c r="D3527" t="str">
        <f>VLOOKUP(B3527,Products!$A:$E,2,FALSE)</f>
        <v>Product_491</v>
      </c>
      <c r="E3527" t="str">
        <f>VLOOKUP(B3527,Products!$A:$E,3,FALSE)</f>
        <v>Accessories</v>
      </c>
    </row>
    <row r="3528" spans="1:5" x14ac:dyDescent="0.3">
      <c r="A3528" t="s">
        <v>4538</v>
      </c>
      <c r="B3528" t="s">
        <v>582</v>
      </c>
      <c r="C3528">
        <v>70</v>
      </c>
      <c r="D3528" t="str">
        <f>VLOOKUP(B3528,Products!$A:$E,2,FALSE)</f>
        <v>Product_287</v>
      </c>
      <c r="E3528" t="str">
        <f>VLOOKUP(B3528,Products!$A:$E,3,FALSE)</f>
        <v>Storage</v>
      </c>
    </row>
    <row r="3529" spans="1:5" x14ac:dyDescent="0.3">
      <c r="A3529" t="s">
        <v>4539</v>
      </c>
      <c r="B3529" t="s">
        <v>114</v>
      </c>
      <c r="C3529">
        <v>31</v>
      </c>
      <c r="D3529" t="str">
        <f>VLOOKUP(B3529,Products!$A:$E,2,FALSE)</f>
        <v>Product_53</v>
      </c>
      <c r="E3529" t="str">
        <f>VLOOKUP(B3529,Products!$A:$E,3,FALSE)</f>
        <v>Electronics</v>
      </c>
    </row>
    <row r="3530" spans="1:5" x14ac:dyDescent="0.3">
      <c r="A3530" t="s">
        <v>4540</v>
      </c>
      <c r="B3530" t="s">
        <v>564</v>
      </c>
      <c r="C3530">
        <v>49</v>
      </c>
      <c r="D3530" t="str">
        <f>VLOOKUP(B3530,Products!$A:$E,2,FALSE)</f>
        <v>Product_278</v>
      </c>
      <c r="E3530" t="str">
        <f>VLOOKUP(B3530,Products!$A:$E,3,FALSE)</f>
        <v>Electronics</v>
      </c>
    </row>
    <row r="3531" spans="1:5" x14ac:dyDescent="0.3">
      <c r="A3531" t="s">
        <v>4541</v>
      </c>
      <c r="B3531" t="s">
        <v>572</v>
      </c>
      <c r="C3531">
        <v>45</v>
      </c>
      <c r="D3531" t="str">
        <f>VLOOKUP(B3531,Products!$A:$E,2,FALSE)</f>
        <v>Product_282</v>
      </c>
      <c r="E3531" t="str">
        <f>VLOOKUP(B3531,Products!$A:$E,3,FALSE)</f>
        <v>Networking</v>
      </c>
    </row>
    <row r="3532" spans="1:5" x14ac:dyDescent="0.3">
      <c r="A3532" t="s">
        <v>4542</v>
      </c>
      <c r="B3532" t="s">
        <v>286</v>
      </c>
      <c r="C3532">
        <v>23</v>
      </c>
      <c r="D3532" t="str">
        <f>VLOOKUP(B3532,Products!$A:$E,2,FALSE)</f>
        <v>Product_139</v>
      </c>
      <c r="E3532" t="str">
        <f>VLOOKUP(B3532,Products!$A:$E,3,FALSE)</f>
        <v>Storage</v>
      </c>
    </row>
    <row r="3533" spans="1:5" x14ac:dyDescent="0.3">
      <c r="A3533" t="s">
        <v>4543</v>
      </c>
      <c r="B3533" t="s">
        <v>974</v>
      </c>
      <c r="C3533">
        <v>95</v>
      </c>
      <c r="D3533" t="str">
        <f>VLOOKUP(B3533,Products!$A:$E,2,FALSE)</f>
        <v>Product_483</v>
      </c>
      <c r="E3533" t="str">
        <f>VLOOKUP(B3533,Products!$A:$E,3,FALSE)</f>
        <v>Electronics</v>
      </c>
    </row>
    <row r="3534" spans="1:5" x14ac:dyDescent="0.3">
      <c r="A3534" t="s">
        <v>4544</v>
      </c>
      <c r="B3534" t="s">
        <v>832</v>
      </c>
      <c r="C3534">
        <v>41</v>
      </c>
      <c r="D3534" t="str">
        <f>VLOOKUP(B3534,Products!$A:$E,2,FALSE)</f>
        <v>Product_412</v>
      </c>
      <c r="E3534" t="str">
        <f>VLOOKUP(B3534,Products!$A:$E,3,FALSE)</f>
        <v>Accessories</v>
      </c>
    </row>
    <row r="3535" spans="1:5" x14ac:dyDescent="0.3">
      <c r="A3535" t="s">
        <v>4545</v>
      </c>
      <c r="B3535" t="s">
        <v>596</v>
      </c>
      <c r="C3535">
        <v>36</v>
      </c>
      <c r="D3535" t="str">
        <f>VLOOKUP(B3535,Products!$A:$E,2,FALSE)</f>
        <v>Product_294</v>
      </c>
      <c r="E3535" t="str">
        <f>VLOOKUP(B3535,Products!$A:$E,3,FALSE)</f>
        <v>Networking</v>
      </c>
    </row>
    <row r="3536" spans="1:5" x14ac:dyDescent="0.3">
      <c r="A3536" t="s">
        <v>4546</v>
      </c>
      <c r="B3536" t="s">
        <v>184</v>
      </c>
      <c r="C3536">
        <v>14</v>
      </c>
      <c r="D3536" t="str">
        <f>VLOOKUP(B3536,Products!$A:$E,2,FALSE)</f>
        <v>Product_88</v>
      </c>
      <c r="E3536" t="str">
        <f>VLOOKUP(B3536,Products!$A:$E,3,FALSE)</f>
        <v>Accessories</v>
      </c>
    </row>
    <row r="3537" spans="1:5" x14ac:dyDescent="0.3">
      <c r="A3537" t="s">
        <v>4547</v>
      </c>
      <c r="B3537" t="s">
        <v>328</v>
      </c>
      <c r="C3537">
        <v>83</v>
      </c>
      <c r="D3537" t="str">
        <f>VLOOKUP(B3537,Products!$A:$E,2,FALSE)</f>
        <v>Product_160</v>
      </c>
      <c r="E3537" t="str">
        <f>VLOOKUP(B3537,Products!$A:$E,3,FALSE)</f>
        <v>Office Supplies</v>
      </c>
    </row>
    <row r="3538" spans="1:5" x14ac:dyDescent="0.3">
      <c r="A3538" t="s">
        <v>4548</v>
      </c>
      <c r="B3538" t="s">
        <v>922</v>
      </c>
      <c r="C3538">
        <v>48</v>
      </c>
      <c r="D3538" t="str">
        <f>VLOOKUP(B3538,Products!$A:$E,2,FALSE)</f>
        <v>Product_457</v>
      </c>
      <c r="E3538" t="str">
        <f>VLOOKUP(B3538,Products!$A:$E,3,FALSE)</f>
        <v>Networking</v>
      </c>
    </row>
    <row r="3539" spans="1:5" x14ac:dyDescent="0.3">
      <c r="A3539" t="s">
        <v>4549</v>
      </c>
      <c r="B3539" t="s">
        <v>562</v>
      </c>
      <c r="C3539">
        <v>61</v>
      </c>
      <c r="D3539" t="str">
        <f>VLOOKUP(B3539,Products!$A:$E,2,FALSE)</f>
        <v>Product_277</v>
      </c>
      <c r="E3539" t="str">
        <f>VLOOKUP(B3539,Products!$A:$E,3,FALSE)</f>
        <v>Electronics</v>
      </c>
    </row>
    <row r="3540" spans="1:5" x14ac:dyDescent="0.3">
      <c r="A3540" t="s">
        <v>4550</v>
      </c>
      <c r="B3540" t="s">
        <v>60</v>
      </c>
      <c r="C3540">
        <v>21</v>
      </c>
      <c r="D3540" t="str">
        <f>VLOOKUP(B3540,Products!$A:$E,2,FALSE)</f>
        <v>Product_26</v>
      </c>
      <c r="E3540" t="str">
        <f>VLOOKUP(B3540,Products!$A:$E,3,FALSE)</f>
        <v>Office Supplies</v>
      </c>
    </row>
    <row r="3541" spans="1:5" x14ac:dyDescent="0.3">
      <c r="A3541" t="s">
        <v>4551</v>
      </c>
      <c r="B3541" t="s">
        <v>38</v>
      </c>
      <c r="C3541">
        <v>65</v>
      </c>
      <c r="D3541" t="str">
        <f>VLOOKUP(B3541,Products!$A:$E,2,FALSE)</f>
        <v>Product_15</v>
      </c>
      <c r="E3541" t="str">
        <f>VLOOKUP(B3541,Products!$A:$E,3,FALSE)</f>
        <v>Electronics</v>
      </c>
    </row>
    <row r="3542" spans="1:5" x14ac:dyDescent="0.3">
      <c r="A3542" t="s">
        <v>4552</v>
      </c>
      <c r="B3542" t="s">
        <v>934</v>
      </c>
      <c r="C3542">
        <v>91</v>
      </c>
      <c r="D3542" t="str">
        <f>VLOOKUP(B3542,Products!$A:$E,2,FALSE)</f>
        <v>Product_463</v>
      </c>
      <c r="E3542" t="str">
        <f>VLOOKUP(B3542,Products!$A:$E,3,FALSE)</f>
        <v>Networking</v>
      </c>
    </row>
    <row r="3543" spans="1:5" x14ac:dyDescent="0.3">
      <c r="A3543" t="s">
        <v>4553</v>
      </c>
      <c r="B3543" t="s">
        <v>60</v>
      </c>
      <c r="C3543">
        <v>18</v>
      </c>
      <c r="D3543" t="str">
        <f>VLOOKUP(B3543,Products!$A:$E,2,FALSE)</f>
        <v>Product_26</v>
      </c>
      <c r="E3543" t="str">
        <f>VLOOKUP(B3543,Products!$A:$E,3,FALSE)</f>
        <v>Office Supplies</v>
      </c>
    </row>
    <row r="3544" spans="1:5" x14ac:dyDescent="0.3">
      <c r="A3544" t="s">
        <v>4554</v>
      </c>
      <c r="B3544" t="s">
        <v>402</v>
      </c>
      <c r="C3544">
        <v>11</v>
      </c>
      <c r="D3544" t="str">
        <f>VLOOKUP(B3544,Products!$A:$E,2,FALSE)</f>
        <v>Product_197</v>
      </c>
      <c r="E3544" t="str">
        <f>VLOOKUP(B3544,Products!$A:$E,3,FALSE)</f>
        <v>Electronics</v>
      </c>
    </row>
    <row r="3545" spans="1:5" x14ac:dyDescent="0.3">
      <c r="A3545" t="s">
        <v>4555</v>
      </c>
      <c r="B3545" t="s">
        <v>98</v>
      </c>
      <c r="C3545">
        <v>59</v>
      </c>
      <c r="D3545" t="str">
        <f>VLOOKUP(B3545,Products!$A:$E,2,FALSE)</f>
        <v>Product_45</v>
      </c>
      <c r="E3545" t="str">
        <f>VLOOKUP(B3545,Products!$A:$E,3,FALSE)</f>
        <v>Accessories</v>
      </c>
    </row>
    <row r="3546" spans="1:5" x14ac:dyDescent="0.3">
      <c r="A3546" t="s">
        <v>4556</v>
      </c>
      <c r="B3546" t="s">
        <v>410</v>
      </c>
      <c r="C3546">
        <v>27</v>
      </c>
      <c r="D3546" t="str">
        <f>VLOOKUP(B3546,Products!$A:$E,2,FALSE)</f>
        <v>Product_201</v>
      </c>
      <c r="E3546" t="str">
        <f>VLOOKUP(B3546,Products!$A:$E,3,FALSE)</f>
        <v>Networking</v>
      </c>
    </row>
    <row r="3547" spans="1:5" x14ac:dyDescent="0.3">
      <c r="A3547" t="s">
        <v>4557</v>
      </c>
      <c r="B3547" t="s">
        <v>730</v>
      </c>
      <c r="C3547">
        <v>81</v>
      </c>
      <c r="D3547" t="str">
        <f>VLOOKUP(B3547,Products!$A:$E,2,FALSE)</f>
        <v>Product_361</v>
      </c>
      <c r="E3547" t="str">
        <f>VLOOKUP(B3547,Products!$A:$E,3,FALSE)</f>
        <v>Office Supplies</v>
      </c>
    </row>
    <row r="3548" spans="1:5" x14ac:dyDescent="0.3">
      <c r="A3548" t="s">
        <v>4558</v>
      </c>
      <c r="B3548" t="s">
        <v>922</v>
      </c>
      <c r="C3548">
        <v>80</v>
      </c>
      <c r="D3548" t="str">
        <f>VLOOKUP(B3548,Products!$A:$E,2,FALSE)</f>
        <v>Product_457</v>
      </c>
      <c r="E3548" t="str">
        <f>VLOOKUP(B3548,Products!$A:$E,3,FALSE)</f>
        <v>Networking</v>
      </c>
    </row>
    <row r="3549" spans="1:5" x14ac:dyDescent="0.3">
      <c r="A3549" t="s">
        <v>4559</v>
      </c>
      <c r="B3549" t="s">
        <v>654</v>
      </c>
      <c r="C3549">
        <v>93</v>
      </c>
      <c r="D3549" t="str">
        <f>VLOOKUP(B3549,Products!$A:$E,2,FALSE)</f>
        <v>Product_323</v>
      </c>
      <c r="E3549" t="str">
        <f>VLOOKUP(B3549,Products!$A:$E,3,FALSE)</f>
        <v>Electronics</v>
      </c>
    </row>
    <row r="3550" spans="1:5" x14ac:dyDescent="0.3">
      <c r="A3550" t="s">
        <v>4560</v>
      </c>
      <c r="B3550" t="s">
        <v>726</v>
      </c>
      <c r="C3550">
        <v>62</v>
      </c>
      <c r="D3550" t="str">
        <f>VLOOKUP(B3550,Products!$A:$E,2,FALSE)</f>
        <v>Product_359</v>
      </c>
      <c r="E3550" t="str">
        <f>VLOOKUP(B3550,Products!$A:$E,3,FALSE)</f>
        <v>Electronics</v>
      </c>
    </row>
    <row r="3551" spans="1:5" x14ac:dyDescent="0.3">
      <c r="A3551" t="s">
        <v>4561</v>
      </c>
      <c r="B3551" t="s">
        <v>640</v>
      </c>
      <c r="C3551">
        <v>50</v>
      </c>
      <c r="D3551" t="str">
        <f>VLOOKUP(B3551,Products!$A:$E,2,FALSE)</f>
        <v>Product_316</v>
      </c>
      <c r="E3551" t="str">
        <f>VLOOKUP(B3551,Products!$A:$E,3,FALSE)</f>
        <v>Networking</v>
      </c>
    </row>
    <row r="3552" spans="1:5" x14ac:dyDescent="0.3">
      <c r="A3552" t="s">
        <v>4562</v>
      </c>
      <c r="B3552" t="s">
        <v>328</v>
      </c>
      <c r="C3552">
        <v>47</v>
      </c>
      <c r="D3552" t="str">
        <f>VLOOKUP(B3552,Products!$A:$E,2,FALSE)</f>
        <v>Product_160</v>
      </c>
      <c r="E3552" t="str">
        <f>VLOOKUP(B3552,Products!$A:$E,3,FALSE)</f>
        <v>Office Supplies</v>
      </c>
    </row>
    <row r="3553" spans="1:5" x14ac:dyDescent="0.3">
      <c r="A3553" t="s">
        <v>4563</v>
      </c>
      <c r="B3553" t="s">
        <v>846</v>
      </c>
      <c r="C3553">
        <v>30</v>
      </c>
      <c r="D3553" t="str">
        <f>VLOOKUP(B3553,Products!$A:$E,2,FALSE)</f>
        <v>Product_419</v>
      </c>
      <c r="E3553" t="str">
        <f>VLOOKUP(B3553,Products!$A:$E,3,FALSE)</f>
        <v>Networking</v>
      </c>
    </row>
    <row r="3554" spans="1:5" x14ac:dyDescent="0.3">
      <c r="A3554" t="s">
        <v>4564</v>
      </c>
      <c r="B3554" t="s">
        <v>740</v>
      </c>
      <c r="C3554">
        <v>90</v>
      </c>
      <c r="D3554" t="str">
        <f>VLOOKUP(B3554,Products!$A:$E,2,FALSE)</f>
        <v>Product_366</v>
      </c>
      <c r="E3554" t="str">
        <f>VLOOKUP(B3554,Products!$A:$E,3,FALSE)</f>
        <v>Electronics</v>
      </c>
    </row>
    <row r="3555" spans="1:5" x14ac:dyDescent="0.3">
      <c r="A3555" t="s">
        <v>4565</v>
      </c>
      <c r="B3555" t="s">
        <v>838</v>
      </c>
      <c r="C3555">
        <v>73</v>
      </c>
      <c r="D3555" t="str">
        <f>VLOOKUP(B3555,Products!$A:$E,2,FALSE)</f>
        <v>Product_415</v>
      </c>
      <c r="E3555" t="str">
        <f>VLOOKUP(B3555,Products!$A:$E,3,FALSE)</f>
        <v>Networking</v>
      </c>
    </row>
    <row r="3556" spans="1:5" x14ac:dyDescent="0.3">
      <c r="A3556" t="s">
        <v>4566</v>
      </c>
      <c r="B3556" t="s">
        <v>90</v>
      </c>
      <c r="C3556">
        <v>64</v>
      </c>
      <c r="D3556" t="str">
        <f>VLOOKUP(B3556,Products!$A:$E,2,FALSE)</f>
        <v>Product_41</v>
      </c>
      <c r="E3556" t="str">
        <f>VLOOKUP(B3556,Products!$A:$E,3,FALSE)</f>
        <v>Accessories</v>
      </c>
    </row>
    <row r="3557" spans="1:5" x14ac:dyDescent="0.3">
      <c r="A3557" t="s">
        <v>4567</v>
      </c>
      <c r="B3557" t="s">
        <v>590</v>
      </c>
      <c r="C3557">
        <v>21</v>
      </c>
      <c r="D3557" t="str">
        <f>VLOOKUP(B3557,Products!$A:$E,2,FALSE)</f>
        <v>Product_291</v>
      </c>
      <c r="E3557" t="str">
        <f>VLOOKUP(B3557,Products!$A:$E,3,FALSE)</f>
        <v>Networking</v>
      </c>
    </row>
    <row r="3558" spans="1:5" x14ac:dyDescent="0.3">
      <c r="A3558" t="s">
        <v>4568</v>
      </c>
      <c r="B3558" t="s">
        <v>104</v>
      </c>
      <c r="C3558">
        <v>94</v>
      </c>
      <c r="D3558" t="str">
        <f>VLOOKUP(B3558,Products!$A:$E,2,FALSE)</f>
        <v>Product_48</v>
      </c>
      <c r="E3558" t="str">
        <f>VLOOKUP(B3558,Products!$A:$E,3,FALSE)</f>
        <v>Accessories</v>
      </c>
    </row>
    <row r="3559" spans="1:5" x14ac:dyDescent="0.3">
      <c r="A3559" t="s">
        <v>4569</v>
      </c>
      <c r="B3559" t="s">
        <v>488</v>
      </c>
      <c r="C3559">
        <v>17</v>
      </c>
      <c r="D3559" t="str">
        <f>VLOOKUP(B3559,Products!$A:$E,2,FALSE)</f>
        <v>Product_240</v>
      </c>
      <c r="E3559" t="str">
        <f>VLOOKUP(B3559,Products!$A:$E,3,FALSE)</f>
        <v>Storage</v>
      </c>
    </row>
    <row r="3560" spans="1:5" x14ac:dyDescent="0.3">
      <c r="A3560" t="s">
        <v>4570</v>
      </c>
      <c r="B3560" t="s">
        <v>476</v>
      </c>
      <c r="C3560">
        <v>44</v>
      </c>
      <c r="D3560" t="str">
        <f>VLOOKUP(B3560,Products!$A:$E,2,FALSE)</f>
        <v>Product_234</v>
      </c>
      <c r="E3560" t="str">
        <f>VLOOKUP(B3560,Products!$A:$E,3,FALSE)</f>
        <v>Networking</v>
      </c>
    </row>
    <row r="3561" spans="1:5" x14ac:dyDescent="0.3">
      <c r="A3561" t="s">
        <v>4571</v>
      </c>
      <c r="B3561" t="s">
        <v>710</v>
      </c>
      <c r="C3561">
        <v>87</v>
      </c>
      <c r="D3561" t="str">
        <f>VLOOKUP(B3561,Products!$A:$E,2,FALSE)</f>
        <v>Product_351</v>
      </c>
      <c r="E3561" t="str">
        <f>VLOOKUP(B3561,Products!$A:$E,3,FALSE)</f>
        <v>Accessories</v>
      </c>
    </row>
    <row r="3562" spans="1:5" x14ac:dyDescent="0.3">
      <c r="A3562" t="s">
        <v>4572</v>
      </c>
      <c r="B3562" t="s">
        <v>736</v>
      </c>
      <c r="C3562">
        <v>64</v>
      </c>
      <c r="D3562" t="str">
        <f>VLOOKUP(B3562,Products!$A:$E,2,FALSE)</f>
        <v>Product_364</v>
      </c>
      <c r="E3562" t="str">
        <f>VLOOKUP(B3562,Products!$A:$E,3,FALSE)</f>
        <v>Networking</v>
      </c>
    </row>
    <row r="3563" spans="1:5" x14ac:dyDescent="0.3">
      <c r="A3563" t="s">
        <v>4573</v>
      </c>
      <c r="B3563" t="s">
        <v>490</v>
      </c>
      <c r="C3563">
        <v>34</v>
      </c>
      <c r="D3563" t="str">
        <f>VLOOKUP(B3563,Products!$A:$E,2,FALSE)</f>
        <v>Product_241</v>
      </c>
      <c r="E3563" t="str">
        <f>VLOOKUP(B3563,Products!$A:$E,3,FALSE)</f>
        <v>Electronics</v>
      </c>
    </row>
    <row r="3564" spans="1:5" x14ac:dyDescent="0.3">
      <c r="A3564" t="s">
        <v>4574</v>
      </c>
      <c r="B3564" t="s">
        <v>980</v>
      </c>
      <c r="C3564">
        <v>33</v>
      </c>
      <c r="D3564" t="str">
        <f>VLOOKUP(B3564,Products!$A:$E,2,FALSE)</f>
        <v>Product_486</v>
      </c>
      <c r="E3564" t="str">
        <f>VLOOKUP(B3564,Products!$A:$E,3,FALSE)</f>
        <v>Electronics</v>
      </c>
    </row>
    <row r="3565" spans="1:5" x14ac:dyDescent="0.3">
      <c r="A3565" t="s">
        <v>4575</v>
      </c>
      <c r="B3565" t="s">
        <v>156</v>
      </c>
      <c r="C3565">
        <v>83</v>
      </c>
      <c r="D3565" t="str">
        <f>VLOOKUP(B3565,Products!$A:$E,2,FALSE)</f>
        <v>Product_74</v>
      </c>
      <c r="E3565" t="str">
        <f>VLOOKUP(B3565,Products!$A:$E,3,FALSE)</f>
        <v>Storage</v>
      </c>
    </row>
    <row r="3566" spans="1:5" x14ac:dyDescent="0.3">
      <c r="A3566" t="s">
        <v>4576</v>
      </c>
      <c r="B3566" t="s">
        <v>274</v>
      </c>
      <c r="C3566">
        <v>51</v>
      </c>
      <c r="D3566" t="str">
        <f>VLOOKUP(B3566,Products!$A:$E,2,FALSE)</f>
        <v>Product_133</v>
      </c>
      <c r="E3566" t="str">
        <f>VLOOKUP(B3566,Products!$A:$E,3,FALSE)</f>
        <v>Office Supplies</v>
      </c>
    </row>
    <row r="3567" spans="1:5" x14ac:dyDescent="0.3">
      <c r="A3567" t="s">
        <v>4577</v>
      </c>
      <c r="B3567" t="s">
        <v>410</v>
      </c>
      <c r="C3567">
        <v>28</v>
      </c>
      <c r="D3567" t="str">
        <f>VLOOKUP(B3567,Products!$A:$E,2,FALSE)</f>
        <v>Product_201</v>
      </c>
      <c r="E3567" t="str">
        <f>VLOOKUP(B3567,Products!$A:$E,3,FALSE)</f>
        <v>Networking</v>
      </c>
    </row>
    <row r="3568" spans="1:5" x14ac:dyDescent="0.3">
      <c r="A3568" t="s">
        <v>4578</v>
      </c>
      <c r="B3568" t="s">
        <v>726</v>
      </c>
      <c r="C3568">
        <v>90</v>
      </c>
      <c r="D3568" t="str">
        <f>VLOOKUP(B3568,Products!$A:$E,2,FALSE)</f>
        <v>Product_359</v>
      </c>
      <c r="E3568" t="str">
        <f>VLOOKUP(B3568,Products!$A:$E,3,FALSE)</f>
        <v>Electronics</v>
      </c>
    </row>
    <row r="3569" spans="1:5" x14ac:dyDescent="0.3">
      <c r="A3569" t="s">
        <v>4579</v>
      </c>
      <c r="B3569" t="s">
        <v>348</v>
      </c>
      <c r="C3569">
        <v>46</v>
      </c>
      <c r="D3569" t="str">
        <f>VLOOKUP(B3569,Products!$A:$E,2,FALSE)</f>
        <v>Product_170</v>
      </c>
      <c r="E3569" t="str">
        <f>VLOOKUP(B3569,Products!$A:$E,3,FALSE)</f>
        <v>Office Supplies</v>
      </c>
    </row>
    <row r="3570" spans="1:5" x14ac:dyDescent="0.3">
      <c r="A3570" t="s">
        <v>4580</v>
      </c>
      <c r="B3570" t="s">
        <v>474</v>
      </c>
      <c r="C3570">
        <v>67</v>
      </c>
      <c r="D3570" t="str">
        <f>VLOOKUP(B3570,Products!$A:$E,2,FALSE)</f>
        <v>Product_233</v>
      </c>
      <c r="E3570" t="str">
        <f>VLOOKUP(B3570,Products!$A:$E,3,FALSE)</f>
        <v>Accessories</v>
      </c>
    </row>
    <row r="3571" spans="1:5" x14ac:dyDescent="0.3">
      <c r="A3571" t="s">
        <v>4581</v>
      </c>
      <c r="B3571" t="s">
        <v>40</v>
      </c>
      <c r="C3571">
        <v>13</v>
      </c>
      <c r="D3571" t="str">
        <f>VLOOKUP(B3571,Products!$A:$E,2,FALSE)</f>
        <v>Product_16</v>
      </c>
      <c r="E3571" t="str">
        <f>VLOOKUP(B3571,Products!$A:$E,3,FALSE)</f>
        <v>Office Supplies</v>
      </c>
    </row>
    <row r="3572" spans="1:5" x14ac:dyDescent="0.3">
      <c r="A3572" t="s">
        <v>4582</v>
      </c>
      <c r="B3572" t="s">
        <v>496</v>
      </c>
      <c r="C3572">
        <v>19</v>
      </c>
      <c r="D3572" t="str">
        <f>VLOOKUP(B3572,Products!$A:$E,2,FALSE)</f>
        <v>Product_244</v>
      </c>
      <c r="E3572" t="str">
        <f>VLOOKUP(B3572,Products!$A:$E,3,FALSE)</f>
        <v>Accessories</v>
      </c>
    </row>
    <row r="3573" spans="1:5" x14ac:dyDescent="0.3">
      <c r="A3573" t="s">
        <v>4583</v>
      </c>
      <c r="B3573" t="s">
        <v>368</v>
      </c>
      <c r="C3573">
        <v>66</v>
      </c>
      <c r="D3573" t="str">
        <f>VLOOKUP(B3573,Products!$A:$E,2,FALSE)</f>
        <v>Product_180</v>
      </c>
      <c r="E3573" t="str">
        <f>VLOOKUP(B3573,Products!$A:$E,3,FALSE)</f>
        <v>Office Supplies</v>
      </c>
    </row>
    <row r="3574" spans="1:5" x14ac:dyDescent="0.3">
      <c r="A3574" t="s">
        <v>4584</v>
      </c>
      <c r="B3574" t="s">
        <v>482</v>
      </c>
      <c r="C3574">
        <v>26</v>
      </c>
      <c r="D3574" t="str">
        <f>VLOOKUP(B3574,Products!$A:$E,2,FALSE)</f>
        <v>Product_237</v>
      </c>
      <c r="E3574" t="str">
        <f>VLOOKUP(B3574,Products!$A:$E,3,FALSE)</f>
        <v>Networking</v>
      </c>
    </row>
    <row r="3575" spans="1:5" x14ac:dyDescent="0.3">
      <c r="A3575" t="s">
        <v>4585</v>
      </c>
      <c r="B3575" t="s">
        <v>298</v>
      </c>
      <c r="C3575">
        <v>49</v>
      </c>
      <c r="D3575" t="str">
        <f>VLOOKUP(B3575,Products!$A:$E,2,FALSE)</f>
        <v>Product_145</v>
      </c>
      <c r="E3575" t="str">
        <f>VLOOKUP(B3575,Products!$A:$E,3,FALSE)</f>
        <v>Office Supplies</v>
      </c>
    </row>
    <row r="3576" spans="1:5" x14ac:dyDescent="0.3">
      <c r="A3576" t="s">
        <v>4586</v>
      </c>
      <c r="B3576" t="s">
        <v>628</v>
      </c>
      <c r="C3576">
        <v>78</v>
      </c>
      <c r="D3576" t="str">
        <f>VLOOKUP(B3576,Products!$A:$E,2,FALSE)</f>
        <v>Product_310</v>
      </c>
      <c r="E3576" t="str">
        <f>VLOOKUP(B3576,Products!$A:$E,3,FALSE)</f>
        <v>Office Supplies</v>
      </c>
    </row>
    <row r="3577" spans="1:5" x14ac:dyDescent="0.3">
      <c r="A3577" t="s">
        <v>4587</v>
      </c>
      <c r="B3577" t="s">
        <v>140</v>
      </c>
      <c r="C3577">
        <v>70</v>
      </c>
      <c r="D3577" t="str">
        <f>VLOOKUP(B3577,Products!$A:$E,2,FALSE)</f>
        <v>Product_66</v>
      </c>
      <c r="E3577" t="str">
        <f>VLOOKUP(B3577,Products!$A:$E,3,FALSE)</f>
        <v>Electronics</v>
      </c>
    </row>
    <row r="3578" spans="1:5" x14ac:dyDescent="0.3">
      <c r="A3578" t="s">
        <v>4588</v>
      </c>
      <c r="B3578" t="s">
        <v>114</v>
      </c>
      <c r="C3578">
        <v>56</v>
      </c>
      <c r="D3578" t="str">
        <f>VLOOKUP(B3578,Products!$A:$E,2,FALSE)</f>
        <v>Product_53</v>
      </c>
      <c r="E3578" t="str">
        <f>VLOOKUP(B3578,Products!$A:$E,3,FALSE)</f>
        <v>Electronics</v>
      </c>
    </row>
    <row r="3579" spans="1:5" x14ac:dyDescent="0.3">
      <c r="A3579" t="s">
        <v>4589</v>
      </c>
      <c r="B3579" t="s">
        <v>846</v>
      </c>
      <c r="C3579">
        <v>96</v>
      </c>
      <c r="D3579" t="str">
        <f>VLOOKUP(B3579,Products!$A:$E,2,FALSE)</f>
        <v>Product_419</v>
      </c>
      <c r="E3579" t="str">
        <f>VLOOKUP(B3579,Products!$A:$E,3,FALSE)</f>
        <v>Networking</v>
      </c>
    </row>
    <row r="3580" spans="1:5" x14ac:dyDescent="0.3">
      <c r="A3580" t="s">
        <v>4590</v>
      </c>
      <c r="B3580" t="s">
        <v>824</v>
      </c>
      <c r="C3580">
        <v>18</v>
      </c>
      <c r="D3580" t="str">
        <f>VLOOKUP(B3580,Products!$A:$E,2,FALSE)</f>
        <v>Product_408</v>
      </c>
      <c r="E3580" t="str">
        <f>VLOOKUP(B3580,Products!$A:$E,3,FALSE)</f>
        <v>Storage</v>
      </c>
    </row>
    <row r="3581" spans="1:5" x14ac:dyDescent="0.3">
      <c r="A3581" t="s">
        <v>4591</v>
      </c>
      <c r="B3581" t="s">
        <v>342</v>
      </c>
      <c r="C3581">
        <v>76</v>
      </c>
      <c r="D3581" t="str">
        <f>VLOOKUP(B3581,Products!$A:$E,2,FALSE)</f>
        <v>Product_167</v>
      </c>
      <c r="E3581" t="str">
        <f>VLOOKUP(B3581,Products!$A:$E,3,FALSE)</f>
        <v>Electronics</v>
      </c>
    </row>
    <row r="3582" spans="1:5" x14ac:dyDescent="0.3">
      <c r="A3582" t="s">
        <v>4592</v>
      </c>
      <c r="B3582" t="s">
        <v>674</v>
      </c>
      <c r="C3582">
        <v>14</v>
      </c>
      <c r="D3582" t="str">
        <f>VLOOKUP(B3582,Products!$A:$E,2,FALSE)</f>
        <v>Product_333</v>
      </c>
      <c r="E3582" t="str">
        <f>VLOOKUP(B3582,Products!$A:$E,3,FALSE)</f>
        <v>Storage</v>
      </c>
    </row>
    <row r="3583" spans="1:5" x14ac:dyDescent="0.3">
      <c r="A3583" t="s">
        <v>4593</v>
      </c>
      <c r="B3583" t="s">
        <v>820</v>
      </c>
      <c r="C3583">
        <v>43</v>
      </c>
      <c r="D3583" t="str">
        <f>VLOOKUP(B3583,Products!$A:$E,2,FALSE)</f>
        <v>Product_406</v>
      </c>
      <c r="E3583" t="str">
        <f>VLOOKUP(B3583,Products!$A:$E,3,FALSE)</f>
        <v>Office Supplies</v>
      </c>
    </row>
    <row r="3584" spans="1:5" x14ac:dyDescent="0.3">
      <c r="A3584" t="s">
        <v>4594</v>
      </c>
      <c r="B3584" t="s">
        <v>554</v>
      </c>
      <c r="C3584">
        <v>64</v>
      </c>
      <c r="D3584" t="str">
        <f>VLOOKUP(B3584,Products!$A:$E,2,FALSE)</f>
        <v>Product_273</v>
      </c>
      <c r="E3584" t="str">
        <f>VLOOKUP(B3584,Products!$A:$E,3,FALSE)</f>
        <v>Networking</v>
      </c>
    </row>
    <row r="3585" spans="1:5" x14ac:dyDescent="0.3">
      <c r="A3585" t="s">
        <v>4595</v>
      </c>
      <c r="B3585" t="s">
        <v>420</v>
      </c>
      <c r="C3585">
        <v>80</v>
      </c>
      <c r="D3585" t="str">
        <f>VLOOKUP(B3585,Products!$A:$E,2,FALSE)</f>
        <v>Product_206</v>
      </c>
      <c r="E3585" t="str">
        <f>VLOOKUP(B3585,Products!$A:$E,3,FALSE)</f>
        <v>Accessories</v>
      </c>
    </row>
    <row r="3586" spans="1:5" x14ac:dyDescent="0.3">
      <c r="A3586" t="s">
        <v>4596</v>
      </c>
      <c r="B3586" t="s">
        <v>432</v>
      </c>
      <c r="C3586">
        <v>35</v>
      </c>
      <c r="D3586" t="str">
        <f>VLOOKUP(B3586,Products!$A:$E,2,FALSE)</f>
        <v>Product_212</v>
      </c>
      <c r="E3586" t="str">
        <f>VLOOKUP(B3586,Products!$A:$E,3,FALSE)</f>
        <v>Networking</v>
      </c>
    </row>
    <row r="3587" spans="1:5" x14ac:dyDescent="0.3">
      <c r="A3587" t="s">
        <v>4597</v>
      </c>
      <c r="B3587" t="s">
        <v>644</v>
      </c>
      <c r="C3587">
        <v>36</v>
      </c>
      <c r="D3587" t="str">
        <f>VLOOKUP(B3587,Products!$A:$E,2,FALSE)</f>
        <v>Product_318</v>
      </c>
      <c r="E3587" t="str">
        <f>VLOOKUP(B3587,Products!$A:$E,3,FALSE)</f>
        <v>Storage</v>
      </c>
    </row>
    <row r="3588" spans="1:5" x14ac:dyDescent="0.3">
      <c r="A3588" t="s">
        <v>4598</v>
      </c>
      <c r="B3588" t="s">
        <v>570</v>
      </c>
      <c r="C3588">
        <v>25</v>
      </c>
      <c r="D3588" t="str">
        <f>VLOOKUP(B3588,Products!$A:$E,2,FALSE)</f>
        <v>Product_281</v>
      </c>
      <c r="E3588" t="str">
        <f>VLOOKUP(B3588,Products!$A:$E,3,FALSE)</f>
        <v>Office Supplies</v>
      </c>
    </row>
    <row r="3589" spans="1:5" x14ac:dyDescent="0.3">
      <c r="A3589" t="s">
        <v>4599</v>
      </c>
      <c r="B3589" t="s">
        <v>1006</v>
      </c>
      <c r="C3589">
        <v>66</v>
      </c>
      <c r="D3589" t="str">
        <f>VLOOKUP(B3589,Products!$A:$E,2,FALSE)</f>
        <v>Product_499</v>
      </c>
      <c r="E3589" t="str">
        <f>VLOOKUP(B3589,Products!$A:$E,3,FALSE)</f>
        <v>Office Supplies</v>
      </c>
    </row>
    <row r="3590" spans="1:5" x14ac:dyDescent="0.3">
      <c r="A3590" t="s">
        <v>4600</v>
      </c>
      <c r="B3590" t="s">
        <v>402</v>
      </c>
      <c r="C3590">
        <v>13</v>
      </c>
      <c r="D3590" t="str">
        <f>VLOOKUP(B3590,Products!$A:$E,2,FALSE)</f>
        <v>Product_197</v>
      </c>
      <c r="E3590" t="str">
        <f>VLOOKUP(B3590,Products!$A:$E,3,FALSE)</f>
        <v>Electronics</v>
      </c>
    </row>
    <row r="3591" spans="1:5" x14ac:dyDescent="0.3">
      <c r="A3591" t="s">
        <v>4601</v>
      </c>
      <c r="B3591" t="s">
        <v>358</v>
      </c>
      <c r="C3591">
        <v>31</v>
      </c>
      <c r="D3591" t="str">
        <f>VLOOKUP(B3591,Products!$A:$E,2,FALSE)</f>
        <v>Product_175</v>
      </c>
      <c r="E3591" t="str">
        <f>VLOOKUP(B3591,Products!$A:$E,3,FALSE)</f>
        <v>Storage</v>
      </c>
    </row>
    <row r="3592" spans="1:5" x14ac:dyDescent="0.3">
      <c r="A3592" t="s">
        <v>4602</v>
      </c>
      <c r="B3592" t="s">
        <v>842</v>
      </c>
      <c r="C3592">
        <v>93</v>
      </c>
      <c r="D3592" t="str">
        <f>VLOOKUP(B3592,Products!$A:$E,2,FALSE)</f>
        <v>Product_417</v>
      </c>
      <c r="E3592" t="str">
        <f>VLOOKUP(B3592,Products!$A:$E,3,FALSE)</f>
        <v>Accessories</v>
      </c>
    </row>
    <row r="3593" spans="1:5" x14ac:dyDescent="0.3">
      <c r="A3593" t="s">
        <v>4603</v>
      </c>
      <c r="B3593" t="s">
        <v>614</v>
      </c>
      <c r="C3593">
        <v>60</v>
      </c>
      <c r="D3593" t="str">
        <f>VLOOKUP(B3593,Products!$A:$E,2,FALSE)</f>
        <v>Product_303</v>
      </c>
      <c r="E3593" t="str">
        <f>VLOOKUP(B3593,Products!$A:$E,3,FALSE)</f>
        <v>Networking</v>
      </c>
    </row>
    <row r="3594" spans="1:5" x14ac:dyDescent="0.3">
      <c r="A3594" t="s">
        <v>4604</v>
      </c>
      <c r="B3594" t="s">
        <v>812</v>
      </c>
      <c r="C3594">
        <v>60</v>
      </c>
      <c r="D3594" t="str">
        <f>VLOOKUP(B3594,Products!$A:$E,2,FALSE)</f>
        <v>Product_402</v>
      </c>
      <c r="E3594" t="str">
        <f>VLOOKUP(B3594,Products!$A:$E,3,FALSE)</f>
        <v>Accessories</v>
      </c>
    </row>
    <row r="3595" spans="1:5" x14ac:dyDescent="0.3">
      <c r="A3595" t="s">
        <v>4605</v>
      </c>
      <c r="B3595" t="s">
        <v>590</v>
      </c>
      <c r="C3595">
        <v>48</v>
      </c>
      <c r="D3595" t="str">
        <f>VLOOKUP(B3595,Products!$A:$E,2,FALSE)</f>
        <v>Product_291</v>
      </c>
      <c r="E3595" t="str">
        <f>VLOOKUP(B3595,Products!$A:$E,3,FALSE)</f>
        <v>Networking</v>
      </c>
    </row>
    <row r="3596" spans="1:5" x14ac:dyDescent="0.3">
      <c r="A3596" t="s">
        <v>4606</v>
      </c>
      <c r="B3596" t="s">
        <v>566</v>
      </c>
      <c r="C3596">
        <v>93</v>
      </c>
      <c r="D3596" t="str">
        <f>VLOOKUP(B3596,Products!$A:$E,2,FALSE)</f>
        <v>Product_279</v>
      </c>
      <c r="E3596" t="str">
        <f>VLOOKUP(B3596,Products!$A:$E,3,FALSE)</f>
        <v>Networking</v>
      </c>
    </row>
    <row r="3597" spans="1:5" x14ac:dyDescent="0.3">
      <c r="A3597" t="s">
        <v>4607</v>
      </c>
      <c r="B3597" t="s">
        <v>250</v>
      </c>
      <c r="C3597">
        <v>27</v>
      </c>
      <c r="D3597" t="str">
        <f>VLOOKUP(B3597,Products!$A:$E,2,FALSE)</f>
        <v>Product_121</v>
      </c>
      <c r="E3597" t="str">
        <f>VLOOKUP(B3597,Products!$A:$E,3,FALSE)</f>
        <v>Storage</v>
      </c>
    </row>
    <row r="3598" spans="1:5" x14ac:dyDescent="0.3">
      <c r="A3598" t="s">
        <v>4608</v>
      </c>
      <c r="B3598" t="s">
        <v>688</v>
      </c>
      <c r="C3598">
        <v>90</v>
      </c>
      <c r="D3598" t="str">
        <f>VLOOKUP(B3598,Products!$A:$E,2,FALSE)</f>
        <v>Product_340</v>
      </c>
      <c r="E3598" t="str">
        <f>VLOOKUP(B3598,Products!$A:$E,3,FALSE)</f>
        <v>Storage</v>
      </c>
    </row>
    <row r="3599" spans="1:5" x14ac:dyDescent="0.3">
      <c r="A3599" t="s">
        <v>4609</v>
      </c>
      <c r="B3599" t="s">
        <v>88</v>
      </c>
      <c r="C3599">
        <v>99</v>
      </c>
      <c r="D3599" t="str">
        <f>VLOOKUP(B3599,Products!$A:$E,2,FALSE)</f>
        <v>Product_40</v>
      </c>
      <c r="E3599" t="str">
        <f>VLOOKUP(B3599,Products!$A:$E,3,FALSE)</f>
        <v>Accessories</v>
      </c>
    </row>
    <row r="3600" spans="1:5" x14ac:dyDescent="0.3">
      <c r="A3600" t="s">
        <v>4610</v>
      </c>
      <c r="B3600" t="s">
        <v>962</v>
      </c>
      <c r="C3600">
        <v>96</v>
      </c>
      <c r="D3600" t="str">
        <f>VLOOKUP(B3600,Products!$A:$E,2,FALSE)</f>
        <v>Product_477</v>
      </c>
      <c r="E3600" t="str">
        <f>VLOOKUP(B3600,Products!$A:$E,3,FALSE)</f>
        <v>Networking</v>
      </c>
    </row>
    <row r="3601" spans="1:5" x14ac:dyDescent="0.3">
      <c r="A3601" t="s">
        <v>4611</v>
      </c>
      <c r="B3601" t="s">
        <v>596</v>
      </c>
      <c r="C3601">
        <v>67</v>
      </c>
      <c r="D3601" t="str">
        <f>VLOOKUP(B3601,Products!$A:$E,2,FALSE)</f>
        <v>Product_294</v>
      </c>
      <c r="E3601" t="str">
        <f>VLOOKUP(B3601,Products!$A:$E,3,FALSE)</f>
        <v>Networking</v>
      </c>
    </row>
    <row r="3602" spans="1:5" x14ac:dyDescent="0.3">
      <c r="A3602" t="s">
        <v>4612</v>
      </c>
      <c r="B3602" t="s">
        <v>126</v>
      </c>
      <c r="C3602">
        <v>80</v>
      </c>
      <c r="D3602" t="str">
        <f>VLOOKUP(B3602,Products!$A:$E,2,FALSE)</f>
        <v>Product_59</v>
      </c>
      <c r="E3602" t="str">
        <f>VLOOKUP(B3602,Products!$A:$E,3,FALSE)</f>
        <v>Accessories</v>
      </c>
    </row>
    <row r="3603" spans="1:5" x14ac:dyDescent="0.3">
      <c r="A3603" t="s">
        <v>4613</v>
      </c>
      <c r="B3603" t="s">
        <v>620</v>
      </c>
      <c r="C3603">
        <v>64</v>
      </c>
      <c r="D3603" t="str">
        <f>VLOOKUP(B3603,Products!$A:$E,2,FALSE)</f>
        <v>Product_306</v>
      </c>
      <c r="E3603" t="str">
        <f>VLOOKUP(B3603,Products!$A:$E,3,FALSE)</f>
        <v>Accessories</v>
      </c>
    </row>
    <row r="3604" spans="1:5" x14ac:dyDescent="0.3">
      <c r="A3604" t="s">
        <v>4614</v>
      </c>
      <c r="B3604" t="s">
        <v>342</v>
      </c>
      <c r="C3604">
        <v>76</v>
      </c>
      <c r="D3604" t="str">
        <f>VLOOKUP(B3604,Products!$A:$E,2,FALSE)</f>
        <v>Product_167</v>
      </c>
      <c r="E3604" t="str">
        <f>VLOOKUP(B3604,Products!$A:$E,3,FALSE)</f>
        <v>Electronics</v>
      </c>
    </row>
    <row r="3605" spans="1:5" x14ac:dyDescent="0.3">
      <c r="A3605" t="s">
        <v>4615</v>
      </c>
      <c r="B3605" t="s">
        <v>108</v>
      </c>
      <c r="C3605">
        <v>61</v>
      </c>
      <c r="D3605" t="str">
        <f>VLOOKUP(B3605,Products!$A:$E,2,FALSE)</f>
        <v>Product_50</v>
      </c>
      <c r="E3605" t="str">
        <f>VLOOKUP(B3605,Products!$A:$E,3,FALSE)</f>
        <v>Networking</v>
      </c>
    </row>
    <row r="3606" spans="1:5" x14ac:dyDescent="0.3">
      <c r="A3606" t="s">
        <v>4616</v>
      </c>
      <c r="B3606" t="s">
        <v>190</v>
      </c>
      <c r="C3606">
        <v>44</v>
      </c>
      <c r="D3606" t="str">
        <f>VLOOKUP(B3606,Products!$A:$E,2,FALSE)</f>
        <v>Product_91</v>
      </c>
      <c r="E3606" t="str">
        <f>VLOOKUP(B3606,Products!$A:$E,3,FALSE)</f>
        <v>Networking</v>
      </c>
    </row>
    <row r="3607" spans="1:5" x14ac:dyDescent="0.3">
      <c r="A3607" t="s">
        <v>4617</v>
      </c>
      <c r="B3607" t="s">
        <v>988</v>
      </c>
      <c r="C3607">
        <v>56</v>
      </c>
      <c r="D3607" t="str">
        <f>VLOOKUP(B3607,Products!$A:$E,2,FALSE)</f>
        <v>Product_490</v>
      </c>
      <c r="E3607" t="str">
        <f>VLOOKUP(B3607,Products!$A:$E,3,FALSE)</f>
        <v>Storage</v>
      </c>
    </row>
    <row r="3608" spans="1:5" x14ac:dyDescent="0.3">
      <c r="A3608" t="s">
        <v>4618</v>
      </c>
      <c r="B3608" t="s">
        <v>80</v>
      </c>
      <c r="C3608">
        <v>81</v>
      </c>
      <c r="D3608" t="str">
        <f>VLOOKUP(B3608,Products!$A:$E,2,FALSE)</f>
        <v>Product_36</v>
      </c>
      <c r="E3608" t="str">
        <f>VLOOKUP(B3608,Products!$A:$E,3,FALSE)</f>
        <v>Office Supplies</v>
      </c>
    </row>
    <row r="3609" spans="1:5" x14ac:dyDescent="0.3">
      <c r="A3609" t="s">
        <v>4619</v>
      </c>
      <c r="B3609" t="s">
        <v>120</v>
      </c>
      <c r="C3609">
        <v>92</v>
      </c>
      <c r="D3609" t="str">
        <f>VLOOKUP(B3609,Products!$A:$E,2,FALSE)</f>
        <v>Product_56</v>
      </c>
      <c r="E3609" t="str">
        <f>VLOOKUP(B3609,Products!$A:$E,3,FALSE)</f>
        <v>Networking</v>
      </c>
    </row>
    <row r="3610" spans="1:5" x14ac:dyDescent="0.3">
      <c r="A3610" t="s">
        <v>4620</v>
      </c>
      <c r="B3610" t="s">
        <v>842</v>
      </c>
      <c r="C3610">
        <v>81</v>
      </c>
      <c r="D3610" t="str">
        <f>VLOOKUP(B3610,Products!$A:$E,2,FALSE)</f>
        <v>Product_417</v>
      </c>
      <c r="E3610" t="str">
        <f>VLOOKUP(B3610,Products!$A:$E,3,FALSE)</f>
        <v>Accessories</v>
      </c>
    </row>
    <row r="3611" spans="1:5" x14ac:dyDescent="0.3">
      <c r="A3611" t="s">
        <v>4621</v>
      </c>
      <c r="B3611" t="s">
        <v>798</v>
      </c>
      <c r="C3611">
        <v>53</v>
      </c>
      <c r="D3611" t="str">
        <f>VLOOKUP(B3611,Products!$A:$E,2,FALSE)</f>
        <v>Product_395</v>
      </c>
      <c r="E3611" t="str">
        <f>VLOOKUP(B3611,Products!$A:$E,3,FALSE)</f>
        <v>Accessories</v>
      </c>
    </row>
    <row r="3612" spans="1:5" x14ac:dyDescent="0.3">
      <c r="A3612" t="s">
        <v>4622</v>
      </c>
      <c r="B3612" t="s">
        <v>344</v>
      </c>
      <c r="C3612">
        <v>68</v>
      </c>
      <c r="D3612" t="str">
        <f>VLOOKUP(B3612,Products!$A:$E,2,FALSE)</f>
        <v>Product_168</v>
      </c>
      <c r="E3612" t="str">
        <f>VLOOKUP(B3612,Products!$A:$E,3,FALSE)</f>
        <v>Electronics</v>
      </c>
    </row>
    <row r="3613" spans="1:5" x14ac:dyDescent="0.3">
      <c r="A3613" t="s">
        <v>4623</v>
      </c>
      <c r="B3613" t="s">
        <v>670</v>
      </c>
      <c r="C3613">
        <v>89</v>
      </c>
      <c r="D3613" t="str">
        <f>VLOOKUP(B3613,Products!$A:$E,2,FALSE)</f>
        <v>Product_331</v>
      </c>
      <c r="E3613" t="str">
        <f>VLOOKUP(B3613,Products!$A:$E,3,FALSE)</f>
        <v>Electronics</v>
      </c>
    </row>
    <row r="3614" spans="1:5" x14ac:dyDescent="0.3">
      <c r="A3614" t="s">
        <v>4624</v>
      </c>
      <c r="B3614" t="s">
        <v>72</v>
      </c>
      <c r="C3614">
        <v>16</v>
      </c>
      <c r="D3614" t="str">
        <f>VLOOKUP(B3614,Products!$A:$E,2,FALSE)</f>
        <v>Product_32</v>
      </c>
      <c r="E3614" t="str">
        <f>VLOOKUP(B3614,Products!$A:$E,3,FALSE)</f>
        <v>Networking</v>
      </c>
    </row>
    <row r="3615" spans="1:5" x14ac:dyDescent="0.3">
      <c r="A3615" t="s">
        <v>4625</v>
      </c>
      <c r="B3615" t="s">
        <v>232</v>
      </c>
      <c r="C3615">
        <v>22</v>
      </c>
      <c r="D3615" t="str">
        <f>VLOOKUP(B3615,Products!$A:$E,2,FALSE)</f>
        <v>Product_112</v>
      </c>
      <c r="E3615" t="str">
        <f>VLOOKUP(B3615,Products!$A:$E,3,FALSE)</f>
        <v>Storage</v>
      </c>
    </row>
    <row r="3616" spans="1:5" x14ac:dyDescent="0.3">
      <c r="A3616" t="s">
        <v>4626</v>
      </c>
      <c r="B3616" t="s">
        <v>918</v>
      </c>
      <c r="C3616">
        <v>79</v>
      </c>
      <c r="D3616" t="str">
        <f>VLOOKUP(B3616,Products!$A:$E,2,FALSE)</f>
        <v>Product_455</v>
      </c>
      <c r="E3616" t="str">
        <f>VLOOKUP(B3616,Products!$A:$E,3,FALSE)</f>
        <v>Storage</v>
      </c>
    </row>
    <row r="3617" spans="1:5" x14ac:dyDescent="0.3">
      <c r="A3617" t="s">
        <v>4627</v>
      </c>
      <c r="B3617" t="s">
        <v>934</v>
      </c>
      <c r="C3617">
        <v>86</v>
      </c>
      <c r="D3617" t="str">
        <f>VLOOKUP(B3617,Products!$A:$E,2,FALSE)</f>
        <v>Product_463</v>
      </c>
      <c r="E3617" t="str">
        <f>VLOOKUP(B3617,Products!$A:$E,3,FALSE)</f>
        <v>Networking</v>
      </c>
    </row>
    <row r="3618" spans="1:5" x14ac:dyDescent="0.3">
      <c r="A3618" t="s">
        <v>4628</v>
      </c>
      <c r="B3618" t="s">
        <v>838</v>
      </c>
      <c r="C3618">
        <v>5</v>
      </c>
      <c r="D3618" t="str">
        <f>VLOOKUP(B3618,Products!$A:$E,2,FALSE)</f>
        <v>Product_415</v>
      </c>
      <c r="E3618" t="str">
        <f>VLOOKUP(B3618,Products!$A:$E,3,FALSE)</f>
        <v>Networking</v>
      </c>
    </row>
    <row r="3619" spans="1:5" x14ac:dyDescent="0.3">
      <c r="A3619" t="s">
        <v>4629</v>
      </c>
      <c r="B3619" t="s">
        <v>784</v>
      </c>
      <c r="C3619">
        <v>23</v>
      </c>
      <c r="D3619" t="str">
        <f>VLOOKUP(B3619,Products!$A:$E,2,FALSE)</f>
        <v>Product_388</v>
      </c>
      <c r="E3619" t="str">
        <f>VLOOKUP(B3619,Products!$A:$E,3,FALSE)</f>
        <v>Office Supplies</v>
      </c>
    </row>
    <row r="3620" spans="1:5" x14ac:dyDescent="0.3">
      <c r="A3620" t="s">
        <v>4630</v>
      </c>
      <c r="B3620" t="s">
        <v>686</v>
      </c>
      <c r="C3620">
        <v>24</v>
      </c>
      <c r="D3620" t="str">
        <f>VLOOKUP(B3620,Products!$A:$E,2,FALSE)</f>
        <v>Product_339</v>
      </c>
      <c r="E3620" t="str">
        <f>VLOOKUP(B3620,Products!$A:$E,3,FALSE)</f>
        <v>Storage</v>
      </c>
    </row>
    <row r="3621" spans="1:5" x14ac:dyDescent="0.3">
      <c r="A3621" t="s">
        <v>4631</v>
      </c>
      <c r="B3621" t="s">
        <v>472</v>
      </c>
      <c r="C3621">
        <v>73</v>
      </c>
      <c r="D3621" t="str">
        <f>VLOOKUP(B3621,Products!$A:$E,2,FALSE)</f>
        <v>Product_232</v>
      </c>
      <c r="E3621" t="str">
        <f>VLOOKUP(B3621,Products!$A:$E,3,FALSE)</f>
        <v>Office Supplies</v>
      </c>
    </row>
    <row r="3622" spans="1:5" x14ac:dyDescent="0.3">
      <c r="A3622" t="s">
        <v>4632</v>
      </c>
      <c r="B3622" t="s">
        <v>308</v>
      </c>
      <c r="C3622">
        <v>54</v>
      </c>
      <c r="D3622" t="str">
        <f>VLOOKUP(B3622,Products!$A:$E,2,FALSE)</f>
        <v>Product_150</v>
      </c>
      <c r="E3622" t="str">
        <f>VLOOKUP(B3622,Products!$A:$E,3,FALSE)</f>
        <v>Accessories</v>
      </c>
    </row>
    <row r="3623" spans="1:5" x14ac:dyDescent="0.3">
      <c r="A3623" t="s">
        <v>4633</v>
      </c>
      <c r="B3623" t="s">
        <v>640</v>
      </c>
      <c r="C3623">
        <v>78</v>
      </c>
      <c r="D3623" t="str">
        <f>VLOOKUP(B3623,Products!$A:$E,2,FALSE)</f>
        <v>Product_316</v>
      </c>
      <c r="E3623" t="str">
        <f>VLOOKUP(B3623,Products!$A:$E,3,FALSE)</f>
        <v>Networking</v>
      </c>
    </row>
    <row r="3624" spans="1:5" x14ac:dyDescent="0.3">
      <c r="A3624" t="s">
        <v>4634</v>
      </c>
      <c r="B3624" t="s">
        <v>466</v>
      </c>
      <c r="C3624">
        <v>30</v>
      </c>
      <c r="D3624" t="str">
        <f>VLOOKUP(B3624,Products!$A:$E,2,FALSE)</f>
        <v>Product_229</v>
      </c>
      <c r="E3624" t="str">
        <f>VLOOKUP(B3624,Products!$A:$E,3,FALSE)</f>
        <v>Accessories</v>
      </c>
    </row>
    <row r="3625" spans="1:5" x14ac:dyDescent="0.3">
      <c r="A3625" t="s">
        <v>4635</v>
      </c>
      <c r="B3625" t="s">
        <v>220</v>
      </c>
      <c r="C3625">
        <v>92</v>
      </c>
      <c r="D3625" t="str">
        <f>VLOOKUP(B3625,Products!$A:$E,2,FALSE)</f>
        <v>Product_106</v>
      </c>
      <c r="E3625" t="str">
        <f>VLOOKUP(B3625,Products!$A:$E,3,FALSE)</f>
        <v>Networking</v>
      </c>
    </row>
    <row r="3626" spans="1:5" x14ac:dyDescent="0.3">
      <c r="A3626" t="s">
        <v>4636</v>
      </c>
      <c r="B3626" t="s">
        <v>908</v>
      </c>
      <c r="C3626">
        <v>45</v>
      </c>
      <c r="D3626" t="str">
        <f>VLOOKUP(B3626,Products!$A:$E,2,FALSE)</f>
        <v>Product_450</v>
      </c>
      <c r="E3626" t="str">
        <f>VLOOKUP(B3626,Products!$A:$E,3,FALSE)</f>
        <v>Networking</v>
      </c>
    </row>
    <row r="3627" spans="1:5" x14ac:dyDescent="0.3">
      <c r="A3627" t="s">
        <v>4637</v>
      </c>
      <c r="B3627" t="s">
        <v>316</v>
      </c>
      <c r="C3627">
        <v>77</v>
      </c>
      <c r="D3627" t="str">
        <f>VLOOKUP(B3627,Products!$A:$E,2,FALSE)</f>
        <v>Product_154</v>
      </c>
      <c r="E3627" t="str">
        <f>VLOOKUP(B3627,Products!$A:$E,3,FALSE)</f>
        <v>Accessories</v>
      </c>
    </row>
    <row r="3628" spans="1:5" x14ac:dyDescent="0.3">
      <c r="A3628" t="s">
        <v>4638</v>
      </c>
      <c r="B3628" t="s">
        <v>822</v>
      </c>
      <c r="C3628">
        <v>91</v>
      </c>
      <c r="D3628" t="str">
        <f>VLOOKUP(B3628,Products!$A:$E,2,FALSE)</f>
        <v>Product_407</v>
      </c>
      <c r="E3628" t="str">
        <f>VLOOKUP(B3628,Products!$A:$E,3,FALSE)</f>
        <v>Networking</v>
      </c>
    </row>
    <row r="3629" spans="1:5" x14ac:dyDescent="0.3">
      <c r="A3629" t="s">
        <v>4639</v>
      </c>
      <c r="B3629" t="s">
        <v>320</v>
      </c>
      <c r="C3629">
        <v>60</v>
      </c>
      <c r="D3629" t="str">
        <f>VLOOKUP(B3629,Products!$A:$E,2,FALSE)</f>
        <v>Product_156</v>
      </c>
      <c r="E3629" t="str">
        <f>VLOOKUP(B3629,Products!$A:$E,3,FALSE)</f>
        <v>Accessories</v>
      </c>
    </row>
    <row r="3630" spans="1:5" x14ac:dyDescent="0.3">
      <c r="A3630" t="s">
        <v>4640</v>
      </c>
      <c r="B3630" t="s">
        <v>744</v>
      </c>
      <c r="C3630">
        <v>49</v>
      </c>
      <c r="D3630" t="str">
        <f>VLOOKUP(B3630,Products!$A:$E,2,FALSE)</f>
        <v>Product_368</v>
      </c>
      <c r="E3630" t="str">
        <f>VLOOKUP(B3630,Products!$A:$E,3,FALSE)</f>
        <v>Office Supplies</v>
      </c>
    </row>
    <row r="3631" spans="1:5" x14ac:dyDescent="0.3">
      <c r="A3631" t="s">
        <v>4641</v>
      </c>
      <c r="B3631" t="s">
        <v>100</v>
      </c>
      <c r="C3631">
        <v>79</v>
      </c>
      <c r="D3631" t="str">
        <f>VLOOKUP(B3631,Products!$A:$E,2,FALSE)</f>
        <v>Product_46</v>
      </c>
      <c r="E3631" t="str">
        <f>VLOOKUP(B3631,Products!$A:$E,3,FALSE)</f>
        <v>Networking</v>
      </c>
    </row>
    <row r="3632" spans="1:5" x14ac:dyDescent="0.3">
      <c r="A3632" t="s">
        <v>4642</v>
      </c>
      <c r="B3632" t="s">
        <v>17</v>
      </c>
      <c r="C3632">
        <v>83</v>
      </c>
      <c r="D3632" t="str">
        <f>VLOOKUP(B3632,Products!$A:$E,2,FALSE)</f>
        <v>Product_5</v>
      </c>
      <c r="E3632" t="str">
        <f>VLOOKUP(B3632,Products!$A:$E,3,FALSE)</f>
        <v>Networking</v>
      </c>
    </row>
    <row r="3633" spans="1:5" x14ac:dyDescent="0.3">
      <c r="A3633" t="s">
        <v>4643</v>
      </c>
      <c r="B3633" t="s">
        <v>532</v>
      </c>
      <c r="C3633">
        <v>56</v>
      </c>
      <c r="D3633" t="str">
        <f>VLOOKUP(B3633,Products!$A:$E,2,FALSE)</f>
        <v>Product_262</v>
      </c>
      <c r="E3633" t="str">
        <f>VLOOKUP(B3633,Products!$A:$E,3,FALSE)</f>
        <v>Electronics</v>
      </c>
    </row>
    <row r="3634" spans="1:5" x14ac:dyDescent="0.3">
      <c r="A3634" t="s">
        <v>4644</v>
      </c>
      <c r="B3634" t="s">
        <v>876</v>
      </c>
      <c r="C3634">
        <v>21</v>
      </c>
      <c r="D3634" t="str">
        <f>VLOOKUP(B3634,Products!$A:$E,2,FALSE)</f>
        <v>Product_434</v>
      </c>
      <c r="E3634" t="str">
        <f>VLOOKUP(B3634,Products!$A:$E,3,FALSE)</f>
        <v>Office Supplies</v>
      </c>
    </row>
    <row r="3635" spans="1:5" x14ac:dyDescent="0.3">
      <c r="A3635" t="s">
        <v>4645</v>
      </c>
      <c r="B3635" t="s">
        <v>882</v>
      </c>
      <c r="C3635">
        <v>42</v>
      </c>
      <c r="D3635" t="str">
        <f>VLOOKUP(B3635,Products!$A:$E,2,FALSE)</f>
        <v>Product_437</v>
      </c>
      <c r="E3635" t="str">
        <f>VLOOKUP(B3635,Products!$A:$E,3,FALSE)</f>
        <v>Accessories</v>
      </c>
    </row>
    <row r="3636" spans="1:5" x14ac:dyDescent="0.3">
      <c r="A3636" t="s">
        <v>4646</v>
      </c>
      <c r="B3636" t="s">
        <v>72</v>
      </c>
      <c r="C3636">
        <v>52</v>
      </c>
      <c r="D3636" t="str">
        <f>VLOOKUP(B3636,Products!$A:$E,2,FALSE)</f>
        <v>Product_32</v>
      </c>
      <c r="E3636" t="str">
        <f>VLOOKUP(B3636,Products!$A:$E,3,FALSE)</f>
        <v>Networking</v>
      </c>
    </row>
    <row r="3637" spans="1:5" x14ac:dyDescent="0.3">
      <c r="A3637" t="s">
        <v>4647</v>
      </c>
      <c r="B3637" t="s">
        <v>932</v>
      </c>
      <c r="C3637">
        <v>75</v>
      </c>
      <c r="D3637" t="str">
        <f>VLOOKUP(B3637,Products!$A:$E,2,FALSE)</f>
        <v>Product_462</v>
      </c>
      <c r="E3637" t="str">
        <f>VLOOKUP(B3637,Products!$A:$E,3,FALSE)</f>
        <v>Electronics</v>
      </c>
    </row>
    <row r="3638" spans="1:5" x14ac:dyDescent="0.3">
      <c r="A3638" t="s">
        <v>4648</v>
      </c>
      <c r="B3638" t="s">
        <v>1000</v>
      </c>
      <c r="C3638">
        <v>11</v>
      </c>
      <c r="D3638" t="str">
        <f>VLOOKUP(B3638,Products!$A:$E,2,FALSE)</f>
        <v>Product_496</v>
      </c>
      <c r="E3638" t="str">
        <f>VLOOKUP(B3638,Products!$A:$E,3,FALSE)</f>
        <v>Office Supplies</v>
      </c>
    </row>
    <row r="3639" spans="1:5" x14ac:dyDescent="0.3">
      <c r="A3639" t="s">
        <v>4649</v>
      </c>
      <c r="B3639" t="s">
        <v>5</v>
      </c>
      <c r="C3639">
        <v>95</v>
      </c>
      <c r="D3639" t="str">
        <f>VLOOKUP(B3639,Products!$A:$E,2,FALSE)</f>
        <v>Product_1</v>
      </c>
      <c r="E3639" t="str">
        <f>VLOOKUP(B3639,Products!$A:$E,3,FALSE)</f>
        <v>Electronics</v>
      </c>
    </row>
    <row r="3640" spans="1:5" x14ac:dyDescent="0.3">
      <c r="A3640" t="s">
        <v>4650</v>
      </c>
      <c r="B3640" t="s">
        <v>582</v>
      </c>
      <c r="C3640">
        <v>50</v>
      </c>
      <c r="D3640" t="str">
        <f>VLOOKUP(B3640,Products!$A:$E,2,FALSE)</f>
        <v>Product_287</v>
      </c>
      <c r="E3640" t="str">
        <f>VLOOKUP(B3640,Products!$A:$E,3,FALSE)</f>
        <v>Storage</v>
      </c>
    </row>
    <row r="3641" spans="1:5" x14ac:dyDescent="0.3">
      <c r="A3641" t="s">
        <v>4651</v>
      </c>
      <c r="B3641" t="s">
        <v>122</v>
      </c>
      <c r="C3641">
        <v>41</v>
      </c>
      <c r="D3641" t="str">
        <f>VLOOKUP(B3641,Products!$A:$E,2,FALSE)</f>
        <v>Product_57</v>
      </c>
      <c r="E3641" t="str">
        <f>VLOOKUP(B3641,Products!$A:$E,3,FALSE)</f>
        <v>Electronics</v>
      </c>
    </row>
    <row r="3642" spans="1:5" x14ac:dyDescent="0.3">
      <c r="A3642" t="s">
        <v>4652</v>
      </c>
      <c r="B3642" t="s">
        <v>896</v>
      </c>
      <c r="C3642">
        <v>8</v>
      </c>
      <c r="D3642" t="str">
        <f>VLOOKUP(B3642,Products!$A:$E,2,FALSE)</f>
        <v>Product_444</v>
      </c>
      <c r="E3642" t="str">
        <f>VLOOKUP(B3642,Products!$A:$E,3,FALSE)</f>
        <v>Electronics</v>
      </c>
    </row>
    <row r="3643" spans="1:5" x14ac:dyDescent="0.3">
      <c r="A3643" t="s">
        <v>4653</v>
      </c>
      <c r="B3643" t="s">
        <v>250</v>
      </c>
      <c r="C3643">
        <v>60</v>
      </c>
      <c r="D3643" t="str">
        <f>VLOOKUP(B3643,Products!$A:$E,2,FALSE)</f>
        <v>Product_121</v>
      </c>
      <c r="E3643" t="str">
        <f>VLOOKUP(B3643,Products!$A:$E,3,FALSE)</f>
        <v>Storage</v>
      </c>
    </row>
    <row r="3644" spans="1:5" x14ac:dyDescent="0.3">
      <c r="A3644" t="s">
        <v>4654</v>
      </c>
      <c r="B3644" t="s">
        <v>728</v>
      </c>
      <c r="C3644">
        <v>80</v>
      </c>
      <c r="D3644" t="str">
        <f>VLOOKUP(B3644,Products!$A:$E,2,FALSE)</f>
        <v>Product_360</v>
      </c>
      <c r="E3644" t="str">
        <f>VLOOKUP(B3644,Products!$A:$E,3,FALSE)</f>
        <v>Office Supplies</v>
      </c>
    </row>
    <row r="3645" spans="1:5" x14ac:dyDescent="0.3">
      <c r="A3645" t="s">
        <v>4655</v>
      </c>
      <c r="B3645" t="s">
        <v>412</v>
      </c>
      <c r="C3645">
        <v>85</v>
      </c>
      <c r="D3645" t="str">
        <f>VLOOKUP(B3645,Products!$A:$E,2,FALSE)</f>
        <v>Product_202</v>
      </c>
      <c r="E3645" t="str">
        <f>VLOOKUP(B3645,Products!$A:$E,3,FALSE)</f>
        <v>Storage</v>
      </c>
    </row>
    <row r="3646" spans="1:5" x14ac:dyDescent="0.3">
      <c r="A3646" t="s">
        <v>4656</v>
      </c>
      <c r="B3646" t="s">
        <v>334</v>
      </c>
      <c r="C3646">
        <v>96</v>
      </c>
      <c r="D3646" t="str">
        <f>VLOOKUP(B3646,Products!$A:$E,2,FALSE)</f>
        <v>Product_163</v>
      </c>
      <c r="E3646" t="str">
        <f>VLOOKUP(B3646,Products!$A:$E,3,FALSE)</f>
        <v>Accessories</v>
      </c>
    </row>
    <row r="3647" spans="1:5" x14ac:dyDescent="0.3">
      <c r="A3647" t="s">
        <v>4657</v>
      </c>
      <c r="B3647" t="s">
        <v>400</v>
      </c>
      <c r="C3647">
        <v>56</v>
      </c>
      <c r="D3647" t="str">
        <f>VLOOKUP(B3647,Products!$A:$E,2,FALSE)</f>
        <v>Product_196</v>
      </c>
      <c r="E3647" t="str">
        <f>VLOOKUP(B3647,Products!$A:$E,3,FALSE)</f>
        <v>Office Supplies</v>
      </c>
    </row>
    <row r="3648" spans="1:5" x14ac:dyDescent="0.3">
      <c r="A3648" t="s">
        <v>4658</v>
      </c>
      <c r="B3648" t="s">
        <v>400</v>
      </c>
      <c r="C3648">
        <v>60</v>
      </c>
      <c r="D3648" t="str">
        <f>VLOOKUP(B3648,Products!$A:$E,2,FALSE)</f>
        <v>Product_196</v>
      </c>
      <c r="E3648" t="str">
        <f>VLOOKUP(B3648,Products!$A:$E,3,FALSE)</f>
        <v>Office Supplies</v>
      </c>
    </row>
    <row r="3649" spans="1:5" x14ac:dyDescent="0.3">
      <c r="A3649" t="s">
        <v>4659</v>
      </c>
      <c r="B3649" t="s">
        <v>568</v>
      </c>
      <c r="C3649">
        <v>32</v>
      </c>
      <c r="D3649" t="str">
        <f>VLOOKUP(B3649,Products!$A:$E,2,FALSE)</f>
        <v>Product_280</v>
      </c>
      <c r="E3649" t="str">
        <f>VLOOKUP(B3649,Products!$A:$E,3,FALSE)</f>
        <v>Electronics</v>
      </c>
    </row>
    <row r="3650" spans="1:5" x14ac:dyDescent="0.3">
      <c r="A3650" t="s">
        <v>4660</v>
      </c>
      <c r="B3650" t="s">
        <v>688</v>
      </c>
      <c r="C3650">
        <v>27</v>
      </c>
      <c r="D3650" t="str">
        <f>VLOOKUP(B3650,Products!$A:$E,2,FALSE)</f>
        <v>Product_340</v>
      </c>
      <c r="E3650" t="str">
        <f>VLOOKUP(B3650,Products!$A:$E,3,FALSE)</f>
        <v>Storage</v>
      </c>
    </row>
    <row r="3651" spans="1:5" x14ac:dyDescent="0.3">
      <c r="A3651" t="s">
        <v>4661</v>
      </c>
      <c r="B3651" t="s">
        <v>496</v>
      </c>
      <c r="C3651">
        <v>22</v>
      </c>
      <c r="D3651" t="str">
        <f>VLOOKUP(B3651,Products!$A:$E,2,FALSE)</f>
        <v>Product_244</v>
      </c>
      <c r="E3651" t="str">
        <f>VLOOKUP(B3651,Products!$A:$E,3,FALSE)</f>
        <v>Accessories</v>
      </c>
    </row>
    <row r="3652" spans="1:5" x14ac:dyDescent="0.3">
      <c r="A3652" t="s">
        <v>4662</v>
      </c>
      <c r="B3652" t="s">
        <v>202</v>
      </c>
      <c r="C3652">
        <v>76</v>
      </c>
      <c r="D3652" t="str">
        <f>VLOOKUP(B3652,Products!$A:$E,2,FALSE)</f>
        <v>Product_97</v>
      </c>
      <c r="E3652" t="str">
        <f>VLOOKUP(B3652,Products!$A:$E,3,FALSE)</f>
        <v>Accessories</v>
      </c>
    </row>
    <row r="3653" spans="1:5" x14ac:dyDescent="0.3">
      <c r="A3653" t="s">
        <v>4663</v>
      </c>
      <c r="B3653" t="s">
        <v>402</v>
      </c>
      <c r="C3653">
        <v>51</v>
      </c>
      <c r="D3653" t="str">
        <f>VLOOKUP(B3653,Products!$A:$E,2,FALSE)</f>
        <v>Product_197</v>
      </c>
      <c r="E3653" t="str">
        <f>VLOOKUP(B3653,Products!$A:$E,3,FALSE)</f>
        <v>Electronics</v>
      </c>
    </row>
    <row r="3654" spans="1:5" x14ac:dyDescent="0.3">
      <c r="A3654" t="s">
        <v>4664</v>
      </c>
      <c r="B3654" t="s">
        <v>870</v>
      </c>
      <c r="C3654">
        <v>58</v>
      </c>
      <c r="D3654" t="str">
        <f>VLOOKUP(B3654,Products!$A:$E,2,FALSE)</f>
        <v>Product_431</v>
      </c>
      <c r="E3654" t="str">
        <f>VLOOKUP(B3654,Products!$A:$E,3,FALSE)</f>
        <v>Electronics</v>
      </c>
    </row>
    <row r="3655" spans="1:5" x14ac:dyDescent="0.3">
      <c r="A3655" t="s">
        <v>4665</v>
      </c>
      <c r="B3655" t="s">
        <v>166</v>
      </c>
      <c r="C3655">
        <v>41</v>
      </c>
      <c r="D3655" t="str">
        <f>VLOOKUP(B3655,Products!$A:$E,2,FALSE)</f>
        <v>Product_79</v>
      </c>
      <c r="E3655" t="str">
        <f>VLOOKUP(B3655,Products!$A:$E,3,FALSE)</f>
        <v>Storage</v>
      </c>
    </row>
    <row r="3656" spans="1:5" x14ac:dyDescent="0.3">
      <c r="A3656" t="s">
        <v>4666</v>
      </c>
      <c r="B3656" t="s">
        <v>902</v>
      </c>
      <c r="C3656">
        <v>90</v>
      </c>
      <c r="D3656" t="str">
        <f>VLOOKUP(B3656,Products!$A:$E,2,FALSE)</f>
        <v>Product_447</v>
      </c>
      <c r="E3656" t="str">
        <f>VLOOKUP(B3656,Products!$A:$E,3,FALSE)</f>
        <v>Office Supplies</v>
      </c>
    </row>
    <row r="3657" spans="1:5" x14ac:dyDescent="0.3">
      <c r="A3657" t="s">
        <v>4667</v>
      </c>
      <c r="B3657" t="s">
        <v>138</v>
      </c>
      <c r="C3657">
        <v>22</v>
      </c>
      <c r="D3657" t="str">
        <f>VLOOKUP(B3657,Products!$A:$E,2,FALSE)</f>
        <v>Product_65</v>
      </c>
      <c r="E3657" t="str">
        <f>VLOOKUP(B3657,Products!$A:$E,3,FALSE)</f>
        <v>Office Supplies</v>
      </c>
    </row>
    <row r="3658" spans="1:5" x14ac:dyDescent="0.3">
      <c r="A3658" t="s">
        <v>4668</v>
      </c>
      <c r="B3658" t="s">
        <v>20</v>
      </c>
      <c r="C3658">
        <v>14</v>
      </c>
      <c r="D3658" t="str">
        <f>VLOOKUP(B3658,Products!$A:$E,2,FALSE)</f>
        <v>Product_6</v>
      </c>
      <c r="E3658" t="str">
        <f>VLOOKUP(B3658,Products!$A:$E,3,FALSE)</f>
        <v>Electronics</v>
      </c>
    </row>
    <row r="3659" spans="1:5" x14ac:dyDescent="0.3">
      <c r="A3659" t="s">
        <v>4669</v>
      </c>
      <c r="B3659" t="s">
        <v>672</v>
      </c>
      <c r="C3659">
        <v>7</v>
      </c>
      <c r="D3659" t="str">
        <f>VLOOKUP(B3659,Products!$A:$E,2,FALSE)</f>
        <v>Product_332</v>
      </c>
      <c r="E3659" t="str">
        <f>VLOOKUP(B3659,Products!$A:$E,3,FALSE)</f>
        <v>Electronics</v>
      </c>
    </row>
    <row r="3660" spans="1:5" x14ac:dyDescent="0.3">
      <c r="A3660" t="s">
        <v>4670</v>
      </c>
      <c r="B3660" t="s">
        <v>156</v>
      </c>
      <c r="C3660">
        <v>97</v>
      </c>
      <c r="D3660" t="str">
        <f>VLOOKUP(B3660,Products!$A:$E,2,FALSE)</f>
        <v>Product_74</v>
      </c>
      <c r="E3660" t="str">
        <f>VLOOKUP(B3660,Products!$A:$E,3,FALSE)</f>
        <v>Storage</v>
      </c>
    </row>
    <row r="3661" spans="1:5" x14ac:dyDescent="0.3">
      <c r="A3661" t="s">
        <v>4671</v>
      </c>
      <c r="B3661" t="s">
        <v>916</v>
      </c>
      <c r="C3661">
        <v>67</v>
      </c>
      <c r="D3661" t="str">
        <f>VLOOKUP(B3661,Products!$A:$E,2,FALSE)</f>
        <v>Product_454</v>
      </c>
      <c r="E3661" t="str">
        <f>VLOOKUP(B3661,Products!$A:$E,3,FALSE)</f>
        <v>Networking</v>
      </c>
    </row>
    <row r="3662" spans="1:5" x14ac:dyDescent="0.3">
      <c r="A3662" t="s">
        <v>4672</v>
      </c>
      <c r="B3662" t="s">
        <v>682</v>
      </c>
      <c r="C3662">
        <v>60</v>
      </c>
      <c r="D3662" t="str">
        <f>VLOOKUP(B3662,Products!$A:$E,2,FALSE)</f>
        <v>Product_337</v>
      </c>
      <c r="E3662" t="str">
        <f>VLOOKUP(B3662,Products!$A:$E,3,FALSE)</f>
        <v>Storage</v>
      </c>
    </row>
    <row r="3663" spans="1:5" x14ac:dyDescent="0.3">
      <c r="A3663" t="s">
        <v>4673</v>
      </c>
      <c r="B3663" t="s">
        <v>1008</v>
      </c>
      <c r="C3663">
        <v>22</v>
      </c>
      <c r="D3663" t="str">
        <f>VLOOKUP(B3663,Products!$A:$E,2,FALSE)</f>
        <v>Product_500</v>
      </c>
      <c r="E3663" t="str">
        <f>VLOOKUP(B3663,Products!$A:$E,3,FALSE)</f>
        <v>Networking</v>
      </c>
    </row>
    <row r="3664" spans="1:5" x14ac:dyDescent="0.3">
      <c r="A3664" t="s">
        <v>4674</v>
      </c>
      <c r="B3664" t="s">
        <v>96</v>
      </c>
      <c r="C3664">
        <v>22</v>
      </c>
      <c r="D3664" t="str">
        <f>VLOOKUP(B3664,Products!$A:$E,2,FALSE)</f>
        <v>Product_44</v>
      </c>
      <c r="E3664" t="str">
        <f>VLOOKUP(B3664,Products!$A:$E,3,FALSE)</f>
        <v>Storage</v>
      </c>
    </row>
    <row r="3665" spans="1:5" x14ac:dyDescent="0.3">
      <c r="A3665" t="s">
        <v>4675</v>
      </c>
      <c r="B3665" t="s">
        <v>666</v>
      </c>
      <c r="C3665">
        <v>58</v>
      </c>
      <c r="D3665" t="str">
        <f>VLOOKUP(B3665,Products!$A:$E,2,FALSE)</f>
        <v>Product_329</v>
      </c>
      <c r="E3665" t="str">
        <f>VLOOKUP(B3665,Products!$A:$E,3,FALSE)</f>
        <v>Office Supplies</v>
      </c>
    </row>
    <row r="3666" spans="1:5" x14ac:dyDescent="0.3">
      <c r="A3666" t="s">
        <v>4676</v>
      </c>
      <c r="B3666" t="s">
        <v>890</v>
      </c>
      <c r="C3666">
        <v>63</v>
      </c>
      <c r="D3666" t="str">
        <f>VLOOKUP(B3666,Products!$A:$E,2,FALSE)</f>
        <v>Product_441</v>
      </c>
      <c r="E3666" t="str">
        <f>VLOOKUP(B3666,Products!$A:$E,3,FALSE)</f>
        <v>Storage</v>
      </c>
    </row>
    <row r="3667" spans="1:5" x14ac:dyDescent="0.3">
      <c r="A3667" t="s">
        <v>4677</v>
      </c>
      <c r="B3667" t="s">
        <v>924</v>
      </c>
      <c r="C3667">
        <v>94</v>
      </c>
      <c r="D3667" t="str">
        <f>VLOOKUP(B3667,Products!$A:$E,2,FALSE)</f>
        <v>Product_458</v>
      </c>
      <c r="E3667" t="str">
        <f>VLOOKUP(B3667,Products!$A:$E,3,FALSE)</f>
        <v>Accessories</v>
      </c>
    </row>
    <row r="3668" spans="1:5" x14ac:dyDescent="0.3">
      <c r="A3668" t="s">
        <v>4678</v>
      </c>
      <c r="B3668" t="s">
        <v>628</v>
      </c>
      <c r="C3668">
        <v>59</v>
      </c>
      <c r="D3668" t="str">
        <f>VLOOKUP(B3668,Products!$A:$E,2,FALSE)</f>
        <v>Product_310</v>
      </c>
      <c r="E3668" t="str">
        <f>VLOOKUP(B3668,Products!$A:$E,3,FALSE)</f>
        <v>Office Supplies</v>
      </c>
    </row>
    <row r="3669" spans="1:5" x14ac:dyDescent="0.3">
      <c r="A3669" t="s">
        <v>4679</v>
      </c>
      <c r="B3669" t="s">
        <v>648</v>
      </c>
      <c r="C3669">
        <v>28</v>
      </c>
      <c r="D3669" t="str">
        <f>VLOOKUP(B3669,Products!$A:$E,2,FALSE)</f>
        <v>Product_320</v>
      </c>
      <c r="E3669" t="str">
        <f>VLOOKUP(B3669,Products!$A:$E,3,FALSE)</f>
        <v>Office Supplies</v>
      </c>
    </row>
    <row r="3670" spans="1:5" x14ac:dyDescent="0.3">
      <c r="A3670" t="s">
        <v>4680</v>
      </c>
      <c r="B3670" t="s">
        <v>474</v>
      </c>
      <c r="C3670">
        <v>70</v>
      </c>
      <c r="D3670" t="str">
        <f>VLOOKUP(B3670,Products!$A:$E,2,FALSE)</f>
        <v>Product_233</v>
      </c>
      <c r="E3670" t="str">
        <f>VLOOKUP(B3670,Products!$A:$E,3,FALSE)</f>
        <v>Accessories</v>
      </c>
    </row>
    <row r="3671" spans="1:5" x14ac:dyDescent="0.3">
      <c r="A3671" t="s">
        <v>4681</v>
      </c>
      <c r="B3671" t="s">
        <v>444</v>
      </c>
      <c r="C3671">
        <v>75</v>
      </c>
      <c r="D3671" t="str">
        <f>VLOOKUP(B3671,Products!$A:$E,2,FALSE)</f>
        <v>Product_218</v>
      </c>
      <c r="E3671" t="str">
        <f>VLOOKUP(B3671,Products!$A:$E,3,FALSE)</f>
        <v>Accessories</v>
      </c>
    </row>
    <row r="3672" spans="1:5" x14ac:dyDescent="0.3">
      <c r="A3672" t="s">
        <v>4682</v>
      </c>
      <c r="B3672" t="s">
        <v>848</v>
      </c>
      <c r="C3672">
        <v>62</v>
      </c>
      <c r="D3672" t="str">
        <f>VLOOKUP(B3672,Products!$A:$E,2,FALSE)</f>
        <v>Product_420</v>
      </c>
      <c r="E3672" t="str">
        <f>VLOOKUP(B3672,Products!$A:$E,3,FALSE)</f>
        <v>Networking</v>
      </c>
    </row>
    <row r="3673" spans="1:5" x14ac:dyDescent="0.3">
      <c r="A3673" t="s">
        <v>4683</v>
      </c>
      <c r="B3673" t="s">
        <v>402</v>
      </c>
      <c r="C3673">
        <v>50</v>
      </c>
      <c r="D3673" t="str">
        <f>VLOOKUP(B3673,Products!$A:$E,2,FALSE)</f>
        <v>Product_197</v>
      </c>
      <c r="E3673" t="str">
        <f>VLOOKUP(B3673,Products!$A:$E,3,FALSE)</f>
        <v>Electronics</v>
      </c>
    </row>
    <row r="3674" spans="1:5" x14ac:dyDescent="0.3">
      <c r="A3674" t="s">
        <v>4684</v>
      </c>
      <c r="B3674" t="s">
        <v>240</v>
      </c>
      <c r="C3674">
        <v>28</v>
      </c>
      <c r="D3674" t="str">
        <f>VLOOKUP(B3674,Products!$A:$E,2,FALSE)</f>
        <v>Product_116</v>
      </c>
      <c r="E3674" t="str">
        <f>VLOOKUP(B3674,Products!$A:$E,3,FALSE)</f>
        <v>Storage</v>
      </c>
    </row>
    <row r="3675" spans="1:5" x14ac:dyDescent="0.3">
      <c r="A3675" t="s">
        <v>4685</v>
      </c>
      <c r="B3675" t="s">
        <v>444</v>
      </c>
      <c r="C3675">
        <v>82</v>
      </c>
      <c r="D3675" t="str">
        <f>VLOOKUP(B3675,Products!$A:$E,2,FALSE)</f>
        <v>Product_218</v>
      </c>
      <c r="E3675" t="str">
        <f>VLOOKUP(B3675,Products!$A:$E,3,FALSE)</f>
        <v>Accessories</v>
      </c>
    </row>
    <row r="3676" spans="1:5" x14ac:dyDescent="0.3">
      <c r="A3676" t="s">
        <v>4686</v>
      </c>
      <c r="B3676" t="s">
        <v>14</v>
      </c>
      <c r="C3676">
        <v>78</v>
      </c>
      <c r="D3676" t="str">
        <f>VLOOKUP(B3676,Products!$A:$E,2,FALSE)</f>
        <v>Product_4</v>
      </c>
      <c r="E3676" t="str">
        <f>VLOOKUP(B3676,Products!$A:$E,3,FALSE)</f>
        <v>Storage</v>
      </c>
    </row>
    <row r="3677" spans="1:5" x14ac:dyDescent="0.3">
      <c r="A3677" t="s">
        <v>4687</v>
      </c>
      <c r="B3677" t="s">
        <v>520</v>
      </c>
      <c r="C3677">
        <v>98</v>
      </c>
      <c r="D3677" t="str">
        <f>VLOOKUP(B3677,Products!$A:$E,2,FALSE)</f>
        <v>Product_256</v>
      </c>
      <c r="E3677" t="str">
        <f>VLOOKUP(B3677,Products!$A:$E,3,FALSE)</f>
        <v>Office Supplies</v>
      </c>
    </row>
    <row r="3678" spans="1:5" x14ac:dyDescent="0.3">
      <c r="A3678" t="s">
        <v>4688</v>
      </c>
      <c r="B3678" t="s">
        <v>252</v>
      </c>
      <c r="C3678">
        <v>96</v>
      </c>
      <c r="D3678" t="str">
        <f>VLOOKUP(B3678,Products!$A:$E,2,FALSE)</f>
        <v>Product_122</v>
      </c>
      <c r="E3678" t="str">
        <f>VLOOKUP(B3678,Products!$A:$E,3,FALSE)</f>
        <v>Storage</v>
      </c>
    </row>
    <row r="3679" spans="1:5" x14ac:dyDescent="0.3">
      <c r="A3679" t="s">
        <v>4689</v>
      </c>
      <c r="B3679" t="s">
        <v>522</v>
      </c>
      <c r="C3679">
        <v>39</v>
      </c>
      <c r="D3679" t="str">
        <f>VLOOKUP(B3679,Products!$A:$E,2,FALSE)</f>
        <v>Product_257</v>
      </c>
      <c r="E3679" t="str">
        <f>VLOOKUP(B3679,Products!$A:$E,3,FALSE)</f>
        <v>Networking</v>
      </c>
    </row>
    <row r="3680" spans="1:5" x14ac:dyDescent="0.3">
      <c r="A3680" t="s">
        <v>4690</v>
      </c>
      <c r="B3680" t="s">
        <v>430</v>
      </c>
      <c r="C3680">
        <v>74</v>
      </c>
      <c r="D3680" t="str">
        <f>VLOOKUP(B3680,Products!$A:$E,2,FALSE)</f>
        <v>Product_211</v>
      </c>
      <c r="E3680" t="str">
        <f>VLOOKUP(B3680,Products!$A:$E,3,FALSE)</f>
        <v>Storage</v>
      </c>
    </row>
    <row r="3681" spans="1:5" x14ac:dyDescent="0.3">
      <c r="A3681" t="s">
        <v>4691</v>
      </c>
      <c r="B3681" t="s">
        <v>600</v>
      </c>
      <c r="C3681">
        <v>51</v>
      </c>
      <c r="D3681" t="str">
        <f>VLOOKUP(B3681,Products!$A:$E,2,FALSE)</f>
        <v>Product_296</v>
      </c>
      <c r="E3681" t="str">
        <f>VLOOKUP(B3681,Products!$A:$E,3,FALSE)</f>
        <v>Office Supplies</v>
      </c>
    </row>
    <row r="3682" spans="1:5" x14ac:dyDescent="0.3">
      <c r="A3682" t="s">
        <v>4692</v>
      </c>
      <c r="B3682" t="s">
        <v>44</v>
      </c>
      <c r="C3682">
        <v>9</v>
      </c>
      <c r="D3682" t="str">
        <f>VLOOKUP(B3682,Products!$A:$E,2,FALSE)</f>
        <v>Product_18</v>
      </c>
      <c r="E3682" t="str">
        <f>VLOOKUP(B3682,Products!$A:$E,3,FALSE)</f>
        <v>Networking</v>
      </c>
    </row>
    <row r="3683" spans="1:5" x14ac:dyDescent="0.3">
      <c r="A3683" t="s">
        <v>4693</v>
      </c>
      <c r="B3683" t="s">
        <v>590</v>
      </c>
      <c r="C3683">
        <v>66</v>
      </c>
      <c r="D3683" t="str">
        <f>VLOOKUP(B3683,Products!$A:$E,2,FALSE)</f>
        <v>Product_291</v>
      </c>
      <c r="E3683" t="str">
        <f>VLOOKUP(B3683,Products!$A:$E,3,FALSE)</f>
        <v>Networking</v>
      </c>
    </row>
    <row r="3684" spans="1:5" x14ac:dyDescent="0.3">
      <c r="A3684" t="s">
        <v>4694</v>
      </c>
      <c r="B3684" t="s">
        <v>730</v>
      </c>
      <c r="C3684">
        <v>52</v>
      </c>
      <c r="D3684" t="str">
        <f>VLOOKUP(B3684,Products!$A:$E,2,FALSE)</f>
        <v>Product_361</v>
      </c>
      <c r="E3684" t="str">
        <f>VLOOKUP(B3684,Products!$A:$E,3,FALSE)</f>
        <v>Office Supplies</v>
      </c>
    </row>
    <row r="3685" spans="1:5" x14ac:dyDescent="0.3">
      <c r="A3685" t="s">
        <v>4695</v>
      </c>
      <c r="B3685" t="s">
        <v>124</v>
      </c>
      <c r="C3685">
        <v>79</v>
      </c>
      <c r="D3685" t="str">
        <f>VLOOKUP(B3685,Products!$A:$E,2,FALSE)</f>
        <v>Product_58</v>
      </c>
      <c r="E3685" t="str">
        <f>VLOOKUP(B3685,Products!$A:$E,3,FALSE)</f>
        <v>Office Supplies</v>
      </c>
    </row>
    <row r="3686" spans="1:5" x14ac:dyDescent="0.3">
      <c r="A3686" t="s">
        <v>4696</v>
      </c>
      <c r="B3686" t="s">
        <v>502</v>
      </c>
      <c r="C3686">
        <v>93</v>
      </c>
      <c r="D3686" t="str">
        <f>VLOOKUP(B3686,Products!$A:$E,2,FALSE)</f>
        <v>Product_247</v>
      </c>
      <c r="E3686" t="str">
        <f>VLOOKUP(B3686,Products!$A:$E,3,FALSE)</f>
        <v>Networking</v>
      </c>
    </row>
    <row r="3687" spans="1:5" x14ac:dyDescent="0.3">
      <c r="A3687" t="s">
        <v>4697</v>
      </c>
      <c r="B3687" t="s">
        <v>90</v>
      </c>
      <c r="C3687">
        <v>23</v>
      </c>
      <c r="D3687" t="str">
        <f>VLOOKUP(B3687,Products!$A:$E,2,FALSE)</f>
        <v>Product_41</v>
      </c>
      <c r="E3687" t="str">
        <f>VLOOKUP(B3687,Products!$A:$E,3,FALSE)</f>
        <v>Accessories</v>
      </c>
    </row>
    <row r="3688" spans="1:5" x14ac:dyDescent="0.3">
      <c r="A3688" t="s">
        <v>4698</v>
      </c>
      <c r="B3688" t="s">
        <v>756</v>
      </c>
      <c r="C3688">
        <v>98</v>
      </c>
      <c r="D3688" t="str">
        <f>VLOOKUP(B3688,Products!$A:$E,2,FALSE)</f>
        <v>Product_374</v>
      </c>
      <c r="E3688" t="str">
        <f>VLOOKUP(B3688,Products!$A:$E,3,FALSE)</f>
        <v>Office Supplies</v>
      </c>
    </row>
    <row r="3689" spans="1:5" x14ac:dyDescent="0.3">
      <c r="A3689" t="s">
        <v>4699</v>
      </c>
      <c r="B3689" t="s">
        <v>548</v>
      </c>
      <c r="C3689">
        <v>40</v>
      </c>
      <c r="D3689" t="str">
        <f>VLOOKUP(B3689,Products!$A:$E,2,FALSE)</f>
        <v>Product_270</v>
      </c>
      <c r="E3689" t="str">
        <f>VLOOKUP(B3689,Products!$A:$E,3,FALSE)</f>
        <v>Electronics</v>
      </c>
    </row>
    <row r="3690" spans="1:5" x14ac:dyDescent="0.3">
      <c r="A3690" t="s">
        <v>4700</v>
      </c>
      <c r="B3690" t="s">
        <v>486</v>
      </c>
      <c r="C3690">
        <v>71</v>
      </c>
      <c r="D3690" t="str">
        <f>VLOOKUP(B3690,Products!$A:$E,2,FALSE)</f>
        <v>Product_239</v>
      </c>
      <c r="E3690" t="str">
        <f>VLOOKUP(B3690,Products!$A:$E,3,FALSE)</f>
        <v>Storage</v>
      </c>
    </row>
    <row r="3691" spans="1:5" x14ac:dyDescent="0.3">
      <c r="A3691" t="s">
        <v>4701</v>
      </c>
      <c r="B3691" t="s">
        <v>90</v>
      </c>
      <c r="C3691">
        <v>71</v>
      </c>
      <c r="D3691" t="str">
        <f>VLOOKUP(B3691,Products!$A:$E,2,FALSE)</f>
        <v>Product_41</v>
      </c>
      <c r="E3691" t="str">
        <f>VLOOKUP(B3691,Products!$A:$E,3,FALSE)</f>
        <v>Accessories</v>
      </c>
    </row>
    <row r="3692" spans="1:5" x14ac:dyDescent="0.3">
      <c r="A3692" t="s">
        <v>4702</v>
      </c>
      <c r="B3692" t="s">
        <v>920</v>
      </c>
      <c r="C3692">
        <v>83</v>
      </c>
      <c r="D3692" t="str">
        <f>VLOOKUP(B3692,Products!$A:$E,2,FALSE)</f>
        <v>Product_456</v>
      </c>
      <c r="E3692" t="str">
        <f>VLOOKUP(B3692,Products!$A:$E,3,FALSE)</f>
        <v>Electronics</v>
      </c>
    </row>
    <row r="3693" spans="1:5" x14ac:dyDescent="0.3">
      <c r="A3693" t="s">
        <v>4703</v>
      </c>
      <c r="B3693" t="s">
        <v>100</v>
      </c>
      <c r="C3693">
        <v>36</v>
      </c>
      <c r="D3693" t="str">
        <f>VLOOKUP(B3693,Products!$A:$E,2,FALSE)</f>
        <v>Product_46</v>
      </c>
      <c r="E3693" t="str">
        <f>VLOOKUP(B3693,Products!$A:$E,3,FALSE)</f>
        <v>Networking</v>
      </c>
    </row>
    <row r="3694" spans="1:5" x14ac:dyDescent="0.3">
      <c r="A3694" t="s">
        <v>4704</v>
      </c>
      <c r="B3694" t="s">
        <v>492</v>
      </c>
      <c r="C3694">
        <v>85</v>
      </c>
      <c r="D3694" t="str">
        <f>VLOOKUP(B3694,Products!$A:$E,2,FALSE)</f>
        <v>Product_242</v>
      </c>
      <c r="E3694" t="str">
        <f>VLOOKUP(B3694,Products!$A:$E,3,FALSE)</f>
        <v>Networking</v>
      </c>
    </row>
    <row r="3695" spans="1:5" x14ac:dyDescent="0.3">
      <c r="A3695" t="s">
        <v>4705</v>
      </c>
      <c r="B3695" t="s">
        <v>768</v>
      </c>
      <c r="C3695">
        <v>89</v>
      </c>
      <c r="D3695" t="str">
        <f>VLOOKUP(B3695,Products!$A:$E,2,FALSE)</f>
        <v>Product_380</v>
      </c>
      <c r="E3695" t="str">
        <f>VLOOKUP(B3695,Products!$A:$E,3,FALSE)</f>
        <v>Electronics</v>
      </c>
    </row>
    <row r="3696" spans="1:5" x14ac:dyDescent="0.3">
      <c r="A3696" t="s">
        <v>4706</v>
      </c>
      <c r="B3696" t="s">
        <v>992</v>
      </c>
      <c r="C3696">
        <v>90</v>
      </c>
      <c r="D3696" t="str">
        <f>VLOOKUP(B3696,Products!$A:$E,2,FALSE)</f>
        <v>Product_492</v>
      </c>
      <c r="E3696" t="str">
        <f>VLOOKUP(B3696,Products!$A:$E,3,FALSE)</f>
        <v>Electronics</v>
      </c>
    </row>
    <row r="3697" spans="1:5" x14ac:dyDescent="0.3">
      <c r="A3697" t="s">
        <v>4707</v>
      </c>
      <c r="B3697" t="s">
        <v>88</v>
      </c>
      <c r="C3697">
        <v>92</v>
      </c>
      <c r="D3697" t="str">
        <f>VLOOKUP(B3697,Products!$A:$E,2,FALSE)</f>
        <v>Product_40</v>
      </c>
      <c r="E3697" t="str">
        <f>VLOOKUP(B3697,Products!$A:$E,3,FALSE)</f>
        <v>Accessories</v>
      </c>
    </row>
    <row r="3698" spans="1:5" x14ac:dyDescent="0.3">
      <c r="A3698" t="s">
        <v>4708</v>
      </c>
      <c r="B3698" t="s">
        <v>658</v>
      </c>
      <c r="C3698">
        <v>74</v>
      </c>
      <c r="D3698" t="str">
        <f>VLOOKUP(B3698,Products!$A:$E,2,FALSE)</f>
        <v>Product_325</v>
      </c>
      <c r="E3698" t="str">
        <f>VLOOKUP(B3698,Products!$A:$E,3,FALSE)</f>
        <v>Networking</v>
      </c>
    </row>
    <row r="3699" spans="1:5" x14ac:dyDescent="0.3">
      <c r="A3699" t="s">
        <v>4709</v>
      </c>
      <c r="B3699" t="s">
        <v>826</v>
      </c>
      <c r="C3699">
        <v>79</v>
      </c>
      <c r="D3699" t="str">
        <f>VLOOKUP(B3699,Products!$A:$E,2,FALSE)</f>
        <v>Product_409</v>
      </c>
      <c r="E3699" t="str">
        <f>VLOOKUP(B3699,Products!$A:$E,3,FALSE)</f>
        <v>Office Supplies</v>
      </c>
    </row>
    <row r="3700" spans="1:5" x14ac:dyDescent="0.3">
      <c r="A3700" t="s">
        <v>4710</v>
      </c>
      <c r="B3700" t="s">
        <v>328</v>
      </c>
      <c r="C3700">
        <v>83</v>
      </c>
      <c r="D3700" t="str">
        <f>VLOOKUP(B3700,Products!$A:$E,2,FALSE)</f>
        <v>Product_160</v>
      </c>
      <c r="E3700" t="str">
        <f>VLOOKUP(B3700,Products!$A:$E,3,FALSE)</f>
        <v>Office Supplies</v>
      </c>
    </row>
    <row r="3701" spans="1:5" x14ac:dyDescent="0.3">
      <c r="A3701" t="s">
        <v>4711</v>
      </c>
      <c r="B3701" t="s">
        <v>64</v>
      </c>
      <c r="C3701">
        <v>48</v>
      </c>
      <c r="D3701" t="str">
        <f>VLOOKUP(B3701,Products!$A:$E,2,FALSE)</f>
        <v>Product_28</v>
      </c>
      <c r="E3701" t="str">
        <f>VLOOKUP(B3701,Products!$A:$E,3,FALSE)</f>
        <v>Office Supplies</v>
      </c>
    </row>
    <row r="3702" spans="1:5" x14ac:dyDescent="0.3">
      <c r="A3702" t="s">
        <v>4712</v>
      </c>
      <c r="B3702" t="s">
        <v>556</v>
      </c>
      <c r="C3702">
        <v>6</v>
      </c>
      <c r="D3702" t="str">
        <f>VLOOKUP(B3702,Products!$A:$E,2,FALSE)</f>
        <v>Product_274</v>
      </c>
      <c r="E3702" t="str">
        <f>VLOOKUP(B3702,Products!$A:$E,3,FALSE)</f>
        <v>Accessories</v>
      </c>
    </row>
    <row r="3703" spans="1:5" x14ac:dyDescent="0.3">
      <c r="A3703" t="s">
        <v>4713</v>
      </c>
      <c r="B3703" t="s">
        <v>490</v>
      </c>
      <c r="C3703">
        <v>63</v>
      </c>
      <c r="D3703" t="str">
        <f>VLOOKUP(B3703,Products!$A:$E,2,FALSE)</f>
        <v>Product_241</v>
      </c>
      <c r="E3703" t="str">
        <f>VLOOKUP(B3703,Products!$A:$E,3,FALSE)</f>
        <v>Electronics</v>
      </c>
    </row>
    <row r="3704" spans="1:5" x14ac:dyDescent="0.3">
      <c r="A3704" t="s">
        <v>4714</v>
      </c>
      <c r="B3704" t="s">
        <v>534</v>
      </c>
      <c r="C3704">
        <v>65</v>
      </c>
      <c r="D3704" t="str">
        <f>VLOOKUP(B3704,Products!$A:$E,2,FALSE)</f>
        <v>Product_263</v>
      </c>
      <c r="E3704" t="str">
        <f>VLOOKUP(B3704,Products!$A:$E,3,FALSE)</f>
        <v>Accessories</v>
      </c>
    </row>
    <row r="3705" spans="1:5" x14ac:dyDescent="0.3">
      <c r="A3705" t="s">
        <v>4715</v>
      </c>
      <c r="B3705" t="s">
        <v>596</v>
      </c>
      <c r="C3705">
        <v>98</v>
      </c>
      <c r="D3705" t="str">
        <f>VLOOKUP(B3705,Products!$A:$E,2,FALSE)</f>
        <v>Product_294</v>
      </c>
      <c r="E3705" t="str">
        <f>VLOOKUP(B3705,Products!$A:$E,3,FALSE)</f>
        <v>Networking</v>
      </c>
    </row>
    <row r="3706" spans="1:5" x14ac:dyDescent="0.3">
      <c r="A3706" t="s">
        <v>4716</v>
      </c>
      <c r="B3706" t="s">
        <v>348</v>
      </c>
      <c r="C3706">
        <v>58</v>
      </c>
      <c r="D3706" t="str">
        <f>VLOOKUP(B3706,Products!$A:$E,2,FALSE)</f>
        <v>Product_170</v>
      </c>
      <c r="E3706" t="str">
        <f>VLOOKUP(B3706,Products!$A:$E,3,FALSE)</f>
        <v>Office Supplies</v>
      </c>
    </row>
    <row r="3707" spans="1:5" x14ac:dyDescent="0.3">
      <c r="A3707" t="s">
        <v>4717</v>
      </c>
      <c r="B3707" t="s">
        <v>370</v>
      </c>
      <c r="C3707">
        <v>42</v>
      </c>
      <c r="D3707" t="str">
        <f>VLOOKUP(B3707,Products!$A:$E,2,FALSE)</f>
        <v>Product_181</v>
      </c>
      <c r="E3707" t="str">
        <f>VLOOKUP(B3707,Products!$A:$E,3,FALSE)</f>
        <v>Storage</v>
      </c>
    </row>
    <row r="3708" spans="1:5" x14ac:dyDescent="0.3">
      <c r="A3708" t="s">
        <v>4718</v>
      </c>
      <c r="B3708" t="s">
        <v>306</v>
      </c>
      <c r="C3708">
        <v>26</v>
      </c>
      <c r="D3708" t="str">
        <f>VLOOKUP(B3708,Products!$A:$E,2,FALSE)</f>
        <v>Product_149</v>
      </c>
      <c r="E3708" t="str">
        <f>VLOOKUP(B3708,Products!$A:$E,3,FALSE)</f>
        <v>Accessories</v>
      </c>
    </row>
    <row r="3709" spans="1:5" x14ac:dyDescent="0.3">
      <c r="A3709" t="s">
        <v>4719</v>
      </c>
      <c r="B3709" t="s">
        <v>46</v>
      </c>
      <c r="C3709">
        <v>93</v>
      </c>
      <c r="D3709" t="str">
        <f>VLOOKUP(B3709,Products!$A:$E,2,FALSE)</f>
        <v>Product_19</v>
      </c>
      <c r="E3709" t="str">
        <f>VLOOKUP(B3709,Products!$A:$E,3,FALSE)</f>
        <v>Networking</v>
      </c>
    </row>
    <row r="3710" spans="1:5" x14ac:dyDescent="0.3">
      <c r="A3710" t="s">
        <v>4720</v>
      </c>
      <c r="B3710" t="s">
        <v>954</v>
      </c>
      <c r="C3710">
        <v>81</v>
      </c>
      <c r="D3710" t="str">
        <f>VLOOKUP(B3710,Products!$A:$E,2,FALSE)</f>
        <v>Product_473</v>
      </c>
      <c r="E3710" t="str">
        <f>VLOOKUP(B3710,Products!$A:$E,3,FALSE)</f>
        <v>Accessories</v>
      </c>
    </row>
    <row r="3711" spans="1:5" x14ac:dyDescent="0.3">
      <c r="A3711" t="s">
        <v>4721</v>
      </c>
      <c r="B3711" t="s">
        <v>776</v>
      </c>
      <c r="C3711">
        <v>43</v>
      </c>
      <c r="D3711" t="str">
        <f>VLOOKUP(B3711,Products!$A:$E,2,FALSE)</f>
        <v>Product_384</v>
      </c>
      <c r="E3711" t="str">
        <f>VLOOKUP(B3711,Products!$A:$E,3,FALSE)</f>
        <v>Office Supplies</v>
      </c>
    </row>
    <row r="3712" spans="1:5" x14ac:dyDescent="0.3">
      <c r="A3712" t="s">
        <v>4722</v>
      </c>
      <c r="B3712" t="s">
        <v>754</v>
      </c>
      <c r="C3712">
        <v>77</v>
      </c>
      <c r="D3712" t="str">
        <f>VLOOKUP(B3712,Products!$A:$E,2,FALSE)</f>
        <v>Product_373</v>
      </c>
      <c r="E3712" t="str">
        <f>VLOOKUP(B3712,Products!$A:$E,3,FALSE)</f>
        <v>Office Supplies</v>
      </c>
    </row>
    <row r="3713" spans="1:5" x14ac:dyDescent="0.3">
      <c r="A3713" t="s">
        <v>4723</v>
      </c>
      <c r="B3713" t="s">
        <v>276</v>
      </c>
      <c r="C3713">
        <v>12</v>
      </c>
      <c r="D3713" t="str">
        <f>VLOOKUP(B3713,Products!$A:$E,2,FALSE)</f>
        <v>Product_134</v>
      </c>
      <c r="E3713" t="str">
        <f>VLOOKUP(B3713,Products!$A:$E,3,FALSE)</f>
        <v>Accessories</v>
      </c>
    </row>
    <row r="3714" spans="1:5" x14ac:dyDescent="0.3">
      <c r="A3714" t="s">
        <v>4724</v>
      </c>
      <c r="B3714" t="s">
        <v>654</v>
      </c>
      <c r="C3714">
        <v>65</v>
      </c>
      <c r="D3714" t="str">
        <f>VLOOKUP(B3714,Products!$A:$E,2,FALSE)</f>
        <v>Product_323</v>
      </c>
      <c r="E3714" t="str">
        <f>VLOOKUP(B3714,Products!$A:$E,3,FALSE)</f>
        <v>Electronics</v>
      </c>
    </row>
    <row r="3715" spans="1:5" x14ac:dyDescent="0.3">
      <c r="A3715" t="s">
        <v>4725</v>
      </c>
      <c r="B3715" t="s">
        <v>602</v>
      </c>
      <c r="C3715">
        <v>26</v>
      </c>
      <c r="D3715" t="str">
        <f>VLOOKUP(B3715,Products!$A:$E,2,FALSE)</f>
        <v>Product_297</v>
      </c>
      <c r="E3715" t="str">
        <f>VLOOKUP(B3715,Products!$A:$E,3,FALSE)</f>
        <v>Storage</v>
      </c>
    </row>
    <row r="3716" spans="1:5" x14ac:dyDescent="0.3">
      <c r="A3716" t="s">
        <v>4726</v>
      </c>
      <c r="B3716" t="s">
        <v>596</v>
      </c>
      <c r="C3716">
        <v>11</v>
      </c>
      <c r="D3716" t="str">
        <f>VLOOKUP(B3716,Products!$A:$E,2,FALSE)</f>
        <v>Product_294</v>
      </c>
      <c r="E3716" t="str">
        <f>VLOOKUP(B3716,Products!$A:$E,3,FALSE)</f>
        <v>Networking</v>
      </c>
    </row>
    <row r="3717" spans="1:5" x14ac:dyDescent="0.3">
      <c r="A3717" t="s">
        <v>4727</v>
      </c>
      <c r="B3717" t="s">
        <v>682</v>
      </c>
      <c r="C3717">
        <v>42</v>
      </c>
      <c r="D3717" t="str">
        <f>VLOOKUP(B3717,Products!$A:$E,2,FALSE)</f>
        <v>Product_337</v>
      </c>
      <c r="E3717" t="str">
        <f>VLOOKUP(B3717,Products!$A:$E,3,FALSE)</f>
        <v>Storage</v>
      </c>
    </row>
    <row r="3718" spans="1:5" x14ac:dyDescent="0.3">
      <c r="A3718" t="s">
        <v>4728</v>
      </c>
      <c r="B3718" t="s">
        <v>838</v>
      </c>
      <c r="C3718">
        <v>99</v>
      </c>
      <c r="D3718" t="str">
        <f>VLOOKUP(B3718,Products!$A:$E,2,FALSE)</f>
        <v>Product_415</v>
      </c>
      <c r="E3718" t="str">
        <f>VLOOKUP(B3718,Products!$A:$E,3,FALSE)</f>
        <v>Networking</v>
      </c>
    </row>
    <row r="3719" spans="1:5" x14ac:dyDescent="0.3">
      <c r="A3719" t="s">
        <v>4729</v>
      </c>
      <c r="B3719" t="s">
        <v>648</v>
      </c>
      <c r="C3719">
        <v>8</v>
      </c>
      <c r="D3719" t="str">
        <f>VLOOKUP(B3719,Products!$A:$E,2,FALSE)</f>
        <v>Product_320</v>
      </c>
      <c r="E3719" t="str">
        <f>VLOOKUP(B3719,Products!$A:$E,3,FALSE)</f>
        <v>Office Supplies</v>
      </c>
    </row>
    <row r="3720" spans="1:5" x14ac:dyDescent="0.3">
      <c r="A3720" t="s">
        <v>4730</v>
      </c>
      <c r="B3720" t="s">
        <v>302</v>
      </c>
      <c r="C3720">
        <v>67</v>
      </c>
      <c r="D3720" t="str">
        <f>VLOOKUP(B3720,Products!$A:$E,2,FALSE)</f>
        <v>Product_147</v>
      </c>
      <c r="E3720" t="str">
        <f>VLOOKUP(B3720,Products!$A:$E,3,FALSE)</f>
        <v>Networking</v>
      </c>
    </row>
    <row r="3721" spans="1:5" x14ac:dyDescent="0.3">
      <c r="A3721" t="s">
        <v>4731</v>
      </c>
      <c r="B3721" t="s">
        <v>94</v>
      </c>
      <c r="C3721">
        <v>21</v>
      </c>
      <c r="D3721" t="str">
        <f>VLOOKUP(B3721,Products!$A:$E,2,FALSE)</f>
        <v>Product_43</v>
      </c>
      <c r="E3721" t="str">
        <f>VLOOKUP(B3721,Products!$A:$E,3,FALSE)</f>
        <v>Storage</v>
      </c>
    </row>
    <row r="3722" spans="1:5" x14ac:dyDescent="0.3">
      <c r="A3722" t="s">
        <v>4732</v>
      </c>
      <c r="B3722" t="s">
        <v>526</v>
      </c>
      <c r="C3722">
        <v>14</v>
      </c>
      <c r="D3722" t="str">
        <f>VLOOKUP(B3722,Products!$A:$E,2,FALSE)</f>
        <v>Product_259</v>
      </c>
      <c r="E3722" t="str">
        <f>VLOOKUP(B3722,Products!$A:$E,3,FALSE)</f>
        <v>Electronics</v>
      </c>
    </row>
    <row r="3723" spans="1:5" x14ac:dyDescent="0.3">
      <c r="A3723" t="s">
        <v>4733</v>
      </c>
      <c r="B3723" t="s">
        <v>880</v>
      </c>
      <c r="C3723">
        <v>40</v>
      </c>
      <c r="D3723" t="str">
        <f>VLOOKUP(B3723,Products!$A:$E,2,FALSE)</f>
        <v>Product_436</v>
      </c>
      <c r="E3723" t="str">
        <f>VLOOKUP(B3723,Products!$A:$E,3,FALSE)</f>
        <v>Networking</v>
      </c>
    </row>
    <row r="3724" spans="1:5" x14ac:dyDescent="0.3">
      <c r="A3724" t="s">
        <v>4734</v>
      </c>
      <c r="B3724" t="s">
        <v>268</v>
      </c>
      <c r="C3724">
        <v>21</v>
      </c>
      <c r="D3724" t="str">
        <f>VLOOKUP(B3724,Products!$A:$E,2,FALSE)</f>
        <v>Product_130</v>
      </c>
      <c r="E3724" t="str">
        <f>VLOOKUP(B3724,Products!$A:$E,3,FALSE)</f>
        <v>Storage</v>
      </c>
    </row>
    <row r="3725" spans="1:5" x14ac:dyDescent="0.3">
      <c r="A3725" t="s">
        <v>4735</v>
      </c>
      <c r="B3725" t="s">
        <v>640</v>
      </c>
      <c r="C3725">
        <v>40</v>
      </c>
      <c r="D3725" t="str">
        <f>VLOOKUP(B3725,Products!$A:$E,2,FALSE)</f>
        <v>Product_316</v>
      </c>
      <c r="E3725" t="str">
        <f>VLOOKUP(B3725,Products!$A:$E,3,FALSE)</f>
        <v>Networking</v>
      </c>
    </row>
    <row r="3726" spans="1:5" x14ac:dyDescent="0.3">
      <c r="A3726" t="s">
        <v>4736</v>
      </c>
      <c r="B3726" t="s">
        <v>290</v>
      </c>
      <c r="C3726">
        <v>37</v>
      </c>
      <c r="D3726" t="str">
        <f>VLOOKUP(B3726,Products!$A:$E,2,FALSE)</f>
        <v>Product_141</v>
      </c>
      <c r="E3726" t="str">
        <f>VLOOKUP(B3726,Products!$A:$E,3,FALSE)</f>
        <v>Electronics</v>
      </c>
    </row>
    <row r="3727" spans="1:5" x14ac:dyDescent="0.3">
      <c r="A3727" t="s">
        <v>4737</v>
      </c>
      <c r="B3727" t="s">
        <v>24</v>
      </c>
      <c r="C3727">
        <v>99</v>
      </c>
      <c r="D3727" t="str">
        <f>VLOOKUP(B3727,Products!$A:$E,2,FALSE)</f>
        <v>Product_8</v>
      </c>
      <c r="E3727" t="str">
        <f>VLOOKUP(B3727,Products!$A:$E,3,FALSE)</f>
        <v>Storage</v>
      </c>
    </row>
    <row r="3728" spans="1:5" x14ac:dyDescent="0.3">
      <c r="A3728" t="s">
        <v>4738</v>
      </c>
      <c r="B3728" t="s">
        <v>124</v>
      </c>
      <c r="C3728">
        <v>82</v>
      </c>
      <c r="D3728" t="str">
        <f>VLOOKUP(B3728,Products!$A:$E,2,FALSE)</f>
        <v>Product_58</v>
      </c>
      <c r="E3728" t="str">
        <f>VLOOKUP(B3728,Products!$A:$E,3,FALSE)</f>
        <v>Office Supplies</v>
      </c>
    </row>
    <row r="3729" spans="1:5" x14ac:dyDescent="0.3">
      <c r="A3729" t="s">
        <v>4739</v>
      </c>
      <c r="B3729" t="s">
        <v>188</v>
      </c>
      <c r="C3729">
        <v>80</v>
      </c>
      <c r="D3729" t="str">
        <f>VLOOKUP(B3729,Products!$A:$E,2,FALSE)</f>
        <v>Product_90</v>
      </c>
      <c r="E3729" t="str">
        <f>VLOOKUP(B3729,Products!$A:$E,3,FALSE)</f>
        <v>Accessories</v>
      </c>
    </row>
    <row r="3730" spans="1:5" x14ac:dyDescent="0.3">
      <c r="A3730" t="s">
        <v>4740</v>
      </c>
      <c r="B3730" t="s">
        <v>766</v>
      </c>
      <c r="C3730">
        <v>24</v>
      </c>
      <c r="D3730" t="str">
        <f>VLOOKUP(B3730,Products!$A:$E,2,FALSE)</f>
        <v>Product_379</v>
      </c>
      <c r="E3730" t="str">
        <f>VLOOKUP(B3730,Products!$A:$E,3,FALSE)</f>
        <v>Office Supplies</v>
      </c>
    </row>
    <row r="3731" spans="1:5" x14ac:dyDescent="0.3">
      <c r="A3731" t="s">
        <v>4741</v>
      </c>
      <c r="B3731" t="s">
        <v>684</v>
      </c>
      <c r="C3731">
        <v>62</v>
      </c>
      <c r="D3731" t="str">
        <f>VLOOKUP(B3731,Products!$A:$E,2,FALSE)</f>
        <v>Product_338</v>
      </c>
      <c r="E3731" t="str">
        <f>VLOOKUP(B3731,Products!$A:$E,3,FALSE)</f>
        <v>Networking</v>
      </c>
    </row>
    <row r="3732" spans="1:5" x14ac:dyDescent="0.3">
      <c r="A3732" t="s">
        <v>4742</v>
      </c>
      <c r="B3732" t="s">
        <v>388</v>
      </c>
      <c r="C3732">
        <v>27</v>
      </c>
      <c r="D3732" t="str">
        <f>VLOOKUP(B3732,Products!$A:$E,2,FALSE)</f>
        <v>Product_190</v>
      </c>
      <c r="E3732" t="str">
        <f>VLOOKUP(B3732,Products!$A:$E,3,FALSE)</f>
        <v>Office Supplies</v>
      </c>
    </row>
    <row r="3733" spans="1:5" x14ac:dyDescent="0.3">
      <c r="A3733" t="s">
        <v>4743</v>
      </c>
      <c r="B3733" t="s">
        <v>276</v>
      </c>
      <c r="C3733">
        <v>94</v>
      </c>
      <c r="D3733" t="str">
        <f>VLOOKUP(B3733,Products!$A:$E,2,FALSE)</f>
        <v>Product_134</v>
      </c>
      <c r="E3733" t="str">
        <f>VLOOKUP(B3733,Products!$A:$E,3,FALSE)</f>
        <v>Accessories</v>
      </c>
    </row>
    <row r="3734" spans="1:5" x14ac:dyDescent="0.3">
      <c r="A3734" t="s">
        <v>4744</v>
      </c>
      <c r="B3734" t="s">
        <v>250</v>
      </c>
      <c r="C3734">
        <v>67</v>
      </c>
      <c r="D3734" t="str">
        <f>VLOOKUP(B3734,Products!$A:$E,2,FALSE)</f>
        <v>Product_121</v>
      </c>
      <c r="E3734" t="str">
        <f>VLOOKUP(B3734,Products!$A:$E,3,FALSE)</f>
        <v>Storage</v>
      </c>
    </row>
    <row r="3735" spans="1:5" x14ac:dyDescent="0.3">
      <c r="A3735" t="s">
        <v>4745</v>
      </c>
      <c r="B3735" t="s">
        <v>194</v>
      </c>
      <c r="C3735">
        <v>72</v>
      </c>
      <c r="D3735" t="str">
        <f>VLOOKUP(B3735,Products!$A:$E,2,FALSE)</f>
        <v>Product_93</v>
      </c>
      <c r="E3735" t="str">
        <f>VLOOKUP(B3735,Products!$A:$E,3,FALSE)</f>
        <v>Office Supplies</v>
      </c>
    </row>
    <row r="3736" spans="1:5" x14ac:dyDescent="0.3">
      <c r="A3736" t="s">
        <v>4746</v>
      </c>
      <c r="B3736" t="s">
        <v>892</v>
      </c>
      <c r="C3736">
        <v>9</v>
      </c>
      <c r="D3736" t="str">
        <f>VLOOKUP(B3736,Products!$A:$E,2,FALSE)</f>
        <v>Product_442</v>
      </c>
      <c r="E3736" t="str">
        <f>VLOOKUP(B3736,Products!$A:$E,3,FALSE)</f>
        <v>Networking</v>
      </c>
    </row>
    <row r="3737" spans="1:5" x14ac:dyDescent="0.3">
      <c r="A3737" t="s">
        <v>4747</v>
      </c>
      <c r="B3737" t="s">
        <v>360</v>
      </c>
      <c r="C3737">
        <v>15</v>
      </c>
      <c r="D3737" t="str">
        <f>VLOOKUP(B3737,Products!$A:$E,2,FALSE)</f>
        <v>Product_176</v>
      </c>
      <c r="E3737" t="str">
        <f>VLOOKUP(B3737,Products!$A:$E,3,FALSE)</f>
        <v>Electronics</v>
      </c>
    </row>
    <row r="3738" spans="1:5" x14ac:dyDescent="0.3">
      <c r="A3738" t="s">
        <v>4748</v>
      </c>
      <c r="B3738" t="s">
        <v>1000</v>
      </c>
      <c r="C3738">
        <v>23</v>
      </c>
      <c r="D3738" t="str">
        <f>VLOOKUP(B3738,Products!$A:$E,2,FALSE)</f>
        <v>Product_496</v>
      </c>
      <c r="E3738" t="str">
        <f>VLOOKUP(B3738,Products!$A:$E,3,FALSE)</f>
        <v>Office Supplies</v>
      </c>
    </row>
    <row r="3739" spans="1:5" x14ac:dyDescent="0.3">
      <c r="A3739" t="s">
        <v>4749</v>
      </c>
      <c r="B3739" t="s">
        <v>618</v>
      </c>
      <c r="C3739">
        <v>24</v>
      </c>
      <c r="D3739" t="str">
        <f>VLOOKUP(B3739,Products!$A:$E,2,FALSE)</f>
        <v>Product_305</v>
      </c>
      <c r="E3739" t="str">
        <f>VLOOKUP(B3739,Products!$A:$E,3,FALSE)</f>
        <v>Accessories</v>
      </c>
    </row>
    <row r="3740" spans="1:5" x14ac:dyDescent="0.3">
      <c r="A3740" t="s">
        <v>4750</v>
      </c>
      <c r="B3740" t="s">
        <v>866</v>
      </c>
      <c r="C3740">
        <v>68</v>
      </c>
      <c r="D3740" t="str">
        <f>VLOOKUP(B3740,Products!$A:$E,2,FALSE)</f>
        <v>Product_429</v>
      </c>
      <c r="E3740" t="str">
        <f>VLOOKUP(B3740,Products!$A:$E,3,FALSE)</f>
        <v>Office Supplies</v>
      </c>
    </row>
    <row r="3741" spans="1:5" x14ac:dyDescent="0.3">
      <c r="A3741" t="s">
        <v>4751</v>
      </c>
      <c r="B3741" t="s">
        <v>780</v>
      </c>
      <c r="C3741">
        <v>57</v>
      </c>
      <c r="D3741" t="str">
        <f>VLOOKUP(B3741,Products!$A:$E,2,FALSE)</f>
        <v>Product_386</v>
      </c>
      <c r="E3741" t="str">
        <f>VLOOKUP(B3741,Products!$A:$E,3,FALSE)</f>
        <v>Electronics</v>
      </c>
    </row>
    <row r="3742" spans="1:5" x14ac:dyDescent="0.3">
      <c r="A3742" t="s">
        <v>4752</v>
      </c>
      <c r="B3742" t="s">
        <v>798</v>
      </c>
      <c r="C3742">
        <v>54</v>
      </c>
      <c r="D3742" t="str">
        <f>VLOOKUP(B3742,Products!$A:$E,2,FALSE)</f>
        <v>Product_395</v>
      </c>
      <c r="E3742" t="str">
        <f>VLOOKUP(B3742,Products!$A:$E,3,FALSE)</f>
        <v>Accessories</v>
      </c>
    </row>
    <row r="3743" spans="1:5" x14ac:dyDescent="0.3">
      <c r="A3743" t="s">
        <v>4753</v>
      </c>
      <c r="B3743" t="s">
        <v>252</v>
      </c>
      <c r="C3743">
        <v>89</v>
      </c>
      <c r="D3743" t="str">
        <f>VLOOKUP(B3743,Products!$A:$E,2,FALSE)</f>
        <v>Product_122</v>
      </c>
      <c r="E3743" t="str">
        <f>VLOOKUP(B3743,Products!$A:$E,3,FALSE)</f>
        <v>Storage</v>
      </c>
    </row>
    <row r="3744" spans="1:5" x14ac:dyDescent="0.3">
      <c r="A3744" t="s">
        <v>4754</v>
      </c>
      <c r="B3744" t="s">
        <v>460</v>
      </c>
      <c r="C3744">
        <v>97</v>
      </c>
      <c r="D3744" t="str">
        <f>VLOOKUP(B3744,Products!$A:$E,2,FALSE)</f>
        <v>Product_226</v>
      </c>
      <c r="E3744" t="str">
        <f>VLOOKUP(B3744,Products!$A:$E,3,FALSE)</f>
        <v>Networking</v>
      </c>
    </row>
    <row r="3745" spans="1:5" x14ac:dyDescent="0.3">
      <c r="A3745" t="s">
        <v>4755</v>
      </c>
      <c r="B3745" t="s">
        <v>662</v>
      </c>
      <c r="C3745">
        <v>26</v>
      </c>
      <c r="D3745" t="str">
        <f>VLOOKUP(B3745,Products!$A:$E,2,FALSE)</f>
        <v>Product_327</v>
      </c>
      <c r="E3745" t="str">
        <f>VLOOKUP(B3745,Products!$A:$E,3,FALSE)</f>
        <v>Networking</v>
      </c>
    </row>
    <row r="3746" spans="1:5" x14ac:dyDescent="0.3">
      <c r="A3746" t="s">
        <v>4756</v>
      </c>
      <c r="B3746" t="s">
        <v>224</v>
      </c>
      <c r="C3746">
        <v>78</v>
      </c>
      <c r="D3746" t="str">
        <f>VLOOKUP(B3746,Products!$A:$E,2,FALSE)</f>
        <v>Product_108</v>
      </c>
      <c r="E3746" t="str">
        <f>VLOOKUP(B3746,Products!$A:$E,3,FALSE)</f>
        <v>Networking</v>
      </c>
    </row>
    <row r="3747" spans="1:5" x14ac:dyDescent="0.3">
      <c r="A3747" t="s">
        <v>4757</v>
      </c>
      <c r="B3747" t="s">
        <v>760</v>
      </c>
      <c r="C3747">
        <v>49</v>
      </c>
      <c r="D3747" t="str">
        <f>VLOOKUP(B3747,Products!$A:$E,2,FALSE)</f>
        <v>Product_376</v>
      </c>
      <c r="E3747" t="str">
        <f>VLOOKUP(B3747,Products!$A:$E,3,FALSE)</f>
        <v>Networking</v>
      </c>
    </row>
    <row r="3748" spans="1:5" x14ac:dyDescent="0.3">
      <c r="A3748" t="s">
        <v>4758</v>
      </c>
      <c r="B3748" t="s">
        <v>64</v>
      </c>
      <c r="C3748">
        <v>87</v>
      </c>
      <c r="D3748" t="str">
        <f>VLOOKUP(B3748,Products!$A:$E,2,FALSE)</f>
        <v>Product_28</v>
      </c>
      <c r="E3748" t="str">
        <f>VLOOKUP(B3748,Products!$A:$E,3,FALSE)</f>
        <v>Office Supplies</v>
      </c>
    </row>
    <row r="3749" spans="1:5" x14ac:dyDescent="0.3">
      <c r="A3749" t="s">
        <v>4759</v>
      </c>
      <c r="B3749" t="s">
        <v>280</v>
      </c>
      <c r="C3749">
        <v>19</v>
      </c>
      <c r="D3749" t="str">
        <f>VLOOKUP(B3749,Products!$A:$E,2,FALSE)</f>
        <v>Product_136</v>
      </c>
      <c r="E3749" t="str">
        <f>VLOOKUP(B3749,Products!$A:$E,3,FALSE)</f>
        <v>Storage</v>
      </c>
    </row>
    <row r="3750" spans="1:5" x14ac:dyDescent="0.3">
      <c r="A3750" t="s">
        <v>4760</v>
      </c>
      <c r="B3750" t="s">
        <v>62</v>
      </c>
      <c r="C3750">
        <v>26</v>
      </c>
      <c r="D3750" t="str">
        <f>VLOOKUP(B3750,Products!$A:$E,2,FALSE)</f>
        <v>Product_27</v>
      </c>
      <c r="E3750" t="str">
        <f>VLOOKUP(B3750,Products!$A:$E,3,FALSE)</f>
        <v>Office Supplies</v>
      </c>
    </row>
    <row r="3751" spans="1:5" x14ac:dyDescent="0.3">
      <c r="A3751" t="s">
        <v>4761</v>
      </c>
      <c r="B3751" t="s">
        <v>484</v>
      </c>
      <c r="C3751">
        <v>56</v>
      </c>
      <c r="D3751" t="str">
        <f>VLOOKUP(B3751,Products!$A:$E,2,FALSE)</f>
        <v>Product_238</v>
      </c>
      <c r="E3751" t="str">
        <f>VLOOKUP(B3751,Products!$A:$E,3,FALSE)</f>
        <v>Accessories</v>
      </c>
    </row>
    <row r="3752" spans="1:5" x14ac:dyDescent="0.3">
      <c r="A3752" t="s">
        <v>4762</v>
      </c>
      <c r="B3752" t="s">
        <v>496</v>
      </c>
      <c r="C3752">
        <v>43</v>
      </c>
      <c r="D3752" t="str">
        <f>VLOOKUP(B3752,Products!$A:$E,2,FALSE)</f>
        <v>Product_244</v>
      </c>
      <c r="E3752" t="str">
        <f>VLOOKUP(B3752,Products!$A:$E,3,FALSE)</f>
        <v>Accessories</v>
      </c>
    </row>
    <row r="3753" spans="1:5" x14ac:dyDescent="0.3">
      <c r="A3753" t="s">
        <v>4763</v>
      </c>
      <c r="B3753" t="s">
        <v>496</v>
      </c>
      <c r="C3753">
        <v>100</v>
      </c>
      <c r="D3753" t="str">
        <f>VLOOKUP(B3753,Products!$A:$E,2,FALSE)</f>
        <v>Product_244</v>
      </c>
      <c r="E3753" t="str">
        <f>VLOOKUP(B3753,Products!$A:$E,3,FALSE)</f>
        <v>Accessories</v>
      </c>
    </row>
    <row r="3754" spans="1:5" x14ac:dyDescent="0.3">
      <c r="A3754" t="s">
        <v>4764</v>
      </c>
      <c r="B3754" t="s">
        <v>980</v>
      </c>
      <c r="C3754">
        <v>73</v>
      </c>
      <c r="D3754" t="str">
        <f>VLOOKUP(B3754,Products!$A:$E,2,FALSE)</f>
        <v>Product_486</v>
      </c>
      <c r="E3754" t="str">
        <f>VLOOKUP(B3754,Products!$A:$E,3,FALSE)</f>
        <v>Electronics</v>
      </c>
    </row>
    <row r="3755" spans="1:5" x14ac:dyDescent="0.3">
      <c r="A3755" t="s">
        <v>4765</v>
      </c>
      <c r="B3755" t="s">
        <v>248</v>
      </c>
      <c r="C3755">
        <v>53</v>
      </c>
      <c r="D3755" t="str">
        <f>VLOOKUP(B3755,Products!$A:$E,2,FALSE)</f>
        <v>Product_120</v>
      </c>
      <c r="E3755" t="str">
        <f>VLOOKUP(B3755,Products!$A:$E,3,FALSE)</f>
        <v>Accessories</v>
      </c>
    </row>
    <row r="3756" spans="1:5" x14ac:dyDescent="0.3">
      <c r="A3756" t="s">
        <v>4766</v>
      </c>
      <c r="B3756" t="s">
        <v>708</v>
      </c>
      <c r="C3756">
        <v>95</v>
      </c>
      <c r="D3756" t="str">
        <f>VLOOKUP(B3756,Products!$A:$E,2,FALSE)</f>
        <v>Product_350</v>
      </c>
      <c r="E3756" t="str">
        <f>VLOOKUP(B3756,Products!$A:$E,3,FALSE)</f>
        <v>Networking</v>
      </c>
    </row>
    <row r="3757" spans="1:5" x14ac:dyDescent="0.3">
      <c r="A3757" t="s">
        <v>4767</v>
      </c>
      <c r="B3757" t="s">
        <v>408</v>
      </c>
      <c r="C3757">
        <v>65</v>
      </c>
      <c r="D3757" t="str">
        <f>VLOOKUP(B3757,Products!$A:$E,2,FALSE)</f>
        <v>Product_200</v>
      </c>
      <c r="E3757" t="str">
        <f>VLOOKUP(B3757,Products!$A:$E,3,FALSE)</f>
        <v>Office Supplies</v>
      </c>
    </row>
    <row r="3758" spans="1:5" x14ac:dyDescent="0.3">
      <c r="A3758" t="s">
        <v>4768</v>
      </c>
      <c r="B3758" t="s">
        <v>278</v>
      </c>
      <c r="C3758">
        <v>23</v>
      </c>
      <c r="D3758" t="str">
        <f>VLOOKUP(B3758,Products!$A:$E,2,FALSE)</f>
        <v>Product_135</v>
      </c>
      <c r="E3758" t="str">
        <f>VLOOKUP(B3758,Products!$A:$E,3,FALSE)</f>
        <v>Accessories</v>
      </c>
    </row>
    <row r="3759" spans="1:5" x14ac:dyDescent="0.3">
      <c r="A3759" t="s">
        <v>4769</v>
      </c>
      <c r="B3759" t="s">
        <v>552</v>
      </c>
      <c r="C3759">
        <v>60</v>
      </c>
      <c r="D3759" t="str">
        <f>VLOOKUP(B3759,Products!$A:$E,2,FALSE)</f>
        <v>Product_272</v>
      </c>
      <c r="E3759" t="str">
        <f>VLOOKUP(B3759,Products!$A:$E,3,FALSE)</f>
        <v>Office Supplies</v>
      </c>
    </row>
    <row r="3760" spans="1:5" x14ac:dyDescent="0.3">
      <c r="A3760" t="s">
        <v>4770</v>
      </c>
      <c r="B3760" t="s">
        <v>22</v>
      </c>
      <c r="C3760">
        <v>41</v>
      </c>
      <c r="D3760" t="str">
        <f>VLOOKUP(B3760,Products!$A:$E,2,FALSE)</f>
        <v>Product_7</v>
      </c>
      <c r="E3760" t="str">
        <f>VLOOKUP(B3760,Products!$A:$E,3,FALSE)</f>
        <v>Storage</v>
      </c>
    </row>
    <row r="3761" spans="1:5" x14ac:dyDescent="0.3">
      <c r="A3761" t="s">
        <v>4771</v>
      </c>
      <c r="B3761" t="s">
        <v>958</v>
      </c>
      <c r="C3761">
        <v>62</v>
      </c>
      <c r="D3761" t="str">
        <f>VLOOKUP(B3761,Products!$A:$E,2,FALSE)</f>
        <v>Product_475</v>
      </c>
      <c r="E3761" t="str">
        <f>VLOOKUP(B3761,Products!$A:$E,3,FALSE)</f>
        <v>Electronics</v>
      </c>
    </row>
    <row r="3762" spans="1:5" x14ac:dyDescent="0.3">
      <c r="A3762" t="s">
        <v>4772</v>
      </c>
      <c r="B3762" t="s">
        <v>400</v>
      </c>
      <c r="C3762">
        <v>91</v>
      </c>
      <c r="D3762" t="str">
        <f>VLOOKUP(B3762,Products!$A:$E,2,FALSE)</f>
        <v>Product_196</v>
      </c>
      <c r="E3762" t="str">
        <f>VLOOKUP(B3762,Products!$A:$E,3,FALSE)</f>
        <v>Office Supplies</v>
      </c>
    </row>
    <row r="3763" spans="1:5" x14ac:dyDescent="0.3">
      <c r="A3763" t="s">
        <v>4773</v>
      </c>
      <c r="B3763" t="s">
        <v>332</v>
      </c>
      <c r="C3763">
        <v>72</v>
      </c>
      <c r="D3763" t="str">
        <f>VLOOKUP(B3763,Products!$A:$E,2,FALSE)</f>
        <v>Product_162</v>
      </c>
      <c r="E3763" t="str">
        <f>VLOOKUP(B3763,Products!$A:$E,3,FALSE)</f>
        <v>Accessories</v>
      </c>
    </row>
    <row r="3764" spans="1:5" x14ac:dyDescent="0.3">
      <c r="A3764" t="s">
        <v>4774</v>
      </c>
      <c r="B3764" t="s">
        <v>708</v>
      </c>
      <c r="C3764">
        <v>10</v>
      </c>
      <c r="D3764" t="str">
        <f>VLOOKUP(B3764,Products!$A:$E,2,FALSE)</f>
        <v>Product_350</v>
      </c>
      <c r="E3764" t="str">
        <f>VLOOKUP(B3764,Products!$A:$E,3,FALSE)</f>
        <v>Networking</v>
      </c>
    </row>
    <row r="3765" spans="1:5" x14ac:dyDescent="0.3">
      <c r="A3765" t="s">
        <v>4775</v>
      </c>
      <c r="B3765" t="s">
        <v>108</v>
      </c>
      <c r="C3765">
        <v>73</v>
      </c>
      <c r="D3765" t="str">
        <f>VLOOKUP(B3765,Products!$A:$E,2,FALSE)</f>
        <v>Product_50</v>
      </c>
      <c r="E3765" t="str">
        <f>VLOOKUP(B3765,Products!$A:$E,3,FALSE)</f>
        <v>Networking</v>
      </c>
    </row>
    <row r="3766" spans="1:5" x14ac:dyDescent="0.3">
      <c r="A3766" t="s">
        <v>4776</v>
      </c>
      <c r="B3766" t="s">
        <v>662</v>
      </c>
      <c r="C3766">
        <v>50</v>
      </c>
      <c r="D3766" t="str">
        <f>VLOOKUP(B3766,Products!$A:$E,2,FALSE)</f>
        <v>Product_327</v>
      </c>
      <c r="E3766" t="str">
        <f>VLOOKUP(B3766,Products!$A:$E,3,FALSE)</f>
        <v>Networking</v>
      </c>
    </row>
    <row r="3767" spans="1:5" x14ac:dyDescent="0.3">
      <c r="A3767" t="s">
        <v>4777</v>
      </c>
      <c r="B3767" t="s">
        <v>988</v>
      </c>
      <c r="C3767">
        <v>60</v>
      </c>
      <c r="D3767" t="str">
        <f>VLOOKUP(B3767,Products!$A:$E,2,FALSE)</f>
        <v>Product_490</v>
      </c>
      <c r="E3767" t="str">
        <f>VLOOKUP(B3767,Products!$A:$E,3,FALSE)</f>
        <v>Storage</v>
      </c>
    </row>
    <row r="3768" spans="1:5" x14ac:dyDescent="0.3">
      <c r="A3768" t="s">
        <v>4778</v>
      </c>
      <c r="B3768" t="s">
        <v>634</v>
      </c>
      <c r="C3768">
        <v>88</v>
      </c>
      <c r="D3768" t="str">
        <f>VLOOKUP(B3768,Products!$A:$E,2,FALSE)</f>
        <v>Product_313</v>
      </c>
      <c r="E3768" t="str">
        <f>VLOOKUP(B3768,Products!$A:$E,3,FALSE)</f>
        <v>Accessories</v>
      </c>
    </row>
    <row r="3769" spans="1:5" x14ac:dyDescent="0.3">
      <c r="A3769" t="s">
        <v>4779</v>
      </c>
      <c r="B3769" t="s">
        <v>888</v>
      </c>
      <c r="C3769">
        <v>39</v>
      </c>
      <c r="D3769" t="str">
        <f>VLOOKUP(B3769,Products!$A:$E,2,FALSE)</f>
        <v>Product_440</v>
      </c>
      <c r="E3769" t="str">
        <f>VLOOKUP(B3769,Products!$A:$E,3,FALSE)</f>
        <v>Accessories</v>
      </c>
    </row>
    <row r="3770" spans="1:5" x14ac:dyDescent="0.3">
      <c r="A3770" t="s">
        <v>4780</v>
      </c>
      <c r="B3770" t="s">
        <v>352</v>
      </c>
      <c r="C3770">
        <v>39</v>
      </c>
      <c r="D3770" t="str">
        <f>VLOOKUP(B3770,Products!$A:$E,2,FALSE)</f>
        <v>Product_172</v>
      </c>
      <c r="E3770" t="str">
        <f>VLOOKUP(B3770,Products!$A:$E,3,FALSE)</f>
        <v>Networking</v>
      </c>
    </row>
    <row r="3771" spans="1:5" x14ac:dyDescent="0.3">
      <c r="A3771" t="s">
        <v>4781</v>
      </c>
      <c r="B3771" t="s">
        <v>282</v>
      </c>
      <c r="C3771">
        <v>17</v>
      </c>
      <c r="D3771" t="str">
        <f>VLOOKUP(B3771,Products!$A:$E,2,FALSE)</f>
        <v>Product_137</v>
      </c>
      <c r="E3771" t="str">
        <f>VLOOKUP(B3771,Products!$A:$E,3,FALSE)</f>
        <v>Storage</v>
      </c>
    </row>
    <row r="3772" spans="1:5" x14ac:dyDescent="0.3">
      <c r="A3772" t="s">
        <v>4782</v>
      </c>
      <c r="B3772" t="s">
        <v>270</v>
      </c>
      <c r="C3772">
        <v>88</v>
      </c>
      <c r="D3772" t="str">
        <f>VLOOKUP(B3772,Products!$A:$E,2,FALSE)</f>
        <v>Product_131</v>
      </c>
      <c r="E3772" t="str">
        <f>VLOOKUP(B3772,Products!$A:$E,3,FALSE)</f>
        <v>Electronics</v>
      </c>
    </row>
    <row r="3773" spans="1:5" x14ac:dyDescent="0.3">
      <c r="A3773" t="s">
        <v>4783</v>
      </c>
      <c r="B3773" t="s">
        <v>608</v>
      </c>
      <c r="C3773">
        <v>55</v>
      </c>
      <c r="D3773" t="str">
        <f>VLOOKUP(B3773,Products!$A:$E,2,FALSE)</f>
        <v>Product_300</v>
      </c>
      <c r="E3773" t="str">
        <f>VLOOKUP(B3773,Products!$A:$E,3,FALSE)</f>
        <v>Accessories</v>
      </c>
    </row>
    <row r="3774" spans="1:5" x14ac:dyDescent="0.3">
      <c r="A3774" t="s">
        <v>4784</v>
      </c>
      <c r="B3774" t="s">
        <v>482</v>
      </c>
      <c r="C3774">
        <v>91</v>
      </c>
      <c r="D3774" t="str">
        <f>VLOOKUP(B3774,Products!$A:$E,2,FALSE)</f>
        <v>Product_237</v>
      </c>
      <c r="E3774" t="str">
        <f>VLOOKUP(B3774,Products!$A:$E,3,FALSE)</f>
        <v>Networking</v>
      </c>
    </row>
    <row r="3775" spans="1:5" x14ac:dyDescent="0.3">
      <c r="A3775" t="s">
        <v>4785</v>
      </c>
      <c r="B3775" t="s">
        <v>776</v>
      </c>
      <c r="C3775">
        <v>35</v>
      </c>
      <c r="D3775" t="str">
        <f>VLOOKUP(B3775,Products!$A:$E,2,FALSE)</f>
        <v>Product_384</v>
      </c>
      <c r="E3775" t="str">
        <f>VLOOKUP(B3775,Products!$A:$E,3,FALSE)</f>
        <v>Office Supplies</v>
      </c>
    </row>
    <row r="3776" spans="1:5" x14ac:dyDescent="0.3">
      <c r="A3776" t="s">
        <v>4786</v>
      </c>
      <c r="B3776" t="s">
        <v>760</v>
      </c>
      <c r="C3776">
        <v>91</v>
      </c>
      <c r="D3776" t="str">
        <f>VLOOKUP(B3776,Products!$A:$E,2,FALSE)</f>
        <v>Product_376</v>
      </c>
      <c r="E3776" t="str">
        <f>VLOOKUP(B3776,Products!$A:$E,3,FALSE)</f>
        <v>Networking</v>
      </c>
    </row>
    <row r="3777" spans="1:5" x14ac:dyDescent="0.3">
      <c r="A3777" t="s">
        <v>4787</v>
      </c>
      <c r="B3777" t="s">
        <v>612</v>
      </c>
      <c r="C3777">
        <v>29</v>
      </c>
      <c r="D3777" t="str">
        <f>VLOOKUP(B3777,Products!$A:$E,2,FALSE)</f>
        <v>Product_302</v>
      </c>
      <c r="E3777" t="str">
        <f>VLOOKUP(B3777,Products!$A:$E,3,FALSE)</f>
        <v>Accessories</v>
      </c>
    </row>
    <row r="3778" spans="1:5" x14ac:dyDescent="0.3">
      <c r="A3778" t="s">
        <v>4788</v>
      </c>
      <c r="B3778" t="s">
        <v>542</v>
      </c>
      <c r="C3778">
        <v>48</v>
      </c>
      <c r="D3778" t="str">
        <f>VLOOKUP(B3778,Products!$A:$E,2,FALSE)</f>
        <v>Product_267</v>
      </c>
      <c r="E3778" t="str">
        <f>VLOOKUP(B3778,Products!$A:$E,3,FALSE)</f>
        <v>Networking</v>
      </c>
    </row>
    <row r="3779" spans="1:5" x14ac:dyDescent="0.3">
      <c r="A3779" t="s">
        <v>4789</v>
      </c>
      <c r="B3779" t="s">
        <v>702</v>
      </c>
      <c r="C3779">
        <v>93</v>
      </c>
      <c r="D3779" t="str">
        <f>VLOOKUP(B3779,Products!$A:$E,2,FALSE)</f>
        <v>Product_347</v>
      </c>
      <c r="E3779" t="str">
        <f>VLOOKUP(B3779,Products!$A:$E,3,FALSE)</f>
        <v>Storage</v>
      </c>
    </row>
    <row r="3780" spans="1:5" x14ac:dyDescent="0.3">
      <c r="A3780" t="s">
        <v>4790</v>
      </c>
      <c r="B3780" t="s">
        <v>194</v>
      </c>
      <c r="C3780">
        <v>45</v>
      </c>
      <c r="D3780" t="str">
        <f>VLOOKUP(B3780,Products!$A:$E,2,FALSE)</f>
        <v>Product_93</v>
      </c>
      <c r="E3780" t="str">
        <f>VLOOKUP(B3780,Products!$A:$E,3,FALSE)</f>
        <v>Office Supplies</v>
      </c>
    </row>
    <row r="3781" spans="1:5" x14ac:dyDescent="0.3">
      <c r="A3781" t="s">
        <v>4791</v>
      </c>
      <c r="B3781" t="s">
        <v>570</v>
      </c>
      <c r="C3781">
        <v>6</v>
      </c>
      <c r="D3781" t="str">
        <f>VLOOKUP(B3781,Products!$A:$E,2,FALSE)</f>
        <v>Product_281</v>
      </c>
      <c r="E3781" t="str">
        <f>VLOOKUP(B3781,Products!$A:$E,3,FALSE)</f>
        <v>Office Supplies</v>
      </c>
    </row>
    <row r="3782" spans="1:5" x14ac:dyDescent="0.3">
      <c r="A3782" t="s">
        <v>4792</v>
      </c>
      <c r="B3782" t="s">
        <v>698</v>
      </c>
      <c r="C3782">
        <v>6</v>
      </c>
      <c r="D3782" t="str">
        <f>VLOOKUP(B3782,Products!$A:$E,2,FALSE)</f>
        <v>Product_345</v>
      </c>
      <c r="E3782" t="str">
        <f>VLOOKUP(B3782,Products!$A:$E,3,FALSE)</f>
        <v>Storage</v>
      </c>
    </row>
    <row r="3783" spans="1:5" x14ac:dyDescent="0.3">
      <c r="A3783" t="s">
        <v>4793</v>
      </c>
      <c r="B3783" t="s">
        <v>860</v>
      </c>
      <c r="C3783">
        <v>13</v>
      </c>
      <c r="D3783" t="str">
        <f>VLOOKUP(B3783,Products!$A:$E,2,FALSE)</f>
        <v>Product_426</v>
      </c>
      <c r="E3783" t="str">
        <f>VLOOKUP(B3783,Products!$A:$E,3,FALSE)</f>
        <v>Storage</v>
      </c>
    </row>
    <row r="3784" spans="1:5" x14ac:dyDescent="0.3">
      <c r="A3784" t="s">
        <v>4794</v>
      </c>
      <c r="B3784" t="s">
        <v>22</v>
      </c>
      <c r="C3784">
        <v>57</v>
      </c>
      <c r="D3784" t="str">
        <f>VLOOKUP(B3784,Products!$A:$E,2,FALSE)</f>
        <v>Product_7</v>
      </c>
      <c r="E3784" t="str">
        <f>VLOOKUP(B3784,Products!$A:$E,3,FALSE)</f>
        <v>Storage</v>
      </c>
    </row>
    <row r="3785" spans="1:5" x14ac:dyDescent="0.3">
      <c r="A3785" t="s">
        <v>4795</v>
      </c>
      <c r="B3785" t="s">
        <v>110</v>
      </c>
      <c r="C3785">
        <v>72</v>
      </c>
      <c r="D3785" t="str">
        <f>VLOOKUP(B3785,Products!$A:$E,2,FALSE)</f>
        <v>Product_51</v>
      </c>
      <c r="E3785" t="str">
        <f>VLOOKUP(B3785,Products!$A:$E,3,FALSE)</f>
        <v>Storage</v>
      </c>
    </row>
    <row r="3786" spans="1:5" x14ac:dyDescent="0.3">
      <c r="A3786" t="s">
        <v>4796</v>
      </c>
      <c r="B3786" t="s">
        <v>116</v>
      </c>
      <c r="C3786">
        <v>92</v>
      </c>
      <c r="D3786" t="str">
        <f>VLOOKUP(B3786,Products!$A:$E,2,FALSE)</f>
        <v>Product_54</v>
      </c>
      <c r="E3786" t="str">
        <f>VLOOKUP(B3786,Products!$A:$E,3,FALSE)</f>
        <v>Storage</v>
      </c>
    </row>
    <row r="3787" spans="1:5" x14ac:dyDescent="0.3">
      <c r="A3787" t="s">
        <v>4797</v>
      </c>
      <c r="B3787" t="s">
        <v>466</v>
      </c>
      <c r="C3787">
        <v>49</v>
      </c>
      <c r="D3787" t="str">
        <f>VLOOKUP(B3787,Products!$A:$E,2,FALSE)</f>
        <v>Product_229</v>
      </c>
      <c r="E3787" t="str">
        <f>VLOOKUP(B3787,Products!$A:$E,3,FALSE)</f>
        <v>Accessories</v>
      </c>
    </row>
    <row r="3788" spans="1:5" x14ac:dyDescent="0.3">
      <c r="A3788" t="s">
        <v>4798</v>
      </c>
      <c r="B3788" t="s">
        <v>234</v>
      </c>
      <c r="C3788">
        <v>97</v>
      </c>
      <c r="D3788" t="str">
        <f>VLOOKUP(B3788,Products!$A:$E,2,FALSE)</f>
        <v>Product_113</v>
      </c>
      <c r="E3788" t="str">
        <f>VLOOKUP(B3788,Products!$A:$E,3,FALSE)</f>
        <v>Electronics</v>
      </c>
    </row>
    <row r="3789" spans="1:5" x14ac:dyDescent="0.3">
      <c r="A3789" t="s">
        <v>4799</v>
      </c>
      <c r="B3789" t="s">
        <v>300</v>
      </c>
      <c r="C3789">
        <v>37</v>
      </c>
      <c r="D3789" t="str">
        <f>VLOOKUP(B3789,Products!$A:$E,2,FALSE)</f>
        <v>Product_146</v>
      </c>
      <c r="E3789" t="str">
        <f>VLOOKUP(B3789,Products!$A:$E,3,FALSE)</f>
        <v>Office Supplies</v>
      </c>
    </row>
    <row r="3790" spans="1:5" x14ac:dyDescent="0.3">
      <c r="A3790" t="s">
        <v>4800</v>
      </c>
      <c r="B3790" t="s">
        <v>206</v>
      </c>
      <c r="C3790">
        <v>9</v>
      </c>
      <c r="D3790" t="str">
        <f>VLOOKUP(B3790,Products!$A:$E,2,FALSE)</f>
        <v>Product_99</v>
      </c>
      <c r="E3790" t="str">
        <f>VLOOKUP(B3790,Products!$A:$E,3,FALSE)</f>
        <v>Accessories</v>
      </c>
    </row>
    <row r="3791" spans="1:5" x14ac:dyDescent="0.3">
      <c r="A3791" t="s">
        <v>4801</v>
      </c>
      <c r="B3791" t="s">
        <v>34</v>
      </c>
      <c r="C3791">
        <v>84</v>
      </c>
      <c r="D3791" t="str">
        <f>VLOOKUP(B3791,Products!$A:$E,2,FALSE)</f>
        <v>Product_13</v>
      </c>
      <c r="E3791" t="str">
        <f>VLOOKUP(B3791,Products!$A:$E,3,FALSE)</f>
        <v>Office Supplies</v>
      </c>
    </row>
    <row r="3792" spans="1:5" x14ac:dyDescent="0.3">
      <c r="A3792" t="s">
        <v>4802</v>
      </c>
      <c r="B3792" t="s">
        <v>104</v>
      </c>
      <c r="C3792">
        <v>12</v>
      </c>
      <c r="D3792" t="str">
        <f>VLOOKUP(B3792,Products!$A:$E,2,FALSE)</f>
        <v>Product_48</v>
      </c>
      <c r="E3792" t="str">
        <f>VLOOKUP(B3792,Products!$A:$E,3,FALSE)</f>
        <v>Accessories</v>
      </c>
    </row>
    <row r="3793" spans="1:5" x14ac:dyDescent="0.3">
      <c r="A3793" t="s">
        <v>4803</v>
      </c>
      <c r="B3793" t="s">
        <v>970</v>
      </c>
      <c r="C3793">
        <v>81</v>
      </c>
      <c r="D3793" t="str">
        <f>VLOOKUP(B3793,Products!$A:$E,2,FALSE)</f>
        <v>Product_481</v>
      </c>
      <c r="E3793" t="str">
        <f>VLOOKUP(B3793,Products!$A:$E,3,FALSE)</f>
        <v>Storage</v>
      </c>
    </row>
    <row r="3794" spans="1:5" x14ac:dyDescent="0.3">
      <c r="A3794" t="s">
        <v>4804</v>
      </c>
      <c r="B3794" t="s">
        <v>682</v>
      </c>
      <c r="C3794">
        <v>32</v>
      </c>
      <c r="D3794" t="str">
        <f>VLOOKUP(B3794,Products!$A:$E,2,FALSE)</f>
        <v>Product_337</v>
      </c>
      <c r="E3794" t="str">
        <f>VLOOKUP(B3794,Products!$A:$E,3,FALSE)</f>
        <v>Storage</v>
      </c>
    </row>
    <row r="3795" spans="1:5" x14ac:dyDescent="0.3">
      <c r="A3795" t="s">
        <v>4805</v>
      </c>
      <c r="B3795" t="s">
        <v>982</v>
      </c>
      <c r="C3795">
        <v>81</v>
      </c>
      <c r="D3795" t="str">
        <f>VLOOKUP(B3795,Products!$A:$E,2,FALSE)</f>
        <v>Product_487</v>
      </c>
      <c r="E3795" t="str">
        <f>VLOOKUP(B3795,Products!$A:$E,3,FALSE)</f>
        <v>Networking</v>
      </c>
    </row>
    <row r="3796" spans="1:5" x14ac:dyDescent="0.3">
      <c r="A3796" t="s">
        <v>4806</v>
      </c>
      <c r="B3796" t="s">
        <v>662</v>
      </c>
      <c r="C3796">
        <v>20</v>
      </c>
      <c r="D3796" t="str">
        <f>VLOOKUP(B3796,Products!$A:$E,2,FALSE)</f>
        <v>Product_327</v>
      </c>
      <c r="E3796" t="str">
        <f>VLOOKUP(B3796,Products!$A:$E,3,FALSE)</f>
        <v>Networking</v>
      </c>
    </row>
    <row r="3797" spans="1:5" x14ac:dyDescent="0.3">
      <c r="A3797" t="s">
        <v>4807</v>
      </c>
      <c r="B3797" t="s">
        <v>734</v>
      </c>
      <c r="C3797">
        <v>20</v>
      </c>
      <c r="D3797" t="str">
        <f>VLOOKUP(B3797,Products!$A:$E,2,FALSE)</f>
        <v>Product_363</v>
      </c>
      <c r="E3797" t="str">
        <f>VLOOKUP(B3797,Products!$A:$E,3,FALSE)</f>
        <v>Storage</v>
      </c>
    </row>
    <row r="3798" spans="1:5" x14ac:dyDescent="0.3">
      <c r="A3798" t="s">
        <v>4808</v>
      </c>
      <c r="B3798" t="s">
        <v>98</v>
      </c>
      <c r="C3798">
        <v>82</v>
      </c>
      <c r="D3798" t="str">
        <f>VLOOKUP(B3798,Products!$A:$E,2,FALSE)</f>
        <v>Product_45</v>
      </c>
      <c r="E3798" t="str">
        <f>VLOOKUP(B3798,Products!$A:$E,3,FALSE)</f>
        <v>Accessories</v>
      </c>
    </row>
    <row r="3799" spans="1:5" x14ac:dyDescent="0.3">
      <c r="A3799" t="s">
        <v>4809</v>
      </c>
      <c r="B3799" t="s">
        <v>142</v>
      </c>
      <c r="C3799">
        <v>53</v>
      </c>
      <c r="D3799" t="str">
        <f>VLOOKUP(B3799,Products!$A:$E,2,FALSE)</f>
        <v>Product_67</v>
      </c>
      <c r="E3799" t="str">
        <f>VLOOKUP(B3799,Products!$A:$E,3,FALSE)</f>
        <v>Office Supplies</v>
      </c>
    </row>
    <row r="3800" spans="1:5" x14ac:dyDescent="0.3">
      <c r="A3800" t="s">
        <v>4810</v>
      </c>
      <c r="B3800" t="s">
        <v>682</v>
      </c>
      <c r="C3800">
        <v>87</v>
      </c>
      <c r="D3800" t="str">
        <f>VLOOKUP(B3800,Products!$A:$E,2,FALSE)</f>
        <v>Product_337</v>
      </c>
      <c r="E3800" t="str">
        <f>VLOOKUP(B3800,Products!$A:$E,3,FALSE)</f>
        <v>Storage</v>
      </c>
    </row>
    <row r="3801" spans="1:5" x14ac:dyDescent="0.3">
      <c r="A3801" t="s">
        <v>4811</v>
      </c>
      <c r="B3801" t="s">
        <v>588</v>
      </c>
      <c r="C3801">
        <v>28</v>
      </c>
      <c r="D3801" t="str">
        <f>VLOOKUP(B3801,Products!$A:$E,2,FALSE)</f>
        <v>Product_290</v>
      </c>
      <c r="E3801" t="str">
        <f>VLOOKUP(B3801,Products!$A:$E,3,FALSE)</f>
        <v>Accessories</v>
      </c>
    </row>
    <row r="3802" spans="1:5" x14ac:dyDescent="0.3">
      <c r="A3802" t="s">
        <v>4812</v>
      </c>
      <c r="B3802" t="s">
        <v>926</v>
      </c>
      <c r="C3802">
        <v>19</v>
      </c>
      <c r="D3802" t="str">
        <f>VLOOKUP(B3802,Products!$A:$E,2,FALSE)</f>
        <v>Product_459</v>
      </c>
      <c r="E3802" t="str">
        <f>VLOOKUP(B3802,Products!$A:$E,3,FALSE)</f>
        <v>Office Supplies</v>
      </c>
    </row>
    <row r="3803" spans="1:5" x14ac:dyDescent="0.3">
      <c r="A3803" t="s">
        <v>4813</v>
      </c>
      <c r="B3803" t="s">
        <v>722</v>
      </c>
      <c r="C3803">
        <v>28</v>
      </c>
      <c r="D3803" t="str">
        <f>VLOOKUP(B3803,Products!$A:$E,2,FALSE)</f>
        <v>Product_357</v>
      </c>
      <c r="E3803" t="str">
        <f>VLOOKUP(B3803,Products!$A:$E,3,FALSE)</f>
        <v>Accessories</v>
      </c>
    </row>
    <row r="3804" spans="1:5" x14ac:dyDescent="0.3">
      <c r="A3804" t="s">
        <v>4814</v>
      </c>
      <c r="B3804" t="s">
        <v>268</v>
      </c>
      <c r="C3804">
        <v>42</v>
      </c>
      <c r="D3804" t="str">
        <f>VLOOKUP(B3804,Products!$A:$E,2,FALSE)</f>
        <v>Product_130</v>
      </c>
      <c r="E3804" t="str">
        <f>VLOOKUP(B3804,Products!$A:$E,3,FALSE)</f>
        <v>Storage</v>
      </c>
    </row>
    <row r="3805" spans="1:5" x14ac:dyDescent="0.3">
      <c r="A3805" t="s">
        <v>4815</v>
      </c>
      <c r="B3805" t="s">
        <v>488</v>
      </c>
      <c r="C3805">
        <v>89</v>
      </c>
      <c r="D3805" t="str">
        <f>VLOOKUP(B3805,Products!$A:$E,2,FALSE)</f>
        <v>Product_240</v>
      </c>
      <c r="E3805" t="str">
        <f>VLOOKUP(B3805,Products!$A:$E,3,FALSE)</f>
        <v>Storage</v>
      </c>
    </row>
    <row r="3806" spans="1:5" x14ac:dyDescent="0.3">
      <c r="A3806" t="s">
        <v>4816</v>
      </c>
      <c r="B3806" t="s">
        <v>968</v>
      </c>
      <c r="C3806">
        <v>14</v>
      </c>
      <c r="D3806" t="str">
        <f>VLOOKUP(B3806,Products!$A:$E,2,FALSE)</f>
        <v>Product_480</v>
      </c>
      <c r="E3806" t="str">
        <f>VLOOKUP(B3806,Products!$A:$E,3,FALSE)</f>
        <v>Accessories</v>
      </c>
    </row>
    <row r="3807" spans="1:5" x14ac:dyDescent="0.3">
      <c r="A3807" t="s">
        <v>4817</v>
      </c>
      <c r="B3807" t="s">
        <v>664</v>
      </c>
      <c r="C3807">
        <v>63</v>
      </c>
      <c r="D3807" t="str">
        <f>VLOOKUP(B3807,Products!$A:$E,2,FALSE)</f>
        <v>Product_328</v>
      </c>
      <c r="E3807" t="str">
        <f>VLOOKUP(B3807,Products!$A:$E,3,FALSE)</f>
        <v>Office Supplies</v>
      </c>
    </row>
    <row r="3808" spans="1:5" x14ac:dyDescent="0.3">
      <c r="A3808" t="s">
        <v>4818</v>
      </c>
      <c r="B3808" t="s">
        <v>954</v>
      </c>
      <c r="C3808">
        <v>40</v>
      </c>
      <c r="D3808" t="str">
        <f>VLOOKUP(B3808,Products!$A:$E,2,FALSE)</f>
        <v>Product_473</v>
      </c>
      <c r="E3808" t="str">
        <f>VLOOKUP(B3808,Products!$A:$E,3,FALSE)</f>
        <v>Accessories</v>
      </c>
    </row>
    <row r="3809" spans="1:5" x14ac:dyDescent="0.3">
      <c r="A3809" t="s">
        <v>4819</v>
      </c>
      <c r="B3809" t="s">
        <v>796</v>
      </c>
      <c r="C3809">
        <v>59</v>
      </c>
      <c r="D3809" t="str">
        <f>VLOOKUP(B3809,Products!$A:$E,2,FALSE)</f>
        <v>Product_394</v>
      </c>
      <c r="E3809" t="str">
        <f>VLOOKUP(B3809,Products!$A:$E,3,FALSE)</f>
        <v>Electronics</v>
      </c>
    </row>
    <row r="3810" spans="1:5" x14ac:dyDescent="0.3">
      <c r="A3810" t="s">
        <v>4820</v>
      </c>
      <c r="B3810" t="s">
        <v>718</v>
      </c>
      <c r="C3810">
        <v>90</v>
      </c>
      <c r="D3810" t="str">
        <f>VLOOKUP(B3810,Products!$A:$E,2,FALSE)</f>
        <v>Product_355</v>
      </c>
      <c r="E3810" t="str">
        <f>VLOOKUP(B3810,Products!$A:$E,3,FALSE)</f>
        <v>Accessories</v>
      </c>
    </row>
    <row r="3811" spans="1:5" x14ac:dyDescent="0.3">
      <c r="A3811" t="s">
        <v>4821</v>
      </c>
      <c r="B3811" t="s">
        <v>798</v>
      </c>
      <c r="C3811">
        <v>46</v>
      </c>
      <c r="D3811" t="str">
        <f>VLOOKUP(B3811,Products!$A:$E,2,FALSE)</f>
        <v>Product_395</v>
      </c>
      <c r="E3811" t="str">
        <f>VLOOKUP(B3811,Products!$A:$E,3,FALSE)</f>
        <v>Accessories</v>
      </c>
    </row>
    <row r="3812" spans="1:5" x14ac:dyDescent="0.3">
      <c r="A3812" t="s">
        <v>4822</v>
      </c>
      <c r="B3812" t="s">
        <v>272</v>
      </c>
      <c r="C3812">
        <v>25</v>
      </c>
      <c r="D3812" t="str">
        <f>VLOOKUP(B3812,Products!$A:$E,2,FALSE)</f>
        <v>Product_132</v>
      </c>
      <c r="E3812" t="str">
        <f>VLOOKUP(B3812,Products!$A:$E,3,FALSE)</f>
        <v>Storage</v>
      </c>
    </row>
    <row r="3813" spans="1:5" x14ac:dyDescent="0.3">
      <c r="A3813" t="s">
        <v>4823</v>
      </c>
      <c r="B3813" t="s">
        <v>808</v>
      </c>
      <c r="C3813">
        <v>14</v>
      </c>
      <c r="D3813" t="str">
        <f>VLOOKUP(B3813,Products!$A:$E,2,FALSE)</f>
        <v>Product_400</v>
      </c>
      <c r="E3813" t="str">
        <f>VLOOKUP(B3813,Products!$A:$E,3,FALSE)</f>
        <v>Networking</v>
      </c>
    </row>
    <row r="3814" spans="1:5" x14ac:dyDescent="0.3">
      <c r="A3814" t="s">
        <v>4824</v>
      </c>
      <c r="B3814" t="s">
        <v>292</v>
      </c>
      <c r="C3814">
        <v>12</v>
      </c>
      <c r="D3814" t="str">
        <f>VLOOKUP(B3814,Products!$A:$E,2,FALSE)</f>
        <v>Product_142</v>
      </c>
      <c r="E3814" t="str">
        <f>VLOOKUP(B3814,Products!$A:$E,3,FALSE)</f>
        <v>Storage</v>
      </c>
    </row>
    <row r="3815" spans="1:5" x14ac:dyDescent="0.3">
      <c r="A3815" t="s">
        <v>4825</v>
      </c>
      <c r="B3815" t="s">
        <v>400</v>
      </c>
      <c r="C3815">
        <v>54</v>
      </c>
      <c r="D3815" t="str">
        <f>VLOOKUP(B3815,Products!$A:$E,2,FALSE)</f>
        <v>Product_196</v>
      </c>
      <c r="E3815" t="str">
        <f>VLOOKUP(B3815,Products!$A:$E,3,FALSE)</f>
        <v>Office Supplies</v>
      </c>
    </row>
    <row r="3816" spans="1:5" x14ac:dyDescent="0.3">
      <c r="A3816" t="s">
        <v>4826</v>
      </c>
      <c r="B3816" t="s">
        <v>350</v>
      </c>
      <c r="C3816">
        <v>12</v>
      </c>
      <c r="D3816" t="str">
        <f>VLOOKUP(B3816,Products!$A:$E,2,FALSE)</f>
        <v>Product_171</v>
      </c>
      <c r="E3816" t="str">
        <f>VLOOKUP(B3816,Products!$A:$E,3,FALSE)</f>
        <v>Electronics</v>
      </c>
    </row>
    <row r="3817" spans="1:5" x14ac:dyDescent="0.3">
      <c r="A3817" t="s">
        <v>4827</v>
      </c>
      <c r="B3817" t="s">
        <v>274</v>
      </c>
      <c r="C3817">
        <v>38</v>
      </c>
      <c r="D3817" t="str">
        <f>VLOOKUP(B3817,Products!$A:$E,2,FALSE)</f>
        <v>Product_133</v>
      </c>
      <c r="E3817" t="str">
        <f>VLOOKUP(B3817,Products!$A:$E,3,FALSE)</f>
        <v>Office Supplies</v>
      </c>
    </row>
    <row r="3818" spans="1:5" x14ac:dyDescent="0.3">
      <c r="A3818" t="s">
        <v>4828</v>
      </c>
      <c r="B3818" t="s">
        <v>192</v>
      </c>
      <c r="C3818">
        <v>61</v>
      </c>
      <c r="D3818" t="str">
        <f>VLOOKUP(B3818,Products!$A:$E,2,FALSE)</f>
        <v>Product_92</v>
      </c>
      <c r="E3818" t="str">
        <f>VLOOKUP(B3818,Products!$A:$E,3,FALSE)</f>
        <v>Electronics</v>
      </c>
    </row>
    <row r="3819" spans="1:5" x14ac:dyDescent="0.3">
      <c r="A3819" t="s">
        <v>4829</v>
      </c>
      <c r="B3819" t="s">
        <v>80</v>
      </c>
      <c r="C3819">
        <v>67</v>
      </c>
      <c r="D3819" t="str">
        <f>VLOOKUP(B3819,Products!$A:$E,2,FALSE)</f>
        <v>Product_36</v>
      </c>
      <c r="E3819" t="str">
        <f>VLOOKUP(B3819,Products!$A:$E,3,FALSE)</f>
        <v>Office Supplies</v>
      </c>
    </row>
    <row r="3820" spans="1:5" x14ac:dyDescent="0.3">
      <c r="A3820" t="s">
        <v>4830</v>
      </c>
      <c r="B3820" t="s">
        <v>960</v>
      </c>
      <c r="C3820">
        <v>30</v>
      </c>
      <c r="D3820" t="str">
        <f>VLOOKUP(B3820,Products!$A:$E,2,FALSE)</f>
        <v>Product_476</v>
      </c>
      <c r="E3820" t="str">
        <f>VLOOKUP(B3820,Products!$A:$E,3,FALSE)</f>
        <v>Office Supplies</v>
      </c>
    </row>
    <row r="3821" spans="1:5" x14ac:dyDescent="0.3">
      <c r="A3821" t="s">
        <v>4831</v>
      </c>
      <c r="B3821" t="s">
        <v>634</v>
      </c>
      <c r="C3821">
        <v>55</v>
      </c>
      <c r="D3821" t="str">
        <f>VLOOKUP(B3821,Products!$A:$E,2,FALSE)</f>
        <v>Product_313</v>
      </c>
      <c r="E3821" t="str">
        <f>VLOOKUP(B3821,Products!$A:$E,3,FALSE)</f>
        <v>Accessories</v>
      </c>
    </row>
    <row r="3822" spans="1:5" x14ac:dyDescent="0.3">
      <c r="A3822" t="s">
        <v>4832</v>
      </c>
      <c r="B3822" t="s">
        <v>192</v>
      </c>
      <c r="C3822">
        <v>87</v>
      </c>
      <c r="D3822" t="str">
        <f>VLOOKUP(B3822,Products!$A:$E,2,FALSE)</f>
        <v>Product_92</v>
      </c>
      <c r="E3822" t="str">
        <f>VLOOKUP(B3822,Products!$A:$E,3,FALSE)</f>
        <v>Electronics</v>
      </c>
    </row>
    <row r="3823" spans="1:5" x14ac:dyDescent="0.3">
      <c r="A3823" t="s">
        <v>4833</v>
      </c>
      <c r="B3823" t="s">
        <v>512</v>
      </c>
      <c r="C3823">
        <v>18</v>
      </c>
      <c r="D3823" t="str">
        <f>VLOOKUP(B3823,Products!$A:$E,2,FALSE)</f>
        <v>Product_252</v>
      </c>
      <c r="E3823" t="str">
        <f>VLOOKUP(B3823,Products!$A:$E,3,FALSE)</f>
        <v>Networking</v>
      </c>
    </row>
    <row r="3824" spans="1:5" x14ac:dyDescent="0.3">
      <c r="A3824" t="s">
        <v>4834</v>
      </c>
      <c r="B3824" t="s">
        <v>156</v>
      </c>
      <c r="C3824">
        <v>74</v>
      </c>
      <c r="D3824" t="str">
        <f>VLOOKUP(B3824,Products!$A:$E,2,FALSE)</f>
        <v>Product_74</v>
      </c>
      <c r="E3824" t="str">
        <f>VLOOKUP(B3824,Products!$A:$E,3,FALSE)</f>
        <v>Storage</v>
      </c>
    </row>
    <row r="3825" spans="1:5" x14ac:dyDescent="0.3">
      <c r="A3825" t="s">
        <v>4835</v>
      </c>
      <c r="B3825" t="s">
        <v>796</v>
      </c>
      <c r="C3825">
        <v>60</v>
      </c>
      <c r="D3825" t="str">
        <f>VLOOKUP(B3825,Products!$A:$E,2,FALSE)</f>
        <v>Product_394</v>
      </c>
      <c r="E3825" t="str">
        <f>VLOOKUP(B3825,Products!$A:$E,3,FALSE)</f>
        <v>Electronics</v>
      </c>
    </row>
    <row r="3826" spans="1:5" x14ac:dyDescent="0.3">
      <c r="A3826" t="s">
        <v>4836</v>
      </c>
      <c r="B3826" t="s">
        <v>232</v>
      </c>
      <c r="C3826">
        <v>83</v>
      </c>
      <c r="D3826" t="str">
        <f>VLOOKUP(B3826,Products!$A:$E,2,FALSE)</f>
        <v>Product_112</v>
      </c>
      <c r="E3826" t="str">
        <f>VLOOKUP(B3826,Products!$A:$E,3,FALSE)</f>
        <v>Storage</v>
      </c>
    </row>
    <row r="3827" spans="1:5" x14ac:dyDescent="0.3">
      <c r="A3827" t="s">
        <v>4837</v>
      </c>
      <c r="B3827" t="s">
        <v>668</v>
      </c>
      <c r="C3827">
        <v>18</v>
      </c>
      <c r="D3827" t="str">
        <f>VLOOKUP(B3827,Products!$A:$E,2,FALSE)</f>
        <v>Product_330</v>
      </c>
      <c r="E3827" t="str">
        <f>VLOOKUP(B3827,Products!$A:$E,3,FALSE)</f>
        <v>Electronics</v>
      </c>
    </row>
    <row r="3828" spans="1:5" x14ac:dyDescent="0.3">
      <c r="A3828" t="s">
        <v>4838</v>
      </c>
      <c r="B3828" t="s">
        <v>944</v>
      </c>
      <c r="C3828">
        <v>61</v>
      </c>
      <c r="D3828" t="str">
        <f>VLOOKUP(B3828,Products!$A:$E,2,FALSE)</f>
        <v>Product_468</v>
      </c>
      <c r="E3828" t="str">
        <f>VLOOKUP(B3828,Products!$A:$E,3,FALSE)</f>
        <v>Office Supplies</v>
      </c>
    </row>
    <row r="3829" spans="1:5" x14ac:dyDescent="0.3">
      <c r="A3829" t="s">
        <v>4839</v>
      </c>
      <c r="B3829" t="s">
        <v>742</v>
      </c>
      <c r="C3829">
        <v>38</v>
      </c>
      <c r="D3829" t="str">
        <f>VLOOKUP(B3829,Products!$A:$E,2,FALSE)</f>
        <v>Product_367</v>
      </c>
      <c r="E3829" t="str">
        <f>VLOOKUP(B3829,Products!$A:$E,3,FALSE)</f>
        <v>Storage</v>
      </c>
    </row>
    <row r="3830" spans="1:5" x14ac:dyDescent="0.3">
      <c r="A3830" t="s">
        <v>4840</v>
      </c>
      <c r="B3830" t="s">
        <v>114</v>
      </c>
      <c r="C3830">
        <v>9</v>
      </c>
      <c r="D3830" t="str">
        <f>VLOOKUP(B3830,Products!$A:$E,2,FALSE)</f>
        <v>Product_53</v>
      </c>
      <c r="E3830" t="str">
        <f>VLOOKUP(B3830,Products!$A:$E,3,FALSE)</f>
        <v>Electronics</v>
      </c>
    </row>
    <row r="3831" spans="1:5" x14ac:dyDescent="0.3">
      <c r="A3831" t="s">
        <v>4841</v>
      </c>
      <c r="B3831" t="s">
        <v>84</v>
      </c>
      <c r="C3831">
        <v>14</v>
      </c>
      <c r="D3831" t="str">
        <f>VLOOKUP(B3831,Products!$A:$E,2,FALSE)</f>
        <v>Product_38</v>
      </c>
      <c r="E3831" t="str">
        <f>VLOOKUP(B3831,Products!$A:$E,3,FALSE)</f>
        <v>Accessories</v>
      </c>
    </row>
    <row r="3832" spans="1:5" x14ac:dyDescent="0.3">
      <c r="A3832" t="s">
        <v>4842</v>
      </c>
      <c r="B3832" t="s">
        <v>594</v>
      </c>
      <c r="C3832">
        <v>98</v>
      </c>
      <c r="D3832" t="str">
        <f>VLOOKUP(B3832,Products!$A:$E,2,FALSE)</f>
        <v>Product_293</v>
      </c>
      <c r="E3832" t="str">
        <f>VLOOKUP(B3832,Products!$A:$E,3,FALSE)</f>
        <v>Networking</v>
      </c>
    </row>
    <row r="3833" spans="1:5" x14ac:dyDescent="0.3">
      <c r="A3833" t="s">
        <v>4843</v>
      </c>
      <c r="B3833" t="s">
        <v>266</v>
      </c>
      <c r="C3833">
        <v>62</v>
      </c>
      <c r="D3833" t="str">
        <f>VLOOKUP(B3833,Products!$A:$E,2,FALSE)</f>
        <v>Product_129</v>
      </c>
      <c r="E3833" t="str">
        <f>VLOOKUP(B3833,Products!$A:$E,3,FALSE)</f>
        <v>Electronics</v>
      </c>
    </row>
    <row r="3834" spans="1:5" x14ac:dyDescent="0.3">
      <c r="A3834" t="s">
        <v>4844</v>
      </c>
      <c r="B3834" t="s">
        <v>28</v>
      </c>
      <c r="C3834">
        <v>68</v>
      </c>
      <c r="D3834" t="str">
        <f>VLOOKUP(B3834,Products!$A:$E,2,FALSE)</f>
        <v>Product_10</v>
      </c>
      <c r="E3834" t="str">
        <f>VLOOKUP(B3834,Products!$A:$E,3,FALSE)</f>
        <v>Networking</v>
      </c>
    </row>
    <row r="3835" spans="1:5" x14ac:dyDescent="0.3">
      <c r="A3835" t="s">
        <v>4845</v>
      </c>
      <c r="B3835" t="s">
        <v>162</v>
      </c>
      <c r="C3835">
        <v>88</v>
      </c>
      <c r="D3835" t="str">
        <f>VLOOKUP(B3835,Products!$A:$E,2,FALSE)</f>
        <v>Product_77</v>
      </c>
      <c r="E3835" t="str">
        <f>VLOOKUP(B3835,Products!$A:$E,3,FALSE)</f>
        <v>Networking</v>
      </c>
    </row>
    <row r="3836" spans="1:5" x14ac:dyDescent="0.3">
      <c r="A3836" t="s">
        <v>4846</v>
      </c>
      <c r="B3836" t="s">
        <v>664</v>
      </c>
      <c r="C3836">
        <v>5</v>
      </c>
      <c r="D3836" t="str">
        <f>VLOOKUP(B3836,Products!$A:$E,2,FALSE)</f>
        <v>Product_328</v>
      </c>
      <c r="E3836" t="str">
        <f>VLOOKUP(B3836,Products!$A:$E,3,FALSE)</f>
        <v>Office Supplies</v>
      </c>
    </row>
    <row r="3837" spans="1:5" x14ac:dyDescent="0.3">
      <c r="A3837" t="s">
        <v>4847</v>
      </c>
      <c r="B3837" t="s">
        <v>964</v>
      </c>
      <c r="C3837">
        <v>9</v>
      </c>
      <c r="D3837" t="str">
        <f>VLOOKUP(B3837,Products!$A:$E,2,FALSE)</f>
        <v>Product_478</v>
      </c>
      <c r="E3837" t="str">
        <f>VLOOKUP(B3837,Products!$A:$E,3,FALSE)</f>
        <v>Office Supplies</v>
      </c>
    </row>
    <row r="3838" spans="1:5" x14ac:dyDescent="0.3">
      <c r="A3838" t="s">
        <v>4848</v>
      </c>
      <c r="B3838" t="s">
        <v>690</v>
      </c>
      <c r="C3838">
        <v>54</v>
      </c>
      <c r="D3838" t="str">
        <f>VLOOKUP(B3838,Products!$A:$E,2,FALSE)</f>
        <v>Product_341</v>
      </c>
      <c r="E3838" t="str">
        <f>VLOOKUP(B3838,Products!$A:$E,3,FALSE)</f>
        <v>Storage</v>
      </c>
    </row>
    <row r="3839" spans="1:5" x14ac:dyDescent="0.3">
      <c r="A3839" t="s">
        <v>4849</v>
      </c>
      <c r="B3839" t="s">
        <v>282</v>
      </c>
      <c r="C3839">
        <v>24</v>
      </c>
      <c r="D3839" t="str">
        <f>VLOOKUP(B3839,Products!$A:$E,2,FALSE)</f>
        <v>Product_137</v>
      </c>
      <c r="E3839" t="str">
        <f>VLOOKUP(B3839,Products!$A:$E,3,FALSE)</f>
        <v>Storage</v>
      </c>
    </row>
    <row r="3840" spans="1:5" x14ac:dyDescent="0.3">
      <c r="A3840" t="s">
        <v>4850</v>
      </c>
      <c r="B3840" t="s">
        <v>726</v>
      </c>
      <c r="C3840">
        <v>47</v>
      </c>
      <c r="D3840" t="str">
        <f>VLOOKUP(B3840,Products!$A:$E,2,FALSE)</f>
        <v>Product_359</v>
      </c>
      <c r="E3840" t="str">
        <f>VLOOKUP(B3840,Products!$A:$E,3,FALSE)</f>
        <v>Electronics</v>
      </c>
    </row>
    <row r="3841" spans="1:5" x14ac:dyDescent="0.3">
      <c r="A3841" t="s">
        <v>4851</v>
      </c>
      <c r="B3841" t="s">
        <v>936</v>
      </c>
      <c r="C3841">
        <v>55</v>
      </c>
      <c r="D3841" t="str">
        <f>VLOOKUP(B3841,Products!$A:$E,2,FALSE)</f>
        <v>Product_464</v>
      </c>
      <c r="E3841" t="str">
        <f>VLOOKUP(B3841,Products!$A:$E,3,FALSE)</f>
        <v>Office Supplies</v>
      </c>
    </row>
    <row r="3842" spans="1:5" x14ac:dyDescent="0.3">
      <c r="A3842" t="s">
        <v>4852</v>
      </c>
      <c r="B3842" t="s">
        <v>598</v>
      </c>
      <c r="C3842">
        <v>5</v>
      </c>
      <c r="D3842" t="str">
        <f>VLOOKUP(B3842,Products!$A:$E,2,FALSE)</f>
        <v>Product_295</v>
      </c>
      <c r="E3842" t="str">
        <f>VLOOKUP(B3842,Products!$A:$E,3,FALSE)</f>
        <v>Networking</v>
      </c>
    </row>
    <row r="3843" spans="1:5" x14ac:dyDescent="0.3">
      <c r="A3843" t="s">
        <v>4853</v>
      </c>
      <c r="B3843" t="s">
        <v>536</v>
      </c>
      <c r="C3843">
        <v>95</v>
      </c>
      <c r="D3843" t="str">
        <f>VLOOKUP(B3843,Products!$A:$E,2,FALSE)</f>
        <v>Product_264</v>
      </c>
      <c r="E3843" t="str">
        <f>VLOOKUP(B3843,Products!$A:$E,3,FALSE)</f>
        <v>Electronics</v>
      </c>
    </row>
    <row r="3844" spans="1:5" x14ac:dyDescent="0.3">
      <c r="A3844" t="s">
        <v>4854</v>
      </c>
      <c r="B3844" t="s">
        <v>972</v>
      </c>
      <c r="C3844">
        <v>67</v>
      </c>
      <c r="D3844" t="str">
        <f>VLOOKUP(B3844,Products!$A:$E,2,FALSE)</f>
        <v>Product_482</v>
      </c>
      <c r="E3844" t="str">
        <f>VLOOKUP(B3844,Products!$A:$E,3,FALSE)</f>
        <v>Storage</v>
      </c>
    </row>
    <row r="3845" spans="1:5" x14ac:dyDescent="0.3">
      <c r="A3845" t="s">
        <v>4855</v>
      </c>
      <c r="B3845" t="s">
        <v>498</v>
      </c>
      <c r="C3845">
        <v>60</v>
      </c>
      <c r="D3845" t="str">
        <f>VLOOKUP(B3845,Products!$A:$E,2,FALSE)</f>
        <v>Product_245</v>
      </c>
      <c r="E3845" t="str">
        <f>VLOOKUP(B3845,Products!$A:$E,3,FALSE)</f>
        <v>Office Supplies</v>
      </c>
    </row>
    <row r="3846" spans="1:5" x14ac:dyDescent="0.3">
      <c r="A3846" t="s">
        <v>4856</v>
      </c>
      <c r="B3846" t="s">
        <v>422</v>
      </c>
      <c r="C3846">
        <v>98</v>
      </c>
      <c r="D3846" t="str">
        <f>VLOOKUP(B3846,Products!$A:$E,2,FALSE)</f>
        <v>Product_207</v>
      </c>
      <c r="E3846" t="str">
        <f>VLOOKUP(B3846,Products!$A:$E,3,FALSE)</f>
        <v>Accessories</v>
      </c>
    </row>
    <row r="3847" spans="1:5" x14ac:dyDescent="0.3">
      <c r="A3847" t="s">
        <v>4857</v>
      </c>
      <c r="B3847" t="s">
        <v>808</v>
      </c>
      <c r="C3847">
        <v>13</v>
      </c>
      <c r="D3847" t="str">
        <f>VLOOKUP(B3847,Products!$A:$E,2,FALSE)</f>
        <v>Product_400</v>
      </c>
      <c r="E3847" t="str">
        <f>VLOOKUP(B3847,Products!$A:$E,3,FALSE)</f>
        <v>Networking</v>
      </c>
    </row>
    <row r="3848" spans="1:5" x14ac:dyDescent="0.3">
      <c r="A3848" t="s">
        <v>4858</v>
      </c>
      <c r="B3848" t="s">
        <v>562</v>
      </c>
      <c r="C3848">
        <v>33</v>
      </c>
      <c r="D3848" t="str">
        <f>VLOOKUP(B3848,Products!$A:$E,2,FALSE)</f>
        <v>Product_277</v>
      </c>
      <c r="E3848" t="str">
        <f>VLOOKUP(B3848,Products!$A:$E,3,FALSE)</f>
        <v>Electronics</v>
      </c>
    </row>
    <row r="3849" spans="1:5" x14ac:dyDescent="0.3">
      <c r="A3849" t="s">
        <v>4859</v>
      </c>
      <c r="B3849" t="s">
        <v>8</v>
      </c>
      <c r="C3849">
        <v>54</v>
      </c>
      <c r="D3849" t="str">
        <f>VLOOKUP(B3849,Products!$A:$E,2,FALSE)</f>
        <v>Product_2</v>
      </c>
      <c r="E3849" t="str">
        <f>VLOOKUP(B3849,Products!$A:$E,3,FALSE)</f>
        <v>Office Supplies</v>
      </c>
    </row>
    <row r="3850" spans="1:5" x14ac:dyDescent="0.3">
      <c r="A3850" t="s">
        <v>4860</v>
      </c>
      <c r="B3850" t="s">
        <v>986</v>
      </c>
      <c r="C3850">
        <v>93</v>
      </c>
      <c r="D3850" t="str">
        <f>VLOOKUP(B3850,Products!$A:$E,2,FALSE)</f>
        <v>Product_489</v>
      </c>
      <c r="E3850" t="str">
        <f>VLOOKUP(B3850,Products!$A:$E,3,FALSE)</f>
        <v>Networking</v>
      </c>
    </row>
    <row r="3851" spans="1:5" x14ac:dyDescent="0.3">
      <c r="A3851" t="s">
        <v>4861</v>
      </c>
      <c r="B3851" t="s">
        <v>846</v>
      </c>
      <c r="C3851">
        <v>66</v>
      </c>
      <c r="D3851" t="str">
        <f>VLOOKUP(B3851,Products!$A:$E,2,FALSE)</f>
        <v>Product_419</v>
      </c>
      <c r="E3851" t="str">
        <f>VLOOKUP(B3851,Products!$A:$E,3,FALSE)</f>
        <v>Networking</v>
      </c>
    </row>
    <row r="3852" spans="1:5" x14ac:dyDescent="0.3">
      <c r="A3852" t="s">
        <v>4862</v>
      </c>
      <c r="B3852" t="s">
        <v>134</v>
      </c>
      <c r="C3852">
        <v>77</v>
      </c>
      <c r="D3852" t="str">
        <f>VLOOKUP(B3852,Products!$A:$E,2,FALSE)</f>
        <v>Product_63</v>
      </c>
      <c r="E3852" t="str">
        <f>VLOOKUP(B3852,Products!$A:$E,3,FALSE)</f>
        <v>Accessories</v>
      </c>
    </row>
    <row r="3853" spans="1:5" x14ac:dyDescent="0.3">
      <c r="A3853" t="s">
        <v>4863</v>
      </c>
      <c r="B3853" t="s">
        <v>558</v>
      </c>
      <c r="C3853">
        <v>50</v>
      </c>
      <c r="D3853" t="str">
        <f>VLOOKUP(B3853,Products!$A:$E,2,FALSE)</f>
        <v>Product_275</v>
      </c>
      <c r="E3853" t="str">
        <f>VLOOKUP(B3853,Products!$A:$E,3,FALSE)</f>
        <v>Accessories</v>
      </c>
    </row>
    <row r="3854" spans="1:5" x14ac:dyDescent="0.3">
      <c r="A3854" t="s">
        <v>4864</v>
      </c>
      <c r="B3854" t="s">
        <v>350</v>
      </c>
      <c r="C3854">
        <v>92</v>
      </c>
      <c r="D3854" t="str">
        <f>VLOOKUP(B3854,Products!$A:$E,2,FALSE)</f>
        <v>Product_171</v>
      </c>
      <c r="E3854" t="str">
        <f>VLOOKUP(B3854,Products!$A:$E,3,FALSE)</f>
        <v>Electronics</v>
      </c>
    </row>
    <row r="3855" spans="1:5" x14ac:dyDescent="0.3">
      <c r="A3855" t="s">
        <v>4865</v>
      </c>
      <c r="B3855" t="s">
        <v>320</v>
      </c>
      <c r="C3855">
        <v>56</v>
      </c>
      <c r="D3855" t="str">
        <f>VLOOKUP(B3855,Products!$A:$E,2,FALSE)</f>
        <v>Product_156</v>
      </c>
      <c r="E3855" t="str">
        <f>VLOOKUP(B3855,Products!$A:$E,3,FALSE)</f>
        <v>Accessories</v>
      </c>
    </row>
    <row r="3856" spans="1:5" x14ac:dyDescent="0.3">
      <c r="A3856" t="s">
        <v>4866</v>
      </c>
      <c r="B3856" t="s">
        <v>66</v>
      </c>
      <c r="C3856">
        <v>85</v>
      </c>
      <c r="D3856" t="str">
        <f>VLOOKUP(B3856,Products!$A:$E,2,FALSE)</f>
        <v>Product_29</v>
      </c>
      <c r="E3856" t="str">
        <f>VLOOKUP(B3856,Products!$A:$E,3,FALSE)</f>
        <v>Electronics</v>
      </c>
    </row>
    <row r="3857" spans="1:5" x14ac:dyDescent="0.3">
      <c r="A3857" t="s">
        <v>4867</v>
      </c>
      <c r="B3857" t="s">
        <v>990</v>
      </c>
      <c r="C3857">
        <v>87</v>
      </c>
      <c r="D3857" t="str">
        <f>VLOOKUP(B3857,Products!$A:$E,2,FALSE)</f>
        <v>Product_491</v>
      </c>
      <c r="E3857" t="str">
        <f>VLOOKUP(B3857,Products!$A:$E,3,FALSE)</f>
        <v>Accessories</v>
      </c>
    </row>
    <row r="3858" spans="1:5" x14ac:dyDescent="0.3">
      <c r="A3858" t="s">
        <v>4868</v>
      </c>
      <c r="B3858" t="s">
        <v>102</v>
      </c>
      <c r="C3858">
        <v>51</v>
      </c>
      <c r="D3858" t="str">
        <f>VLOOKUP(B3858,Products!$A:$E,2,FALSE)</f>
        <v>Product_47</v>
      </c>
      <c r="E3858" t="str">
        <f>VLOOKUP(B3858,Products!$A:$E,3,FALSE)</f>
        <v>Electronics</v>
      </c>
    </row>
    <row r="3859" spans="1:5" x14ac:dyDescent="0.3">
      <c r="A3859" t="s">
        <v>4869</v>
      </c>
      <c r="B3859" t="s">
        <v>556</v>
      </c>
      <c r="C3859">
        <v>48</v>
      </c>
      <c r="D3859" t="str">
        <f>VLOOKUP(B3859,Products!$A:$E,2,FALSE)</f>
        <v>Product_274</v>
      </c>
      <c r="E3859" t="str">
        <f>VLOOKUP(B3859,Products!$A:$E,3,FALSE)</f>
        <v>Accessories</v>
      </c>
    </row>
    <row r="3860" spans="1:5" x14ac:dyDescent="0.3">
      <c r="A3860" t="s">
        <v>4870</v>
      </c>
      <c r="B3860" t="s">
        <v>92</v>
      </c>
      <c r="C3860">
        <v>63</v>
      </c>
      <c r="D3860" t="str">
        <f>VLOOKUP(B3860,Products!$A:$E,2,FALSE)</f>
        <v>Product_42</v>
      </c>
      <c r="E3860" t="str">
        <f>VLOOKUP(B3860,Products!$A:$E,3,FALSE)</f>
        <v>Storage</v>
      </c>
    </row>
    <row r="3861" spans="1:5" x14ac:dyDescent="0.3">
      <c r="A3861" t="s">
        <v>4871</v>
      </c>
      <c r="B3861" t="s">
        <v>788</v>
      </c>
      <c r="C3861">
        <v>42</v>
      </c>
      <c r="D3861" t="str">
        <f>VLOOKUP(B3861,Products!$A:$E,2,FALSE)</f>
        <v>Product_390</v>
      </c>
      <c r="E3861" t="str">
        <f>VLOOKUP(B3861,Products!$A:$E,3,FALSE)</f>
        <v>Storage</v>
      </c>
    </row>
    <row r="3862" spans="1:5" x14ac:dyDescent="0.3">
      <c r="A3862" t="s">
        <v>4872</v>
      </c>
      <c r="B3862" t="s">
        <v>672</v>
      </c>
      <c r="C3862">
        <v>30</v>
      </c>
      <c r="D3862" t="str">
        <f>VLOOKUP(B3862,Products!$A:$E,2,FALSE)</f>
        <v>Product_332</v>
      </c>
      <c r="E3862" t="str">
        <f>VLOOKUP(B3862,Products!$A:$E,3,FALSE)</f>
        <v>Electronics</v>
      </c>
    </row>
    <row r="3863" spans="1:5" x14ac:dyDescent="0.3">
      <c r="A3863" t="s">
        <v>4873</v>
      </c>
      <c r="B3863" t="s">
        <v>190</v>
      </c>
      <c r="C3863">
        <v>75</v>
      </c>
      <c r="D3863" t="str">
        <f>VLOOKUP(B3863,Products!$A:$E,2,FALSE)</f>
        <v>Product_91</v>
      </c>
      <c r="E3863" t="str">
        <f>VLOOKUP(B3863,Products!$A:$E,3,FALSE)</f>
        <v>Networking</v>
      </c>
    </row>
    <row r="3864" spans="1:5" x14ac:dyDescent="0.3">
      <c r="A3864" t="s">
        <v>4874</v>
      </c>
      <c r="B3864" t="s">
        <v>50</v>
      </c>
      <c r="C3864">
        <v>54</v>
      </c>
      <c r="D3864" t="str">
        <f>VLOOKUP(B3864,Products!$A:$E,2,FALSE)</f>
        <v>Product_21</v>
      </c>
      <c r="E3864" t="str">
        <f>VLOOKUP(B3864,Products!$A:$E,3,FALSE)</f>
        <v>Office Supplies</v>
      </c>
    </row>
    <row r="3865" spans="1:5" x14ac:dyDescent="0.3">
      <c r="A3865" t="s">
        <v>4875</v>
      </c>
      <c r="B3865" t="s">
        <v>686</v>
      </c>
      <c r="C3865">
        <v>29</v>
      </c>
      <c r="D3865" t="str">
        <f>VLOOKUP(B3865,Products!$A:$E,2,FALSE)</f>
        <v>Product_339</v>
      </c>
      <c r="E3865" t="str">
        <f>VLOOKUP(B3865,Products!$A:$E,3,FALSE)</f>
        <v>Storage</v>
      </c>
    </row>
    <row r="3866" spans="1:5" x14ac:dyDescent="0.3">
      <c r="A3866" t="s">
        <v>4876</v>
      </c>
      <c r="B3866" t="s">
        <v>316</v>
      </c>
      <c r="C3866">
        <v>94</v>
      </c>
      <c r="D3866" t="str">
        <f>VLOOKUP(B3866,Products!$A:$E,2,FALSE)</f>
        <v>Product_154</v>
      </c>
      <c r="E3866" t="str">
        <f>VLOOKUP(B3866,Products!$A:$E,3,FALSE)</f>
        <v>Accessories</v>
      </c>
    </row>
    <row r="3867" spans="1:5" x14ac:dyDescent="0.3">
      <c r="A3867" t="s">
        <v>4877</v>
      </c>
      <c r="B3867" t="s">
        <v>408</v>
      </c>
      <c r="C3867">
        <v>18</v>
      </c>
      <c r="D3867" t="str">
        <f>VLOOKUP(B3867,Products!$A:$E,2,FALSE)</f>
        <v>Product_200</v>
      </c>
      <c r="E3867" t="str">
        <f>VLOOKUP(B3867,Products!$A:$E,3,FALSE)</f>
        <v>Office Supplies</v>
      </c>
    </row>
    <row r="3868" spans="1:5" x14ac:dyDescent="0.3">
      <c r="A3868" t="s">
        <v>4878</v>
      </c>
      <c r="B3868" t="s">
        <v>654</v>
      </c>
      <c r="C3868">
        <v>93</v>
      </c>
      <c r="D3868" t="str">
        <f>VLOOKUP(B3868,Products!$A:$E,2,FALSE)</f>
        <v>Product_323</v>
      </c>
      <c r="E3868" t="str">
        <f>VLOOKUP(B3868,Products!$A:$E,3,FALSE)</f>
        <v>Electronics</v>
      </c>
    </row>
    <row r="3869" spans="1:5" x14ac:dyDescent="0.3">
      <c r="A3869" t="s">
        <v>4879</v>
      </c>
      <c r="B3869" t="s">
        <v>376</v>
      </c>
      <c r="C3869">
        <v>67</v>
      </c>
      <c r="D3869" t="str">
        <f>VLOOKUP(B3869,Products!$A:$E,2,FALSE)</f>
        <v>Product_184</v>
      </c>
      <c r="E3869" t="str">
        <f>VLOOKUP(B3869,Products!$A:$E,3,FALSE)</f>
        <v>Electronics</v>
      </c>
    </row>
    <row r="3870" spans="1:5" x14ac:dyDescent="0.3">
      <c r="A3870" t="s">
        <v>4880</v>
      </c>
      <c r="B3870" t="s">
        <v>96</v>
      </c>
      <c r="C3870">
        <v>85</v>
      </c>
      <c r="D3870" t="str">
        <f>VLOOKUP(B3870,Products!$A:$E,2,FALSE)</f>
        <v>Product_44</v>
      </c>
      <c r="E3870" t="str">
        <f>VLOOKUP(B3870,Products!$A:$E,3,FALSE)</f>
        <v>Storage</v>
      </c>
    </row>
    <row r="3871" spans="1:5" x14ac:dyDescent="0.3">
      <c r="A3871" t="s">
        <v>4881</v>
      </c>
      <c r="B3871" t="s">
        <v>458</v>
      </c>
      <c r="C3871">
        <v>99</v>
      </c>
      <c r="D3871" t="str">
        <f>VLOOKUP(B3871,Products!$A:$E,2,FALSE)</f>
        <v>Product_225</v>
      </c>
      <c r="E3871" t="str">
        <f>VLOOKUP(B3871,Products!$A:$E,3,FALSE)</f>
        <v>Accessories</v>
      </c>
    </row>
    <row r="3872" spans="1:5" x14ac:dyDescent="0.3">
      <c r="A3872" t="s">
        <v>4882</v>
      </c>
      <c r="B3872" t="s">
        <v>204</v>
      </c>
      <c r="C3872">
        <v>22</v>
      </c>
      <c r="D3872" t="str">
        <f>VLOOKUP(B3872,Products!$A:$E,2,FALSE)</f>
        <v>Product_98</v>
      </c>
      <c r="E3872" t="str">
        <f>VLOOKUP(B3872,Products!$A:$E,3,FALSE)</f>
        <v>Networking</v>
      </c>
    </row>
    <row r="3873" spans="1:5" x14ac:dyDescent="0.3">
      <c r="A3873" t="s">
        <v>4883</v>
      </c>
      <c r="B3873" t="s">
        <v>46</v>
      </c>
      <c r="C3873">
        <v>29</v>
      </c>
      <c r="D3873" t="str">
        <f>VLOOKUP(B3873,Products!$A:$E,2,FALSE)</f>
        <v>Product_19</v>
      </c>
      <c r="E3873" t="str">
        <f>VLOOKUP(B3873,Products!$A:$E,3,FALSE)</f>
        <v>Networking</v>
      </c>
    </row>
    <row r="3874" spans="1:5" x14ac:dyDescent="0.3">
      <c r="A3874" t="s">
        <v>4884</v>
      </c>
      <c r="B3874" t="s">
        <v>34</v>
      </c>
      <c r="C3874">
        <v>97</v>
      </c>
      <c r="D3874" t="str">
        <f>VLOOKUP(B3874,Products!$A:$E,2,FALSE)</f>
        <v>Product_13</v>
      </c>
      <c r="E3874" t="str">
        <f>VLOOKUP(B3874,Products!$A:$E,3,FALSE)</f>
        <v>Office Supplies</v>
      </c>
    </row>
    <row r="3875" spans="1:5" x14ac:dyDescent="0.3">
      <c r="A3875" t="s">
        <v>4885</v>
      </c>
      <c r="B3875" t="s">
        <v>616</v>
      </c>
      <c r="C3875">
        <v>35</v>
      </c>
      <c r="D3875" t="str">
        <f>VLOOKUP(B3875,Products!$A:$E,2,FALSE)</f>
        <v>Product_304</v>
      </c>
      <c r="E3875" t="str">
        <f>VLOOKUP(B3875,Products!$A:$E,3,FALSE)</f>
        <v>Electronics</v>
      </c>
    </row>
    <row r="3876" spans="1:5" x14ac:dyDescent="0.3">
      <c r="A3876" t="s">
        <v>4886</v>
      </c>
      <c r="B3876" t="s">
        <v>510</v>
      </c>
      <c r="C3876">
        <v>54</v>
      </c>
      <c r="D3876" t="str">
        <f>VLOOKUP(B3876,Products!$A:$E,2,FALSE)</f>
        <v>Product_251</v>
      </c>
      <c r="E3876" t="str">
        <f>VLOOKUP(B3876,Products!$A:$E,3,FALSE)</f>
        <v>Electronics</v>
      </c>
    </row>
    <row r="3877" spans="1:5" x14ac:dyDescent="0.3">
      <c r="A3877" t="s">
        <v>4887</v>
      </c>
      <c r="B3877" t="s">
        <v>74</v>
      </c>
      <c r="C3877">
        <v>74</v>
      </c>
      <c r="D3877" t="str">
        <f>VLOOKUP(B3877,Products!$A:$E,2,FALSE)</f>
        <v>Product_33</v>
      </c>
      <c r="E3877" t="str">
        <f>VLOOKUP(B3877,Products!$A:$E,3,FALSE)</f>
        <v>Storage</v>
      </c>
    </row>
    <row r="3878" spans="1:5" x14ac:dyDescent="0.3">
      <c r="A3878" t="s">
        <v>4888</v>
      </c>
      <c r="B3878" t="s">
        <v>668</v>
      </c>
      <c r="C3878">
        <v>44</v>
      </c>
      <c r="D3878" t="str">
        <f>VLOOKUP(B3878,Products!$A:$E,2,FALSE)</f>
        <v>Product_330</v>
      </c>
      <c r="E3878" t="str">
        <f>VLOOKUP(B3878,Products!$A:$E,3,FALSE)</f>
        <v>Electronics</v>
      </c>
    </row>
    <row r="3879" spans="1:5" x14ac:dyDescent="0.3">
      <c r="A3879" t="s">
        <v>4889</v>
      </c>
      <c r="B3879" t="s">
        <v>520</v>
      </c>
      <c r="C3879">
        <v>73</v>
      </c>
      <c r="D3879" t="str">
        <f>VLOOKUP(B3879,Products!$A:$E,2,FALSE)</f>
        <v>Product_256</v>
      </c>
      <c r="E3879" t="str">
        <f>VLOOKUP(B3879,Products!$A:$E,3,FALSE)</f>
        <v>Office Supplies</v>
      </c>
    </row>
    <row r="3880" spans="1:5" x14ac:dyDescent="0.3">
      <c r="A3880" t="s">
        <v>4890</v>
      </c>
      <c r="B3880" t="s">
        <v>998</v>
      </c>
      <c r="C3880">
        <v>62</v>
      </c>
      <c r="D3880" t="str">
        <f>VLOOKUP(B3880,Products!$A:$E,2,FALSE)</f>
        <v>Product_495</v>
      </c>
      <c r="E3880" t="str">
        <f>VLOOKUP(B3880,Products!$A:$E,3,FALSE)</f>
        <v>Networking</v>
      </c>
    </row>
    <row r="3881" spans="1:5" x14ac:dyDescent="0.3">
      <c r="A3881" t="s">
        <v>4891</v>
      </c>
      <c r="B3881" t="s">
        <v>998</v>
      </c>
      <c r="C3881">
        <v>7</v>
      </c>
      <c r="D3881" t="str">
        <f>VLOOKUP(B3881,Products!$A:$E,2,FALSE)</f>
        <v>Product_495</v>
      </c>
      <c r="E3881" t="str">
        <f>VLOOKUP(B3881,Products!$A:$E,3,FALSE)</f>
        <v>Networking</v>
      </c>
    </row>
    <row r="3882" spans="1:5" x14ac:dyDescent="0.3">
      <c r="A3882" t="s">
        <v>4892</v>
      </c>
      <c r="B3882" t="s">
        <v>46</v>
      </c>
      <c r="C3882">
        <v>48</v>
      </c>
      <c r="D3882" t="str">
        <f>VLOOKUP(B3882,Products!$A:$E,2,FALSE)</f>
        <v>Product_19</v>
      </c>
      <c r="E3882" t="str">
        <f>VLOOKUP(B3882,Products!$A:$E,3,FALSE)</f>
        <v>Networking</v>
      </c>
    </row>
    <row r="3883" spans="1:5" x14ac:dyDescent="0.3">
      <c r="A3883" t="s">
        <v>4893</v>
      </c>
      <c r="B3883" t="s">
        <v>66</v>
      </c>
      <c r="C3883">
        <v>48</v>
      </c>
      <c r="D3883" t="str">
        <f>VLOOKUP(B3883,Products!$A:$E,2,FALSE)</f>
        <v>Product_29</v>
      </c>
      <c r="E3883" t="str">
        <f>VLOOKUP(B3883,Products!$A:$E,3,FALSE)</f>
        <v>Electronics</v>
      </c>
    </row>
    <row r="3884" spans="1:5" x14ac:dyDescent="0.3">
      <c r="A3884" t="s">
        <v>4894</v>
      </c>
      <c r="B3884" t="s">
        <v>816</v>
      </c>
      <c r="C3884">
        <v>97</v>
      </c>
      <c r="D3884" t="str">
        <f>VLOOKUP(B3884,Products!$A:$E,2,FALSE)</f>
        <v>Product_404</v>
      </c>
      <c r="E3884" t="str">
        <f>VLOOKUP(B3884,Products!$A:$E,3,FALSE)</f>
        <v>Storage</v>
      </c>
    </row>
    <row r="3885" spans="1:5" x14ac:dyDescent="0.3">
      <c r="A3885" t="s">
        <v>4895</v>
      </c>
      <c r="B3885" t="s">
        <v>52</v>
      </c>
      <c r="C3885">
        <v>56</v>
      </c>
      <c r="D3885" t="str">
        <f>VLOOKUP(B3885,Products!$A:$E,2,FALSE)</f>
        <v>Product_22</v>
      </c>
      <c r="E3885" t="str">
        <f>VLOOKUP(B3885,Products!$A:$E,3,FALSE)</f>
        <v>Electronics</v>
      </c>
    </row>
    <row r="3886" spans="1:5" x14ac:dyDescent="0.3">
      <c r="A3886" t="s">
        <v>4896</v>
      </c>
      <c r="B3886" t="s">
        <v>130</v>
      </c>
      <c r="C3886">
        <v>32</v>
      </c>
      <c r="D3886" t="str">
        <f>VLOOKUP(B3886,Products!$A:$E,2,FALSE)</f>
        <v>Product_61</v>
      </c>
      <c r="E3886" t="str">
        <f>VLOOKUP(B3886,Products!$A:$E,3,FALSE)</f>
        <v>Storage</v>
      </c>
    </row>
    <row r="3887" spans="1:5" x14ac:dyDescent="0.3">
      <c r="A3887" t="s">
        <v>4897</v>
      </c>
      <c r="B3887" t="s">
        <v>836</v>
      </c>
      <c r="C3887">
        <v>88</v>
      </c>
      <c r="D3887" t="str">
        <f>VLOOKUP(B3887,Products!$A:$E,2,FALSE)</f>
        <v>Product_414</v>
      </c>
      <c r="E3887" t="str">
        <f>VLOOKUP(B3887,Products!$A:$E,3,FALSE)</f>
        <v>Office Supplies</v>
      </c>
    </row>
    <row r="3888" spans="1:5" x14ac:dyDescent="0.3">
      <c r="A3888" t="s">
        <v>4898</v>
      </c>
      <c r="B3888" t="s">
        <v>692</v>
      </c>
      <c r="C3888">
        <v>71</v>
      </c>
      <c r="D3888" t="str">
        <f>VLOOKUP(B3888,Products!$A:$E,2,FALSE)</f>
        <v>Product_342</v>
      </c>
      <c r="E3888" t="str">
        <f>VLOOKUP(B3888,Products!$A:$E,3,FALSE)</f>
        <v>Accessories</v>
      </c>
    </row>
    <row r="3889" spans="1:5" x14ac:dyDescent="0.3">
      <c r="A3889" t="s">
        <v>4899</v>
      </c>
      <c r="B3889" t="s">
        <v>478</v>
      </c>
      <c r="C3889">
        <v>91</v>
      </c>
      <c r="D3889" t="str">
        <f>VLOOKUP(B3889,Products!$A:$E,2,FALSE)</f>
        <v>Product_235</v>
      </c>
      <c r="E3889" t="str">
        <f>VLOOKUP(B3889,Products!$A:$E,3,FALSE)</f>
        <v>Accessories</v>
      </c>
    </row>
    <row r="3890" spans="1:5" x14ac:dyDescent="0.3">
      <c r="A3890" t="s">
        <v>4900</v>
      </c>
      <c r="B3890" t="s">
        <v>900</v>
      </c>
      <c r="C3890">
        <v>73</v>
      </c>
      <c r="D3890" t="str">
        <f>VLOOKUP(B3890,Products!$A:$E,2,FALSE)</f>
        <v>Product_446</v>
      </c>
      <c r="E3890" t="str">
        <f>VLOOKUP(B3890,Products!$A:$E,3,FALSE)</f>
        <v>Accessories</v>
      </c>
    </row>
    <row r="3891" spans="1:5" x14ac:dyDescent="0.3">
      <c r="A3891" t="s">
        <v>4901</v>
      </c>
      <c r="B3891" t="s">
        <v>162</v>
      </c>
      <c r="C3891">
        <v>99</v>
      </c>
      <c r="D3891" t="str">
        <f>VLOOKUP(B3891,Products!$A:$E,2,FALSE)</f>
        <v>Product_77</v>
      </c>
      <c r="E3891" t="str">
        <f>VLOOKUP(B3891,Products!$A:$E,3,FALSE)</f>
        <v>Networking</v>
      </c>
    </row>
    <row r="3892" spans="1:5" x14ac:dyDescent="0.3">
      <c r="A3892" t="s">
        <v>4902</v>
      </c>
      <c r="B3892" t="s">
        <v>602</v>
      </c>
      <c r="C3892">
        <v>34</v>
      </c>
      <c r="D3892" t="str">
        <f>VLOOKUP(B3892,Products!$A:$E,2,FALSE)</f>
        <v>Product_297</v>
      </c>
      <c r="E3892" t="str">
        <f>VLOOKUP(B3892,Products!$A:$E,3,FALSE)</f>
        <v>Storage</v>
      </c>
    </row>
    <row r="3893" spans="1:5" x14ac:dyDescent="0.3">
      <c r="A3893" t="s">
        <v>4903</v>
      </c>
      <c r="B3893" t="s">
        <v>956</v>
      </c>
      <c r="C3893">
        <v>14</v>
      </c>
      <c r="D3893" t="str">
        <f>VLOOKUP(B3893,Products!$A:$E,2,FALSE)</f>
        <v>Product_474</v>
      </c>
      <c r="E3893" t="str">
        <f>VLOOKUP(B3893,Products!$A:$E,3,FALSE)</f>
        <v>Networking</v>
      </c>
    </row>
    <row r="3894" spans="1:5" x14ac:dyDescent="0.3">
      <c r="A3894" t="s">
        <v>4904</v>
      </c>
      <c r="B3894" t="s">
        <v>46</v>
      </c>
      <c r="C3894">
        <v>99</v>
      </c>
      <c r="D3894" t="str">
        <f>VLOOKUP(B3894,Products!$A:$E,2,FALSE)</f>
        <v>Product_19</v>
      </c>
      <c r="E3894" t="str">
        <f>VLOOKUP(B3894,Products!$A:$E,3,FALSE)</f>
        <v>Networking</v>
      </c>
    </row>
    <row r="3895" spans="1:5" x14ac:dyDescent="0.3">
      <c r="A3895" t="s">
        <v>4905</v>
      </c>
      <c r="B3895" t="s">
        <v>154</v>
      </c>
      <c r="C3895">
        <v>67</v>
      </c>
      <c r="D3895" t="str">
        <f>VLOOKUP(B3895,Products!$A:$E,2,FALSE)</f>
        <v>Product_73</v>
      </c>
      <c r="E3895" t="str">
        <f>VLOOKUP(B3895,Products!$A:$E,3,FALSE)</f>
        <v>Office Supplies</v>
      </c>
    </row>
    <row r="3896" spans="1:5" x14ac:dyDescent="0.3">
      <c r="A3896" t="s">
        <v>4906</v>
      </c>
      <c r="B3896" t="s">
        <v>678</v>
      </c>
      <c r="C3896">
        <v>7</v>
      </c>
      <c r="D3896" t="str">
        <f>VLOOKUP(B3896,Products!$A:$E,2,FALSE)</f>
        <v>Product_335</v>
      </c>
      <c r="E3896" t="str">
        <f>VLOOKUP(B3896,Products!$A:$E,3,FALSE)</f>
        <v>Networking</v>
      </c>
    </row>
    <row r="3897" spans="1:5" x14ac:dyDescent="0.3">
      <c r="A3897" t="s">
        <v>4907</v>
      </c>
      <c r="B3897" t="s">
        <v>492</v>
      </c>
      <c r="C3897">
        <v>84</v>
      </c>
      <c r="D3897" t="str">
        <f>VLOOKUP(B3897,Products!$A:$E,2,FALSE)</f>
        <v>Product_242</v>
      </c>
      <c r="E3897" t="str">
        <f>VLOOKUP(B3897,Products!$A:$E,3,FALSE)</f>
        <v>Networking</v>
      </c>
    </row>
    <row r="3898" spans="1:5" x14ac:dyDescent="0.3">
      <c r="A3898" t="s">
        <v>4908</v>
      </c>
      <c r="B3898" t="s">
        <v>56</v>
      </c>
      <c r="C3898">
        <v>36</v>
      </c>
      <c r="D3898" t="str">
        <f>VLOOKUP(B3898,Products!$A:$E,2,FALSE)</f>
        <v>Product_24</v>
      </c>
      <c r="E3898" t="str">
        <f>VLOOKUP(B3898,Products!$A:$E,3,FALSE)</f>
        <v>Accessories</v>
      </c>
    </row>
    <row r="3899" spans="1:5" x14ac:dyDescent="0.3">
      <c r="A3899" t="s">
        <v>4909</v>
      </c>
      <c r="B3899" t="s">
        <v>728</v>
      </c>
      <c r="C3899">
        <v>88</v>
      </c>
      <c r="D3899" t="str">
        <f>VLOOKUP(B3899,Products!$A:$E,2,FALSE)</f>
        <v>Product_360</v>
      </c>
      <c r="E3899" t="str">
        <f>VLOOKUP(B3899,Products!$A:$E,3,FALSE)</f>
        <v>Office Supplies</v>
      </c>
    </row>
    <row r="3900" spans="1:5" x14ac:dyDescent="0.3">
      <c r="A3900" t="s">
        <v>4910</v>
      </c>
      <c r="B3900" t="s">
        <v>142</v>
      </c>
      <c r="C3900">
        <v>6</v>
      </c>
      <c r="D3900" t="str">
        <f>VLOOKUP(B3900,Products!$A:$E,2,FALSE)</f>
        <v>Product_67</v>
      </c>
      <c r="E3900" t="str">
        <f>VLOOKUP(B3900,Products!$A:$E,3,FALSE)</f>
        <v>Office Supplies</v>
      </c>
    </row>
    <row r="3901" spans="1:5" x14ac:dyDescent="0.3">
      <c r="A3901" t="s">
        <v>4911</v>
      </c>
      <c r="B3901" t="s">
        <v>186</v>
      </c>
      <c r="C3901">
        <v>85</v>
      </c>
      <c r="D3901" t="str">
        <f>VLOOKUP(B3901,Products!$A:$E,2,FALSE)</f>
        <v>Product_89</v>
      </c>
      <c r="E3901" t="str">
        <f>VLOOKUP(B3901,Products!$A:$E,3,FALSE)</f>
        <v>Storage</v>
      </c>
    </row>
    <row r="3902" spans="1:5" x14ac:dyDescent="0.3">
      <c r="A3902" t="s">
        <v>4912</v>
      </c>
      <c r="B3902" t="s">
        <v>60</v>
      </c>
      <c r="C3902">
        <v>44</v>
      </c>
      <c r="D3902" t="str">
        <f>VLOOKUP(B3902,Products!$A:$E,2,FALSE)</f>
        <v>Product_26</v>
      </c>
      <c r="E3902" t="str">
        <f>VLOOKUP(B3902,Products!$A:$E,3,FALSE)</f>
        <v>Office Supplies</v>
      </c>
    </row>
    <row r="3903" spans="1:5" x14ac:dyDescent="0.3">
      <c r="A3903" t="s">
        <v>4913</v>
      </c>
      <c r="B3903" t="s">
        <v>850</v>
      </c>
      <c r="C3903">
        <v>17</v>
      </c>
      <c r="D3903" t="str">
        <f>VLOOKUP(B3903,Products!$A:$E,2,FALSE)</f>
        <v>Product_421</v>
      </c>
      <c r="E3903" t="str">
        <f>VLOOKUP(B3903,Products!$A:$E,3,FALSE)</f>
        <v>Accessories</v>
      </c>
    </row>
    <row r="3904" spans="1:5" x14ac:dyDescent="0.3">
      <c r="A3904" t="s">
        <v>4914</v>
      </c>
      <c r="B3904" t="s">
        <v>476</v>
      </c>
      <c r="C3904">
        <v>83</v>
      </c>
      <c r="D3904" t="str">
        <f>VLOOKUP(B3904,Products!$A:$E,2,FALSE)</f>
        <v>Product_234</v>
      </c>
      <c r="E3904" t="str">
        <f>VLOOKUP(B3904,Products!$A:$E,3,FALSE)</f>
        <v>Networking</v>
      </c>
    </row>
    <row r="3905" spans="1:5" x14ac:dyDescent="0.3">
      <c r="A3905" t="s">
        <v>4915</v>
      </c>
      <c r="B3905" t="s">
        <v>184</v>
      </c>
      <c r="C3905">
        <v>80</v>
      </c>
      <c r="D3905" t="str">
        <f>VLOOKUP(B3905,Products!$A:$E,2,FALSE)</f>
        <v>Product_88</v>
      </c>
      <c r="E3905" t="str">
        <f>VLOOKUP(B3905,Products!$A:$E,3,FALSE)</f>
        <v>Accessories</v>
      </c>
    </row>
    <row r="3906" spans="1:5" x14ac:dyDescent="0.3">
      <c r="A3906" t="s">
        <v>4916</v>
      </c>
      <c r="B3906" t="s">
        <v>74</v>
      </c>
      <c r="C3906">
        <v>18</v>
      </c>
      <c r="D3906" t="str">
        <f>VLOOKUP(B3906,Products!$A:$E,2,FALSE)</f>
        <v>Product_33</v>
      </c>
      <c r="E3906" t="str">
        <f>VLOOKUP(B3906,Products!$A:$E,3,FALSE)</f>
        <v>Storage</v>
      </c>
    </row>
    <row r="3907" spans="1:5" x14ac:dyDescent="0.3">
      <c r="A3907" t="s">
        <v>4917</v>
      </c>
      <c r="B3907" t="s">
        <v>126</v>
      </c>
      <c r="C3907">
        <v>68</v>
      </c>
      <c r="D3907" t="str">
        <f>VLOOKUP(B3907,Products!$A:$E,2,FALSE)</f>
        <v>Product_59</v>
      </c>
      <c r="E3907" t="str">
        <f>VLOOKUP(B3907,Products!$A:$E,3,FALSE)</f>
        <v>Accessories</v>
      </c>
    </row>
    <row r="3908" spans="1:5" x14ac:dyDescent="0.3">
      <c r="A3908" t="s">
        <v>4918</v>
      </c>
      <c r="B3908" t="s">
        <v>618</v>
      </c>
      <c r="C3908">
        <v>83</v>
      </c>
      <c r="D3908" t="str">
        <f>VLOOKUP(B3908,Products!$A:$E,2,FALSE)</f>
        <v>Product_305</v>
      </c>
      <c r="E3908" t="str">
        <f>VLOOKUP(B3908,Products!$A:$E,3,FALSE)</f>
        <v>Accessories</v>
      </c>
    </row>
    <row r="3909" spans="1:5" x14ac:dyDescent="0.3">
      <c r="A3909" t="s">
        <v>4919</v>
      </c>
      <c r="B3909" t="s">
        <v>234</v>
      </c>
      <c r="C3909">
        <v>13</v>
      </c>
      <c r="D3909" t="str">
        <f>VLOOKUP(B3909,Products!$A:$E,2,FALSE)</f>
        <v>Product_113</v>
      </c>
      <c r="E3909" t="str">
        <f>VLOOKUP(B3909,Products!$A:$E,3,FALSE)</f>
        <v>Electronics</v>
      </c>
    </row>
    <row r="3910" spans="1:5" x14ac:dyDescent="0.3">
      <c r="A3910" t="s">
        <v>4920</v>
      </c>
      <c r="B3910" t="s">
        <v>832</v>
      </c>
      <c r="C3910">
        <v>30</v>
      </c>
      <c r="D3910" t="str">
        <f>VLOOKUP(B3910,Products!$A:$E,2,FALSE)</f>
        <v>Product_412</v>
      </c>
      <c r="E3910" t="str">
        <f>VLOOKUP(B3910,Products!$A:$E,3,FALSE)</f>
        <v>Accessories</v>
      </c>
    </row>
    <row r="3911" spans="1:5" x14ac:dyDescent="0.3">
      <c r="A3911" t="s">
        <v>4921</v>
      </c>
      <c r="B3911" t="s">
        <v>446</v>
      </c>
      <c r="C3911">
        <v>48</v>
      </c>
      <c r="D3911" t="str">
        <f>VLOOKUP(B3911,Products!$A:$E,2,FALSE)</f>
        <v>Product_219</v>
      </c>
      <c r="E3911" t="str">
        <f>VLOOKUP(B3911,Products!$A:$E,3,FALSE)</f>
        <v>Accessories</v>
      </c>
    </row>
    <row r="3912" spans="1:5" x14ac:dyDescent="0.3">
      <c r="A3912" t="s">
        <v>4922</v>
      </c>
      <c r="B3912" t="s">
        <v>840</v>
      </c>
      <c r="C3912">
        <v>99</v>
      </c>
      <c r="D3912" t="str">
        <f>VLOOKUP(B3912,Products!$A:$E,2,FALSE)</f>
        <v>Product_416</v>
      </c>
      <c r="E3912" t="str">
        <f>VLOOKUP(B3912,Products!$A:$E,3,FALSE)</f>
        <v>Accessories</v>
      </c>
    </row>
    <row r="3913" spans="1:5" x14ac:dyDescent="0.3">
      <c r="A3913" t="s">
        <v>4923</v>
      </c>
      <c r="B3913" t="s">
        <v>704</v>
      </c>
      <c r="C3913">
        <v>56</v>
      </c>
      <c r="D3913" t="str">
        <f>VLOOKUP(B3913,Products!$A:$E,2,FALSE)</f>
        <v>Product_348</v>
      </c>
      <c r="E3913" t="str">
        <f>VLOOKUP(B3913,Products!$A:$E,3,FALSE)</f>
        <v>Electronics</v>
      </c>
    </row>
    <row r="3914" spans="1:5" x14ac:dyDescent="0.3">
      <c r="A3914" t="s">
        <v>4924</v>
      </c>
      <c r="B3914" t="s">
        <v>342</v>
      </c>
      <c r="C3914">
        <v>20</v>
      </c>
      <c r="D3914" t="str">
        <f>VLOOKUP(B3914,Products!$A:$E,2,FALSE)</f>
        <v>Product_167</v>
      </c>
      <c r="E3914" t="str">
        <f>VLOOKUP(B3914,Products!$A:$E,3,FALSE)</f>
        <v>Electronics</v>
      </c>
    </row>
    <row r="3915" spans="1:5" x14ac:dyDescent="0.3">
      <c r="A3915" t="s">
        <v>4925</v>
      </c>
      <c r="B3915" t="s">
        <v>1008</v>
      </c>
      <c r="C3915">
        <v>92</v>
      </c>
      <c r="D3915" t="str">
        <f>VLOOKUP(B3915,Products!$A:$E,2,FALSE)</f>
        <v>Product_500</v>
      </c>
      <c r="E3915" t="str">
        <f>VLOOKUP(B3915,Products!$A:$E,3,FALSE)</f>
        <v>Networking</v>
      </c>
    </row>
    <row r="3916" spans="1:5" x14ac:dyDescent="0.3">
      <c r="A3916" t="s">
        <v>4926</v>
      </c>
      <c r="B3916" t="s">
        <v>598</v>
      </c>
      <c r="C3916">
        <v>74</v>
      </c>
      <c r="D3916" t="str">
        <f>VLOOKUP(B3916,Products!$A:$E,2,FALSE)</f>
        <v>Product_295</v>
      </c>
      <c r="E3916" t="str">
        <f>VLOOKUP(B3916,Products!$A:$E,3,FALSE)</f>
        <v>Networking</v>
      </c>
    </row>
    <row r="3917" spans="1:5" x14ac:dyDescent="0.3">
      <c r="A3917" t="s">
        <v>4927</v>
      </c>
      <c r="B3917" t="s">
        <v>150</v>
      </c>
      <c r="C3917">
        <v>46</v>
      </c>
      <c r="D3917" t="str">
        <f>VLOOKUP(B3917,Products!$A:$E,2,FALSE)</f>
        <v>Product_71</v>
      </c>
      <c r="E3917" t="str">
        <f>VLOOKUP(B3917,Products!$A:$E,3,FALSE)</f>
        <v>Accessories</v>
      </c>
    </row>
    <row r="3918" spans="1:5" x14ac:dyDescent="0.3">
      <c r="A3918" t="s">
        <v>4928</v>
      </c>
      <c r="B3918" t="s">
        <v>866</v>
      </c>
      <c r="C3918">
        <v>32</v>
      </c>
      <c r="D3918" t="str">
        <f>VLOOKUP(B3918,Products!$A:$E,2,FALSE)</f>
        <v>Product_429</v>
      </c>
      <c r="E3918" t="str">
        <f>VLOOKUP(B3918,Products!$A:$E,3,FALSE)</f>
        <v>Office Supplies</v>
      </c>
    </row>
    <row r="3919" spans="1:5" x14ac:dyDescent="0.3">
      <c r="A3919" t="s">
        <v>4929</v>
      </c>
      <c r="B3919" t="s">
        <v>792</v>
      </c>
      <c r="C3919">
        <v>10</v>
      </c>
      <c r="D3919" t="str">
        <f>VLOOKUP(B3919,Products!$A:$E,2,FALSE)</f>
        <v>Product_392</v>
      </c>
      <c r="E3919" t="str">
        <f>VLOOKUP(B3919,Products!$A:$E,3,FALSE)</f>
        <v>Electronics</v>
      </c>
    </row>
    <row r="3920" spans="1:5" x14ac:dyDescent="0.3">
      <c r="A3920" t="s">
        <v>4930</v>
      </c>
      <c r="B3920" t="s">
        <v>616</v>
      </c>
      <c r="C3920">
        <v>27</v>
      </c>
      <c r="D3920" t="str">
        <f>VLOOKUP(B3920,Products!$A:$E,2,FALSE)</f>
        <v>Product_304</v>
      </c>
      <c r="E3920" t="str">
        <f>VLOOKUP(B3920,Products!$A:$E,3,FALSE)</f>
        <v>Electronics</v>
      </c>
    </row>
    <row r="3921" spans="1:5" x14ac:dyDescent="0.3">
      <c r="A3921" t="s">
        <v>4931</v>
      </c>
      <c r="B3921" t="s">
        <v>352</v>
      </c>
      <c r="C3921">
        <v>13</v>
      </c>
      <c r="D3921" t="str">
        <f>VLOOKUP(B3921,Products!$A:$E,2,FALSE)</f>
        <v>Product_172</v>
      </c>
      <c r="E3921" t="str">
        <f>VLOOKUP(B3921,Products!$A:$E,3,FALSE)</f>
        <v>Networking</v>
      </c>
    </row>
    <row r="3922" spans="1:5" x14ac:dyDescent="0.3">
      <c r="A3922" t="s">
        <v>4932</v>
      </c>
      <c r="B3922" t="s">
        <v>132</v>
      </c>
      <c r="C3922">
        <v>40</v>
      </c>
      <c r="D3922" t="str">
        <f>VLOOKUP(B3922,Products!$A:$E,2,FALSE)</f>
        <v>Product_62</v>
      </c>
      <c r="E3922" t="str">
        <f>VLOOKUP(B3922,Products!$A:$E,3,FALSE)</f>
        <v>Accessories</v>
      </c>
    </row>
    <row r="3923" spans="1:5" x14ac:dyDescent="0.3">
      <c r="A3923" t="s">
        <v>4933</v>
      </c>
      <c r="B3923" t="s">
        <v>154</v>
      </c>
      <c r="C3923">
        <v>58</v>
      </c>
      <c r="D3923" t="str">
        <f>VLOOKUP(B3923,Products!$A:$E,2,FALSE)</f>
        <v>Product_73</v>
      </c>
      <c r="E3923" t="str">
        <f>VLOOKUP(B3923,Products!$A:$E,3,FALSE)</f>
        <v>Office Supplies</v>
      </c>
    </row>
    <row r="3924" spans="1:5" x14ac:dyDescent="0.3">
      <c r="A3924" t="s">
        <v>4934</v>
      </c>
      <c r="B3924" t="s">
        <v>182</v>
      </c>
      <c r="C3924">
        <v>94</v>
      </c>
      <c r="D3924" t="str">
        <f>VLOOKUP(B3924,Products!$A:$E,2,FALSE)</f>
        <v>Product_87</v>
      </c>
      <c r="E3924" t="str">
        <f>VLOOKUP(B3924,Products!$A:$E,3,FALSE)</f>
        <v>Networking</v>
      </c>
    </row>
    <row r="3925" spans="1:5" x14ac:dyDescent="0.3">
      <c r="A3925" t="s">
        <v>4935</v>
      </c>
      <c r="B3925" t="s">
        <v>388</v>
      </c>
      <c r="C3925">
        <v>75</v>
      </c>
      <c r="D3925" t="str">
        <f>VLOOKUP(B3925,Products!$A:$E,2,FALSE)</f>
        <v>Product_190</v>
      </c>
      <c r="E3925" t="str">
        <f>VLOOKUP(B3925,Products!$A:$E,3,FALSE)</f>
        <v>Office Supplies</v>
      </c>
    </row>
    <row r="3926" spans="1:5" x14ac:dyDescent="0.3">
      <c r="A3926" t="s">
        <v>4936</v>
      </c>
      <c r="B3926" t="s">
        <v>178</v>
      </c>
      <c r="C3926">
        <v>61</v>
      </c>
      <c r="D3926" t="str">
        <f>VLOOKUP(B3926,Products!$A:$E,2,FALSE)</f>
        <v>Product_85</v>
      </c>
      <c r="E3926" t="str">
        <f>VLOOKUP(B3926,Products!$A:$E,3,FALSE)</f>
        <v>Electronics</v>
      </c>
    </row>
    <row r="3927" spans="1:5" x14ac:dyDescent="0.3">
      <c r="A3927" t="s">
        <v>4937</v>
      </c>
      <c r="B3927" t="s">
        <v>258</v>
      </c>
      <c r="C3927">
        <v>79</v>
      </c>
      <c r="D3927" t="str">
        <f>VLOOKUP(B3927,Products!$A:$E,2,FALSE)</f>
        <v>Product_125</v>
      </c>
      <c r="E3927" t="str">
        <f>VLOOKUP(B3927,Products!$A:$E,3,FALSE)</f>
        <v>Office Supplies</v>
      </c>
    </row>
    <row r="3928" spans="1:5" x14ac:dyDescent="0.3">
      <c r="A3928" t="s">
        <v>4938</v>
      </c>
      <c r="B3928" t="s">
        <v>50</v>
      </c>
      <c r="C3928">
        <v>22</v>
      </c>
      <c r="D3928" t="str">
        <f>VLOOKUP(B3928,Products!$A:$E,2,FALSE)</f>
        <v>Product_21</v>
      </c>
      <c r="E3928" t="str">
        <f>VLOOKUP(B3928,Products!$A:$E,3,FALSE)</f>
        <v>Office Supplies</v>
      </c>
    </row>
    <row r="3929" spans="1:5" x14ac:dyDescent="0.3">
      <c r="A3929" t="s">
        <v>4939</v>
      </c>
      <c r="B3929" t="s">
        <v>112</v>
      </c>
      <c r="C3929">
        <v>85</v>
      </c>
      <c r="D3929" t="str">
        <f>VLOOKUP(B3929,Products!$A:$E,2,FALSE)</f>
        <v>Product_52</v>
      </c>
      <c r="E3929" t="str">
        <f>VLOOKUP(B3929,Products!$A:$E,3,FALSE)</f>
        <v>Electronics</v>
      </c>
    </row>
    <row r="3930" spans="1:5" x14ac:dyDescent="0.3">
      <c r="A3930" t="s">
        <v>4940</v>
      </c>
      <c r="B3930" t="s">
        <v>636</v>
      </c>
      <c r="C3930">
        <v>53</v>
      </c>
      <c r="D3930" t="str">
        <f>VLOOKUP(B3930,Products!$A:$E,2,FALSE)</f>
        <v>Product_314</v>
      </c>
      <c r="E3930" t="str">
        <f>VLOOKUP(B3930,Products!$A:$E,3,FALSE)</f>
        <v>Storage</v>
      </c>
    </row>
    <row r="3931" spans="1:5" x14ac:dyDescent="0.3">
      <c r="A3931" t="s">
        <v>4941</v>
      </c>
      <c r="B3931" t="s">
        <v>806</v>
      </c>
      <c r="C3931">
        <v>25</v>
      </c>
      <c r="D3931" t="str">
        <f>VLOOKUP(B3931,Products!$A:$E,2,FALSE)</f>
        <v>Product_399</v>
      </c>
      <c r="E3931" t="str">
        <f>VLOOKUP(B3931,Products!$A:$E,3,FALSE)</f>
        <v>Networking</v>
      </c>
    </row>
    <row r="3932" spans="1:5" x14ac:dyDescent="0.3">
      <c r="A3932" t="s">
        <v>4942</v>
      </c>
      <c r="B3932" t="s">
        <v>26</v>
      </c>
      <c r="C3932">
        <v>67</v>
      </c>
      <c r="D3932" t="str">
        <f>VLOOKUP(B3932,Products!$A:$E,2,FALSE)</f>
        <v>Product_9</v>
      </c>
      <c r="E3932" t="str">
        <f>VLOOKUP(B3932,Products!$A:$E,3,FALSE)</f>
        <v>Storage</v>
      </c>
    </row>
    <row r="3933" spans="1:5" x14ac:dyDescent="0.3">
      <c r="A3933" t="s">
        <v>4943</v>
      </c>
      <c r="B3933" t="s">
        <v>92</v>
      </c>
      <c r="C3933">
        <v>5</v>
      </c>
      <c r="D3933" t="str">
        <f>VLOOKUP(B3933,Products!$A:$E,2,FALSE)</f>
        <v>Product_42</v>
      </c>
      <c r="E3933" t="str">
        <f>VLOOKUP(B3933,Products!$A:$E,3,FALSE)</f>
        <v>Storage</v>
      </c>
    </row>
    <row r="3934" spans="1:5" x14ac:dyDescent="0.3">
      <c r="A3934" t="s">
        <v>4944</v>
      </c>
      <c r="B3934" t="s">
        <v>14</v>
      </c>
      <c r="C3934">
        <v>27</v>
      </c>
      <c r="D3934" t="str">
        <f>VLOOKUP(B3934,Products!$A:$E,2,FALSE)</f>
        <v>Product_4</v>
      </c>
      <c r="E3934" t="str">
        <f>VLOOKUP(B3934,Products!$A:$E,3,FALSE)</f>
        <v>Storage</v>
      </c>
    </row>
    <row r="3935" spans="1:5" x14ac:dyDescent="0.3">
      <c r="A3935" t="s">
        <v>4945</v>
      </c>
      <c r="B3935" t="s">
        <v>958</v>
      </c>
      <c r="C3935">
        <v>16</v>
      </c>
      <c r="D3935" t="str">
        <f>VLOOKUP(B3935,Products!$A:$E,2,FALSE)</f>
        <v>Product_475</v>
      </c>
      <c r="E3935" t="str">
        <f>VLOOKUP(B3935,Products!$A:$E,3,FALSE)</f>
        <v>Electronics</v>
      </c>
    </row>
    <row r="3936" spans="1:5" x14ac:dyDescent="0.3">
      <c r="A3936" t="s">
        <v>4946</v>
      </c>
      <c r="B3936" t="s">
        <v>732</v>
      </c>
      <c r="C3936">
        <v>88</v>
      </c>
      <c r="D3936" t="str">
        <f>VLOOKUP(B3936,Products!$A:$E,2,FALSE)</f>
        <v>Product_362</v>
      </c>
      <c r="E3936" t="str">
        <f>VLOOKUP(B3936,Products!$A:$E,3,FALSE)</f>
        <v>Networking</v>
      </c>
    </row>
    <row r="3937" spans="1:5" x14ac:dyDescent="0.3">
      <c r="A3937" t="s">
        <v>4947</v>
      </c>
      <c r="B3937" t="s">
        <v>616</v>
      </c>
      <c r="C3937">
        <v>41</v>
      </c>
      <c r="D3937" t="str">
        <f>VLOOKUP(B3937,Products!$A:$E,2,FALSE)</f>
        <v>Product_304</v>
      </c>
      <c r="E3937" t="str">
        <f>VLOOKUP(B3937,Products!$A:$E,3,FALSE)</f>
        <v>Electronics</v>
      </c>
    </row>
    <row r="3938" spans="1:5" x14ac:dyDescent="0.3">
      <c r="A3938" t="s">
        <v>4948</v>
      </c>
      <c r="B3938" t="s">
        <v>436</v>
      </c>
      <c r="C3938">
        <v>93</v>
      </c>
      <c r="D3938" t="str">
        <f>VLOOKUP(B3938,Products!$A:$E,2,FALSE)</f>
        <v>Product_214</v>
      </c>
      <c r="E3938" t="str">
        <f>VLOOKUP(B3938,Products!$A:$E,3,FALSE)</f>
        <v>Electronics</v>
      </c>
    </row>
    <row r="3939" spans="1:5" x14ac:dyDescent="0.3">
      <c r="A3939" t="s">
        <v>4949</v>
      </c>
      <c r="B3939" t="s">
        <v>836</v>
      </c>
      <c r="C3939">
        <v>65</v>
      </c>
      <c r="D3939" t="str">
        <f>VLOOKUP(B3939,Products!$A:$E,2,FALSE)</f>
        <v>Product_414</v>
      </c>
      <c r="E3939" t="str">
        <f>VLOOKUP(B3939,Products!$A:$E,3,FALSE)</f>
        <v>Office Supplies</v>
      </c>
    </row>
    <row r="3940" spans="1:5" x14ac:dyDescent="0.3">
      <c r="A3940" t="s">
        <v>4950</v>
      </c>
      <c r="B3940" t="s">
        <v>718</v>
      </c>
      <c r="C3940">
        <v>21</v>
      </c>
      <c r="D3940" t="str">
        <f>VLOOKUP(B3940,Products!$A:$E,2,FALSE)</f>
        <v>Product_355</v>
      </c>
      <c r="E3940" t="str">
        <f>VLOOKUP(B3940,Products!$A:$E,3,FALSE)</f>
        <v>Accessories</v>
      </c>
    </row>
    <row r="3941" spans="1:5" x14ac:dyDescent="0.3">
      <c r="A3941" t="s">
        <v>4951</v>
      </c>
      <c r="B3941" t="s">
        <v>220</v>
      </c>
      <c r="C3941">
        <v>23</v>
      </c>
      <c r="D3941" t="str">
        <f>VLOOKUP(B3941,Products!$A:$E,2,FALSE)</f>
        <v>Product_106</v>
      </c>
      <c r="E3941" t="str">
        <f>VLOOKUP(B3941,Products!$A:$E,3,FALSE)</f>
        <v>Networking</v>
      </c>
    </row>
    <row r="3942" spans="1:5" x14ac:dyDescent="0.3">
      <c r="A3942" t="s">
        <v>4952</v>
      </c>
      <c r="B3942" t="s">
        <v>664</v>
      </c>
      <c r="C3942">
        <v>39</v>
      </c>
      <c r="D3942" t="str">
        <f>VLOOKUP(B3942,Products!$A:$E,2,FALSE)</f>
        <v>Product_328</v>
      </c>
      <c r="E3942" t="str">
        <f>VLOOKUP(B3942,Products!$A:$E,3,FALSE)</f>
        <v>Office Supplies</v>
      </c>
    </row>
    <row r="3943" spans="1:5" x14ac:dyDescent="0.3">
      <c r="A3943" t="s">
        <v>4953</v>
      </c>
      <c r="B3943" t="s">
        <v>544</v>
      </c>
      <c r="C3943">
        <v>62</v>
      </c>
      <c r="D3943" t="str">
        <f>VLOOKUP(B3943,Products!$A:$E,2,FALSE)</f>
        <v>Product_268</v>
      </c>
      <c r="E3943" t="str">
        <f>VLOOKUP(B3943,Products!$A:$E,3,FALSE)</f>
        <v>Office Supplies</v>
      </c>
    </row>
    <row r="3944" spans="1:5" x14ac:dyDescent="0.3">
      <c r="A3944" t="s">
        <v>4954</v>
      </c>
      <c r="B3944" t="s">
        <v>430</v>
      </c>
      <c r="C3944">
        <v>35</v>
      </c>
      <c r="D3944" t="str">
        <f>VLOOKUP(B3944,Products!$A:$E,2,FALSE)</f>
        <v>Product_211</v>
      </c>
      <c r="E3944" t="str">
        <f>VLOOKUP(B3944,Products!$A:$E,3,FALSE)</f>
        <v>Storage</v>
      </c>
    </row>
    <row r="3945" spans="1:5" x14ac:dyDescent="0.3">
      <c r="A3945" t="s">
        <v>4955</v>
      </c>
      <c r="B3945" t="s">
        <v>970</v>
      </c>
      <c r="C3945">
        <v>27</v>
      </c>
      <c r="D3945" t="str">
        <f>VLOOKUP(B3945,Products!$A:$E,2,FALSE)</f>
        <v>Product_481</v>
      </c>
      <c r="E3945" t="str">
        <f>VLOOKUP(B3945,Products!$A:$E,3,FALSE)</f>
        <v>Storage</v>
      </c>
    </row>
    <row r="3946" spans="1:5" x14ac:dyDescent="0.3">
      <c r="A3946" t="s">
        <v>4956</v>
      </c>
      <c r="B3946" t="s">
        <v>634</v>
      </c>
      <c r="C3946">
        <v>93</v>
      </c>
      <c r="D3946" t="str">
        <f>VLOOKUP(B3946,Products!$A:$E,2,FALSE)</f>
        <v>Product_313</v>
      </c>
      <c r="E3946" t="str">
        <f>VLOOKUP(B3946,Products!$A:$E,3,FALSE)</f>
        <v>Accessories</v>
      </c>
    </row>
    <row r="3947" spans="1:5" x14ac:dyDescent="0.3">
      <c r="A3947" t="s">
        <v>4957</v>
      </c>
      <c r="B3947" t="s">
        <v>48</v>
      </c>
      <c r="C3947">
        <v>81</v>
      </c>
      <c r="D3947" t="str">
        <f>VLOOKUP(B3947,Products!$A:$E,2,FALSE)</f>
        <v>Product_20</v>
      </c>
      <c r="E3947" t="str">
        <f>VLOOKUP(B3947,Products!$A:$E,3,FALSE)</f>
        <v>Office Supplies</v>
      </c>
    </row>
    <row r="3948" spans="1:5" x14ac:dyDescent="0.3">
      <c r="A3948" t="s">
        <v>4958</v>
      </c>
      <c r="B3948" t="s">
        <v>194</v>
      </c>
      <c r="C3948">
        <v>96</v>
      </c>
      <c r="D3948" t="str">
        <f>VLOOKUP(B3948,Products!$A:$E,2,FALSE)</f>
        <v>Product_93</v>
      </c>
      <c r="E3948" t="str">
        <f>VLOOKUP(B3948,Products!$A:$E,3,FALSE)</f>
        <v>Office Supplies</v>
      </c>
    </row>
    <row r="3949" spans="1:5" x14ac:dyDescent="0.3">
      <c r="A3949" t="s">
        <v>4959</v>
      </c>
      <c r="B3949" t="s">
        <v>520</v>
      </c>
      <c r="C3949">
        <v>83</v>
      </c>
      <c r="D3949" t="str">
        <f>VLOOKUP(B3949,Products!$A:$E,2,FALSE)</f>
        <v>Product_256</v>
      </c>
      <c r="E3949" t="str">
        <f>VLOOKUP(B3949,Products!$A:$E,3,FALSE)</f>
        <v>Office Supplies</v>
      </c>
    </row>
    <row r="3950" spans="1:5" x14ac:dyDescent="0.3">
      <c r="A3950" t="s">
        <v>4960</v>
      </c>
      <c r="B3950" t="s">
        <v>982</v>
      </c>
      <c r="C3950">
        <v>16</v>
      </c>
      <c r="D3950" t="str">
        <f>VLOOKUP(B3950,Products!$A:$E,2,FALSE)</f>
        <v>Product_487</v>
      </c>
      <c r="E3950" t="str">
        <f>VLOOKUP(B3950,Products!$A:$E,3,FALSE)</f>
        <v>Networking</v>
      </c>
    </row>
    <row r="3951" spans="1:5" x14ac:dyDescent="0.3">
      <c r="A3951" t="s">
        <v>4961</v>
      </c>
      <c r="B3951" t="s">
        <v>652</v>
      </c>
      <c r="C3951">
        <v>43</v>
      </c>
      <c r="D3951" t="str">
        <f>VLOOKUP(B3951,Products!$A:$E,2,FALSE)</f>
        <v>Product_322</v>
      </c>
      <c r="E3951" t="str">
        <f>VLOOKUP(B3951,Products!$A:$E,3,FALSE)</f>
        <v>Accessories</v>
      </c>
    </row>
    <row r="3952" spans="1:5" x14ac:dyDescent="0.3">
      <c r="A3952" t="s">
        <v>4962</v>
      </c>
      <c r="B3952" t="s">
        <v>366</v>
      </c>
      <c r="C3952">
        <v>58</v>
      </c>
      <c r="D3952" t="str">
        <f>VLOOKUP(B3952,Products!$A:$E,2,FALSE)</f>
        <v>Product_179</v>
      </c>
      <c r="E3952" t="str">
        <f>VLOOKUP(B3952,Products!$A:$E,3,FALSE)</f>
        <v>Storage</v>
      </c>
    </row>
    <row r="3953" spans="1:5" x14ac:dyDescent="0.3">
      <c r="A3953" t="s">
        <v>4963</v>
      </c>
      <c r="B3953" t="s">
        <v>11</v>
      </c>
      <c r="C3953">
        <v>76</v>
      </c>
      <c r="D3953" t="str">
        <f>VLOOKUP(B3953,Products!$A:$E,2,FALSE)</f>
        <v>Product_3</v>
      </c>
      <c r="E3953" t="str">
        <f>VLOOKUP(B3953,Products!$A:$E,3,FALSE)</f>
        <v>Accessories</v>
      </c>
    </row>
    <row r="3954" spans="1:5" x14ac:dyDescent="0.3">
      <c r="A3954" t="s">
        <v>4964</v>
      </c>
      <c r="B3954" t="s">
        <v>250</v>
      </c>
      <c r="C3954">
        <v>29</v>
      </c>
      <c r="D3954" t="str">
        <f>VLOOKUP(B3954,Products!$A:$E,2,FALSE)</f>
        <v>Product_121</v>
      </c>
      <c r="E3954" t="str">
        <f>VLOOKUP(B3954,Products!$A:$E,3,FALSE)</f>
        <v>Storage</v>
      </c>
    </row>
    <row r="3955" spans="1:5" x14ac:dyDescent="0.3">
      <c r="A3955" t="s">
        <v>4965</v>
      </c>
      <c r="B3955" t="s">
        <v>130</v>
      </c>
      <c r="C3955">
        <v>72</v>
      </c>
      <c r="D3955" t="str">
        <f>VLOOKUP(B3955,Products!$A:$E,2,FALSE)</f>
        <v>Product_61</v>
      </c>
      <c r="E3955" t="str">
        <f>VLOOKUP(B3955,Products!$A:$E,3,FALSE)</f>
        <v>Storage</v>
      </c>
    </row>
    <row r="3956" spans="1:5" x14ac:dyDescent="0.3">
      <c r="A3956" t="s">
        <v>4966</v>
      </c>
      <c r="B3956" t="s">
        <v>106</v>
      </c>
      <c r="C3956">
        <v>84</v>
      </c>
      <c r="D3956" t="str">
        <f>VLOOKUP(B3956,Products!$A:$E,2,FALSE)</f>
        <v>Product_49</v>
      </c>
      <c r="E3956" t="str">
        <f>VLOOKUP(B3956,Products!$A:$E,3,FALSE)</f>
        <v>Storage</v>
      </c>
    </row>
    <row r="3957" spans="1:5" x14ac:dyDescent="0.3">
      <c r="A3957" t="s">
        <v>4967</v>
      </c>
      <c r="B3957" t="s">
        <v>380</v>
      </c>
      <c r="C3957">
        <v>74</v>
      </c>
      <c r="D3957" t="str">
        <f>VLOOKUP(B3957,Products!$A:$E,2,FALSE)</f>
        <v>Product_186</v>
      </c>
      <c r="E3957" t="str">
        <f>VLOOKUP(B3957,Products!$A:$E,3,FALSE)</f>
        <v>Accessories</v>
      </c>
    </row>
    <row r="3958" spans="1:5" x14ac:dyDescent="0.3">
      <c r="A3958" t="s">
        <v>4968</v>
      </c>
      <c r="B3958" t="s">
        <v>528</v>
      </c>
      <c r="C3958">
        <v>33</v>
      </c>
      <c r="D3958" t="str">
        <f>VLOOKUP(B3958,Products!$A:$E,2,FALSE)</f>
        <v>Product_260</v>
      </c>
      <c r="E3958" t="str">
        <f>VLOOKUP(B3958,Products!$A:$E,3,FALSE)</f>
        <v>Storage</v>
      </c>
    </row>
    <row r="3959" spans="1:5" x14ac:dyDescent="0.3">
      <c r="A3959" t="s">
        <v>4969</v>
      </c>
      <c r="B3959" t="s">
        <v>484</v>
      </c>
      <c r="C3959">
        <v>85</v>
      </c>
      <c r="D3959" t="str">
        <f>VLOOKUP(B3959,Products!$A:$E,2,FALSE)</f>
        <v>Product_238</v>
      </c>
      <c r="E3959" t="str">
        <f>VLOOKUP(B3959,Products!$A:$E,3,FALSE)</f>
        <v>Accessories</v>
      </c>
    </row>
    <row r="3960" spans="1:5" x14ac:dyDescent="0.3">
      <c r="A3960" t="s">
        <v>4970</v>
      </c>
      <c r="B3960" t="s">
        <v>684</v>
      </c>
      <c r="C3960">
        <v>31</v>
      </c>
      <c r="D3960" t="str">
        <f>VLOOKUP(B3960,Products!$A:$E,2,FALSE)</f>
        <v>Product_338</v>
      </c>
      <c r="E3960" t="str">
        <f>VLOOKUP(B3960,Products!$A:$E,3,FALSE)</f>
        <v>Networking</v>
      </c>
    </row>
    <row r="3961" spans="1:5" x14ac:dyDescent="0.3">
      <c r="A3961" t="s">
        <v>4971</v>
      </c>
      <c r="B3961" t="s">
        <v>292</v>
      </c>
      <c r="C3961">
        <v>11</v>
      </c>
      <c r="D3961" t="str">
        <f>VLOOKUP(B3961,Products!$A:$E,2,FALSE)</f>
        <v>Product_142</v>
      </c>
      <c r="E3961" t="str">
        <f>VLOOKUP(B3961,Products!$A:$E,3,FALSE)</f>
        <v>Storage</v>
      </c>
    </row>
    <row r="3962" spans="1:5" x14ac:dyDescent="0.3">
      <c r="A3962" t="s">
        <v>4972</v>
      </c>
      <c r="B3962" t="s">
        <v>208</v>
      </c>
      <c r="C3962">
        <v>19</v>
      </c>
      <c r="D3962" t="str">
        <f>VLOOKUP(B3962,Products!$A:$E,2,FALSE)</f>
        <v>Product_100</v>
      </c>
      <c r="E3962" t="str">
        <f>VLOOKUP(B3962,Products!$A:$E,3,FALSE)</f>
        <v>Accessories</v>
      </c>
    </row>
    <row r="3963" spans="1:5" x14ac:dyDescent="0.3">
      <c r="A3963" t="s">
        <v>4973</v>
      </c>
      <c r="B3963" t="s">
        <v>824</v>
      </c>
      <c r="C3963">
        <v>24</v>
      </c>
      <c r="D3963" t="str">
        <f>VLOOKUP(B3963,Products!$A:$E,2,FALSE)</f>
        <v>Product_408</v>
      </c>
      <c r="E3963" t="str">
        <f>VLOOKUP(B3963,Products!$A:$E,3,FALSE)</f>
        <v>Storage</v>
      </c>
    </row>
    <row r="3964" spans="1:5" x14ac:dyDescent="0.3">
      <c r="A3964" t="s">
        <v>4974</v>
      </c>
      <c r="B3964" t="s">
        <v>710</v>
      </c>
      <c r="C3964">
        <v>65</v>
      </c>
      <c r="D3964" t="str">
        <f>VLOOKUP(B3964,Products!$A:$E,2,FALSE)</f>
        <v>Product_351</v>
      </c>
      <c r="E3964" t="str">
        <f>VLOOKUP(B3964,Products!$A:$E,3,FALSE)</f>
        <v>Accessories</v>
      </c>
    </row>
    <row r="3965" spans="1:5" x14ac:dyDescent="0.3">
      <c r="A3965" t="s">
        <v>4975</v>
      </c>
      <c r="B3965" t="s">
        <v>518</v>
      </c>
      <c r="C3965">
        <v>27</v>
      </c>
      <c r="D3965" t="str">
        <f>VLOOKUP(B3965,Products!$A:$E,2,FALSE)</f>
        <v>Product_255</v>
      </c>
      <c r="E3965" t="str">
        <f>VLOOKUP(B3965,Products!$A:$E,3,FALSE)</f>
        <v>Accessories</v>
      </c>
    </row>
    <row r="3966" spans="1:5" x14ac:dyDescent="0.3">
      <c r="A3966" t="s">
        <v>4976</v>
      </c>
      <c r="B3966" t="s">
        <v>172</v>
      </c>
      <c r="C3966">
        <v>90</v>
      </c>
      <c r="D3966" t="str">
        <f>VLOOKUP(B3966,Products!$A:$E,2,FALSE)</f>
        <v>Product_82</v>
      </c>
      <c r="E3966" t="str">
        <f>VLOOKUP(B3966,Products!$A:$E,3,FALSE)</f>
        <v>Storage</v>
      </c>
    </row>
    <row r="3967" spans="1:5" x14ac:dyDescent="0.3">
      <c r="A3967" t="s">
        <v>4977</v>
      </c>
      <c r="B3967" t="s">
        <v>954</v>
      </c>
      <c r="C3967">
        <v>10</v>
      </c>
      <c r="D3967" t="str">
        <f>VLOOKUP(B3967,Products!$A:$E,2,FALSE)</f>
        <v>Product_473</v>
      </c>
      <c r="E3967" t="str">
        <f>VLOOKUP(B3967,Products!$A:$E,3,FALSE)</f>
        <v>Accessories</v>
      </c>
    </row>
    <row r="3968" spans="1:5" x14ac:dyDescent="0.3">
      <c r="A3968" t="s">
        <v>4978</v>
      </c>
      <c r="B3968" t="s">
        <v>64</v>
      </c>
      <c r="C3968">
        <v>87</v>
      </c>
      <c r="D3968" t="str">
        <f>VLOOKUP(B3968,Products!$A:$E,2,FALSE)</f>
        <v>Product_28</v>
      </c>
      <c r="E3968" t="str">
        <f>VLOOKUP(B3968,Products!$A:$E,3,FALSE)</f>
        <v>Office Supplies</v>
      </c>
    </row>
    <row r="3969" spans="1:5" x14ac:dyDescent="0.3">
      <c r="A3969" t="s">
        <v>4979</v>
      </c>
      <c r="B3969" t="s">
        <v>382</v>
      </c>
      <c r="C3969">
        <v>41</v>
      </c>
      <c r="D3969" t="str">
        <f>VLOOKUP(B3969,Products!$A:$E,2,FALSE)</f>
        <v>Product_187</v>
      </c>
      <c r="E3969" t="str">
        <f>VLOOKUP(B3969,Products!$A:$E,3,FALSE)</f>
        <v>Electronics</v>
      </c>
    </row>
    <row r="3970" spans="1:5" x14ac:dyDescent="0.3">
      <c r="A3970" t="s">
        <v>4980</v>
      </c>
      <c r="B3970" t="s">
        <v>224</v>
      </c>
      <c r="C3970">
        <v>60</v>
      </c>
      <c r="D3970" t="str">
        <f>VLOOKUP(B3970,Products!$A:$E,2,FALSE)</f>
        <v>Product_108</v>
      </c>
      <c r="E3970" t="str">
        <f>VLOOKUP(B3970,Products!$A:$E,3,FALSE)</f>
        <v>Networking</v>
      </c>
    </row>
    <row r="3971" spans="1:5" x14ac:dyDescent="0.3">
      <c r="A3971" t="s">
        <v>4981</v>
      </c>
      <c r="B3971" t="s">
        <v>266</v>
      </c>
      <c r="C3971">
        <v>47</v>
      </c>
      <c r="D3971" t="str">
        <f>VLOOKUP(B3971,Products!$A:$E,2,FALSE)</f>
        <v>Product_129</v>
      </c>
      <c r="E3971" t="str">
        <f>VLOOKUP(B3971,Products!$A:$E,3,FALSE)</f>
        <v>Electronics</v>
      </c>
    </row>
    <row r="3972" spans="1:5" x14ac:dyDescent="0.3">
      <c r="A3972" t="s">
        <v>4982</v>
      </c>
      <c r="B3972" t="s">
        <v>640</v>
      </c>
      <c r="C3972">
        <v>63</v>
      </c>
      <c r="D3972" t="str">
        <f>VLOOKUP(B3972,Products!$A:$E,2,FALSE)</f>
        <v>Product_316</v>
      </c>
      <c r="E3972" t="str">
        <f>VLOOKUP(B3972,Products!$A:$E,3,FALSE)</f>
        <v>Networking</v>
      </c>
    </row>
    <row r="3973" spans="1:5" x14ac:dyDescent="0.3">
      <c r="A3973" t="s">
        <v>4983</v>
      </c>
      <c r="B3973" t="s">
        <v>54</v>
      </c>
      <c r="C3973">
        <v>18</v>
      </c>
      <c r="D3973" t="str">
        <f>VLOOKUP(B3973,Products!$A:$E,2,FALSE)</f>
        <v>Product_23</v>
      </c>
      <c r="E3973" t="str">
        <f>VLOOKUP(B3973,Products!$A:$E,3,FALSE)</f>
        <v>Accessories</v>
      </c>
    </row>
    <row r="3974" spans="1:5" x14ac:dyDescent="0.3">
      <c r="A3974" t="s">
        <v>4984</v>
      </c>
      <c r="B3974" t="s">
        <v>768</v>
      </c>
      <c r="C3974">
        <v>11</v>
      </c>
      <c r="D3974" t="str">
        <f>VLOOKUP(B3974,Products!$A:$E,2,FALSE)</f>
        <v>Product_380</v>
      </c>
      <c r="E3974" t="str">
        <f>VLOOKUP(B3974,Products!$A:$E,3,FALSE)</f>
        <v>Electronics</v>
      </c>
    </row>
    <row r="3975" spans="1:5" x14ac:dyDescent="0.3">
      <c r="A3975" t="s">
        <v>4985</v>
      </c>
      <c r="B3975" t="s">
        <v>956</v>
      </c>
      <c r="C3975">
        <v>73</v>
      </c>
      <c r="D3975" t="str">
        <f>VLOOKUP(B3975,Products!$A:$E,2,FALSE)</f>
        <v>Product_474</v>
      </c>
      <c r="E3975" t="str">
        <f>VLOOKUP(B3975,Products!$A:$E,3,FALSE)</f>
        <v>Networking</v>
      </c>
    </row>
    <row r="3976" spans="1:5" x14ac:dyDescent="0.3">
      <c r="A3976" t="s">
        <v>4986</v>
      </c>
      <c r="B3976" t="s">
        <v>190</v>
      </c>
      <c r="C3976">
        <v>25</v>
      </c>
      <c r="D3976" t="str">
        <f>VLOOKUP(B3976,Products!$A:$E,2,FALSE)</f>
        <v>Product_91</v>
      </c>
      <c r="E3976" t="str">
        <f>VLOOKUP(B3976,Products!$A:$E,3,FALSE)</f>
        <v>Networking</v>
      </c>
    </row>
    <row r="3977" spans="1:5" x14ac:dyDescent="0.3">
      <c r="A3977" t="s">
        <v>4987</v>
      </c>
      <c r="B3977" t="s">
        <v>814</v>
      </c>
      <c r="C3977">
        <v>8</v>
      </c>
      <c r="D3977" t="str">
        <f>VLOOKUP(B3977,Products!$A:$E,2,FALSE)</f>
        <v>Product_403</v>
      </c>
      <c r="E3977" t="str">
        <f>VLOOKUP(B3977,Products!$A:$E,3,FALSE)</f>
        <v>Networking</v>
      </c>
    </row>
    <row r="3978" spans="1:5" x14ac:dyDescent="0.3">
      <c r="A3978" t="s">
        <v>4988</v>
      </c>
      <c r="B3978" t="s">
        <v>506</v>
      </c>
      <c r="C3978">
        <v>70</v>
      </c>
      <c r="D3978" t="str">
        <f>VLOOKUP(B3978,Products!$A:$E,2,FALSE)</f>
        <v>Product_249</v>
      </c>
      <c r="E3978" t="str">
        <f>VLOOKUP(B3978,Products!$A:$E,3,FALSE)</f>
        <v>Storage</v>
      </c>
    </row>
    <row r="3979" spans="1:5" x14ac:dyDescent="0.3">
      <c r="A3979" t="s">
        <v>4989</v>
      </c>
      <c r="B3979" t="s">
        <v>128</v>
      </c>
      <c r="C3979">
        <v>14</v>
      </c>
      <c r="D3979" t="str">
        <f>VLOOKUP(B3979,Products!$A:$E,2,FALSE)</f>
        <v>Product_60</v>
      </c>
      <c r="E3979" t="str">
        <f>VLOOKUP(B3979,Products!$A:$E,3,FALSE)</f>
        <v>Electronics</v>
      </c>
    </row>
    <row r="3980" spans="1:5" x14ac:dyDescent="0.3">
      <c r="A3980" t="s">
        <v>4990</v>
      </c>
      <c r="B3980" t="s">
        <v>926</v>
      </c>
      <c r="C3980">
        <v>35</v>
      </c>
      <c r="D3980" t="str">
        <f>VLOOKUP(B3980,Products!$A:$E,2,FALSE)</f>
        <v>Product_459</v>
      </c>
      <c r="E3980" t="str">
        <f>VLOOKUP(B3980,Products!$A:$E,3,FALSE)</f>
        <v>Office Supplies</v>
      </c>
    </row>
    <row r="3981" spans="1:5" x14ac:dyDescent="0.3">
      <c r="A3981" t="s">
        <v>4991</v>
      </c>
      <c r="B3981" t="s">
        <v>748</v>
      </c>
      <c r="C3981">
        <v>61</v>
      </c>
      <c r="D3981" t="str">
        <f>VLOOKUP(B3981,Products!$A:$E,2,FALSE)</f>
        <v>Product_370</v>
      </c>
      <c r="E3981" t="str">
        <f>VLOOKUP(B3981,Products!$A:$E,3,FALSE)</f>
        <v>Networking</v>
      </c>
    </row>
    <row r="3982" spans="1:5" x14ac:dyDescent="0.3">
      <c r="A3982" t="s">
        <v>4992</v>
      </c>
      <c r="B3982" t="s">
        <v>616</v>
      </c>
      <c r="C3982">
        <v>79</v>
      </c>
      <c r="D3982" t="str">
        <f>VLOOKUP(B3982,Products!$A:$E,2,FALSE)</f>
        <v>Product_304</v>
      </c>
      <c r="E3982" t="str">
        <f>VLOOKUP(B3982,Products!$A:$E,3,FALSE)</f>
        <v>Electronics</v>
      </c>
    </row>
    <row r="3983" spans="1:5" x14ac:dyDescent="0.3">
      <c r="A3983" t="s">
        <v>4993</v>
      </c>
      <c r="B3983" t="s">
        <v>342</v>
      </c>
      <c r="C3983">
        <v>58</v>
      </c>
      <c r="D3983" t="str">
        <f>VLOOKUP(B3983,Products!$A:$E,2,FALSE)</f>
        <v>Product_167</v>
      </c>
      <c r="E3983" t="str">
        <f>VLOOKUP(B3983,Products!$A:$E,3,FALSE)</f>
        <v>Electronics</v>
      </c>
    </row>
    <row r="3984" spans="1:5" x14ac:dyDescent="0.3">
      <c r="A3984" t="s">
        <v>4994</v>
      </c>
      <c r="B3984" t="s">
        <v>212</v>
      </c>
      <c r="C3984">
        <v>100</v>
      </c>
      <c r="D3984" t="str">
        <f>VLOOKUP(B3984,Products!$A:$E,2,FALSE)</f>
        <v>Product_102</v>
      </c>
      <c r="E3984" t="str">
        <f>VLOOKUP(B3984,Products!$A:$E,3,FALSE)</f>
        <v>Storage</v>
      </c>
    </row>
    <row r="3985" spans="1:5" x14ac:dyDescent="0.3">
      <c r="A3985" t="s">
        <v>4995</v>
      </c>
      <c r="B3985" t="s">
        <v>702</v>
      </c>
      <c r="C3985">
        <v>46</v>
      </c>
      <c r="D3985" t="str">
        <f>VLOOKUP(B3985,Products!$A:$E,2,FALSE)</f>
        <v>Product_347</v>
      </c>
      <c r="E3985" t="str">
        <f>VLOOKUP(B3985,Products!$A:$E,3,FALSE)</f>
        <v>Storage</v>
      </c>
    </row>
    <row r="3986" spans="1:5" x14ac:dyDescent="0.3">
      <c r="A3986" t="s">
        <v>4996</v>
      </c>
      <c r="B3986" t="s">
        <v>244</v>
      </c>
      <c r="C3986">
        <v>19</v>
      </c>
      <c r="D3986" t="str">
        <f>VLOOKUP(B3986,Products!$A:$E,2,FALSE)</f>
        <v>Product_118</v>
      </c>
      <c r="E3986" t="str">
        <f>VLOOKUP(B3986,Products!$A:$E,3,FALSE)</f>
        <v>Accessories</v>
      </c>
    </row>
    <row r="3987" spans="1:5" x14ac:dyDescent="0.3">
      <c r="A3987" t="s">
        <v>4997</v>
      </c>
      <c r="B3987" t="s">
        <v>342</v>
      </c>
      <c r="C3987">
        <v>34</v>
      </c>
      <c r="D3987" t="str">
        <f>VLOOKUP(B3987,Products!$A:$E,2,FALSE)</f>
        <v>Product_167</v>
      </c>
      <c r="E3987" t="str">
        <f>VLOOKUP(B3987,Products!$A:$E,3,FALSE)</f>
        <v>Electronics</v>
      </c>
    </row>
    <row r="3988" spans="1:5" x14ac:dyDescent="0.3">
      <c r="A3988" t="s">
        <v>4998</v>
      </c>
      <c r="B3988" t="s">
        <v>110</v>
      </c>
      <c r="C3988">
        <v>35</v>
      </c>
      <c r="D3988" t="str">
        <f>VLOOKUP(B3988,Products!$A:$E,2,FALSE)</f>
        <v>Product_51</v>
      </c>
      <c r="E3988" t="str">
        <f>VLOOKUP(B3988,Products!$A:$E,3,FALSE)</f>
        <v>Storage</v>
      </c>
    </row>
    <row r="3989" spans="1:5" x14ac:dyDescent="0.3">
      <c r="A3989" t="s">
        <v>4999</v>
      </c>
      <c r="B3989" t="s">
        <v>764</v>
      </c>
      <c r="C3989">
        <v>57</v>
      </c>
      <c r="D3989" t="str">
        <f>VLOOKUP(B3989,Products!$A:$E,2,FALSE)</f>
        <v>Product_378</v>
      </c>
      <c r="E3989" t="str">
        <f>VLOOKUP(B3989,Products!$A:$E,3,FALSE)</f>
        <v>Electronics</v>
      </c>
    </row>
    <row r="3990" spans="1:5" x14ac:dyDescent="0.3">
      <c r="A3990" t="s">
        <v>5000</v>
      </c>
      <c r="B3990" t="s">
        <v>900</v>
      </c>
      <c r="C3990">
        <v>30</v>
      </c>
      <c r="D3990" t="str">
        <f>VLOOKUP(B3990,Products!$A:$E,2,FALSE)</f>
        <v>Product_446</v>
      </c>
      <c r="E3990" t="str">
        <f>VLOOKUP(B3990,Products!$A:$E,3,FALSE)</f>
        <v>Accessories</v>
      </c>
    </row>
    <row r="3991" spans="1:5" x14ac:dyDescent="0.3">
      <c r="A3991" t="s">
        <v>5001</v>
      </c>
      <c r="B3991" t="s">
        <v>394</v>
      </c>
      <c r="C3991">
        <v>33</v>
      </c>
      <c r="D3991" t="str">
        <f>VLOOKUP(B3991,Products!$A:$E,2,FALSE)</f>
        <v>Product_193</v>
      </c>
      <c r="E3991" t="str">
        <f>VLOOKUP(B3991,Products!$A:$E,3,FALSE)</f>
        <v>Accessories</v>
      </c>
    </row>
    <row r="3992" spans="1:5" x14ac:dyDescent="0.3">
      <c r="A3992" t="s">
        <v>5002</v>
      </c>
      <c r="B3992" t="s">
        <v>84</v>
      </c>
      <c r="C3992">
        <v>65</v>
      </c>
      <c r="D3992" t="str">
        <f>VLOOKUP(B3992,Products!$A:$E,2,FALSE)</f>
        <v>Product_38</v>
      </c>
      <c r="E3992" t="str">
        <f>VLOOKUP(B3992,Products!$A:$E,3,FALSE)</f>
        <v>Accessories</v>
      </c>
    </row>
    <row r="3993" spans="1:5" x14ac:dyDescent="0.3">
      <c r="A3993" t="s">
        <v>5003</v>
      </c>
      <c r="B3993" t="s">
        <v>608</v>
      </c>
      <c r="C3993">
        <v>67</v>
      </c>
      <c r="D3993" t="str">
        <f>VLOOKUP(B3993,Products!$A:$E,2,FALSE)</f>
        <v>Product_300</v>
      </c>
      <c r="E3993" t="str">
        <f>VLOOKUP(B3993,Products!$A:$E,3,FALSE)</f>
        <v>Accessories</v>
      </c>
    </row>
    <row r="3994" spans="1:5" x14ac:dyDescent="0.3">
      <c r="A3994" t="s">
        <v>5004</v>
      </c>
      <c r="B3994" t="s">
        <v>64</v>
      </c>
      <c r="C3994">
        <v>60</v>
      </c>
      <c r="D3994" t="str">
        <f>VLOOKUP(B3994,Products!$A:$E,2,FALSE)</f>
        <v>Product_28</v>
      </c>
      <c r="E3994" t="str">
        <f>VLOOKUP(B3994,Products!$A:$E,3,FALSE)</f>
        <v>Office Supplies</v>
      </c>
    </row>
    <row r="3995" spans="1:5" x14ac:dyDescent="0.3">
      <c r="A3995" t="s">
        <v>5005</v>
      </c>
      <c r="B3995" t="s">
        <v>158</v>
      </c>
      <c r="C3995">
        <v>32</v>
      </c>
      <c r="D3995" t="str">
        <f>VLOOKUP(B3995,Products!$A:$E,2,FALSE)</f>
        <v>Product_75</v>
      </c>
      <c r="E3995" t="str">
        <f>VLOOKUP(B3995,Products!$A:$E,3,FALSE)</f>
        <v>Storage</v>
      </c>
    </row>
    <row r="3996" spans="1:5" x14ac:dyDescent="0.3">
      <c r="A3996" t="s">
        <v>5006</v>
      </c>
      <c r="B3996" t="s">
        <v>960</v>
      </c>
      <c r="C3996">
        <v>83</v>
      </c>
      <c r="D3996" t="str">
        <f>VLOOKUP(B3996,Products!$A:$E,2,FALSE)</f>
        <v>Product_476</v>
      </c>
      <c r="E3996" t="str">
        <f>VLOOKUP(B3996,Products!$A:$E,3,FALSE)</f>
        <v>Office Supplies</v>
      </c>
    </row>
    <row r="3997" spans="1:5" x14ac:dyDescent="0.3">
      <c r="A3997" t="s">
        <v>5007</v>
      </c>
      <c r="B3997" t="s">
        <v>474</v>
      </c>
      <c r="C3997">
        <v>27</v>
      </c>
      <c r="D3997" t="str">
        <f>VLOOKUP(B3997,Products!$A:$E,2,FALSE)</f>
        <v>Product_233</v>
      </c>
      <c r="E3997" t="str">
        <f>VLOOKUP(B3997,Products!$A:$E,3,FALSE)</f>
        <v>Accessories</v>
      </c>
    </row>
    <row r="3998" spans="1:5" x14ac:dyDescent="0.3">
      <c r="A3998" t="s">
        <v>5008</v>
      </c>
      <c r="B3998" t="s">
        <v>406</v>
      </c>
      <c r="C3998">
        <v>52</v>
      </c>
      <c r="D3998" t="str">
        <f>VLOOKUP(B3998,Products!$A:$E,2,FALSE)</f>
        <v>Product_199</v>
      </c>
      <c r="E3998" t="str">
        <f>VLOOKUP(B3998,Products!$A:$E,3,FALSE)</f>
        <v>Storage</v>
      </c>
    </row>
    <row r="3999" spans="1:5" x14ac:dyDescent="0.3">
      <c r="A3999" t="s">
        <v>5009</v>
      </c>
      <c r="B3999" t="s">
        <v>148</v>
      </c>
      <c r="C3999">
        <v>63</v>
      </c>
      <c r="D3999" t="str">
        <f>VLOOKUP(B3999,Products!$A:$E,2,FALSE)</f>
        <v>Product_70</v>
      </c>
      <c r="E3999" t="str">
        <f>VLOOKUP(B3999,Products!$A:$E,3,FALSE)</f>
        <v>Electronics</v>
      </c>
    </row>
    <row r="4000" spans="1:5" x14ac:dyDescent="0.3">
      <c r="A4000" t="s">
        <v>5010</v>
      </c>
      <c r="B4000" t="s">
        <v>746</v>
      </c>
      <c r="C4000">
        <v>29</v>
      </c>
      <c r="D4000" t="str">
        <f>VLOOKUP(B4000,Products!$A:$E,2,FALSE)</f>
        <v>Product_369</v>
      </c>
      <c r="E4000" t="str">
        <f>VLOOKUP(B4000,Products!$A:$E,3,FALSE)</f>
        <v>Accessories</v>
      </c>
    </row>
    <row r="4001" spans="1:5" x14ac:dyDescent="0.3">
      <c r="A4001" t="s">
        <v>5011</v>
      </c>
      <c r="B4001" t="s">
        <v>656</v>
      </c>
      <c r="C4001">
        <v>50</v>
      </c>
      <c r="D4001" t="str">
        <f>VLOOKUP(B4001,Products!$A:$E,2,FALSE)</f>
        <v>Product_324</v>
      </c>
      <c r="E4001" t="str">
        <f>VLOOKUP(B4001,Products!$A:$E,3,FALSE)</f>
        <v>Accessories</v>
      </c>
    </row>
    <row r="4002" spans="1:5" x14ac:dyDescent="0.3">
      <c r="A4002" t="s">
        <v>5012</v>
      </c>
      <c r="B4002" t="s">
        <v>1008</v>
      </c>
      <c r="C4002">
        <v>39</v>
      </c>
      <c r="D4002" t="str">
        <f>VLOOKUP(B4002,Products!$A:$E,2,FALSE)</f>
        <v>Product_500</v>
      </c>
      <c r="E4002" t="str">
        <f>VLOOKUP(B4002,Products!$A:$E,3,FALSE)</f>
        <v>Networking</v>
      </c>
    </row>
    <row r="4003" spans="1:5" x14ac:dyDescent="0.3">
      <c r="A4003" t="s">
        <v>5013</v>
      </c>
      <c r="B4003" t="s">
        <v>216</v>
      </c>
      <c r="C4003">
        <v>47</v>
      </c>
      <c r="D4003" t="str">
        <f>VLOOKUP(B4003,Products!$A:$E,2,FALSE)</f>
        <v>Product_104</v>
      </c>
      <c r="E4003" t="str">
        <f>VLOOKUP(B4003,Products!$A:$E,3,FALSE)</f>
        <v>Networking</v>
      </c>
    </row>
    <row r="4004" spans="1:5" x14ac:dyDescent="0.3">
      <c r="A4004" t="s">
        <v>5014</v>
      </c>
      <c r="B4004" t="s">
        <v>140</v>
      </c>
      <c r="C4004">
        <v>9</v>
      </c>
      <c r="D4004" t="str">
        <f>VLOOKUP(B4004,Products!$A:$E,2,FALSE)</f>
        <v>Product_66</v>
      </c>
      <c r="E4004" t="str">
        <f>VLOOKUP(B4004,Products!$A:$E,3,FALSE)</f>
        <v>Electronics</v>
      </c>
    </row>
    <row r="4005" spans="1:5" x14ac:dyDescent="0.3">
      <c r="A4005" t="s">
        <v>5015</v>
      </c>
      <c r="B4005" t="s">
        <v>718</v>
      </c>
      <c r="C4005">
        <v>77</v>
      </c>
      <c r="D4005" t="str">
        <f>VLOOKUP(B4005,Products!$A:$E,2,FALSE)</f>
        <v>Product_355</v>
      </c>
      <c r="E4005" t="str">
        <f>VLOOKUP(B4005,Products!$A:$E,3,FALSE)</f>
        <v>Accessories</v>
      </c>
    </row>
    <row r="4006" spans="1:5" x14ac:dyDescent="0.3">
      <c r="A4006" t="s">
        <v>5016</v>
      </c>
      <c r="B4006" t="s">
        <v>70</v>
      </c>
      <c r="C4006">
        <v>40</v>
      </c>
      <c r="D4006" t="str">
        <f>VLOOKUP(B4006,Products!$A:$E,2,FALSE)</f>
        <v>Product_31</v>
      </c>
      <c r="E4006" t="str">
        <f>VLOOKUP(B4006,Products!$A:$E,3,FALSE)</f>
        <v>Accessories</v>
      </c>
    </row>
    <row r="4007" spans="1:5" x14ac:dyDescent="0.3">
      <c r="A4007" t="s">
        <v>5017</v>
      </c>
      <c r="B4007" t="s">
        <v>148</v>
      </c>
      <c r="C4007">
        <v>19</v>
      </c>
      <c r="D4007" t="str">
        <f>VLOOKUP(B4007,Products!$A:$E,2,FALSE)</f>
        <v>Product_70</v>
      </c>
      <c r="E4007" t="str">
        <f>VLOOKUP(B4007,Products!$A:$E,3,FALSE)</f>
        <v>Electronics</v>
      </c>
    </row>
    <row r="4008" spans="1:5" x14ac:dyDescent="0.3">
      <c r="A4008" t="s">
        <v>5018</v>
      </c>
      <c r="B4008" t="s">
        <v>882</v>
      </c>
      <c r="C4008">
        <v>64</v>
      </c>
      <c r="D4008" t="str">
        <f>VLOOKUP(B4008,Products!$A:$E,2,FALSE)</f>
        <v>Product_437</v>
      </c>
      <c r="E4008" t="str">
        <f>VLOOKUP(B4008,Products!$A:$E,3,FALSE)</f>
        <v>Accessories</v>
      </c>
    </row>
    <row r="4009" spans="1:5" x14ac:dyDescent="0.3">
      <c r="A4009" t="s">
        <v>5019</v>
      </c>
      <c r="B4009" t="s">
        <v>478</v>
      </c>
      <c r="C4009">
        <v>58</v>
      </c>
      <c r="D4009" t="str">
        <f>VLOOKUP(B4009,Products!$A:$E,2,FALSE)</f>
        <v>Product_235</v>
      </c>
      <c r="E4009" t="str">
        <f>VLOOKUP(B4009,Products!$A:$E,3,FALSE)</f>
        <v>Accessories</v>
      </c>
    </row>
    <row r="4010" spans="1:5" x14ac:dyDescent="0.3">
      <c r="A4010" t="s">
        <v>5020</v>
      </c>
      <c r="B4010" t="s">
        <v>184</v>
      </c>
      <c r="C4010">
        <v>48</v>
      </c>
      <c r="D4010" t="str">
        <f>VLOOKUP(B4010,Products!$A:$E,2,FALSE)</f>
        <v>Product_88</v>
      </c>
      <c r="E4010" t="str">
        <f>VLOOKUP(B4010,Products!$A:$E,3,FALSE)</f>
        <v>Accessories</v>
      </c>
    </row>
    <row r="4011" spans="1:5" x14ac:dyDescent="0.3">
      <c r="A4011" t="s">
        <v>5021</v>
      </c>
      <c r="B4011" t="s">
        <v>234</v>
      </c>
      <c r="C4011">
        <v>42</v>
      </c>
      <c r="D4011" t="str">
        <f>VLOOKUP(B4011,Products!$A:$E,2,FALSE)</f>
        <v>Product_113</v>
      </c>
      <c r="E4011" t="str">
        <f>VLOOKUP(B4011,Products!$A:$E,3,FALSE)</f>
        <v>Electronics</v>
      </c>
    </row>
    <row r="4012" spans="1:5" x14ac:dyDescent="0.3">
      <c r="A4012" t="s">
        <v>5022</v>
      </c>
      <c r="B4012" t="s">
        <v>628</v>
      </c>
      <c r="C4012">
        <v>25</v>
      </c>
      <c r="D4012" t="str">
        <f>VLOOKUP(B4012,Products!$A:$E,2,FALSE)</f>
        <v>Product_310</v>
      </c>
      <c r="E4012" t="str">
        <f>VLOOKUP(B4012,Products!$A:$E,3,FALSE)</f>
        <v>Office Supplies</v>
      </c>
    </row>
    <row r="4013" spans="1:5" x14ac:dyDescent="0.3">
      <c r="A4013" t="s">
        <v>5023</v>
      </c>
      <c r="B4013" t="s">
        <v>818</v>
      </c>
      <c r="C4013">
        <v>86</v>
      </c>
      <c r="D4013" t="str">
        <f>VLOOKUP(B4013,Products!$A:$E,2,FALSE)</f>
        <v>Product_405</v>
      </c>
      <c r="E4013" t="str">
        <f>VLOOKUP(B4013,Products!$A:$E,3,FALSE)</f>
        <v>Electronics</v>
      </c>
    </row>
    <row r="4014" spans="1:5" x14ac:dyDescent="0.3">
      <c r="A4014" t="s">
        <v>5024</v>
      </c>
      <c r="B4014" t="s">
        <v>984</v>
      </c>
      <c r="C4014">
        <v>83</v>
      </c>
      <c r="D4014" t="str">
        <f>VLOOKUP(B4014,Products!$A:$E,2,FALSE)</f>
        <v>Product_488</v>
      </c>
      <c r="E4014" t="str">
        <f>VLOOKUP(B4014,Products!$A:$E,3,FALSE)</f>
        <v>Accessories</v>
      </c>
    </row>
    <row r="4015" spans="1:5" x14ac:dyDescent="0.3">
      <c r="A4015" t="s">
        <v>5025</v>
      </c>
      <c r="B4015" t="s">
        <v>936</v>
      </c>
      <c r="C4015">
        <v>26</v>
      </c>
      <c r="D4015" t="str">
        <f>VLOOKUP(B4015,Products!$A:$E,2,FALSE)</f>
        <v>Product_464</v>
      </c>
      <c r="E4015" t="str">
        <f>VLOOKUP(B4015,Products!$A:$E,3,FALSE)</f>
        <v>Office Supplies</v>
      </c>
    </row>
    <row r="4016" spans="1:5" x14ac:dyDescent="0.3">
      <c r="A4016" t="s">
        <v>5026</v>
      </c>
      <c r="B4016" t="s">
        <v>600</v>
      </c>
      <c r="C4016">
        <v>75</v>
      </c>
      <c r="D4016" t="str">
        <f>VLOOKUP(B4016,Products!$A:$E,2,FALSE)</f>
        <v>Product_296</v>
      </c>
      <c r="E4016" t="str">
        <f>VLOOKUP(B4016,Products!$A:$E,3,FALSE)</f>
        <v>Office Supplies</v>
      </c>
    </row>
    <row r="4017" spans="1:5" x14ac:dyDescent="0.3">
      <c r="A4017" t="s">
        <v>5027</v>
      </c>
      <c r="B4017" t="s">
        <v>884</v>
      </c>
      <c r="C4017">
        <v>34</v>
      </c>
      <c r="D4017" t="str">
        <f>VLOOKUP(B4017,Products!$A:$E,2,FALSE)</f>
        <v>Product_438</v>
      </c>
      <c r="E4017" t="str">
        <f>VLOOKUP(B4017,Products!$A:$E,3,FALSE)</f>
        <v>Electronics</v>
      </c>
    </row>
    <row r="4018" spans="1:5" x14ac:dyDescent="0.3">
      <c r="A4018" t="s">
        <v>5028</v>
      </c>
      <c r="B4018" t="s">
        <v>98</v>
      </c>
      <c r="C4018">
        <v>57</v>
      </c>
      <c r="D4018" t="str">
        <f>VLOOKUP(B4018,Products!$A:$E,2,FALSE)</f>
        <v>Product_45</v>
      </c>
      <c r="E4018" t="str">
        <f>VLOOKUP(B4018,Products!$A:$E,3,FALSE)</f>
        <v>Accessories</v>
      </c>
    </row>
    <row r="4019" spans="1:5" x14ac:dyDescent="0.3">
      <c r="A4019" t="s">
        <v>5029</v>
      </c>
      <c r="B4019" t="s">
        <v>886</v>
      </c>
      <c r="C4019">
        <v>71</v>
      </c>
      <c r="D4019" t="str">
        <f>VLOOKUP(B4019,Products!$A:$E,2,FALSE)</f>
        <v>Product_439</v>
      </c>
      <c r="E4019" t="str">
        <f>VLOOKUP(B4019,Products!$A:$E,3,FALSE)</f>
        <v>Networking</v>
      </c>
    </row>
    <row r="4020" spans="1:5" x14ac:dyDescent="0.3">
      <c r="A4020" t="s">
        <v>5030</v>
      </c>
      <c r="B4020" t="s">
        <v>510</v>
      </c>
      <c r="C4020">
        <v>32</v>
      </c>
      <c r="D4020" t="str">
        <f>VLOOKUP(B4020,Products!$A:$E,2,FALSE)</f>
        <v>Product_251</v>
      </c>
      <c r="E4020" t="str">
        <f>VLOOKUP(B4020,Products!$A:$E,3,FALSE)</f>
        <v>Electronics</v>
      </c>
    </row>
    <row r="4021" spans="1:5" x14ac:dyDescent="0.3">
      <c r="A4021" t="s">
        <v>5031</v>
      </c>
      <c r="B4021" t="s">
        <v>614</v>
      </c>
      <c r="C4021">
        <v>65</v>
      </c>
      <c r="D4021" t="str">
        <f>VLOOKUP(B4021,Products!$A:$E,2,FALSE)</f>
        <v>Product_303</v>
      </c>
      <c r="E4021" t="str">
        <f>VLOOKUP(B4021,Products!$A:$E,3,FALSE)</f>
        <v>Networking</v>
      </c>
    </row>
    <row r="4022" spans="1:5" x14ac:dyDescent="0.3">
      <c r="A4022" t="s">
        <v>5032</v>
      </c>
      <c r="B4022" t="s">
        <v>866</v>
      </c>
      <c r="C4022">
        <v>64</v>
      </c>
      <c r="D4022" t="str">
        <f>VLOOKUP(B4022,Products!$A:$E,2,FALSE)</f>
        <v>Product_429</v>
      </c>
      <c r="E4022" t="str">
        <f>VLOOKUP(B4022,Products!$A:$E,3,FALSE)</f>
        <v>Office Supplies</v>
      </c>
    </row>
    <row r="4023" spans="1:5" x14ac:dyDescent="0.3">
      <c r="A4023" t="s">
        <v>5033</v>
      </c>
      <c r="B4023" t="s">
        <v>294</v>
      </c>
      <c r="C4023">
        <v>6</v>
      </c>
      <c r="D4023" t="str">
        <f>VLOOKUP(B4023,Products!$A:$E,2,FALSE)</f>
        <v>Product_143</v>
      </c>
      <c r="E4023" t="str">
        <f>VLOOKUP(B4023,Products!$A:$E,3,FALSE)</f>
        <v>Office Supplies</v>
      </c>
    </row>
    <row r="4024" spans="1:5" x14ac:dyDescent="0.3">
      <c r="A4024" t="s">
        <v>5034</v>
      </c>
      <c r="B4024" t="s">
        <v>756</v>
      </c>
      <c r="C4024">
        <v>59</v>
      </c>
      <c r="D4024" t="str">
        <f>VLOOKUP(B4024,Products!$A:$E,2,FALSE)</f>
        <v>Product_374</v>
      </c>
      <c r="E4024" t="str">
        <f>VLOOKUP(B4024,Products!$A:$E,3,FALSE)</f>
        <v>Office Supplies</v>
      </c>
    </row>
    <row r="4025" spans="1:5" x14ac:dyDescent="0.3">
      <c r="A4025" t="s">
        <v>5035</v>
      </c>
      <c r="B4025" t="s">
        <v>762</v>
      </c>
      <c r="C4025">
        <v>36</v>
      </c>
      <c r="D4025" t="str">
        <f>VLOOKUP(B4025,Products!$A:$E,2,FALSE)</f>
        <v>Product_377</v>
      </c>
      <c r="E4025" t="str">
        <f>VLOOKUP(B4025,Products!$A:$E,3,FALSE)</f>
        <v>Networking</v>
      </c>
    </row>
    <row r="4026" spans="1:5" x14ac:dyDescent="0.3">
      <c r="A4026" t="s">
        <v>5036</v>
      </c>
      <c r="B4026" t="s">
        <v>262</v>
      </c>
      <c r="C4026">
        <v>46</v>
      </c>
      <c r="D4026" t="str">
        <f>VLOOKUP(B4026,Products!$A:$E,2,FALSE)</f>
        <v>Product_127</v>
      </c>
      <c r="E4026" t="str">
        <f>VLOOKUP(B4026,Products!$A:$E,3,FALSE)</f>
        <v>Networking</v>
      </c>
    </row>
    <row r="4027" spans="1:5" x14ac:dyDescent="0.3">
      <c r="A4027" t="s">
        <v>5037</v>
      </c>
      <c r="B4027" t="s">
        <v>454</v>
      </c>
      <c r="C4027">
        <v>79</v>
      </c>
      <c r="D4027" t="str">
        <f>VLOOKUP(B4027,Products!$A:$E,2,FALSE)</f>
        <v>Product_223</v>
      </c>
      <c r="E4027" t="str">
        <f>VLOOKUP(B4027,Products!$A:$E,3,FALSE)</f>
        <v>Storage</v>
      </c>
    </row>
    <row r="4028" spans="1:5" x14ac:dyDescent="0.3">
      <c r="A4028" t="s">
        <v>5038</v>
      </c>
      <c r="B4028" t="s">
        <v>236</v>
      </c>
      <c r="C4028">
        <v>80</v>
      </c>
      <c r="D4028" t="str">
        <f>VLOOKUP(B4028,Products!$A:$E,2,FALSE)</f>
        <v>Product_114</v>
      </c>
      <c r="E4028" t="str">
        <f>VLOOKUP(B4028,Products!$A:$E,3,FALSE)</f>
        <v>Electronics</v>
      </c>
    </row>
    <row r="4029" spans="1:5" x14ac:dyDescent="0.3">
      <c r="A4029" t="s">
        <v>5039</v>
      </c>
      <c r="B4029" t="s">
        <v>978</v>
      </c>
      <c r="C4029">
        <v>24</v>
      </c>
      <c r="D4029" t="str">
        <f>VLOOKUP(B4029,Products!$A:$E,2,FALSE)</f>
        <v>Product_485</v>
      </c>
      <c r="E4029" t="str">
        <f>VLOOKUP(B4029,Products!$A:$E,3,FALSE)</f>
        <v>Networking</v>
      </c>
    </row>
    <row r="4030" spans="1:5" x14ac:dyDescent="0.3">
      <c r="A4030" t="s">
        <v>5040</v>
      </c>
      <c r="B4030" t="s">
        <v>944</v>
      </c>
      <c r="C4030">
        <v>78</v>
      </c>
      <c r="D4030" t="str">
        <f>VLOOKUP(B4030,Products!$A:$E,2,FALSE)</f>
        <v>Product_468</v>
      </c>
      <c r="E4030" t="str">
        <f>VLOOKUP(B4030,Products!$A:$E,3,FALSE)</f>
        <v>Office Supplies</v>
      </c>
    </row>
    <row r="4031" spans="1:5" x14ac:dyDescent="0.3">
      <c r="A4031" t="s">
        <v>5041</v>
      </c>
      <c r="B4031" t="s">
        <v>928</v>
      </c>
      <c r="C4031">
        <v>5</v>
      </c>
      <c r="D4031" t="str">
        <f>VLOOKUP(B4031,Products!$A:$E,2,FALSE)</f>
        <v>Product_460</v>
      </c>
      <c r="E4031" t="str">
        <f>VLOOKUP(B4031,Products!$A:$E,3,FALSE)</f>
        <v>Accessories</v>
      </c>
    </row>
    <row r="4032" spans="1:5" x14ac:dyDescent="0.3">
      <c r="A4032" t="s">
        <v>5042</v>
      </c>
      <c r="B4032" t="s">
        <v>436</v>
      </c>
      <c r="C4032">
        <v>10</v>
      </c>
      <c r="D4032" t="str">
        <f>VLOOKUP(B4032,Products!$A:$E,2,FALSE)</f>
        <v>Product_214</v>
      </c>
      <c r="E4032" t="str">
        <f>VLOOKUP(B4032,Products!$A:$E,3,FALSE)</f>
        <v>Electronics</v>
      </c>
    </row>
    <row r="4033" spans="1:5" x14ac:dyDescent="0.3">
      <c r="A4033" t="s">
        <v>5043</v>
      </c>
      <c r="B4033" t="s">
        <v>50</v>
      </c>
      <c r="C4033">
        <v>65</v>
      </c>
      <c r="D4033" t="str">
        <f>VLOOKUP(B4033,Products!$A:$E,2,FALSE)</f>
        <v>Product_21</v>
      </c>
      <c r="E4033" t="str">
        <f>VLOOKUP(B4033,Products!$A:$E,3,FALSE)</f>
        <v>Office Supplies</v>
      </c>
    </row>
    <row r="4034" spans="1:5" x14ac:dyDescent="0.3">
      <c r="A4034" t="s">
        <v>5044</v>
      </c>
      <c r="B4034" t="s">
        <v>760</v>
      </c>
      <c r="C4034">
        <v>69</v>
      </c>
      <c r="D4034" t="str">
        <f>VLOOKUP(B4034,Products!$A:$E,2,FALSE)</f>
        <v>Product_376</v>
      </c>
      <c r="E4034" t="str">
        <f>VLOOKUP(B4034,Products!$A:$E,3,FALSE)</f>
        <v>Networking</v>
      </c>
    </row>
    <row r="4035" spans="1:5" x14ac:dyDescent="0.3">
      <c r="A4035" t="s">
        <v>5045</v>
      </c>
      <c r="B4035" t="s">
        <v>44</v>
      </c>
      <c r="C4035">
        <v>59</v>
      </c>
      <c r="D4035" t="str">
        <f>VLOOKUP(B4035,Products!$A:$E,2,FALSE)</f>
        <v>Product_18</v>
      </c>
      <c r="E4035" t="str">
        <f>VLOOKUP(B4035,Products!$A:$E,3,FALSE)</f>
        <v>Networking</v>
      </c>
    </row>
    <row r="4036" spans="1:5" x14ac:dyDescent="0.3">
      <c r="A4036" t="s">
        <v>5046</v>
      </c>
      <c r="B4036" t="s">
        <v>552</v>
      </c>
      <c r="C4036">
        <v>55</v>
      </c>
      <c r="D4036" t="str">
        <f>VLOOKUP(B4036,Products!$A:$E,2,FALSE)</f>
        <v>Product_272</v>
      </c>
      <c r="E4036" t="str">
        <f>VLOOKUP(B4036,Products!$A:$E,3,FALSE)</f>
        <v>Office Supplies</v>
      </c>
    </row>
    <row r="4037" spans="1:5" x14ac:dyDescent="0.3">
      <c r="A4037" t="s">
        <v>5047</v>
      </c>
      <c r="B4037" t="s">
        <v>500</v>
      </c>
      <c r="C4037">
        <v>94</v>
      </c>
      <c r="D4037" t="str">
        <f>VLOOKUP(B4037,Products!$A:$E,2,FALSE)</f>
        <v>Product_246</v>
      </c>
      <c r="E4037" t="str">
        <f>VLOOKUP(B4037,Products!$A:$E,3,FALSE)</f>
        <v>Electronics</v>
      </c>
    </row>
    <row r="4038" spans="1:5" x14ac:dyDescent="0.3">
      <c r="A4038" t="s">
        <v>5048</v>
      </c>
      <c r="B4038" t="s">
        <v>850</v>
      </c>
      <c r="C4038">
        <v>17</v>
      </c>
      <c r="D4038" t="str">
        <f>VLOOKUP(B4038,Products!$A:$E,2,FALSE)</f>
        <v>Product_421</v>
      </c>
      <c r="E4038" t="str">
        <f>VLOOKUP(B4038,Products!$A:$E,3,FALSE)</f>
        <v>Accessories</v>
      </c>
    </row>
    <row r="4039" spans="1:5" x14ac:dyDescent="0.3">
      <c r="A4039" t="s">
        <v>5049</v>
      </c>
      <c r="B4039" t="s">
        <v>472</v>
      </c>
      <c r="C4039">
        <v>68</v>
      </c>
      <c r="D4039" t="str">
        <f>VLOOKUP(B4039,Products!$A:$E,2,FALSE)</f>
        <v>Product_232</v>
      </c>
      <c r="E4039" t="str">
        <f>VLOOKUP(B4039,Products!$A:$E,3,FALSE)</f>
        <v>Office Supplies</v>
      </c>
    </row>
    <row r="4040" spans="1:5" x14ac:dyDescent="0.3">
      <c r="A4040" t="s">
        <v>5050</v>
      </c>
      <c r="B4040" t="s">
        <v>256</v>
      </c>
      <c r="C4040">
        <v>15</v>
      </c>
      <c r="D4040" t="str">
        <f>VLOOKUP(B4040,Products!$A:$E,2,FALSE)</f>
        <v>Product_124</v>
      </c>
      <c r="E4040" t="str">
        <f>VLOOKUP(B4040,Products!$A:$E,3,FALSE)</f>
        <v>Storage</v>
      </c>
    </row>
    <row r="4041" spans="1:5" x14ac:dyDescent="0.3">
      <c r="A4041" t="s">
        <v>5051</v>
      </c>
      <c r="B4041" t="s">
        <v>580</v>
      </c>
      <c r="C4041">
        <v>6</v>
      </c>
      <c r="D4041" t="str">
        <f>VLOOKUP(B4041,Products!$A:$E,2,FALSE)</f>
        <v>Product_286</v>
      </c>
      <c r="E4041" t="str">
        <f>VLOOKUP(B4041,Products!$A:$E,3,FALSE)</f>
        <v>Storage</v>
      </c>
    </row>
    <row r="4042" spans="1:5" x14ac:dyDescent="0.3">
      <c r="A4042" t="s">
        <v>5052</v>
      </c>
      <c r="B4042" t="s">
        <v>718</v>
      </c>
      <c r="C4042">
        <v>98</v>
      </c>
      <c r="D4042" t="str">
        <f>VLOOKUP(B4042,Products!$A:$E,2,FALSE)</f>
        <v>Product_355</v>
      </c>
      <c r="E4042" t="str">
        <f>VLOOKUP(B4042,Products!$A:$E,3,FALSE)</f>
        <v>Accessories</v>
      </c>
    </row>
    <row r="4043" spans="1:5" x14ac:dyDescent="0.3">
      <c r="A4043" t="s">
        <v>5053</v>
      </c>
      <c r="B4043" t="s">
        <v>426</v>
      </c>
      <c r="C4043">
        <v>32</v>
      </c>
      <c r="D4043" t="str">
        <f>VLOOKUP(B4043,Products!$A:$E,2,FALSE)</f>
        <v>Product_209</v>
      </c>
      <c r="E4043" t="str">
        <f>VLOOKUP(B4043,Products!$A:$E,3,FALSE)</f>
        <v>Networking</v>
      </c>
    </row>
    <row r="4044" spans="1:5" x14ac:dyDescent="0.3">
      <c r="A4044" t="s">
        <v>5054</v>
      </c>
      <c r="B4044" t="s">
        <v>144</v>
      </c>
      <c r="C4044">
        <v>50</v>
      </c>
      <c r="D4044" t="str">
        <f>VLOOKUP(B4044,Products!$A:$E,2,FALSE)</f>
        <v>Product_68</v>
      </c>
      <c r="E4044" t="str">
        <f>VLOOKUP(B4044,Products!$A:$E,3,FALSE)</f>
        <v>Accessories</v>
      </c>
    </row>
    <row r="4045" spans="1:5" x14ac:dyDescent="0.3">
      <c r="A4045" t="s">
        <v>5055</v>
      </c>
      <c r="B4045" t="s">
        <v>312</v>
      </c>
      <c r="C4045">
        <v>35</v>
      </c>
      <c r="D4045" t="str">
        <f>VLOOKUP(B4045,Products!$A:$E,2,FALSE)</f>
        <v>Product_152</v>
      </c>
      <c r="E4045" t="str">
        <f>VLOOKUP(B4045,Products!$A:$E,3,FALSE)</f>
        <v>Storage</v>
      </c>
    </row>
    <row r="4046" spans="1:5" x14ac:dyDescent="0.3">
      <c r="A4046" t="s">
        <v>5056</v>
      </c>
      <c r="B4046" t="s">
        <v>672</v>
      </c>
      <c r="C4046">
        <v>16</v>
      </c>
      <c r="D4046" t="str">
        <f>VLOOKUP(B4046,Products!$A:$E,2,FALSE)</f>
        <v>Product_332</v>
      </c>
      <c r="E4046" t="str">
        <f>VLOOKUP(B4046,Products!$A:$E,3,FALSE)</f>
        <v>Electronics</v>
      </c>
    </row>
    <row r="4047" spans="1:5" x14ac:dyDescent="0.3">
      <c r="A4047" t="s">
        <v>5057</v>
      </c>
      <c r="B4047" t="s">
        <v>26</v>
      </c>
      <c r="C4047">
        <v>66</v>
      </c>
      <c r="D4047" t="str">
        <f>VLOOKUP(B4047,Products!$A:$E,2,FALSE)</f>
        <v>Product_9</v>
      </c>
      <c r="E4047" t="str">
        <f>VLOOKUP(B4047,Products!$A:$E,3,FALSE)</f>
        <v>Storage</v>
      </c>
    </row>
    <row r="4048" spans="1:5" x14ac:dyDescent="0.3">
      <c r="A4048" t="s">
        <v>5058</v>
      </c>
      <c r="B4048" t="s">
        <v>694</v>
      </c>
      <c r="C4048">
        <v>44</v>
      </c>
      <c r="D4048" t="str">
        <f>VLOOKUP(B4048,Products!$A:$E,2,FALSE)</f>
        <v>Product_343</v>
      </c>
      <c r="E4048" t="str">
        <f>VLOOKUP(B4048,Products!$A:$E,3,FALSE)</f>
        <v>Office Supplies</v>
      </c>
    </row>
    <row r="4049" spans="1:5" x14ac:dyDescent="0.3">
      <c r="A4049" t="s">
        <v>5059</v>
      </c>
      <c r="B4049" t="s">
        <v>174</v>
      </c>
      <c r="C4049">
        <v>95</v>
      </c>
      <c r="D4049" t="str">
        <f>VLOOKUP(B4049,Products!$A:$E,2,FALSE)</f>
        <v>Product_83</v>
      </c>
      <c r="E4049" t="str">
        <f>VLOOKUP(B4049,Products!$A:$E,3,FALSE)</f>
        <v>Accessories</v>
      </c>
    </row>
    <row r="4050" spans="1:5" x14ac:dyDescent="0.3">
      <c r="A4050" t="s">
        <v>5060</v>
      </c>
      <c r="B4050" t="s">
        <v>480</v>
      </c>
      <c r="C4050">
        <v>78</v>
      </c>
      <c r="D4050" t="str">
        <f>VLOOKUP(B4050,Products!$A:$E,2,FALSE)</f>
        <v>Product_236</v>
      </c>
      <c r="E4050" t="str">
        <f>VLOOKUP(B4050,Products!$A:$E,3,FALSE)</f>
        <v>Networking</v>
      </c>
    </row>
    <row r="4051" spans="1:5" x14ac:dyDescent="0.3">
      <c r="A4051" t="s">
        <v>5061</v>
      </c>
      <c r="B4051" t="s">
        <v>774</v>
      </c>
      <c r="C4051">
        <v>79</v>
      </c>
      <c r="D4051" t="str">
        <f>VLOOKUP(B4051,Products!$A:$E,2,FALSE)</f>
        <v>Product_383</v>
      </c>
      <c r="E4051" t="str">
        <f>VLOOKUP(B4051,Products!$A:$E,3,FALSE)</f>
        <v>Electronics</v>
      </c>
    </row>
    <row r="4052" spans="1:5" x14ac:dyDescent="0.3">
      <c r="A4052" t="s">
        <v>5062</v>
      </c>
      <c r="B4052" t="s">
        <v>34</v>
      </c>
      <c r="C4052">
        <v>63</v>
      </c>
      <c r="D4052" t="str">
        <f>VLOOKUP(B4052,Products!$A:$E,2,FALSE)</f>
        <v>Product_13</v>
      </c>
      <c r="E4052" t="str">
        <f>VLOOKUP(B4052,Products!$A:$E,3,FALSE)</f>
        <v>Office Supplies</v>
      </c>
    </row>
    <row r="4053" spans="1:5" x14ac:dyDescent="0.3">
      <c r="A4053" t="s">
        <v>5063</v>
      </c>
      <c r="B4053" t="s">
        <v>484</v>
      </c>
      <c r="C4053">
        <v>22</v>
      </c>
      <c r="D4053" t="str">
        <f>VLOOKUP(B4053,Products!$A:$E,2,FALSE)</f>
        <v>Product_238</v>
      </c>
      <c r="E4053" t="str">
        <f>VLOOKUP(B4053,Products!$A:$E,3,FALSE)</f>
        <v>Accessories</v>
      </c>
    </row>
    <row r="4054" spans="1:5" x14ac:dyDescent="0.3">
      <c r="A4054" t="s">
        <v>5064</v>
      </c>
      <c r="B4054" t="s">
        <v>904</v>
      </c>
      <c r="C4054">
        <v>95</v>
      </c>
      <c r="D4054" t="str">
        <f>VLOOKUP(B4054,Products!$A:$E,2,FALSE)</f>
        <v>Product_448</v>
      </c>
      <c r="E4054" t="str">
        <f>VLOOKUP(B4054,Products!$A:$E,3,FALSE)</f>
        <v>Networking</v>
      </c>
    </row>
    <row r="4055" spans="1:5" x14ac:dyDescent="0.3">
      <c r="A4055" t="s">
        <v>5065</v>
      </c>
      <c r="B4055" t="s">
        <v>424</v>
      </c>
      <c r="C4055">
        <v>28</v>
      </c>
      <c r="D4055" t="str">
        <f>VLOOKUP(B4055,Products!$A:$E,2,FALSE)</f>
        <v>Product_208</v>
      </c>
      <c r="E4055" t="str">
        <f>VLOOKUP(B4055,Products!$A:$E,3,FALSE)</f>
        <v>Electronics</v>
      </c>
    </row>
    <row r="4056" spans="1:5" x14ac:dyDescent="0.3">
      <c r="A4056" t="s">
        <v>5066</v>
      </c>
      <c r="B4056" t="s">
        <v>818</v>
      </c>
      <c r="C4056">
        <v>52</v>
      </c>
      <c r="D4056" t="str">
        <f>VLOOKUP(B4056,Products!$A:$E,2,FALSE)</f>
        <v>Product_405</v>
      </c>
      <c r="E4056" t="str">
        <f>VLOOKUP(B4056,Products!$A:$E,3,FALSE)</f>
        <v>Electronics</v>
      </c>
    </row>
    <row r="4057" spans="1:5" x14ac:dyDescent="0.3">
      <c r="A4057" t="s">
        <v>5067</v>
      </c>
      <c r="B4057" t="s">
        <v>650</v>
      </c>
      <c r="C4057">
        <v>64</v>
      </c>
      <c r="D4057" t="str">
        <f>VLOOKUP(B4057,Products!$A:$E,2,FALSE)</f>
        <v>Product_321</v>
      </c>
      <c r="E4057" t="str">
        <f>VLOOKUP(B4057,Products!$A:$E,3,FALSE)</f>
        <v>Electronics</v>
      </c>
    </row>
    <row r="4058" spans="1:5" x14ac:dyDescent="0.3">
      <c r="A4058" t="s">
        <v>5068</v>
      </c>
      <c r="B4058" t="s">
        <v>730</v>
      </c>
      <c r="C4058">
        <v>86</v>
      </c>
      <c r="D4058" t="str">
        <f>VLOOKUP(B4058,Products!$A:$E,2,FALSE)</f>
        <v>Product_361</v>
      </c>
      <c r="E4058" t="str">
        <f>VLOOKUP(B4058,Products!$A:$E,3,FALSE)</f>
        <v>Office Supplies</v>
      </c>
    </row>
    <row r="4059" spans="1:5" x14ac:dyDescent="0.3">
      <c r="A4059" t="s">
        <v>5069</v>
      </c>
      <c r="B4059" t="s">
        <v>5</v>
      </c>
      <c r="C4059">
        <v>85</v>
      </c>
      <c r="D4059" t="str">
        <f>VLOOKUP(B4059,Products!$A:$E,2,FALSE)</f>
        <v>Product_1</v>
      </c>
      <c r="E4059" t="str">
        <f>VLOOKUP(B4059,Products!$A:$E,3,FALSE)</f>
        <v>Electronics</v>
      </c>
    </row>
    <row r="4060" spans="1:5" x14ac:dyDescent="0.3">
      <c r="A4060" t="s">
        <v>5070</v>
      </c>
      <c r="B4060" t="s">
        <v>82</v>
      </c>
      <c r="C4060">
        <v>54</v>
      </c>
      <c r="D4060" t="str">
        <f>VLOOKUP(B4060,Products!$A:$E,2,FALSE)</f>
        <v>Product_37</v>
      </c>
      <c r="E4060" t="str">
        <f>VLOOKUP(B4060,Products!$A:$E,3,FALSE)</f>
        <v>Storage</v>
      </c>
    </row>
    <row r="4061" spans="1:5" x14ac:dyDescent="0.3">
      <c r="A4061" t="s">
        <v>5071</v>
      </c>
      <c r="B4061" t="s">
        <v>924</v>
      </c>
      <c r="C4061">
        <v>93</v>
      </c>
      <c r="D4061" t="str">
        <f>VLOOKUP(B4061,Products!$A:$E,2,FALSE)</f>
        <v>Product_458</v>
      </c>
      <c r="E4061" t="str">
        <f>VLOOKUP(B4061,Products!$A:$E,3,FALSE)</f>
        <v>Accessories</v>
      </c>
    </row>
    <row r="4062" spans="1:5" x14ac:dyDescent="0.3">
      <c r="A4062" t="s">
        <v>5072</v>
      </c>
      <c r="B4062" t="s">
        <v>350</v>
      </c>
      <c r="C4062">
        <v>72</v>
      </c>
      <c r="D4062" t="str">
        <f>VLOOKUP(B4062,Products!$A:$E,2,FALSE)</f>
        <v>Product_171</v>
      </c>
      <c r="E4062" t="str">
        <f>VLOOKUP(B4062,Products!$A:$E,3,FALSE)</f>
        <v>Electronics</v>
      </c>
    </row>
    <row r="4063" spans="1:5" x14ac:dyDescent="0.3">
      <c r="A4063" t="s">
        <v>5073</v>
      </c>
      <c r="B4063" t="s">
        <v>42</v>
      </c>
      <c r="C4063">
        <v>42</v>
      </c>
      <c r="D4063" t="str">
        <f>VLOOKUP(B4063,Products!$A:$E,2,FALSE)</f>
        <v>Product_17</v>
      </c>
      <c r="E4063" t="str">
        <f>VLOOKUP(B4063,Products!$A:$E,3,FALSE)</f>
        <v>Office Supplies</v>
      </c>
    </row>
    <row r="4064" spans="1:5" x14ac:dyDescent="0.3">
      <c r="A4064" t="s">
        <v>5074</v>
      </c>
      <c r="B4064" t="s">
        <v>446</v>
      </c>
      <c r="C4064">
        <v>39</v>
      </c>
      <c r="D4064" t="str">
        <f>VLOOKUP(B4064,Products!$A:$E,2,FALSE)</f>
        <v>Product_219</v>
      </c>
      <c r="E4064" t="str">
        <f>VLOOKUP(B4064,Products!$A:$E,3,FALSE)</f>
        <v>Accessories</v>
      </c>
    </row>
    <row r="4065" spans="1:5" x14ac:dyDescent="0.3">
      <c r="A4065" t="s">
        <v>5075</v>
      </c>
      <c r="B4065" t="s">
        <v>724</v>
      </c>
      <c r="C4065">
        <v>83</v>
      </c>
      <c r="D4065" t="str">
        <f>VLOOKUP(B4065,Products!$A:$E,2,FALSE)</f>
        <v>Product_358</v>
      </c>
      <c r="E4065" t="str">
        <f>VLOOKUP(B4065,Products!$A:$E,3,FALSE)</f>
        <v>Storage</v>
      </c>
    </row>
    <row r="4066" spans="1:5" x14ac:dyDescent="0.3">
      <c r="A4066" t="s">
        <v>5076</v>
      </c>
      <c r="B4066" t="s">
        <v>564</v>
      </c>
      <c r="C4066">
        <v>78</v>
      </c>
      <c r="D4066" t="str">
        <f>VLOOKUP(B4066,Products!$A:$E,2,FALSE)</f>
        <v>Product_278</v>
      </c>
      <c r="E4066" t="str">
        <f>VLOOKUP(B4066,Products!$A:$E,3,FALSE)</f>
        <v>Electronics</v>
      </c>
    </row>
    <row r="4067" spans="1:5" x14ac:dyDescent="0.3">
      <c r="A4067" t="s">
        <v>5077</v>
      </c>
      <c r="B4067" t="s">
        <v>822</v>
      </c>
      <c r="C4067">
        <v>31</v>
      </c>
      <c r="D4067" t="str">
        <f>VLOOKUP(B4067,Products!$A:$E,2,FALSE)</f>
        <v>Product_407</v>
      </c>
      <c r="E4067" t="str">
        <f>VLOOKUP(B4067,Products!$A:$E,3,FALSE)</f>
        <v>Networking</v>
      </c>
    </row>
    <row r="4068" spans="1:5" x14ac:dyDescent="0.3">
      <c r="A4068" t="s">
        <v>5078</v>
      </c>
      <c r="B4068" t="s">
        <v>816</v>
      </c>
      <c r="C4068">
        <v>92</v>
      </c>
      <c r="D4068" t="str">
        <f>VLOOKUP(B4068,Products!$A:$E,2,FALSE)</f>
        <v>Product_404</v>
      </c>
      <c r="E4068" t="str">
        <f>VLOOKUP(B4068,Products!$A:$E,3,FALSE)</f>
        <v>Storage</v>
      </c>
    </row>
    <row r="4069" spans="1:5" x14ac:dyDescent="0.3">
      <c r="A4069" t="s">
        <v>5079</v>
      </c>
      <c r="B4069" t="s">
        <v>92</v>
      </c>
      <c r="C4069">
        <v>84</v>
      </c>
      <c r="D4069" t="str">
        <f>VLOOKUP(B4069,Products!$A:$E,2,FALSE)</f>
        <v>Product_42</v>
      </c>
      <c r="E4069" t="str">
        <f>VLOOKUP(B4069,Products!$A:$E,3,FALSE)</f>
        <v>Storage</v>
      </c>
    </row>
    <row r="4070" spans="1:5" x14ac:dyDescent="0.3">
      <c r="A4070" t="s">
        <v>5080</v>
      </c>
      <c r="B4070" t="s">
        <v>910</v>
      </c>
      <c r="C4070">
        <v>47</v>
      </c>
      <c r="D4070" t="str">
        <f>VLOOKUP(B4070,Products!$A:$E,2,FALSE)</f>
        <v>Product_451</v>
      </c>
      <c r="E4070" t="str">
        <f>VLOOKUP(B4070,Products!$A:$E,3,FALSE)</f>
        <v>Accessories</v>
      </c>
    </row>
    <row r="4071" spans="1:5" x14ac:dyDescent="0.3">
      <c r="A4071" t="s">
        <v>5081</v>
      </c>
      <c r="B4071" t="s">
        <v>762</v>
      </c>
      <c r="C4071">
        <v>12</v>
      </c>
      <c r="D4071" t="str">
        <f>VLOOKUP(B4071,Products!$A:$E,2,FALSE)</f>
        <v>Product_377</v>
      </c>
      <c r="E4071" t="str">
        <f>VLOOKUP(B4071,Products!$A:$E,3,FALSE)</f>
        <v>Networking</v>
      </c>
    </row>
    <row r="4072" spans="1:5" x14ac:dyDescent="0.3">
      <c r="A4072" t="s">
        <v>5082</v>
      </c>
      <c r="B4072" t="s">
        <v>536</v>
      </c>
      <c r="C4072">
        <v>91</v>
      </c>
      <c r="D4072" t="str">
        <f>VLOOKUP(B4072,Products!$A:$E,2,FALSE)</f>
        <v>Product_264</v>
      </c>
      <c r="E4072" t="str">
        <f>VLOOKUP(B4072,Products!$A:$E,3,FALSE)</f>
        <v>Electronics</v>
      </c>
    </row>
    <row r="4073" spans="1:5" x14ac:dyDescent="0.3">
      <c r="A4073" t="s">
        <v>5083</v>
      </c>
      <c r="B4073" t="s">
        <v>382</v>
      </c>
      <c r="C4073">
        <v>11</v>
      </c>
      <c r="D4073" t="str">
        <f>VLOOKUP(B4073,Products!$A:$E,2,FALSE)</f>
        <v>Product_187</v>
      </c>
      <c r="E4073" t="str">
        <f>VLOOKUP(B4073,Products!$A:$E,3,FALSE)</f>
        <v>Electronics</v>
      </c>
    </row>
    <row r="4074" spans="1:5" x14ac:dyDescent="0.3">
      <c r="A4074" t="s">
        <v>5084</v>
      </c>
      <c r="B4074" t="s">
        <v>122</v>
      </c>
      <c r="C4074">
        <v>54</v>
      </c>
      <c r="D4074" t="str">
        <f>VLOOKUP(B4074,Products!$A:$E,2,FALSE)</f>
        <v>Product_57</v>
      </c>
      <c r="E4074" t="str">
        <f>VLOOKUP(B4074,Products!$A:$E,3,FALSE)</f>
        <v>Electronics</v>
      </c>
    </row>
    <row r="4075" spans="1:5" x14ac:dyDescent="0.3">
      <c r="A4075" t="s">
        <v>5085</v>
      </c>
      <c r="B4075" t="s">
        <v>384</v>
      </c>
      <c r="C4075">
        <v>64</v>
      </c>
      <c r="D4075" t="str">
        <f>VLOOKUP(B4075,Products!$A:$E,2,FALSE)</f>
        <v>Product_188</v>
      </c>
      <c r="E4075" t="str">
        <f>VLOOKUP(B4075,Products!$A:$E,3,FALSE)</f>
        <v>Office Supplies</v>
      </c>
    </row>
    <row r="4076" spans="1:5" x14ac:dyDescent="0.3">
      <c r="A4076" t="s">
        <v>5086</v>
      </c>
      <c r="B4076" t="s">
        <v>642</v>
      </c>
      <c r="C4076">
        <v>10</v>
      </c>
      <c r="D4076" t="str">
        <f>VLOOKUP(B4076,Products!$A:$E,2,FALSE)</f>
        <v>Product_317</v>
      </c>
      <c r="E4076" t="str">
        <f>VLOOKUP(B4076,Products!$A:$E,3,FALSE)</f>
        <v>Storage</v>
      </c>
    </row>
    <row r="4077" spans="1:5" x14ac:dyDescent="0.3">
      <c r="A4077" t="s">
        <v>5087</v>
      </c>
      <c r="B4077" t="s">
        <v>384</v>
      </c>
      <c r="C4077">
        <v>51</v>
      </c>
      <c r="D4077" t="str">
        <f>VLOOKUP(B4077,Products!$A:$E,2,FALSE)</f>
        <v>Product_188</v>
      </c>
      <c r="E4077" t="str">
        <f>VLOOKUP(B4077,Products!$A:$E,3,FALSE)</f>
        <v>Office Supplies</v>
      </c>
    </row>
    <row r="4078" spans="1:5" x14ac:dyDescent="0.3">
      <c r="A4078" t="s">
        <v>5088</v>
      </c>
      <c r="B4078" t="s">
        <v>188</v>
      </c>
      <c r="C4078">
        <v>87</v>
      </c>
      <c r="D4078" t="str">
        <f>VLOOKUP(B4078,Products!$A:$E,2,FALSE)</f>
        <v>Product_90</v>
      </c>
      <c r="E4078" t="str">
        <f>VLOOKUP(B4078,Products!$A:$E,3,FALSE)</f>
        <v>Accessories</v>
      </c>
    </row>
    <row r="4079" spans="1:5" x14ac:dyDescent="0.3">
      <c r="A4079" t="s">
        <v>5089</v>
      </c>
      <c r="B4079" t="s">
        <v>582</v>
      </c>
      <c r="C4079">
        <v>95</v>
      </c>
      <c r="D4079" t="str">
        <f>VLOOKUP(B4079,Products!$A:$E,2,FALSE)</f>
        <v>Product_287</v>
      </c>
      <c r="E4079" t="str">
        <f>VLOOKUP(B4079,Products!$A:$E,3,FALSE)</f>
        <v>Storage</v>
      </c>
    </row>
    <row r="4080" spans="1:5" x14ac:dyDescent="0.3">
      <c r="A4080" t="s">
        <v>5090</v>
      </c>
      <c r="B4080" t="s">
        <v>78</v>
      </c>
      <c r="C4080">
        <v>76</v>
      </c>
      <c r="D4080" t="str">
        <f>VLOOKUP(B4080,Products!$A:$E,2,FALSE)</f>
        <v>Product_35</v>
      </c>
      <c r="E4080" t="str">
        <f>VLOOKUP(B4080,Products!$A:$E,3,FALSE)</f>
        <v>Electronics</v>
      </c>
    </row>
    <row r="4081" spans="1:5" x14ac:dyDescent="0.3">
      <c r="A4081" t="s">
        <v>5091</v>
      </c>
      <c r="B4081" t="s">
        <v>736</v>
      </c>
      <c r="C4081">
        <v>31</v>
      </c>
      <c r="D4081" t="str">
        <f>VLOOKUP(B4081,Products!$A:$E,2,FALSE)</f>
        <v>Product_364</v>
      </c>
      <c r="E4081" t="str">
        <f>VLOOKUP(B4081,Products!$A:$E,3,FALSE)</f>
        <v>Networking</v>
      </c>
    </row>
    <row r="4082" spans="1:5" x14ac:dyDescent="0.3">
      <c r="A4082" t="s">
        <v>5092</v>
      </c>
      <c r="B4082" t="s">
        <v>150</v>
      </c>
      <c r="C4082">
        <v>47</v>
      </c>
      <c r="D4082" t="str">
        <f>VLOOKUP(B4082,Products!$A:$E,2,FALSE)</f>
        <v>Product_71</v>
      </c>
      <c r="E4082" t="str">
        <f>VLOOKUP(B4082,Products!$A:$E,3,FALSE)</f>
        <v>Accessories</v>
      </c>
    </row>
    <row r="4083" spans="1:5" x14ac:dyDescent="0.3">
      <c r="A4083" t="s">
        <v>5093</v>
      </c>
      <c r="B4083" t="s">
        <v>254</v>
      </c>
      <c r="C4083">
        <v>74</v>
      </c>
      <c r="D4083" t="str">
        <f>VLOOKUP(B4083,Products!$A:$E,2,FALSE)</f>
        <v>Product_123</v>
      </c>
      <c r="E4083" t="str">
        <f>VLOOKUP(B4083,Products!$A:$E,3,FALSE)</f>
        <v>Electronics</v>
      </c>
    </row>
    <row r="4084" spans="1:5" x14ac:dyDescent="0.3">
      <c r="A4084" t="s">
        <v>5094</v>
      </c>
      <c r="B4084" t="s">
        <v>126</v>
      </c>
      <c r="C4084">
        <v>88</v>
      </c>
      <c r="D4084" t="str">
        <f>VLOOKUP(B4084,Products!$A:$E,2,FALSE)</f>
        <v>Product_59</v>
      </c>
      <c r="E4084" t="str">
        <f>VLOOKUP(B4084,Products!$A:$E,3,FALSE)</f>
        <v>Accessories</v>
      </c>
    </row>
    <row r="4085" spans="1:5" x14ac:dyDescent="0.3">
      <c r="A4085" t="s">
        <v>5095</v>
      </c>
      <c r="B4085" t="s">
        <v>498</v>
      </c>
      <c r="C4085">
        <v>99</v>
      </c>
      <c r="D4085" t="str">
        <f>VLOOKUP(B4085,Products!$A:$E,2,FALSE)</f>
        <v>Product_245</v>
      </c>
      <c r="E4085" t="str">
        <f>VLOOKUP(B4085,Products!$A:$E,3,FALSE)</f>
        <v>Office Supplies</v>
      </c>
    </row>
    <row r="4086" spans="1:5" x14ac:dyDescent="0.3">
      <c r="A4086" t="s">
        <v>5096</v>
      </c>
      <c r="B4086" t="s">
        <v>970</v>
      </c>
      <c r="C4086">
        <v>79</v>
      </c>
      <c r="D4086" t="str">
        <f>VLOOKUP(B4086,Products!$A:$E,2,FALSE)</f>
        <v>Product_481</v>
      </c>
      <c r="E4086" t="str">
        <f>VLOOKUP(B4086,Products!$A:$E,3,FALSE)</f>
        <v>Storage</v>
      </c>
    </row>
    <row r="4087" spans="1:5" x14ac:dyDescent="0.3">
      <c r="A4087" t="s">
        <v>5097</v>
      </c>
      <c r="B4087" t="s">
        <v>902</v>
      </c>
      <c r="C4087">
        <v>94</v>
      </c>
      <c r="D4087" t="str">
        <f>VLOOKUP(B4087,Products!$A:$E,2,FALSE)</f>
        <v>Product_447</v>
      </c>
      <c r="E4087" t="str">
        <f>VLOOKUP(B4087,Products!$A:$E,3,FALSE)</f>
        <v>Office Supplies</v>
      </c>
    </row>
    <row r="4088" spans="1:5" x14ac:dyDescent="0.3">
      <c r="A4088" t="s">
        <v>5098</v>
      </c>
      <c r="B4088" t="s">
        <v>224</v>
      </c>
      <c r="C4088">
        <v>100</v>
      </c>
      <c r="D4088" t="str">
        <f>VLOOKUP(B4088,Products!$A:$E,2,FALSE)</f>
        <v>Product_108</v>
      </c>
      <c r="E4088" t="str">
        <f>VLOOKUP(B4088,Products!$A:$E,3,FALSE)</f>
        <v>Networking</v>
      </c>
    </row>
    <row r="4089" spans="1:5" x14ac:dyDescent="0.3">
      <c r="A4089" t="s">
        <v>5099</v>
      </c>
      <c r="B4089" t="s">
        <v>788</v>
      </c>
      <c r="C4089">
        <v>33</v>
      </c>
      <c r="D4089" t="str">
        <f>VLOOKUP(B4089,Products!$A:$E,2,FALSE)</f>
        <v>Product_390</v>
      </c>
      <c r="E4089" t="str">
        <f>VLOOKUP(B4089,Products!$A:$E,3,FALSE)</f>
        <v>Storage</v>
      </c>
    </row>
    <row r="4090" spans="1:5" x14ac:dyDescent="0.3">
      <c r="A4090" t="s">
        <v>5100</v>
      </c>
      <c r="B4090" t="s">
        <v>338</v>
      </c>
      <c r="C4090">
        <v>50</v>
      </c>
      <c r="D4090" t="str">
        <f>VLOOKUP(B4090,Products!$A:$E,2,FALSE)</f>
        <v>Product_165</v>
      </c>
      <c r="E4090" t="str">
        <f>VLOOKUP(B4090,Products!$A:$E,3,FALSE)</f>
        <v>Office Supplies</v>
      </c>
    </row>
    <row r="4091" spans="1:5" x14ac:dyDescent="0.3">
      <c r="A4091" t="s">
        <v>5101</v>
      </c>
      <c r="B4091" t="s">
        <v>928</v>
      </c>
      <c r="C4091">
        <v>39</v>
      </c>
      <c r="D4091" t="str">
        <f>VLOOKUP(B4091,Products!$A:$E,2,FALSE)</f>
        <v>Product_460</v>
      </c>
      <c r="E4091" t="str">
        <f>VLOOKUP(B4091,Products!$A:$E,3,FALSE)</f>
        <v>Accessories</v>
      </c>
    </row>
    <row r="4092" spans="1:5" x14ac:dyDescent="0.3">
      <c r="A4092" t="s">
        <v>5102</v>
      </c>
      <c r="B4092" t="s">
        <v>524</v>
      </c>
      <c r="C4092">
        <v>92</v>
      </c>
      <c r="D4092" t="str">
        <f>VLOOKUP(B4092,Products!$A:$E,2,FALSE)</f>
        <v>Product_258</v>
      </c>
      <c r="E4092" t="str">
        <f>VLOOKUP(B4092,Products!$A:$E,3,FALSE)</f>
        <v>Networking</v>
      </c>
    </row>
    <row r="4093" spans="1:5" x14ac:dyDescent="0.3">
      <c r="A4093" t="s">
        <v>5103</v>
      </c>
      <c r="B4093" t="s">
        <v>442</v>
      </c>
      <c r="C4093">
        <v>40</v>
      </c>
      <c r="D4093" t="str">
        <f>VLOOKUP(B4093,Products!$A:$E,2,FALSE)</f>
        <v>Product_217</v>
      </c>
      <c r="E4093" t="str">
        <f>VLOOKUP(B4093,Products!$A:$E,3,FALSE)</f>
        <v>Networking</v>
      </c>
    </row>
    <row r="4094" spans="1:5" x14ac:dyDescent="0.3">
      <c r="A4094" t="s">
        <v>5104</v>
      </c>
      <c r="B4094" t="s">
        <v>64</v>
      </c>
      <c r="C4094">
        <v>13</v>
      </c>
      <c r="D4094" t="str">
        <f>VLOOKUP(B4094,Products!$A:$E,2,FALSE)</f>
        <v>Product_28</v>
      </c>
      <c r="E4094" t="str">
        <f>VLOOKUP(B4094,Products!$A:$E,3,FALSE)</f>
        <v>Office Supplies</v>
      </c>
    </row>
    <row r="4095" spans="1:5" x14ac:dyDescent="0.3">
      <c r="A4095" t="s">
        <v>5105</v>
      </c>
      <c r="B4095" t="s">
        <v>390</v>
      </c>
      <c r="C4095">
        <v>49</v>
      </c>
      <c r="D4095" t="str">
        <f>VLOOKUP(B4095,Products!$A:$E,2,FALSE)</f>
        <v>Product_191</v>
      </c>
      <c r="E4095" t="str">
        <f>VLOOKUP(B4095,Products!$A:$E,3,FALSE)</f>
        <v>Networking</v>
      </c>
    </row>
    <row r="4096" spans="1:5" x14ac:dyDescent="0.3">
      <c r="A4096" t="s">
        <v>5106</v>
      </c>
      <c r="B4096" t="s">
        <v>472</v>
      </c>
      <c r="C4096">
        <v>67</v>
      </c>
      <c r="D4096" t="str">
        <f>VLOOKUP(B4096,Products!$A:$E,2,FALSE)</f>
        <v>Product_232</v>
      </c>
      <c r="E4096" t="str">
        <f>VLOOKUP(B4096,Products!$A:$E,3,FALSE)</f>
        <v>Office Supplies</v>
      </c>
    </row>
    <row r="4097" spans="1:5" x14ac:dyDescent="0.3">
      <c r="A4097" t="s">
        <v>5107</v>
      </c>
      <c r="B4097" t="s">
        <v>522</v>
      </c>
      <c r="C4097">
        <v>72</v>
      </c>
      <c r="D4097" t="str">
        <f>VLOOKUP(B4097,Products!$A:$E,2,FALSE)</f>
        <v>Product_257</v>
      </c>
      <c r="E4097" t="str">
        <f>VLOOKUP(B4097,Products!$A:$E,3,FALSE)</f>
        <v>Networking</v>
      </c>
    </row>
    <row r="4098" spans="1:5" x14ac:dyDescent="0.3">
      <c r="A4098" t="s">
        <v>5108</v>
      </c>
      <c r="B4098" t="s">
        <v>858</v>
      </c>
      <c r="C4098">
        <v>20</v>
      </c>
      <c r="D4098" t="str">
        <f>VLOOKUP(B4098,Products!$A:$E,2,FALSE)</f>
        <v>Product_425</v>
      </c>
      <c r="E4098" t="str">
        <f>VLOOKUP(B4098,Products!$A:$E,3,FALSE)</f>
        <v>Office Supplies</v>
      </c>
    </row>
    <row r="4099" spans="1:5" x14ac:dyDescent="0.3">
      <c r="A4099" t="s">
        <v>5109</v>
      </c>
      <c r="B4099" t="s">
        <v>490</v>
      </c>
      <c r="C4099">
        <v>95</v>
      </c>
      <c r="D4099" t="str">
        <f>VLOOKUP(B4099,Products!$A:$E,2,FALSE)</f>
        <v>Product_241</v>
      </c>
      <c r="E4099" t="str">
        <f>VLOOKUP(B4099,Products!$A:$E,3,FALSE)</f>
        <v>Electronics</v>
      </c>
    </row>
    <row r="4100" spans="1:5" x14ac:dyDescent="0.3">
      <c r="A4100" t="s">
        <v>5110</v>
      </c>
      <c r="B4100" t="s">
        <v>554</v>
      </c>
      <c r="C4100">
        <v>91</v>
      </c>
      <c r="D4100" t="str">
        <f>VLOOKUP(B4100,Products!$A:$E,2,FALSE)</f>
        <v>Product_273</v>
      </c>
      <c r="E4100" t="str">
        <f>VLOOKUP(B4100,Products!$A:$E,3,FALSE)</f>
        <v>Networking</v>
      </c>
    </row>
    <row r="4101" spans="1:5" x14ac:dyDescent="0.3">
      <c r="A4101" t="s">
        <v>5111</v>
      </c>
      <c r="B4101" t="s">
        <v>854</v>
      </c>
      <c r="C4101">
        <v>73</v>
      </c>
      <c r="D4101" t="str">
        <f>VLOOKUP(B4101,Products!$A:$E,2,FALSE)</f>
        <v>Product_423</v>
      </c>
      <c r="E4101" t="str">
        <f>VLOOKUP(B4101,Products!$A:$E,3,FALSE)</f>
        <v>Office Supplies</v>
      </c>
    </row>
    <row r="4102" spans="1:5" x14ac:dyDescent="0.3">
      <c r="A4102" t="s">
        <v>5112</v>
      </c>
      <c r="B4102" t="s">
        <v>930</v>
      </c>
      <c r="C4102">
        <v>42</v>
      </c>
      <c r="D4102" t="str">
        <f>VLOOKUP(B4102,Products!$A:$E,2,FALSE)</f>
        <v>Product_461</v>
      </c>
      <c r="E4102" t="str">
        <f>VLOOKUP(B4102,Products!$A:$E,3,FALSE)</f>
        <v>Accessories</v>
      </c>
    </row>
    <row r="4103" spans="1:5" x14ac:dyDescent="0.3">
      <c r="A4103" t="s">
        <v>5113</v>
      </c>
      <c r="B4103" t="s">
        <v>472</v>
      </c>
      <c r="C4103">
        <v>84</v>
      </c>
      <c r="D4103" t="str">
        <f>VLOOKUP(B4103,Products!$A:$E,2,FALSE)</f>
        <v>Product_232</v>
      </c>
      <c r="E4103" t="str">
        <f>VLOOKUP(B4103,Products!$A:$E,3,FALSE)</f>
        <v>Office Supplies</v>
      </c>
    </row>
    <row r="4104" spans="1:5" x14ac:dyDescent="0.3">
      <c r="A4104" t="s">
        <v>5114</v>
      </c>
      <c r="B4104" t="s">
        <v>386</v>
      </c>
      <c r="C4104">
        <v>91</v>
      </c>
      <c r="D4104" t="str">
        <f>VLOOKUP(B4104,Products!$A:$E,2,FALSE)</f>
        <v>Product_189</v>
      </c>
      <c r="E4104" t="str">
        <f>VLOOKUP(B4104,Products!$A:$E,3,FALSE)</f>
        <v>Electronics</v>
      </c>
    </row>
    <row r="4105" spans="1:5" x14ac:dyDescent="0.3">
      <c r="A4105" t="s">
        <v>5115</v>
      </c>
      <c r="B4105" t="s">
        <v>978</v>
      </c>
      <c r="C4105">
        <v>93</v>
      </c>
      <c r="D4105" t="str">
        <f>VLOOKUP(B4105,Products!$A:$E,2,FALSE)</f>
        <v>Product_485</v>
      </c>
      <c r="E4105" t="str">
        <f>VLOOKUP(B4105,Products!$A:$E,3,FALSE)</f>
        <v>Networking</v>
      </c>
    </row>
    <row r="4106" spans="1:5" x14ac:dyDescent="0.3">
      <c r="A4106" t="s">
        <v>5116</v>
      </c>
      <c r="B4106" t="s">
        <v>838</v>
      </c>
      <c r="C4106">
        <v>13</v>
      </c>
      <c r="D4106" t="str">
        <f>VLOOKUP(B4106,Products!$A:$E,2,FALSE)</f>
        <v>Product_415</v>
      </c>
      <c r="E4106" t="str">
        <f>VLOOKUP(B4106,Products!$A:$E,3,FALSE)</f>
        <v>Networking</v>
      </c>
    </row>
    <row r="4107" spans="1:5" x14ac:dyDescent="0.3">
      <c r="A4107" t="s">
        <v>5117</v>
      </c>
      <c r="B4107" t="s">
        <v>202</v>
      </c>
      <c r="C4107">
        <v>63</v>
      </c>
      <c r="D4107" t="str">
        <f>VLOOKUP(B4107,Products!$A:$E,2,FALSE)</f>
        <v>Product_97</v>
      </c>
      <c r="E4107" t="str">
        <f>VLOOKUP(B4107,Products!$A:$E,3,FALSE)</f>
        <v>Accessories</v>
      </c>
    </row>
    <row r="4108" spans="1:5" x14ac:dyDescent="0.3">
      <c r="A4108" t="s">
        <v>5118</v>
      </c>
      <c r="B4108" t="s">
        <v>98</v>
      </c>
      <c r="C4108">
        <v>15</v>
      </c>
      <c r="D4108" t="str">
        <f>VLOOKUP(B4108,Products!$A:$E,2,FALSE)</f>
        <v>Product_45</v>
      </c>
      <c r="E4108" t="str">
        <f>VLOOKUP(B4108,Products!$A:$E,3,FALSE)</f>
        <v>Accessories</v>
      </c>
    </row>
    <row r="4109" spans="1:5" x14ac:dyDescent="0.3">
      <c r="A4109" t="s">
        <v>5119</v>
      </c>
      <c r="B4109" t="s">
        <v>410</v>
      </c>
      <c r="C4109">
        <v>27</v>
      </c>
      <c r="D4109" t="str">
        <f>VLOOKUP(B4109,Products!$A:$E,2,FALSE)</f>
        <v>Product_201</v>
      </c>
      <c r="E4109" t="str">
        <f>VLOOKUP(B4109,Products!$A:$E,3,FALSE)</f>
        <v>Networking</v>
      </c>
    </row>
    <row r="4110" spans="1:5" x14ac:dyDescent="0.3">
      <c r="A4110" t="s">
        <v>5120</v>
      </c>
      <c r="B4110" t="s">
        <v>304</v>
      </c>
      <c r="C4110">
        <v>14</v>
      </c>
      <c r="D4110" t="str">
        <f>VLOOKUP(B4110,Products!$A:$E,2,FALSE)</f>
        <v>Product_148</v>
      </c>
      <c r="E4110" t="str">
        <f>VLOOKUP(B4110,Products!$A:$E,3,FALSE)</f>
        <v>Electronics</v>
      </c>
    </row>
    <row r="4111" spans="1:5" x14ac:dyDescent="0.3">
      <c r="A4111" t="s">
        <v>5121</v>
      </c>
      <c r="B4111" t="s">
        <v>120</v>
      </c>
      <c r="C4111">
        <v>26</v>
      </c>
      <c r="D4111" t="str">
        <f>VLOOKUP(B4111,Products!$A:$E,2,FALSE)</f>
        <v>Product_56</v>
      </c>
      <c r="E4111" t="str">
        <f>VLOOKUP(B4111,Products!$A:$E,3,FALSE)</f>
        <v>Networking</v>
      </c>
    </row>
    <row r="4112" spans="1:5" x14ac:dyDescent="0.3">
      <c r="A4112" t="s">
        <v>5122</v>
      </c>
      <c r="B4112" t="s">
        <v>292</v>
      </c>
      <c r="C4112">
        <v>19</v>
      </c>
      <c r="D4112" t="str">
        <f>VLOOKUP(B4112,Products!$A:$E,2,FALSE)</f>
        <v>Product_142</v>
      </c>
      <c r="E4112" t="str">
        <f>VLOOKUP(B4112,Products!$A:$E,3,FALSE)</f>
        <v>Storage</v>
      </c>
    </row>
    <row r="4113" spans="1:5" x14ac:dyDescent="0.3">
      <c r="A4113" t="s">
        <v>5123</v>
      </c>
      <c r="B4113" t="s">
        <v>722</v>
      </c>
      <c r="C4113">
        <v>23</v>
      </c>
      <c r="D4113" t="str">
        <f>VLOOKUP(B4113,Products!$A:$E,2,FALSE)</f>
        <v>Product_357</v>
      </c>
      <c r="E4113" t="str">
        <f>VLOOKUP(B4113,Products!$A:$E,3,FALSE)</f>
        <v>Accessories</v>
      </c>
    </row>
    <row r="4114" spans="1:5" x14ac:dyDescent="0.3">
      <c r="A4114" t="s">
        <v>5124</v>
      </c>
      <c r="B4114" t="s">
        <v>518</v>
      </c>
      <c r="C4114">
        <v>24</v>
      </c>
      <c r="D4114" t="str">
        <f>VLOOKUP(B4114,Products!$A:$E,2,FALSE)</f>
        <v>Product_255</v>
      </c>
      <c r="E4114" t="str">
        <f>VLOOKUP(B4114,Products!$A:$E,3,FALSE)</f>
        <v>Accessories</v>
      </c>
    </row>
    <row r="4115" spans="1:5" x14ac:dyDescent="0.3">
      <c r="A4115" t="s">
        <v>5125</v>
      </c>
      <c r="B4115" t="s">
        <v>904</v>
      </c>
      <c r="C4115">
        <v>31</v>
      </c>
      <c r="D4115" t="str">
        <f>VLOOKUP(B4115,Products!$A:$E,2,FALSE)</f>
        <v>Product_448</v>
      </c>
      <c r="E4115" t="str">
        <f>VLOOKUP(B4115,Products!$A:$E,3,FALSE)</f>
        <v>Networking</v>
      </c>
    </row>
    <row r="4116" spans="1:5" x14ac:dyDescent="0.3">
      <c r="A4116" t="s">
        <v>5126</v>
      </c>
      <c r="B4116" t="s">
        <v>542</v>
      </c>
      <c r="C4116">
        <v>85</v>
      </c>
      <c r="D4116" t="str">
        <f>VLOOKUP(B4116,Products!$A:$E,2,FALSE)</f>
        <v>Product_267</v>
      </c>
      <c r="E4116" t="str">
        <f>VLOOKUP(B4116,Products!$A:$E,3,FALSE)</f>
        <v>Networking</v>
      </c>
    </row>
    <row r="4117" spans="1:5" x14ac:dyDescent="0.3">
      <c r="A4117" t="s">
        <v>5127</v>
      </c>
      <c r="B4117" t="s">
        <v>32</v>
      </c>
      <c r="C4117">
        <v>42</v>
      </c>
      <c r="D4117" t="str">
        <f>VLOOKUP(B4117,Products!$A:$E,2,FALSE)</f>
        <v>Product_12</v>
      </c>
      <c r="E4117" t="str">
        <f>VLOOKUP(B4117,Products!$A:$E,3,FALSE)</f>
        <v>Accessories</v>
      </c>
    </row>
    <row r="4118" spans="1:5" x14ac:dyDescent="0.3">
      <c r="A4118" t="s">
        <v>5128</v>
      </c>
      <c r="B4118" t="s">
        <v>436</v>
      </c>
      <c r="C4118">
        <v>92</v>
      </c>
      <c r="D4118" t="str">
        <f>VLOOKUP(B4118,Products!$A:$E,2,FALSE)</f>
        <v>Product_214</v>
      </c>
      <c r="E4118" t="str">
        <f>VLOOKUP(B4118,Products!$A:$E,3,FALSE)</f>
        <v>Electronics</v>
      </c>
    </row>
    <row r="4119" spans="1:5" x14ac:dyDescent="0.3">
      <c r="A4119" t="s">
        <v>5129</v>
      </c>
      <c r="B4119" t="s">
        <v>564</v>
      </c>
      <c r="C4119">
        <v>21</v>
      </c>
      <c r="D4119" t="str">
        <f>VLOOKUP(B4119,Products!$A:$E,2,FALSE)</f>
        <v>Product_278</v>
      </c>
      <c r="E4119" t="str">
        <f>VLOOKUP(B4119,Products!$A:$E,3,FALSE)</f>
        <v>Electronics</v>
      </c>
    </row>
    <row r="4120" spans="1:5" x14ac:dyDescent="0.3">
      <c r="A4120" t="s">
        <v>5130</v>
      </c>
      <c r="B4120" t="s">
        <v>494</v>
      </c>
      <c r="C4120">
        <v>49</v>
      </c>
      <c r="D4120" t="str">
        <f>VLOOKUP(B4120,Products!$A:$E,2,FALSE)</f>
        <v>Product_243</v>
      </c>
      <c r="E4120" t="str">
        <f>VLOOKUP(B4120,Products!$A:$E,3,FALSE)</f>
        <v>Storage</v>
      </c>
    </row>
    <row r="4121" spans="1:5" x14ac:dyDescent="0.3">
      <c r="A4121" t="s">
        <v>5131</v>
      </c>
      <c r="B4121" t="s">
        <v>440</v>
      </c>
      <c r="C4121">
        <v>61</v>
      </c>
      <c r="D4121" t="str">
        <f>VLOOKUP(B4121,Products!$A:$E,2,FALSE)</f>
        <v>Product_216</v>
      </c>
      <c r="E4121" t="str">
        <f>VLOOKUP(B4121,Products!$A:$E,3,FALSE)</f>
        <v>Accessories</v>
      </c>
    </row>
    <row r="4122" spans="1:5" x14ac:dyDescent="0.3">
      <c r="A4122" t="s">
        <v>5132</v>
      </c>
      <c r="B4122" t="s">
        <v>764</v>
      </c>
      <c r="C4122">
        <v>87</v>
      </c>
      <c r="D4122" t="str">
        <f>VLOOKUP(B4122,Products!$A:$E,2,FALSE)</f>
        <v>Product_378</v>
      </c>
      <c r="E4122" t="str">
        <f>VLOOKUP(B4122,Products!$A:$E,3,FALSE)</f>
        <v>Electronics</v>
      </c>
    </row>
    <row r="4123" spans="1:5" x14ac:dyDescent="0.3">
      <c r="A4123" t="s">
        <v>5133</v>
      </c>
      <c r="B4123" t="s">
        <v>30</v>
      </c>
      <c r="C4123">
        <v>42</v>
      </c>
      <c r="D4123" t="str">
        <f>VLOOKUP(B4123,Products!$A:$E,2,FALSE)</f>
        <v>Product_11</v>
      </c>
      <c r="E4123" t="str">
        <f>VLOOKUP(B4123,Products!$A:$E,3,FALSE)</f>
        <v>Electronics</v>
      </c>
    </row>
    <row r="4124" spans="1:5" x14ac:dyDescent="0.3">
      <c r="A4124" t="s">
        <v>5134</v>
      </c>
      <c r="B4124" t="s">
        <v>202</v>
      </c>
      <c r="C4124">
        <v>13</v>
      </c>
      <c r="D4124" t="str">
        <f>VLOOKUP(B4124,Products!$A:$E,2,FALSE)</f>
        <v>Product_97</v>
      </c>
      <c r="E4124" t="str">
        <f>VLOOKUP(B4124,Products!$A:$E,3,FALSE)</f>
        <v>Accessories</v>
      </c>
    </row>
    <row r="4125" spans="1:5" x14ac:dyDescent="0.3">
      <c r="A4125" t="s">
        <v>5135</v>
      </c>
      <c r="B4125" t="s">
        <v>32</v>
      </c>
      <c r="C4125">
        <v>34</v>
      </c>
      <c r="D4125" t="str">
        <f>VLOOKUP(B4125,Products!$A:$E,2,FALSE)</f>
        <v>Product_12</v>
      </c>
      <c r="E4125" t="str">
        <f>VLOOKUP(B4125,Products!$A:$E,3,FALSE)</f>
        <v>Accessories</v>
      </c>
    </row>
    <row r="4126" spans="1:5" x14ac:dyDescent="0.3">
      <c r="A4126" t="s">
        <v>5136</v>
      </c>
      <c r="B4126" t="s">
        <v>864</v>
      </c>
      <c r="C4126">
        <v>71</v>
      </c>
      <c r="D4126" t="str">
        <f>VLOOKUP(B4126,Products!$A:$E,2,FALSE)</f>
        <v>Product_428</v>
      </c>
      <c r="E4126" t="str">
        <f>VLOOKUP(B4126,Products!$A:$E,3,FALSE)</f>
        <v>Storage</v>
      </c>
    </row>
    <row r="4127" spans="1:5" x14ac:dyDescent="0.3">
      <c r="A4127" t="s">
        <v>5137</v>
      </c>
      <c r="B4127" t="s">
        <v>670</v>
      </c>
      <c r="C4127">
        <v>47</v>
      </c>
      <c r="D4127" t="str">
        <f>VLOOKUP(B4127,Products!$A:$E,2,FALSE)</f>
        <v>Product_331</v>
      </c>
      <c r="E4127" t="str">
        <f>VLOOKUP(B4127,Products!$A:$E,3,FALSE)</f>
        <v>Electronics</v>
      </c>
    </row>
    <row r="4128" spans="1:5" x14ac:dyDescent="0.3">
      <c r="A4128" t="s">
        <v>5138</v>
      </c>
      <c r="B4128" t="s">
        <v>430</v>
      </c>
      <c r="C4128">
        <v>79</v>
      </c>
      <c r="D4128" t="str">
        <f>VLOOKUP(B4128,Products!$A:$E,2,FALSE)</f>
        <v>Product_211</v>
      </c>
      <c r="E4128" t="str">
        <f>VLOOKUP(B4128,Products!$A:$E,3,FALSE)</f>
        <v>Storage</v>
      </c>
    </row>
    <row r="4129" spans="1:5" x14ac:dyDescent="0.3">
      <c r="A4129" t="s">
        <v>5139</v>
      </c>
      <c r="B4129" t="s">
        <v>360</v>
      </c>
      <c r="C4129">
        <v>88</v>
      </c>
      <c r="D4129" t="str">
        <f>VLOOKUP(B4129,Products!$A:$E,2,FALSE)</f>
        <v>Product_176</v>
      </c>
      <c r="E4129" t="str">
        <f>VLOOKUP(B4129,Products!$A:$E,3,FALSE)</f>
        <v>Electronics</v>
      </c>
    </row>
    <row r="4130" spans="1:5" x14ac:dyDescent="0.3">
      <c r="A4130" t="s">
        <v>5140</v>
      </c>
      <c r="B4130" t="s">
        <v>670</v>
      </c>
      <c r="C4130">
        <v>46</v>
      </c>
      <c r="D4130" t="str">
        <f>VLOOKUP(B4130,Products!$A:$E,2,FALSE)</f>
        <v>Product_331</v>
      </c>
      <c r="E4130" t="str">
        <f>VLOOKUP(B4130,Products!$A:$E,3,FALSE)</f>
        <v>Electronics</v>
      </c>
    </row>
    <row r="4131" spans="1:5" x14ac:dyDescent="0.3">
      <c r="A4131" t="s">
        <v>5141</v>
      </c>
      <c r="B4131" t="s">
        <v>506</v>
      </c>
      <c r="C4131">
        <v>80</v>
      </c>
      <c r="D4131" t="str">
        <f>VLOOKUP(B4131,Products!$A:$E,2,FALSE)</f>
        <v>Product_249</v>
      </c>
      <c r="E4131" t="str">
        <f>VLOOKUP(B4131,Products!$A:$E,3,FALSE)</f>
        <v>Storage</v>
      </c>
    </row>
    <row r="4132" spans="1:5" x14ac:dyDescent="0.3">
      <c r="A4132" t="s">
        <v>5142</v>
      </c>
      <c r="B4132" t="s">
        <v>690</v>
      </c>
      <c r="C4132">
        <v>94</v>
      </c>
      <c r="D4132" t="str">
        <f>VLOOKUP(B4132,Products!$A:$E,2,FALSE)</f>
        <v>Product_341</v>
      </c>
      <c r="E4132" t="str">
        <f>VLOOKUP(B4132,Products!$A:$E,3,FALSE)</f>
        <v>Storage</v>
      </c>
    </row>
    <row r="4133" spans="1:5" x14ac:dyDescent="0.3">
      <c r="A4133" t="s">
        <v>5143</v>
      </c>
      <c r="B4133" t="s">
        <v>552</v>
      </c>
      <c r="C4133">
        <v>75</v>
      </c>
      <c r="D4133" t="str">
        <f>VLOOKUP(B4133,Products!$A:$E,2,FALSE)</f>
        <v>Product_272</v>
      </c>
      <c r="E4133" t="str">
        <f>VLOOKUP(B4133,Products!$A:$E,3,FALSE)</f>
        <v>Office Supplies</v>
      </c>
    </row>
    <row r="4134" spans="1:5" x14ac:dyDescent="0.3">
      <c r="A4134" t="s">
        <v>5144</v>
      </c>
      <c r="B4134" t="s">
        <v>464</v>
      </c>
      <c r="C4134">
        <v>63</v>
      </c>
      <c r="D4134" t="str">
        <f>VLOOKUP(B4134,Products!$A:$E,2,FALSE)</f>
        <v>Product_228</v>
      </c>
      <c r="E4134" t="str">
        <f>VLOOKUP(B4134,Products!$A:$E,3,FALSE)</f>
        <v>Storage</v>
      </c>
    </row>
    <row r="4135" spans="1:5" x14ac:dyDescent="0.3">
      <c r="A4135" t="s">
        <v>5145</v>
      </c>
      <c r="B4135" t="s">
        <v>320</v>
      </c>
      <c r="C4135">
        <v>77</v>
      </c>
      <c r="D4135" t="str">
        <f>VLOOKUP(B4135,Products!$A:$E,2,FALSE)</f>
        <v>Product_156</v>
      </c>
      <c r="E4135" t="str">
        <f>VLOOKUP(B4135,Products!$A:$E,3,FALSE)</f>
        <v>Accessories</v>
      </c>
    </row>
    <row r="4136" spans="1:5" x14ac:dyDescent="0.3">
      <c r="A4136" t="s">
        <v>5146</v>
      </c>
      <c r="B4136" t="s">
        <v>144</v>
      </c>
      <c r="C4136">
        <v>44</v>
      </c>
      <c r="D4136" t="str">
        <f>VLOOKUP(B4136,Products!$A:$E,2,FALSE)</f>
        <v>Product_68</v>
      </c>
      <c r="E4136" t="str">
        <f>VLOOKUP(B4136,Products!$A:$E,3,FALSE)</f>
        <v>Accessories</v>
      </c>
    </row>
    <row r="4137" spans="1:5" x14ac:dyDescent="0.3">
      <c r="A4137" t="s">
        <v>5147</v>
      </c>
      <c r="B4137" t="s">
        <v>184</v>
      </c>
      <c r="C4137">
        <v>38</v>
      </c>
      <c r="D4137" t="str">
        <f>VLOOKUP(B4137,Products!$A:$E,2,FALSE)</f>
        <v>Product_88</v>
      </c>
      <c r="E4137" t="str">
        <f>VLOOKUP(B4137,Products!$A:$E,3,FALSE)</f>
        <v>Accessories</v>
      </c>
    </row>
    <row r="4138" spans="1:5" x14ac:dyDescent="0.3">
      <c r="A4138" t="s">
        <v>5148</v>
      </c>
      <c r="B4138" t="s">
        <v>242</v>
      </c>
      <c r="C4138">
        <v>66</v>
      </c>
      <c r="D4138" t="str">
        <f>VLOOKUP(B4138,Products!$A:$E,2,FALSE)</f>
        <v>Product_117</v>
      </c>
      <c r="E4138" t="str">
        <f>VLOOKUP(B4138,Products!$A:$E,3,FALSE)</f>
        <v>Storage</v>
      </c>
    </row>
    <row r="4139" spans="1:5" x14ac:dyDescent="0.3">
      <c r="A4139" t="s">
        <v>5149</v>
      </c>
      <c r="B4139" t="s">
        <v>390</v>
      </c>
      <c r="C4139">
        <v>41</v>
      </c>
      <c r="D4139" t="str">
        <f>VLOOKUP(B4139,Products!$A:$E,2,FALSE)</f>
        <v>Product_191</v>
      </c>
      <c r="E4139" t="str">
        <f>VLOOKUP(B4139,Products!$A:$E,3,FALSE)</f>
        <v>Networking</v>
      </c>
    </row>
    <row r="4140" spans="1:5" x14ac:dyDescent="0.3">
      <c r="A4140" t="s">
        <v>5150</v>
      </c>
      <c r="B4140" t="s">
        <v>798</v>
      </c>
      <c r="C4140">
        <v>11</v>
      </c>
      <c r="D4140" t="str">
        <f>VLOOKUP(B4140,Products!$A:$E,2,FALSE)</f>
        <v>Product_395</v>
      </c>
      <c r="E4140" t="str">
        <f>VLOOKUP(B4140,Products!$A:$E,3,FALSE)</f>
        <v>Accessories</v>
      </c>
    </row>
    <row r="4141" spans="1:5" x14ac:dyDescent="0.3">
      <c r="A4141" t="s">
        <v>5151</v>
      </c>
      <c r="B4141" t="s">
        <v>160</v>
      </c>
      <c r="C4141">
        <v>50</v>
      </c>
      <c r="D4141" t="str">
        <f>VLOOKUP(B4141,Products!$A:$E,2,FALSE)</f>
        <v>Product_76</v>
      </c>
      <c r="E4141" t="str">
        <f>VLOOKUP(B4141,Products!$A:$E,3,FALSE)</f>
        <v>Accessories</v>
      </c>
    </row>
    <row r="4142" spans="1:5" x14ac:dyDescent="0.3">
      <c r="A4142" t="s">
        <v>5152</v>
      </c>
      <c r="B4142" t="s">
        <v>300</v>
      </c>
      <c r="C4142">
        <v>63</v>
      </c>
      <c r="D4142" t="str">
        <f>VLOOKUP(B4142,Products!$A:$E,2,FALSE)</f>
        <v>Product_146</v>
      </c>
      <c r="E4142" t="str">
        <f>VLOOKUP(B4142,Products!$A:$E,3,FALSE)</f>
        <v>Office Supplies</v>
      </c>
    </row>
    <row r="4143" spans="1:5" x14ac:dyDescent="0.3">
      <c r="A4143" t="s">
        <v>5153</v>
      </c>
      <c r="B4143" t="s">
        <v>988</v>
      </c>
      <c r="C4143">
        <v>26</v>
      </c>
      <c r="D4143" t="str">
        <f>VLOOKUP(B4143,Products!$A:$E,2,FALSE)</f>
        <v>Product_490</v>
      </c>
      <c r="E4143" t="str">
        <f>VLOOKUP(B4143,Products!$A:$E,3,FALSE)</f>
        <v>Storage</v>
      </c>
    </row>
    <row r="4144" spans="1:5" x14ac:dyDescent="0.3">
      <c r="A4144" t="s">
        <v>5154</v>
      </c>
      <c r="B4144" t="s">
        <v>642</v>
      </c>
      <c r="C4144">
        <v>25</v>
      </c>
      <c r="D4144" t="str">
        <f>VLOOKUP(B4144,Products!$A:$E,2,FALSE)</f>
        <v>Product_317</v>
      </c>
      <c r="E4144" t="str">
        <f>VLOOKUP(B4144,Products!$A:$E,3,FALSE)</f>
        <v>Storage</v>
      </c>
    </row>
    <row r="4145" spans="1:5" x14ac:dyDescent="0.3">
      <c r="A4145" t="s">
        <v>5155</v>
      </c>
      <c r="B4145" t="s">
        <v>738</v>
      </c>
      <c r="C4145">
        <v>73</v>
      </c>
      <c r="D4145" t="str">
        <f>VLOOKUP(B4145,Products!$A:$E,2,FALSE)</f>
        <v>Product_365</v>
      </c>
      <c r="E4145" t="str">
        <f>VLOOKUP(B4145,Products!$A:$E,3,FALSE)</f>
        <v>Storage</v>
      </c>
    </row>
    <row r="4146" spans="1:5" x14ac:dyDescent="0.3">
      <c r="A4146" t="s">
        <v>5156</v>
      </c>
      <c r="B4146" t="s">
        <v>302</v>
      </c>
      <c r="C4146">
        <v>28</v>
      </c>
      <c r="D4146" t="str">
        <f>VLOOKUP(B4146,Products!$A:$E,2,FALSE)</f>
        <v>Product_147</v>
      </c>
      <c r="E4146" t="str">
        <f>VLOOKUP(B4146,Products!$A:$E,3,FALSE)</f>
        <v>Networking</v>
      </c>
    </row>
    <row r="4147" spans="1:5" x14ac:dyDescent="0.3">
      <c r="A4147" t="s">
        <v>5157</v>
      </c>
      <c r="B4147" t="s">
        <v>1006</v>
      </c>
      <c r="C4147">
        <v>27</v>
      </c>
      <c r="D4147" t="str">
        <f>VLOOKUP(B4147,Products!$A:$E,2,FALSE)</f>
        <v>Product_499</v>
      </c>
      <c r="E4147" t="str">
        <f>VLOOKUP(B4147,Products!$A:$E,3,FALSE)</f>
        <v>Office Supplies</v>
      </c>
    </row>
    <row r="4148" spans="1:5" x14ac:dyDescent="0.3">
      <c r="A4148" t="s">
        <v>5158</v>
      </c>
      <c r="B4148" t="s">
        <v>868</v>
      </c>
      <c r="C4148">
        <v>95</v>
      </c>
      <c r="D4148" t="str">
        <f>VLOOKUP(B4148,Products!$A:$E,2,FALSE)</f>
        <v>Product_430</v>
      </c>
      <c r="E4148" t="str">
        <f>VLOOKUP(B4148,Products!$A:$E,3,FALSE)</f>
        <v>Electronics</v>
      </c>
    </row>
    <row r="4149" spans="1:5" x14ac:dyDescent="0.3">
      <c r="A4149" t="s">
        <v>5159</v>
      </c>
      <c r="B4149" t="s">
        <v>718</v>
      </c>
      <c r="C4149">
        <v>90</v>
      </c>
      <c r="D4149" t="str">
        <f>VLOOKUP(B4149,Products!$A:$E,2,FALSE)</f>
        <v>Product_355</v>
      </c>
      <c r="E4149" t="str">
        <f>VLOOKUP(B4149,Products!$A:$E,3,FALSE)</f>
        <v>Accessories</v>
      </c>
    </row>
    <row r="4150" spans="1:5" x14ac:dyDescent="0.3">
      <c r="A4150" t="s">
        <v>5160</v>
      </c>
      <c r="B4150" t="s">
        <v>822</v>
      </c>
      <c r="C4150">
        <v>24</v>
      </c>
      <c r="D4150" t="str">
        <f>VLOOKUP(B4150,Products!$A:$E,2,FALSE)</f>
        <v>Product_407</v>
      </c>
      <c r="E4150" t="str">
        <f>VLOOKUP(B4150,Products!$A:$E,3,FALSE)</f>
        <v>Networking</v>
      </c>
    </row>
    <row r="4151" spans="1:5" x14ac:dyDescent="0.3">
      <c r="A4151" t="s">
        <v>5161</v>
      </c>
      <c r="B4151" t="s">
        <v>174</v>
      </c>
      <c r="C4151">
        <v>35</v>
      </c>
      <c r="D4151" t="str">
        <f>VLOOKUP(B4151,Products!$A:$E,2,FALSE)</f>
        <v>Product_83</v>
      </c>
      <c r="E4151" t="str">
        <f>VLOOKUP(B4151,Products!$A:$E,3,FALSE)</f>
        <v>Accessories</v>
      </c>
    </row>
    <row r="4152" spans="1:5" x14ac:dyDescent="0.3">
      <c r="A4152" t="s">
        <v>5162</v>
      </c>
      <c r="B4152" t="s">
        <v>128</v>
      </c>
      <c r="C4152">
        <v>10</v>
      </c>
      <c r="D4152" t="str">
        <f>VLOOKUP(B4152,Products!$A:$E,2,FALSE)</f>
        <v>Product_60</v>
      </c>
      <c r="E4152" t="str">
        <f>VLOOKUP(B4152,Products!$A:$E,3,FALSE)</f>
        <v>Electronics</v>
      </c>
    </row>
    <row r="4153" spans="1:5" x14ac:dyDescent="0.3">
      <c r="A4153" t="s">
        <v>5163</v>
      </c>
      <c r="B4153" t="s">
        <v>334</v>
      </c>
      <c r="C4153">
        <v>78</v>
      </c>
      <c r="D4153" t="str">
        <f>VLOOKUP(B4153,Products!$A:$E,2,FALSE)</f>
        <v>Product_163</v>
      </c>
      <c r="E4153" t="str">
        <f>VLOOKUP(B4153,Products!$A:$E,3,FALSE)</f>
        <v>Accessories</v>
      </c>
    </row>
    <row r="4154" spans="1:5" x14ac:dyDescent="0.3">
      <c r="A4154" t="s">
        <v>5164</v>
      </c>
      <c r="B4154" t="s">
        <v>138</v>
      </c>
      <c r="C4154">
        <v>61</v>
      </c>
      <c r="D4154" t="str">
        <f>VLOOKUP(B4154,Products!$A:$E,2,FALSE)</f>
        <v>Product_65</v>
      </c>
      <c r="E4154" t="str">
        <f>VLOOKUP(B4154,Products!$A:$E,3,FALSE)</f>
        <v>Office Supplies</v>
      </c>
    </row>
    <row r="4155" spans="1:5" x14ac:dyDescent="0.3">
      <c r="A4155" t="s">
        <v>5165</v>
      </c>
      <c r="B4155" t="s">
        <v>276</v>
      </c>
      <c r="C4155">
        <v>52</v>
      </c>
      <c r="D4155" t="str">
        <f>VLOOKUP(B4155,Products!$A:$E,2,FALSE)</f>
        <v>Product_134</v>
      </c>
      <c r="E4155" t="str">
        <f>VLOOKUP(B4155,Products!$A:$E,3,FALSE)</f>
        <v>Accessories</v>
      </c>
    </row>
    <row r="4156" spans="1:5" x14ac:dyDescent="0.3">
      <c r="A4156" t="s">
        <v>5166</v>
      </c>
      <c r="B4156" t="s">
        <v>198</v>
      </c>
      <c r="C4156">
        <v>31</v>
      </c>
      <c r="D4156" t="str">
        <f>VLOOKUP(B4156,Products!$A:$E,2,FALSE)</f>
        <v>Product_95</v>
      </c>
      <c r="E4156" t="str">
        <f>VLOOKUP(B4156,Products!$A:$E,3,FALSE)</f>
        <v>Electronics</v>
      </c>
    </row>
    <row r="4157" spans="1:5" x14ac:dyDescent="0.3">
      <c r="A4157" t="s">
        <v>5167</v>
      </c>
      <c r="B4157" t="s">
        <v>584</v>
      </c>
      <c r="C4157">
        <v>95</v>
      </c>
      <c r="D4157" t="str">
        <f>VLOOKUP(B4157,Products!$A:$E,2,FALSE)</f>
        <v>Product_288</v>
      </c>
      <c r="E4157" t="str">
        <f>VLOOKUP(B4157,Products!$A:$E,3,FALSE)</f>
        <v>Networking</v>
      </c>
    </row>
    <row r="4158" spans="1:5" x14ac:dyDescent="0.3">
      <c r="A4158" t="s">
        <v>5168</v>
      </c>
      <c r="B4158" t="s">
        <v>44</v>
      </c>
      <c r="C4158">
        <v>90</v>
      </c>
      <c r="D4158" t="str">
        <f>VLOOKUP(B4158,Products!$A:$E,2,FALSE)</f>
        <v>Product_18</v>
      </c>
      <c r="E4158" t="str">
        <f>VLOOKUP(B4158,Products!$A:$E,3,FALSE)</f>
        <v>Networking</v>
      </c>
    </row>
    <row r="4159" spans="1:5" x14ac:dyDescent="0.3">
      <c r="A4159" t="s">
        <v>5169</v>
      </c>
      <c r="B4159" t="s">
        <v>334</v>
      </c>
      <c r="C4159">
        <v>49</v>
      </c>
      <c r="D4159" t="str">
        <f>VLOOKUP(B4159,Products!$A:$E,2,FALSE)</f>
        <v>Product_163</v>
      </c>
      <c r="E4159" t="str">
        <f>VLOOKUP(B4159,Products!$A:$E,3,FALSE)</f>
        <v>Accessories</v>
      </c>
    </row>
    <row r="4160" spans="1:5" x14ac:dyDescent="0.3">
      <c r="A4160" t="s">
        <v>5170</v>
      </c>
      <c r="B4160" t="s">
        <v>160</v>
      </c>
      <c r="C4160">
        <v>52</v>
      </c>
      <c r="D4160" t="str">
        <f>VLOOKUP(B4160,Products!$A:$E,2,FALSE)</f>
        <v>Product_76</v>
      </c>
      <c r="E4160" t="str">
        <f>VLOOKUP(B4160,Products!$A:$E,3,FALSE)</f>
        <v>Accessories</v>
      </c>
    </row>
    <row r="4161" spans="1:5" x14ac:dyDescent="0.3">
      <c r="A4161" t="s">
        <v>5171</v>
      </c>
      <c r="B4161" t="s">
        <v>468</v>
      </c>
      <c r="C4161">
        <v>74</v>
      </c>
      <c r="D4161" t="str">
        <f>VLOOKUP(B4161,Products!$A:$E,2,FALSE)</f>
        <v>Product_230</v>
      </c>
      <c r="E4161" t="str">
        <f>VLOOKUP(B4161,Products!$A:$E,3,FALSE)</f>
        <v>Electronics</v>
      </c>
    </row>
    <row r="4162" spans="1:5" x14ac:dyDescent="0.3">
      <c r="A4162" t="s">
        <v>5172</v>
      </c>
      <c r="B4162" t="s">
        <v>1008</v>
      </c>
      <c r="C4162">
        <v>25</v>
      </c>
      <c r="D4162" t="str">
        <f>VLOOKUP(B4162,Products!$A:$E,2,FALSE)</f>
        <v>Product_500</v>
      </c>
      <c r="E4162" t="str">
        <f>VLOOKUP(B4162,Products!$A:$E,3,FALSE)</f>
        <v>Networking</v>
      </c>
    </row>
    <row r="4163" spans="1:5" x14ac:dyDescent="0.3">
      <c r="A4163" t="s">
        <v>5173</v>
      </c>
      <c r="B4163" t="s">
        <v>556</v>
      </c>
      <c r="C4163">
        <v>43</v>
      </c>
      <c r="D4163" t="str">
        <f>VLOOKUP(B4163,Products!$A:$E,2,FALSE)</f>
        <v>Product_274</v>
      </c>
      <c r="E4163" t="str">
        <f>VLOOKUP(B4163,Products!$A:$E,3,FALSE)</f>
        <v>Accessories</v>
      </c>
    </row>
    <row r="4164" spans="1:5" x14ac:dyDescent="0.3">
      <c r="A4164" t="s">
        <v>5174</v>
      </c>
      <c r="B4164" t="s">
        <v>134</v>
      </c>
      <c r="C4164">
        <v>8</v>
      </c>
      <c r="D4164" t="str">
        <f>VLOOKUP(B4164,Products!$A:$E,2,FALSE)</f>
        <v>Product_63</v>
      </c>
      <c r="E4164" t="str">
        <f>VLOOKUP(B4164,Products!$A:$E,3,FALSE)</f>
        <v>Accessories</v>
      </c>
    </row>
    <row r="4165" spans="1:5" x14ac:dyDescent="0.3">
      <c r="A4165" t="s">
        <v>5175</v>
      </c>
      <c r="B4165" t="s">
        <v>424</v>
      </c>
      <c r="C4165">
        <v>68</v>
      </c>
      <c r="D4165" t="str">
        <f>VLOOKUP(B4165,Products!$A:$E,2,FALSE)</f>
        <v>Product_208</v>
      </c>
      <c r="E4165" t="str">
        <f>VLOOKUP(B4165,Products!$A:$E,3,FALSE)</f>
        <v>Electronics</v>
      </c>
    </row>
    <row r="4166" spans="1:5" x14ac:dyDescent="0.3">
      <c r="A4166" t="s">
        <v>5176</v>
      </c>
      <c r="B4166" t="s">
        <v>796</v>
      </c>
      <c r="C4166">
        <v>23</v>
      </c>
      <c r="D4166" t="str">
        <f>VLOOKUP(B4166,Products!$A:$E,2,FALSE)</f>
        <v>Product_394</v>
      </c>
      <c r="E4166" t="str">
        <f>VLOOKUP(B4166,Products!$A:$E,3,FALSE)</f>
        <v>Electronics</v>
      </c>
    </row>
    <row r="4167" spans="1:5" x14ac:dyDescent="0.3">
      <c r="A4167" t="s">
        <v>5177</v>
      </c>
      <c r="B4167" t="s">
        <v>980</v>
      </c>
      <c r="C4167">
        <v>63</v>
      </c>
      <c r="D4167" t="str">
        <f>VLOOKUP(B4167,Products!$A:$E,2,FALSE)</f>
        <v>Product_486</v>
      </c>
      <c r="E4167" t="str">
        <f>VLOOKUP(B4167,Products!$A:$E,3,FALSE)</f>
        <v>Electronics</v>
      </c>
    </row>
    <row r="4168" spans="1:5" x14ac:dyDescent="0.3">
      <c r="A4168" t="s">
        <v>5178</v>
      </c>
      <c r="B4168" t="s">
        <v>960</v>
      </c>
      <c r="C4168">
        <v>45</v>
      </c>
      <c r="D4168" t="str">
        <f>VLOOKUP(B4168,Products!$A:$E,2,FALSE)</f>
        <v>Product_476</v>
      </c>
      <c r="E4168" t="str">
        <f>VLOOKUP(B4168,Products!$A:$E,3,FALSE)</f>
        <v>Office Supplies</v>
      </c>
    </row>
    <row r="4169" spans="1:5" x14ac:dyDescent="0.3">
      <c r="A4169" t="s">
        <v>5179</v>
      </c>
      <c r="B4169" t="s">
        <v>168</v>
      </c>
      <c r="C4169">
        <v>5</v>
      </c>
      <c r="D4169" t="str">
        <f>VLOOKUP(B4169,Products!$A:$E,2,FALSE)</f>
        <v>Product_80</v>
      </c>
      <c r="E4169" t="str">
        <f>VLOOKUP(B4169,Products!$A:$E,3,FALSE)</f>
        <v>Accessories</v>
      </c>
    </row>
    <row r="4170" spans="1:5" x14ac:dyDescent="0.3">
      <c r="A4170" t="s">
        <v>5180</v>
      </c>
      <c r="B4170" t="s">
        <v>1002</v>
      </c>
      <c r="C4170">
        <v>99</v>
      </c>
      <c r="D4170" t="str">
        <f>VLOOKUP(B4170,Products!$A:$E,2,FALSE)</f>
        <v>Product_497</v>
      </c>
      <c r="E4170" t="str">
        <f>VLOOKUP(B4170,Products!$A:$E,3,FALSE)</f>
        <v>Office Supplies</v>
      </c>
    </row>
    <row r="4171" spans="1:5" x14ac:dyDescent="0.3">
      <c r="A4171" t="s">
        <v>5181</v>
      </c>
      <c r="B4171" t="s">
        <v>568</v>
      </c>
      <c r="C4171">
        <v>69</v>
      </c>
      <c r="D4171" t="str">
        <f>VLOOKUP(B4171,Products!$A:$E,2,FALSE)</f>
        <v>Product_280</v>
      </c>
      <c r="E4171" t="str">
        <f>VLOOKUP(B4171,Products!$A:$E,3,FALSE)</f>
        <v>Electronics</v>
      </c>
    </row>
    <row r="4172" spans="1:5" x14ac:dyDescent="0.3">
      <c r="A4172" t="s">
        <v>5182</v>
      </c>
      <c r="B4172" t="s">
        <v>348</v>
      </c>
      <c r="C4172">
        <v>87</v>
      </c>
      <c r="D4172" t="str">
        <f>VLOOKUP(B4172,Products!$A:$E,2,FALSE)</f>
        <v>Product_170</v>
      </c>
      <c r="E4172" t="str">
        <f>VLOOKUP(B4172,Products!$A:$E,3,FALSE)</f>
        <v>Office Supplies</v>
      </c>
    </row>
    <row r="4173" spans="1:5" x14ac:dyDescent="0.3">
      <c r="A4173" t="s">
        <v>5183</v>
      </c>
      <c r="B4173" t="s">
        <v>732</v>
      </c>
      <c r="C4173">
        <v>42</v>
      </c>
      <c r="D4173" t="str">
        <f>VLOOKUP(B4173,Products!$A:$E,2,FALSE)</f>
        <v>Product_362</v>
      </c>
      <c r="E4173" t="str">
        <f>VLOOKUP(B4173,Products!$A:$E,3,FALSE)</f>
        <v>Networking</v>
      </c>
    </row>
    <row r="4174" spans="1:5" x14ac:dyDescent="0.3">
      <c r="A4174" t="s">
        <v>5184</v>
      </c>
      <c r="B4174" t="s">
        <v>494</v>
      </c>
      <c r="C4174">
        <v>42</v>
      </c>
      <c r="D4174" t="str">
        <f>VLOOKUP(B4174,Products!$A:$E,2,FALSE)</f>
        <v>Product_243</v>
      </c>
      <c r="E4174" t="str">
        <f>VLOOKUP(B4174,Products!$A:$E,3,FALSE)</f>
        <v>Storage</v>
      </c>
    </row>
    <row r="4175" spans="1:5" x14ac:dyDescent="0.3">
      <c r="A4175" t="s">
        <v>5185</v>
      </c>
      <c r="B4175" t="s">
        <v>1002</v>
      </c>
      <c r="C4175">
        <v>78</v>
      </c>
      <c r="D4175" t="str">
        <f>VLOOKUP(B4175,Products!$A:$E,2,FALSE)</f>
        <v>Product_497</v>
      </c>
      <c r="E4175" t="str">
        <f>VLOOKUP(B4175,Products!$A:$E,3,FALSE)</f>
        <v>Office Supplies</v>
      </c>
    </row>
    <row r="4176" spans="1:5" x14ac:dyDescent="0.3">
      <c r="A4176" t="s">
        <v>5186</v>
      </c>
      <c r="B4176" t="s">
        <v>692</v>
      </c>
      <c r="C4176">
        <v>23</v>
      </c>
      <c r="D4176" t="str">
        <f>VLOOKUP(B4176,Products!$A:$E,2,FALSE)</f>
        <v>Product_342</v>
      </c>
      <c r="E4176" t="str">
        <f>VLOOKUP(B4176,Products!$A:$E,3,FALSE)</f>
        <v>Accessories</v>
      </c>
    </row>
    <row r="4177" spans="1:5" x14ac:dyDescent="0.3">
      <c r="A4177" t="s">
        <v>5187</v>
      </c>
      <c r="B4177" t="s">
        <v>828</v>
      </c>
      <c r="C4177">
        <v>77</v>
      </c>
      <c r="D4177" t="str">
        <f>VLOOKUP(B4177,Products!$A:$E,2,FALSE)</f>
        <v>Product_410</v>
      </c>
      <c r="E4177" t="str">
        <f>VLOOKUP(B4177,Products!$A:$E,3,FALSE)</f>
        <v>Storage</v>
      </c>
    </row>
    <row r="4178" spans="1:5" x14ac:dyDescent="0.3">
      <c r="A4178" t="s">
        <v>5188</v>
      </c>
      <c r="B4178" t="s">
        <v>756</v>
      </c>
      <c r="C4178">
        <v>61</v>
      </c>
      <c r="D4178" t="str">
        <f>VLOOKUP(B4178,Products!$A:$E,2,FALSE)</f>
        <v>Product_374</v>
      </c>
      <c r="E4178" t="str">
        <f>VLOOKUP(B4178,Products!$A:$E,3,FALSE)</f>
        <v>Office Supplies</v>
      </c>
    </row>
    <row r="4179" spans="1:5" x14ac:dyDescent="0.3">
      <c r="A4179" t="s">
        <v>5189</v>
      </c>
      <c r="B4179" t="s">
        <v>356</v>
      </c>
      <c r="C4179">
        <v>93</v>
      </c>
      <c r="D4179" t="str">
        <f>VLOOKUP(B4179,Products!$A:$E,2,FALSE)</f>
        <v>Product_174</v>
      </c>
      <c r="E4179" t="str">
        <f>VLOOKUP(B4179,Products!$A:$E,3,FALSE)</f>
        <v>Storage</v>
      </c>
    </row>
    <row r="4180" spans="1:5" x14ac:dyDescent="0.3">
      <c r="A4180" t="s">
        <v>5190</v>
      </c>
      <c r="B4180" t="s">
        <v>124</v>
      </c>
      <c r="C4180">
        <v>98</v>
      </c>
      <c r="D4180" t="str">
        <f>VLOOKUP(B4180,Products!$A:$E,2,FALSE)</f>
        <v>Product_58</v>
      </c>
      <c r="E4180" t="str">
        <f>VLOOKUP(B4180,Products!$A:$E,3,FALSE)</f>
        <v>Office Supplies</v>
      </c>
    </row>
    <row r="4181" spans="1:5" x14ac:dyDescent="0.3">
      <c r="A4181" t="s">
        <v>5191</v>
      </c>
      <c r="B4181" t="s">
        <v>500</v>
      </c>
      <c r="C4181">
        <v>10</v>
      </c>
      <c r="D4181" t="str">
        <f>VLOOKUP(B4181,Products!$A:$E,2,FALSE)</f>
        <v>Product_246</v>
      </c>
      <c r="E4181" t="str">
        <f>VLOOKUP(B4181,Products!$A:$E,3,FALSE)</f>
        <v>Electronics</v>
      </c>
    </row>
    <row r="4182" spans="1:5" x14ac:dyDescent="0.3">
      <c r="A4182" t="s">
        <v>5192</v>
      </c>
      <c r="B4182" t="s">
        <v>152</v>
      </c>
      <c r="C4182">
        <v>91</v>
      </c>
      <c r="D4182" t="str">
        <f>VLOOKUP(B4182,Products!$A:$E,2,FALSE)</f>
        <v>Product_72</v>
      </c>
      <c r="E4182" t="str">
        <f>VLOOKUP(B4182,Products!$A:$E,3,FALSE)</f>
        <v>Networking</v>
      </c>
    </row>
    <row r="4183" spans="1:5" x14ac:dyDescent="0.3">
      <c r="A4183" t="s">
        <v>5193</v>
      </c>
      <c r="B4183" t="s">
        <v>574</v>
      </c>
      <c r="C4183">
        <v>19</v>
      </c>
      <c r="D4183" t="str">
        <f>VLOOKUP(B4183,Products!$A:$E,2,FALSE)</f>
        <v>Product_283</v>
      </c>
      <c r="E4183" t="str">
        <f>VLOOKUP(B4183,Products!$A:$E,3,FALSE)</f>
        <v>Networking</v>
      </c>
    </row>
    <row r="4184" spans="1:5" x14ac:dyDescent="0.3">
      <c r="A4184" t="s">
        <v>5194</v>
      </c>
      <c r="B4184" t="s">
        <v>324</v>
      </c>
      <c r="C4184">
        <v>8</v>
      </c>
      <c r="D4184" t="str">
        <f>VLOOKUP(B4184,Products!$A:$E,2,FALSE)</f>
        <v>Product_158</v>
      </c>
      <c r="E4184" t="str">
        <f>VLOOKUP(B4184,Products!$A:$E,3,FALSE)</f>
        <v>Electronics</v>
      </c>
    </row>
    <row r="4185" spans="1:5" x14ac:dyDescent="0.3">
      <c r="A4185" t="s">
        <v>5195</v>
      </c>
      <c r="B4185" t="s">
        <v>420</v>
      </c>
      <c r="C4185">
        <v>84</v>
      </c>
      <c r="D4185" t="str">
        <f>VLOOKUP(B4185,Products!$A:$E,2,FALSE)</f>
        <v>Product_206</v>
      </c>
      <c r="E4185" t="str">
        <f>VLOOKUP(B4185,Products!$A:$E,3,FALSE)</f>
        <v>Accessories</v>
      </c>
    </row>
    <row r="4186" spans="1:5" x14ac:dyDescent="0.3">
      <c r="A4186" t="s">
        <v>5196</v>
      </c>
      <c r="B4186" t="s">
        <v>870</v>
      </c>
      <c r="C4186">
        <v>33</v>
      </c>
      <c r="D4186" t="str">
        <f>VLOOKUP(B4186,Products!$A:$E,2,FALSE)</f>
        <v>Product_431</v>
      </c>
      <c r="E4186" t="str">
        <f>VLOOKUP(B4186,Products!$A:$E,3,FALSE)</f>
        <v>Electronics</v>
      </c>
    </row>
    <row r="4187" spans="1:5" x14ac:dyDescent="0.3">
      <c r="A4187" t="s">
        <v>5197</v>
      </c>
      <c r="B4187" t="s">
        <v>466</v>
      </c>
      <c r="C4187">
        <v>50</v>
      </c>
      <c r="D4187" t="str">
        <f>VLOOKUP(B4187,Products!$A:$E,2,FALSE)</f>
        <v>Product_229</v>
      </c>
      <c r="E4187" t="str">
        <f>VLOOKUP(B4187,Products!$A:$E,3,FALSE)</f>
        <v>Accessories</v>
      </c>
    </row>
    <row r="4188" spans="1:5" x14ac:dyDescent="0.3">
      <c r="A4188" t="s">
        <v>5198</v>
      </c>
      <c r="B4188" t="s">
        <v>104</v>
      </c>
      <c r="C4188">
        <v>46</v>
      </c>
      <c r="D4188" t="str">
        <f>VLOOKUP(B4188,Products!$A:$E,2,FALSE)</f>
        <v>Product_48</v>
      </c>
      <c r="E4188" t="str">
        <f>VLOOKUP(B4188,Products!$A:$E,3,FALSE)</f>
        <v>Accessories</v>
      </c>
    </row>
    <row r="4189" spans="1:5" x14ac:dyDescent="0.3">
      <c r="A4189" t="s">
        <v>5199</v>
      </c>
      <c r="B4189" t="s">
        <v>66</v>
      </c>
      <c r="C4189">
        <v>82</v>
      </c>
      <c r="D4189" t="str">
        <f>VLOOKUP(B4189,Products!$A:$E,2,FALSE)</f>
        <v>Product_29</v>
      </c>
      <c r="E4189" t="str">
        <f>VLOOKUP(B4189,Products!$A:$E,3,FALSE)</f>
        <v>Electronics</v>
      </c>
    </row>
    <row r="4190" spans="1:5" x14ac:dyDescent="0.3">
      <c r="A4190" t="s">
        <v>5200</v>
      </c>
      <c r="B4190" t="s">
        <v>666</v>
      </c>
      <c r="C4190">
        <v>29</v>
      </c>
      <c r="D4190" t="str">
        <f>VLOOKUP(B4190,Products!$A:$E,2,FALSE)</f>
        <v>Product_329</v>
      </c>
      <c r="E4190" t="str">
        <f>VLOOKUP(B4190,Products!$A:$E,3,FALSE)</f>
        <v>Office Supplies</v>
      </c>
    </row>
    <row r="4191" spans="1:5" x14ac:dyDescent="0.3">
      <c r="A4191" t="s">
        <v>5201</v>
      </c>
      <c r="B4191" t="s">
        <v>606</v>
      </c>
      <c r="C4191">
        <v>72</v>
      </c>
      <c r="D4191" t="str">
        <f>VLOOKUP(B4191,Products!$A:$E,2,FALSE)</f>
        <v>Product_299</v>
      </c>
      <c r="E4191" t="str">
        <f>VLOOKUP(B4191,Products!$A:$E,3,FALSE)</f>
        <v>Storage</v>
      </c>
    </row>
    <row r="4192" spans="1:5" x14ac:dyDescent="0.3">
      <c r="A4192" t="s">
        <v>5202</v>
      </c>
      <c r="B4192" t="s">
        <v>236</v>
      </c>
      <c r="C4192">
        <v>40</v>
      </c>
      <c r="D4192" t="str">
        <f>VLOOKUP(B4192,Products!$A:$E,2,FALSE)</f>
        <v>Product_114</v>
      </c>
      <c r="E4192" t="str">
        <f>VLOOKUP(B4192,Products!$A:$E,3,FALSE)</f>
        <v>Electronics</v>
      </c>
    </row>
    <row r="4193" spans="1:5" x14ac:dyDescent="0.3">
      <c r="A4193" t="s">
        <v>5203</v>
      </c>
      <c r="B4193" t="s">
        <v>210</v>
      </c>
      <c r="C4193">
        <v>7</v>
      </c>
      <c r="D4193" t="str">
        <f>VLOOKUP(B4193,Products!$A:$E,2,FALSE)</f>
        <v>Product_101</v>
      </c>
      <c r="E4193" t="str">
        <f>VLOOKUP(B4193,Products!$A:$E,3,FALSE)</f>
        <v>Storage</v>
      </c>
    </row>
    <row r="4194" spans="1:5" x14ac:dyDescent="0.3">
      <c r="A4194" t="s">
        <v>5204</v>
      </c>
      <c r="B4194" t="s">
        <v>94</v>
      </c>
      <c r="C4194">
        <v>73</v>
      </c>
      <c r="D4194" t="str">
        <f>VLOOKUP(B4194,Products!$A:$E,2,FALSE)</f>
        <v>Product_43</v>
      </c>
      <c r="E4194" t="str">
        <f>VLOOKUP(B4194,Products!$A:$E,3,FALSE)</f>
        <v>Storage</v>
      </c>
    </row>
    <row r="4195" spans="1:5" x14ac:dyDescent="0.3">
      <c r="A4195" t="s">
        <v>5205</v>
      </c>
      <c r="B4195" t="s">
        <v>878</v>
      </c>
      <c r="C4195">
        <v>62</v>
      </c>
      <c r="D4195" t="str">
        <f>VLOOKUP(B4195,Products!$A:$E,2,FALSE)</f>
        <v>Product_435</v>
      </c>
      <c r="E4195" t="str">
        <f>VLOOKUP(B4195,Products!$A:$E,3,FALSE)</f>
        <v>Accessories</v>
      </c>
    </row>
    <row r="4196" spans="1:5" x14ac:dyDescent="0.3">
      <c r="A4196" t="s">
        <v>5206</v>
      </c>
      <c r="B4196" t="s">
        <v>702</v>
      </c>
      <c r="C4196">
        <v>90</v>
      </c>
      <c r="D4196" t="str">
        <f>VLOOKUP(B4196,Products!$A:$E,2,FALSE)</f>
        <v>Product_347</v>
      </c>
      <c r="E4196" t="str">
        <f>VLOOKUP(B4196,Products!$A:$E,3,FALSE)</f>
        <v>Storage</v>
      </c>
    </row>
    <row r="4197" spans="1:5" x14ac:dyDescent="0.3">
      <c r="A4197" t="s">
        <v>5207</v>
      </c>
      <c r="B4197" t="s">
        <v>990</v>
      </c>
      <c r="C4197">
        <v>16</v>
      </c>
      <c r="D4197" t="str">
        <f>VLOOKUP(B4197,Products!$A:$E,2,FALSE)</f>
        <v>Product_491</v>
      </c>
      <c r="E4197" t="str">
        <f>VLOOKUP(B4197,Products!$A:$E,3,FALSE)</f>
        <v>Accessories</v>
      </c>
    </row>
    <row r="4198" spans="1:5" x14ac:dyDescent="0.3">
      <c r="A4198" t="s">
        <v>5208</v>
      </c>
      <c r="B4198" t="s">
        <v>1008</v>
      </c>
      <c r="C4198">
        <v>70</v>
      </c>
      <c r="D4198" t="str">
        <f>VLOOKUP(B4198,Products!$A:$E,2,FALSE)</f>
        <v>Product_500</v>
      </c>
      <c r="E4198" t="str">
        <f>VLOOKUP(B4198,Products!$A:$E,3,FALSE)</f>
        <v>Networking</v>
      </c>
    </row>
    <row r="4199" spans="1:5" x14ac:dyDescent="0.3">
      <c r="A4199" t="s">
        <v>5209</v>
      </c>
      <c r="B4199" t="s">
        <v>412</v>
      </c>
      <c r="C4199">
        <v>29</v>
      </c>
      <c r="D4199" t="str">
        <f>VLOOKUP(B4199,Products!$A:$E,2,FALSE)</f>
        <v>Product_202</v>
      </c>
      <c r="E4199" t="str">
        <f>VLOOKUP(B4199,Products!$A:$E,3,FALSE)</f>
        <v>Storage</v>
      </c>
    </row>
    <row r="4200" spans="1:5" x14ac:dyDescent="0.3">
      <c r="A4200" t="s">
        <v>5210</v>
      </c>
      <c r="B4200" t="s">
        <v>512</v>
      </c>
      <c r="C4200">
        <v>45</v>
      </c>
      <c r="D4200" t="str">
        <f>VLOOKUP(B4200,Products!$A:$E,2,FALSE)</f>
        <v>Product_252</v>
      </c>
      <c r="E4200" t="str">
        <f>VLOOKUP(B4200,Products!$A:$E,3,FALSE)</f>
        <v>Networking</v>
      </c>
    </row>
    <row r="4201" spans="1:5" x14ac:dyDescent="0.3">
      <c r="A4201" t="s">
        <v>5211</v>
      </c>
      <c r="B4201" t="s">
        <v>626</v>
      </c>
      <c r="C4201">
        <v>82</v>
      </c>
      <c r="D4201" t="str">
        <f>VLOOKUP(B4201,Products!$A:$E,2,FALSE)</f>
        <v>Product_309</v>
      </c>
      <c r="E4201" t="str">
        <f>VLOOKUP(B4201,Products!$A:$E,3,FALSE)</f>
        <v>Networking</v>
      </c>
    </row>
    <row r="4202" spans="1:5" x14ac:dyDescent="0.3">
      <c r="A4202" t="s">
        <v>5212</v>
      </c>
      <c r="B4202" t="s">
        <v>532</v>
      </c>
      <c r="C4202">
        <v>12</v>
      </c>
      <c r="D4202" t="str">
        <f>VLOOKUP(B4202,Products!$A:$E,2,FALSE)</f>
        <v>Product_262</v>
      </c>
      <c r="E4202" t="str">
        <f>VLOOKUP(B4202,Products!$A:$E,3,FALSE)</f>
        <v>Electronics</v>
      </c>
    </row>
    <row r="4203" spans="1:5" x14ac:dyDescent="0.3">
      <c r="A4203" t="s">
        <v>5213</v>
      </c>
      <c r="B4203" t="s">
        <v>940</v>
      </c>
      <c r="C4203">
        <v>90</v>
      </c>
      <c r="D4203" t="str">
        <f>VLOOKUP(B4203,Products!$A:$E,2,FALSE)</f>
        <v>Product_466</v>
      </c>
      <c r="E4203" t="str">
        <f>VLOOKUP(B4203,Products!$A:$E,3,FALSE)</f>
        <v>Networking</v>
      </c>
    </row>
    <row r="4204" spans="1:5" x14ac:dyDescent="0.3">
      <c r="A4204" t="s">
        <v>5214</v>
      </c>
      <c r="B4204" t="s">
        <v>378</v>
      </c>
      <c r="C4204">
        <v>55</v>
      </c>
      <c r="D4204" t="str">
        <f>VLOOKUP(B4204,Products!$A:$E,2,FALSE)</f>
        <v>Product_185</v>
      </c>
      <c r="E4204" t="str">
        <f>VLOOKUP(B4204,Products!$A:$E,3,FALSE)</f>
        <v>Storage</v>
      </c>
    </row>
    <row r="4205" spans="1:5" x14ac:dyDescent="0.3">
      <c r="A4205" t="s">
        <v>5215</v>
      </c>
      <c r="B4205" t="s">
        <v>160</v>
      </c>
      <c r="C4205">
        <v>96</v>
      </c>
      <c r="D4205" t="str">
        <f>VLOOKUP(B4205,Products!$A:$E,2,FALSE)</f>
        <v>Product_76</v>
      </c>
      <c r="E4205" t="str">
        <f>VLOOKUP(B4205,Products!$A:$E,3,FALSE)</f>
        <v>Accessories</v>
      </c>
    </row>
    <row r="4206" spans="1:5" x14ac:dyDescent="0.3">
      <c r="A4206" t="s">
        <v>5216</v>
      </c>
      <c r="B4206" t="s">
        <v>884</v>
      </c>
      <c r="C4206">
        <v>59</v>
      </c>
      <c r="D4206" t="str">
        <f>VLOOKUP(B4206,Products!$A:$E,2,FALSE)</f>
        <v>Product_438</v>
      </c>
      <c r="E4206" t="str">
        <f>VLOOKUP(B4206,Products!$A:$E,3,FALSE)</f>
        <v>Electronics</v>
      </c>
    </row>
    <row r="4207" spans="1:5" x14ac:dyDescent="0.3">
      <c r="A4207" t="s">
        <v>5217</v>
      </c>
      <c r="B4207" t="s">
        <v>388</v>
      </c>
      <c r="C4207">
        <v>54</v>
      </c>
      <c r="D4207" t="str">
        <f>VLOOKUP(B4207,Products!$A:$E,2,FALSE)</f>
        <v>Product_190</v>
      </c>
      <c r="E4207" t="str">
        <f>VLOOKUP(B4207,Products!$A:$E,3,FALSE)</f>
        <v>Office Supplies</v>
      </c>
    </row>
    <row r="4208" spans="1:5" x14ac:dyDescent="0.3">
      <c r="A4208" t="s">
        <v>5218</v>
      </c>
      <c r="B4208" t="s">
        <v>390</v>
      </c>
      <c r="C4208">
        <v>6</v>
      </c>
      <c r="D4208" t="str">
        <f>VLOOKUP(B4208,Products!$A:$E,2,FALSE)</f>
        <v>Product_191</v>
      </c>
      <c r="E4208" t="str">
        <f>VLOOKUP(B4208,Products!$A:$E,3,FALSE)</f>
        <v>Networking</v>
      </c>
    </row>
    <row r="4209" spans="1:5" x14ac:dyDescent="0.3">
      <c r="A4209" t="s">
        <v>5219</v>
      </c>
      <c r="B4209" t="s">
        <v>300</v>
      </c>
      <c r="C4209">
        <v>49</v>
      </c>
      <c r="D4209" t="str">
        <f>VLOOKUP(B4209,Products!$A:$E,2,FALSE)</f>
        <v>Product_146</v>
      </c>
      <c r="E4209" t="str">
        <f>VLOOKUP(B4209,Products!$A:$E,3,FALSE)</f>
        <v>Office Supplies</v>
      </c>
    </row>
    <row r="4210" spans="1:5" x14ac:dyDescent="0.3">
      <c r="A4210" t="s">
        <v>5220</v>
      </c>
      <c r="B4210" t="s">
        <v>368</v>
      </c>
      <c r="C4210">
        <v>44</v>
      </c>
      <c r="D4210" t="str">
        <f>VLOOKUP(B4210,Products!$A:$E,2,FALSE)</f>
        <v>Product_180</v>
      </c>
      <c r="E4210" t="str">
        <f>VLOOKUP(B4210,Products!$A:$E,3,FALSE)</f>
        <v>Office Supplies</v>
      </c>
    </row>
    <row r="4211" spans="1:5" x14ac:dyDescent="0.3">
      <c r="A4211" t="s">
        <v>5221</v>
      </c>
      <c r="B4211" t="s">
        <v>466</v>
      </c>
      <c r="C4211">
        <v>76</v>
      </c>
      <c r="D4211" t="str">
        <f>VLOOKUP(B4211,Products!$A:$E,2,FALSE)</f>
        <v>Product_229</v>
      </c>
      <c r="E4211" t="str">
        <f>VLOOKUP(B4211,Products!$A:$E,3,FALSE)</f>
        <v>Accessories</v>
      </c>
    </row>
    <row r="4212" spans="1:5" x14ac:dyDescent="0.3">
      <c r="A4212" t="s">
        <v>5222</v>
      </c>
      <c r="B4212" t="s">
        <v>98</v>
      </c>
      <c r="C4212">
        <v>32</v>
      </c>
      <c r="D4212" t="str">
        <f>VLOOKUP(B4212,Products!$A:$E,2,FALSE)</f>
        <v>Product_45</v>
      </c>
      <c r="E4212" t="str">
        <f>VLOOKUP(B4212,Products!$A:$E,3,FALSE)</f>
        <v>Accessories</v>
      </c>
    </row>
    <row r="4213" spans="1:5" x14ac:dyDescent="0.3">
      <c r="A4213" t="s">
        <v>5223</v>
      </c>
      <c r="B4213" t="s">
        <v>754</v>
      </c>
      <c r="C4213">
        <v>61</v>
      </c>
      <c r="D4213" t="str">
        <f>VLOOKUP(B4213,Products!$A:$E,2,FALSE)</f>
        <v>Product_373</v>
      </c>
      <c r="E4213" t="str">
        <f>VLOOKUP(B4213,Products!$A:$E,3,FALSE)</f>
        <v>Office Supplies</v>
      </c>
    </row>
    <row r="4214" spans="1:5" x14ac:dyDescent="0.3">
      <c r="A4214" t="s">
        <v>5224</v>
      </c>
      <c r="B4214" t="s">
        <v>768</v>
      </c>
      <c r="C4214">
        <v>58</v>
      </c>
      <c r="D4214" t="str">
        <f>VLOOKUP(B4214,Products!$A:$E,2,FALSE)</f>
        <v>Product_380</v>
      </c>
      <c r="E4214" t="str">
        <f>VLOOKUP(B4214,Products!$A:$E,3,FALSE)</f>
        <v>Electronics</v>
      </c>
    </row>
    <row r="4215" spans="1:5" x14ac:dyDescent="0.3">
      <c r="A4215" t="s">
        <v>5225</v>
      </c>
      <c r="B4215" t="s">
        <v>832</v>
      </c>
      <c r="C4215">
        <v>61</v>
      </c>
      <c r="D4215" t="str">
        <f>VLOOKUP(B4215,Products!$A:$E,2,FALSE)</f>
        <v>Product_412</v>
      </c>
      <c r="E4215" t="str">
        <f>VLOOKUP(B4215,Products!$A:$E,3,FALSE)</f>
        <v>Accessories</v>
      </c>
    </row>
    <row r="4216" spans="1:5" x14ac:dyDescent="0.3">
      <c r="A4216" t="s">
        <v>5226</v>
      </c>
      <c r="B4216" t="s">
        <v>304</v>
      </c>
      <c r="C4216">
        <v>25</v>
      </c>
      <c r="D4216" t="str">
        <f>VLOOKUP(B4216,Products!$A:$E,2,FALSE)</f>
        <v>Product_148</v>
      </c>
      <c r="E4216" t="str">
        <f>VLOOKUP(B4216,Products!$A:$E,3,FALSE)</f>
        <v>Electronics</v>
      </c>
    </row>
    <row r="4217" spans="1:5" x14ac:dyDescent="0.3">
      <c r="A4217" t="s">
        <v>5227</v>
      </c>
      <c r="B4217" t="s">
        <v>834</v>
      </c>
      <c r="C4217">
        <v>98</v>
      </c>
      <c r="D4217" t="str">
        <f>VLOOKUP(B4217,Products!$A:$E,2,FALSE)</f>
        <v>Product_413</v>
      </c>
      <c r="E4217" t="str">
        <f>VLOOKUP(B4217,Products!$A:$E,3,FALSE)</f>
        <v>Accessories</v>
      </c>
    </row>
    <row r="4218" spans="1:5" x14ac:dyDescent="0.3">
      <c r="A4218" t="s">
        <v>5228</v>
      </c>
      <c r="B4218" t="s">
        <v>1002</v>
      </c>
      <c r="C4218">
        <v>59</v>
      </c>
      <c r="D4218" t="str">
        <f>VLOOKUP(B4218,Products!$A:$E,2,FALSE)</f>
        <v>Product_497</v>
      </c>
      <c r="E4218" t="str">
        <f>VLOOKUP(B4218,Products!$A:$E,3,FALSE)</f>
        <v>Office Supplies</v>
      </c>
    </row>
    <row r="4219" spans="1:5" x14ac:dyDescent="0.3">
      <c r="A4219" t="s">
        <v>5229</v>
      </c>
      <c r="B4219" t="s">
        <v>756</v>
      </c>
      <c r="C4219">
        <v>58</v>
      </c>
      <c r="D4219" t="str">
        <f>VLOOKUP(B4219,Products!$A:$E,2,FALSE)</f>
        <v>Product_374</v>
      </c>
      <c r="E4219" t="str">
        <f>VLOOKUP(B4219,Products!$A:$E,3,FALSE)</f>
        <v>Office Supplies</v>
      </c>
    </row>
    <row r="4220" spans="1:5" x14ac:dyDescent="0.3">
      <c r="A4220" t="s">
        <v>5230</v>
      </c>
      <c r="B4220" t="s">
        <v>152</v>
      </c>
      <c r="C4220">
        <v>80</v>
      </c>
      <c r="D4220" t="str">
        <f>VLOOKUP(B4220,Products!$A:$E,2,FALSE)</f>
        <v>Product_72</v>
      </c>
      <c r="E4220" t="str">
        <f>VLOOKUP(B4220,Products!$A:$E,3,FALSE)</f>
        <v>Networking</v>
      </c>
    </row>
    <row r="4221" spans="1:5" x14ac:dyDescent="0.3">
      <c r="A4221" t="s">
        <v>5231</v>
      </c>
      <c r="B4221" t="s">
        <v>622</v>
      </c>
      <c r="C4221">
        <v>16</v>
      </c>
      <c r="D4221" t="str">
        <f>VLOOKUP(B4221,Products!$A:$E,2,FALSE)</f>
        <v>Product_307</v>
      </c>
      <c r="E4221" t="str">
        <f>VLOOKUP(B4221,Products!$A:$E,3,FALSE)</f>
        <v>Storage</v>
      </c>
    </row>
    <row r="4222" spans="1:5" x14ac:dyDescent="0.3">
      <c r="A4222" t="s">
        <v>5232</v>
      </c>
      <c r="B4222" t="s">
        <v>156</v>
      </c>
      <c r="C4222">
        <v>31</v>
      </c>
      <c r="D4222" t="str">
        <f>VLOOKUP(B4222,Products!$A:$E,2,FALSE)</f>
        <v>Product_74</v>
      </c>
      <c r="E4222" t="str">
        <f>VLOOKUP(B4222,Products!$A:$E,3,FALSE)</f>
        <v>Storage</v>
      </c>
    </row>
    <row r="4223" spans="1:5" x14ac:dyDescent="0.3">
      <c r="A4223" t="s">
        <v>5233</v>
      </c>
      <c r="B4223" t="s">
        <v>320</v>
      </c>
      <c r="C4223">
        <v>65</v>
      </c>
      <c r="D4223" t="str">
        <f>VLOOKUP(B4223,Products!$A:$E,2,FALSE)</f>
        <v>Product_156</v>
      </c>
      <c r="E4223" t="str">
        <f>VLOOKUP(B4223,Products!$A:$E,3,FALSE)</f>
        <v>Accessories</v>
      </c>
    </row>
    <row r="4224" spans="1:5" x14ac:dyDescent="0.3">
      <c r="A4224" t="s">
        <v>5234</v>
      </c>
      <c r="B4224" t="s">
        <v>898</v>
      </c>
      <c r="C4224">
        <v>72</v>
      </c>
      <c r="D4224" t="str">
        <f>VLOOKUP(B4224,Products!$A:$E,2,FALSE)</f>
        <v>Product_445</v>
      </c>
      <c r="E4224" t="str">
        <f>VLOOKUP(B4224,Products!$A:$E,3,FALSE)</f>
        <v>Office Supplies</v>
      </c>
    </row>
    <row r="4225" spans="1:5" x14ac:dyDescent="0.3">
      <c r="A4225" t="s">
        <v>5235</v>
      </c>
      <c r="B4225" t="s">
        <v>352</v>
      </c>
      <c r="C4225">
        <v>13</v>
      </c>
      <c r="D4225" t="str">
        <f>VLOOKUP(B4225,Products!$A:$E,2,FALSE)</f>
        <v>Product_172</v>
      </c>
      <c r="E4225" t="str">
        <f>VLOOKUP(B4225,Products!$A:$E,3,FALSE)</f>
        <v>Networking</v>
      </c>
    </row>
    <row r="4226" spans="1:5" x14ac:dyDescent="0.3">
      <c r="A4226" t="s">
        <v>5236</v>
      </c>
      <c r="B4226" t="s">
        <v>964</v>
      </c>
      <c r="C4226">
        <v>80</v>
      </c>
      <c r="D4226" t="str">
        <f>VLOOKUP(B4226,Products!$A:$E,2,FALSE)</f>
        <v>Product_478</v>
      </c>
      <c r="E4226" t="str">
        <f>VLOOKUP(B4226,Products!$A:$E,3,FALSE)</f>
        <v>Office Supplies</v>
      </c>
    </row>
    <row r="4227" spans="1:5" x14ac:dyDescent="0.3">
      <c r="A4227" t="s">
        <v>5237</v>
      </c>
      <c r="B4227" t="s">
        <v>784</v>
      </c>
      <c r="C4227">
        <v>53</v>
      </c>
      <c r="D4227" t="str">
        <f>VLOOKUP(B4227,Products!$A:$E,2,FALSE)</f>
        <v>Product_388</v>
      </c>
      <c r="E4227" t="str">
        <f>VLOOKUP(B4227,Products!$A:$E,3,FALSE)</f>
        <v>Office Supplies</v>
      </c>
    </row>
    <row r="4228" spans="1:5" x14ac:dyDescent="0.3">
      <c r="A4228" t="s">
        <v>5238</v>
      </c>
      <c r="B4228" t="s">
        <v>100</v>
      </c>
      <c r="C4228">
        <v>5</v>
      </c>
      <c r="D4228" t="str">
        <f>VLOOKUP(B4228,Products!$A:$E,2,FALSE)</f>
        <v>Product_46</v>
      </c>
      <c r="E4228" t="str">
        <f>VLOOKUP(B4228,Products!$A:$E,3,FALSE)</f>
        <v>Networking</v>
      </c>
    </row>
    <row r="4229" spans="1:5" x14ac:dyDescent="0.3">
      <c r="A4229" t="s">
        <v>5239</v>
      </c>
      <c r="B4229" t="s">
        <v>428</v>
      </c>
      <c r="C4229">
        <v>86</v>
      </c>
      <c r="D4229" t="str">
        <f>VLOOKUP(B4229,Products!$A:$E,2,FALSE)</f>
        <v>Product_210</v>
      </c>
      <c r="E4229" t="str">
        <f>VLOOKUP(B4229,Products!$A:$E,3,FALSE)</f>
        <v>Electronics</v>
      </c>
    </row>
    <row r="4230" spans="1:5" x14ac:dyDescent="0.3">
      <c r="A4230" t="s">
        <v>5240</v>
      </c>
      <c r="B4230" t="s">
        <v>946</v>
      </c>
      <c r="C4230">
        <v>39</v>
      </c>
      <c r="D4230" t="str">
        <f>VLOOKUP(B4230,Products!$A:$E,2,FALSE)</f>
        <v>Product_469</v>
      </c>
      <c r="E4230" t="str">
        <f>VLOOKUP(B4230,Products!$A:$E,3,FALSE)</f>
        <v>Office Supplies</v>
      </c>
    </row>
    <row r="4231" spans="1:5" x14ac:dyDescent="0.3">
      <c r="A4231" t="s">
        <v>5241</v>
      </c>
      <c r="B4231" t="s">
        <v>434</v>
      </c>
      <c r="C4231">
        <v>27</v>
      </c>
      <c r="D4231" t="str">
        <f>VLOOKUP(B4231,Products!$A:$E,2,FALSE)</f>
        <v>Product_213</v>
      </c>
      <c r="E4231" t="str">
        <f>VLOOKUP(B4231,Products!$A:$E,3,FALSE)</f>
        <v>Accessories</v>
      </c>
    </row>
    <row r="4232" spans="1:5" x14ac:dyDescent="0.3">
      <c r="A4232" t="s">
        <v>5242</v>
      </c>
      <c r="B4232" t="s">
        <v>578</v>
      </c>
      <c r="C4232">
        <v>64</v>
      </c>
      <c r="D4232" t="str">
        <f>VLOOKUP(B4232,Products!$A:$E,2,FALSE)</f>
        <v>Product_285</v>
      </c>
      <c r="E4232" t="str">
        <f>VLOOKUP(B4232,Products!$A:$E,3,FALSE)</f>
        <v>Networking</v>
      </c>
    </row>
    <row r="4233" spans="1:5" x14ac:dyDescent="0.3">
      <c r="A4233" t="s">
        <v>5243</v>
      </c>
      <c r="B4233" t="s">
        <v>736</v>
      </c>
      <c r="C4233">
        <v>77</v>
      </c>
      <c r="D4233" t="str">
        <f>VLOOKUP(B4233,Products!$A:$E,2,FALSE)</f>
        <v>Product_364</v>
      </c>
      <c r="E4233" t="str">
        <f>VLOOKUP(B4233,Products!$A:$E,3,FALSE)</f>
        <v>Networking</v>
      </c>
    </row>
    <row r="4234" spans="1:5" x14ac:dyDescent="0.3">
      <c r="A4234" t="s">
        <v>5244</v>
      </c>
      <c r="B4234" t="s">
        <v>782</v>
      </c>
      <c r="C4234">
        <v>22</v>
      </c>
      <c r="D4234" t="str">
        <f>VLOOKUP(B4234,Products!$A:$E,2,FALSE)</f>
        <v>Product_387</v>
      </c>
      <c r="E4234" t="str">
        <f>VLOOKUP(B4234,Products!$A:$E,3,FALSE)</f>
        <v>Storage</v>
      </c>
    </row>
    <row r="4235" spans="1:5" x14ac:dyDescent="0.3">
      <c r="A4235" t="s">
        <v>5245</v>
      </c>
      <c r="B4235" t="s">
        <v>214</v>
      </c>
      <c r="C4235">
        <v>28</v>
      </c>
      <c r="D4235" t="str">
        <f>VLOOKUP(B4235,Products!$A:$E,2,FALSE)</f>
        <v>Product_103</v>
      </c>
      <c r="E4235" t="str">
        <f>VLOOKUP(B4235,Products!$A:$E,3,FALSE)</f>
        <v>Accessories</v>
      </c>
    </row>
    <row r="4236" spans="1:5" x14ac:dyDescent="0.3">
      <c r="A4236" t="s">
        <v>5246</v>
      </c>
      <c r="B4236" t="s">
        <v>862</v>
      </c>
      <c r="C4236">
        <v>53</v>
      </c>
      <c r="D4236" t="str">
        <f>VLOOKUP(B4236,Products!$A:$E,2,FALSE)</f>
        <v>Product_427</v>
      </c>
      <c r="E4236" t="str">
        <f>VLOOKUP(B4236,Products!$A:$E,3,FALSE)</f>
        <v>Networking</v>
      </c>
    </row>
    <row r="4237" spans="1:5" x14ac:dyDescent="0.3">
      <c r="A4237" t="s">
        <v>5247</v>
      </c>
      <c r="B4237" t="s">
        <v>306</v>
      </c>
      <c r="C4237">
        <v>75</v>
      </c>
      <c r="D4237" t="str">
        <f>VLOOKUP(B4237,Products!$A:$E,2,FALSE)</f>
        <v>Product_149</v>
      </c>
      <c r="E4237" t="str">
        <f>VLOOKUP(B4237,Products!$A:$E,3,FALSE)</f>
        <v>Accessories</v>
      </c>
    </row>
    <row r="4238" spans="1:5" x14ac:dyDescent="0.3">
      <c r="A4238" t="s">
        <v>5248</v>
      </c>
      <c r="B4238" t="s">
        <v>512</v>
      </c>
      <c r="C4238">
        <v>10</v>
      </c>
      <c r="D4238" t="str">
        <f>VLOOKUP(B4238,Products!$A:$E,2,FALSE)</f>
        <v>Product_252</v>
      </c>
      <c r="E4238" t="str">
        <f>VLOOKUP(B4238,Products!$A:$E,3,FALSE)</f>
        <v>Networking</v>
      </c>
    </row>
    <row r="4239" spans="1:5" x14ac:dyDescent="0.3">
      <c r="A4239" t="s">
        <v>5249</v>
      </c>
      <c r="B4239" t="s">
        <v>852</v>
      </c>
      <c r="C4239">
        <v>43</v>
      </c>
      <c r="D4239" t="str">
        <f>VLOOKUP(B4239,Products!$A:$E,2,FALSE)</f>
        <v>Product_422</v>
      </c>
      <c r="E4239" t="str">
        <f>VLOOKUP(B4239,Products!$A:$E,3,FALSE)</f>
        <v>Accessories</v>
      </c>
    </row>
    <row r="4240" spans="1:5" x14ac:dyDescent="0.3">
      <c r="A4240" t="s">
        <v>5250</v>
      </c>
      <c r="B4240" t="s">
        <v>864</v>
      </c>
      <c r="C4240">
        <v>79</v>
      </c>
      <c r="D4240" t="str">
        <f>VLOOKUP(B4240,Products!$A:$E,2,FALSE)</f>
        <v>Product_428</v>
      </c>
      <c r="E4240" t="str">
        <f>VLOOKUP(B4240,Products!$A:$E,3,FALSE)</f>
        <v>Storage</v>
      </c>
    </row>
    <row r="4241" spans="1:5" x14ac:dyDescent="0.3">
      <c r="A4241" t="s">
        <v>5251</v>
      </c>
      <c r="B4241" t="s">
        <v>320</v>
      </c>
      <c r="C4241">
        <v>68</v>
      </c>
      <c r="D4241" t="str">
        <f>VLOOKUP(B4241,Products!$A:$E,2,FALSE)</f>
        <v>Product_156</v>
      </c>
      <c r="E4241" t="str">
        <f>VLOOKUP(B4241,Products!$A:$E,3,FALSE)</f>
        <v>Accessories</v>
      </c>
    </row>
    <row r="4242" spans="1:5" x14ac:dyDescent="0.3">
      <c r="A4242" t="s">
        <v>5252</v>
      </c>
      <c r="B4242" t="s">
        <v>582</v>
      </c>
      <c r="C4242">
        <v>99</v>
      </c>
      <c r="D4242" t="str">
        <f>VLOOKUP(B4242,Products!$A:$E,2,FALSE)</f>
        <v>Product_287</v>
      </c>
      <c r="E4242" t="str">
        <f>VLOOKUP(B4242,Products!$A:$E,3,FALSE)</f>
        <v>Storage</v>
      </c>
    </row>
    <row r="4243" spans="1:5" x14ac:dyDescent="0.3">
      <c r="A4243" t="s">
        <v>5253</v>
      </c>
      <c r="B4243" t="s">
        <v>484</v>
      </c>
      <c r="C4243">
        <v>33</v>
      </c>
      <c r="D4243" t="str">
        <f>VLOOKUP(B4243,Products!$A:$E,2,FALSE)</f>
        <v>Product_238</v>
      </c>
      <c r="E4243" t="str">
        <f>VLOOKUP(B4243,Products!$A:$E,3,FALSE)</f>
        <v>Accessories</v>
      </c>
    </row>
    <row r="4244" spans="1:5" x14ac:dyDescent="0.3">
      <c r="A4244" t="s">
        <v>5254</v>
      </c>
      <c r="B4244" t="s">
        <v>36</v>
      </c>
      <c r="C4244">
        <v>5</v>
      </c>
      <c r="D4244" t="str">
        <f>VLOOKUP(B4244,Products!$A:$E,2,FALSE)</f>
        <v>Product_14</v>
      </c>
      <c r="E4244" t="str">
        <f>VLOOKUP(B4244,Products!$A:$E,3,FALSE)</f>
        <v>Accessories</v>
      </c>
    </row>
    <row r="4245" spans="1:5" x14ac:dyDescent="0.3">
      <c r="A4245" t="s">
        <v>5255</v>
      </c>
      <c r="B4245" t="s">
        <v>166</v>
      </c>
      <c r="C4245">
        <v>38</v>
      </c>
      <c r="D4245" t="str">
        <f>VLOOKUP(B4245,Products!$A:$E,2,FALSE)</f>
        <v>Product_79</v>
      </c>
      <c r="E4245" t="str">
        <f>VLOOKUP(B4245,Products!$A:$E,3,FALSE)</f>
        <v>Storage</v>
      </c>
    </row>
    <row r="4246" spans="1:5" x14ac:dyDescent="0.3">
      <c r="A4246" t="s">
        <v>5256</v>
      </c>
      <c r="B4246" t="s">
        <v>316</v>
      </c>
      <c r="C4246">
        <v>86</v>
      </c>
      <c r="D4246" t="str">
        <f>VLOOKUP(B4246,Products!$A:$E,2,FALSE)</f>
        <v>Product_154</v>
      </c>
      <c r="E4246" t="str">
        <f>VLOOKUP(B4246,Products!$A:$E,3,FALSE)</f>
        <v>Accessories</v>
      </c>
    </row>
    <row r="4247" spans="1:5" x14ac:dyDescent="0.3">
      <c r="A4247" t="s">
        <v>5257</v>
      </c>
      <c r="B4247" t="s">
        <v>864</v>
      </c>
      <c r="C4247">
        <v>86</v>
      </c>
      <c r="D4247" t="str">
        <f>VLOOKUP(B4247,Products!$A:$E,2,FALSE)</f>
        <v>Product_428</v>
      </c>
      <c r="E4247" t="str">
        <f>VLOOKUP(B4247,Products!$A:$E,3,FALSE)</f>
        <v>Storage</v>
      </c>
    </row>
    <row r="4248" spans="1:5" x14ac:dyDescent="0.3">
      <c r="A4248" t="s">
        <v>5258</v>
      </c>
      <c r="B4248" t="s">
        <v>492</v>
      </c>
      <c r="C4248">
        <v>20</v>
      </c>
      <c r="D4248" t="str">
        <f>VLOOKUP(B4248,Products!$A:$E,2,FALSE)</f>
        <v>Product_242</v>
      </c>
      <c r="E4248" t="str">
        <f>VLOOKUP(B4248,Products!$A:$E,3,FALSE)</f>
        <v>Networking</v>
      </c>
    </row>
    <row r="4249" spans="1:5" x14ac:dyDescent="0.3">
      <c r="A4249" t="s">
        <v>5259</v>
      </c>
      <c r="B4249" t="s">
        <v>678</v>
      </c>
      <c r="C4249">
        <v>90</v>
      </c>
      <c r="D4249" t="str">
        <f>VLOOKUP(B4249,Products!$A:$E,2,FALSE)</f>
        <v>Product_335</v>
      </c>
      <c r="E4249" t="str">
        <f>VLOOKUP(B4249,Products!$A:$E,3,FALSE)</f>
        <v>Networking</v>
      </c>
    </row>
    <row r="4250" spans="1:5" x14ac:dyDescent="0.3">
      <c r="A4250" t="s">
        <v>5260</v>
      </c>
      <c r="B4250" t="s">
        <v>924</v>
      </c>
      <c r="C4250">
        <v>41</v>
      </c>
      <c r="D4250" t="str">
        <f>VLOOKUP(B4250,Products!$A:$E,2,FALSE)</f>
        <v>Product_458</v>
      </c>
      <c r="E4250" t="str">
        <f>VLOOKUP(B4250,Products!$A:$E,3,FALSE)</f>
        <v>Accessories</v>
      </c>
    </row>
    <row r="4251" spans="1:5" x14ac:dyDescent="0.3">
      <c r="A4251" t="s">
        <v>5261</v>
      </c>
      <c r="B4251" t="s">
        <v>436</v>
      </c>
      <c r="C4251">
        <v>27</v>
      </c>
      <c r="D4251" t="str">
        <f>VLOOKUP(B4251,Products!$A:$E,2,FALSE)</f>
        <v>Product_214</v>
      </c>
      <c r="E4251" t="str">
        <f>VLOOKUP(B4251,Products!$A:$E,3,FALSE)</f>
        <v>Electronics</v>
      </c>
    </row>
    <row r="4252" spans="1:5" x14ac:dyDescent="0.3">
      <c r="A4252" t="s">
        <v>5262</v>
      </c>
      <c r="B4252" t="s">
        <v>512</v>
      </c>
      <c r="C4252">
        <v>93</v>
      </c>
      <c r="D4252" t="str">
        <f>VLOOKUP(B4252,Products!$A:$E,2,FALSE)</f>
        <v>Product_252</v>
      </c>
      <c r="E4252" t="str">
        <f>VLOOKUP(B4252,Products!$A:$E,3,FALSE)</f>
        <v>Networking</v>
      </c>
    </row>
    <row r="4253" spans="1:5" x14ac:dyDescent="0.3">
      <c r="A4253" t="s">
        <v>5263</v>
      </c>
      <c r="B4253" t="s">
        <v>670</v>
      </c>
      <c r="C4253">
        <v>36</v>
      </c>
      <c r="D4253" t="str">
        <f>VLOOKUP(B4253,Products!$A:$E,2,FALSE)</f>
        <v>Product_331</v>
      </c>
      <c r="E4253" t="str">
        <f>VLOOKUP(B4253,Products!$A:$E,3,FALSE)</f>
        <v>Electronics</v>
      </c>
    </row>
    <row r="4254" spans="1:5" x14ac:dyDescent="0.3">
      <c r="A4254" t="s">
        <v>5264</v>
      </c>
      <c r="B4254" t="s">
        <v>38</v>
      </c>
      <c r="C4254">
        <v>20</v>
      </c>
      <c r="D4254" t="str">
        <f>VLOOKUP(B4254,Products!$A:$E,2,FALSE)</f>
        <v>Product_15</v>
      </c>
      <c r="E4254" t="str">
        <f>VLOOKUP(B4254,Products!$A:$E,3,FALSE)</f>
        <v>Electronics</v>
      </c>
    </row>
    <row r="4255" spans="1:5" x14ac:dyDescent="0.3">
      <c r="A4255" t="s">
        <v>5265</v>
      </c>
      <c r="B4255" t="s">
        <v>792</v>
      </c>
      <c r="C4255">
        <v>40</v>
      </c>
      <c r="D4255" t="str">
        <f>VLOOKUP(B4255,Products!$A:$E,2,FALSE)</f>
        <v>Product_392</v>
      </c>
      <c r="E4255" t="str">
        <f>VLOOKUP(B4255,Products!$A:$E,3,FALSE)</f>
        <v>Electronics</v>
      </c>
    </row>
    <row r="4256" spans="1:5" x14ac:dyDescent="0.3">
      <c r="A4256" t="s">
        <v>5266</v>
      </c>
      <c r="B4256" t="s">
        <v>514</v>
      </c>
      <c r="C4256">
        <v>13</v>
      </c>
      <c r="D4256" t="str">
        <f>VLOOKUP(B4256,Products!$A:$E,2,FALSE)</f>
        <v>Product_253</v>
      </c>
      <c r="E4256" t="str">
        <f>VLOOKUP(B4256,Products!$A:$E,3,FALSE)</f>
        <v>Networking</v>
      </c>
    </row>
    <row r="4257" spans="1:5" x14ac:dyDescent="0.3">
      <c r="A4257" t="s">
        <v>5267</v>
      </c>
      <c r="B4257" t="s">
        <v>622</v>
      </c>
      <c r="C4257">
        <v>100</v>
      </c>
      <c r="D4257" t="str">
        <f>VLOOKUP(B4257,Products!$A:$E,2,FALSE)</f>
        <v>Product_307</v>
      </c>
      <c r="E4257" t="str">
        <f>VLOOKUP(B4257,Products!$A:$E,3,FALSE)</f>
        <v>Storage</v>
      </c>
    </row>
    <row r="4258" spans="1:5" x14ac:dyDescent="0.3">
      <c r="A4258" t="s">
        <v>5268</v>
      </c>
      <c r="B4258" t="s">
        <v>380</v>
      </c>
      <c r="C4258">
        <v>79</v>
      </c>
      <c r="D4258" t="str">
        <f>VLOOKUP(B4258,Products!$A:$E,2,FALSE)</f>
        <v>Product_186</v>
      </c>
      <c r="E4258" t="str">
        <f>VLOOKUP(B4258,Products!$A:$E,3,FALSE)</f>
        <v>Accessories</v>
      </c>
    </row>
    <row r="4259" spans="1:5" x14ac:dyDescent="0.3">
      <c r="A4259" t="s">
        <v>5269</v>
      </c>
      <c r="B4259" t="s">
        <v>502</v>
      </c>
      <c r="C4259">
        <v>77</v>
      </c>
      <c r="D4259" t="str">
        <f>VLOOKUP(B4259,Products!$A:$E,2,FALSE)</f>
        <v>Product_247</v>
      </c>
      <c r="E4259" t="str">
        <f>VLOOKUP(B4259,Products!$A:$E,3,FALSE)</f>
        <v>Networking</v>
      </c>
    </row>
    <row r="4260" spans="1:5" x14ac:dyDescent="0.3">
      <c r="A4260" t="s">
        <v>5270</v>
      </c>
      <c r="B4260" t="s">
        <v>456</v>
      </c>
      <c r="C4260">
        <v>38</v>
      </c>
      <c r="D4260" t="str">
        <f>VLOOKUP(B4260,Products!$A:$E,2,FALSE)</f>
        <v>Product_224</v>
      </c>
      <c r="E4260" t="str">
        <f>VLOOKUP(B4260,Products!$A:$E,3,FALSE)</f>
        <v>Storage</v>
      </c>
    </row>
    <row r="4261" spans="1:5" x14ac:dyDescent="0.3">
      <c r="A4261" t="s">
        <v>5271</v>
      </c>
      <c r="B4261" t="s">
        <v>652</v>
      </c>
      <c r="C4261">
        <v>92</v>
      </c>
      <c r="D4261" t="str">
        <f>VLOOKUP(B4261,Products!$A:$E,2,FALSE)</f>
        <v>Product_322</v>
      </c>
      <c r="E4261" t="str">
        <f>VLOOKUP(B4261,Products!$A:$E,3,FALSE)</f>
        <v>Accessories</v>
      </c>
    </row>
    <row r="4262" spans="1:5" x14ac:dyDescent="0.3">
      <c r="A4262" t="s">
        <v>5272</v>
      </c>
      <c r="B4262" t="s">
        <v>496</v>
      </c>
      <c r="C4262">
        <v>93</v>
      </c>
      <c r="D4262" t="str">
        <f>VLOOKUP(B4262,Products!$A:$E,2,FALSE)</f>
        <v>Product_244</v>
      </c>
      <c r="E4262" t="str">
        <f>VLOOKUP(B4262,Products!$A:$E,3,FALSE)</f>
        <v>Accessories</v>
      </c>
    </row>
    <row r="4263" spans="1:5" x14ac:dyDescent="0.3">
      <c r="A4263" t="s">
        <v>5273</v>
      </c>
      <c r="B4263" t="s">
        <v>846</v>
      </c>
      <c r="C4263">
        <v>20</v>
      </c>
      <c r="D4263" t="str">
        <f>VLOOKUP(B4263,Products!$A:$E,2,FALSE)</f>
        <v>Product_419</v>
      </c>
      <c r="E4263" t="str">
        <f>VLOOKUP(B4263,Products!$A:$E,3,FALSE)</f>
        <v>Networking</v>
      </c>
    </row>
    <row r="4264" spans="1:5" x14ac:dyDescent="0.3">
      <c r="A4264" t="s">
        <v>5274</v>
      </c>
      <c r="B4264" t="s">
        <v>392</v>
      </c>
      <c r="C4264">
        <v>70</v>
      </c>
      <c r="D4264" t="str">
        <f>VLOOKUP(B4264,Products!$A:$E,2,FALSE)</f>
        <v>Product_192</v>
      </c>
      <c r="E4264" t="str">
        <f>VLOOKUP(B4264,Products!$A:$E,3,FALSE)</f>
        <v>Office Supplies</v>
      </c>
    </row>
    <row r="4265" spans="1:5" x14ac:dyDescent="0.3">
      <c r="A4265" t="s">
        <v>5275</v>
      </c>
      <c r="B4265" t="s">
        <v>760</v>
      </c>
      <c r="C4265">
        <v>78</v>
      </c>
      <c r="D4265" t="str">
        <f>VLOOKUP(B4265,Products!$A:$E,2,FALSE)</f>
        <v>Product_376</v>
      </c>
      <c r="E4265" t="str">
        <f>VLOOKUP(B4265,Products!$A:$E,3,FALSE)</f>
        <v>Networking</v>
      </c>
    </row>
    <row r="4266" spans="1:5" x14ac:dyDescent="0.3">
      <c r="A4266" t="s">
        <v>5276</v>
      </c>
      <c r="B4266" t="s">
        <v>26</v>
      </c>
      <c r="C4266">
        <v>38</v>
      </c>
      <c r="D4266" t="str">
        <f>VLOOKUP(B4266,Products!$A:$E,2,FALSE)</f>
        <v>Product_9</v>
      </c>
      <c r="E4266" t="str">
        <f>VLOOKUP(B4266,Products!$A:$E,3,FALSE)</f>
        <v>Storage</v>
      </c>
    </row>
    <row r="4267" spans="1:5" x14ac:dyDescent="0.3">
      <c r="A4267" t="s">
        <v>5277</v>
      </c>
      <c r="B4267" t="s">
        <v>176</v>
      </c>
      <c r="C4267">
        <v>79</v>
      </c>
      <c r="D4267" t="str">
        <f>VLOOKUP(B4267,Products!$A:$E,2,FALSE)</f>
        <v>Product_84</v>
      </c>
      <c r="E4267" t="str">
        <f>VLOOKUP(B4267,Products!$A:$E,3,FALSE)</f>
        <v>Electronics</v>
      </c>
    </row>
    <row r="4268" spans="1:5" x14ac:dyDescent="0.3">
      <c r="A4268" t="s">
        <v>5278</v>
      </c>
      <c r="B4268" t="s">
        <v>68</v>
      </c>
      <c r="C4268">
        <v>23</v>
      </c>
      <c r="D4268" t="str">
        <f>VLOOKUP(B4268,Products!$A:$E,2,FALSE)</f>
        <v>Product_30</v>
      </c>
      <c r="E4268" t="str">
        <f>VLOOKUP(B4268,Products!$A:$E,3,FALSE)</f>
        <v>Accessories</v>
      </c>
    </row>
    <row r="4269" spans="1:5" x14ac:dyDescent="0.3">
      <c r="A4269" t="s">
        <v>5279</v>
      </c>
      <c r="B4269" t="s">
        <v>336</v>
      </c>
      <c r="C4269">
        <v>64</v>
      </c>
      <c r="D4269" t="str">
        <f>VLOOKUP(B4269,Products!$A:$E,2,FALSE)</f>
        <v>Product_164</v>
      </c>
      <c r="E4269" t="str">
        <f>VLOOKUP(B4269,Products!$A:$E,3,FALSE)</f>
        <v>Networking</v>
      </c>
    </row>
    <row r="4270" spans="1:5" x14ac:dyDescent="0.3">
      <c r="A4270" t="s">
        <v>5280</v>
      </c>
      <c r="B4270" t="s">
        <v>908</v>
      </c>
      <c r="C4270">
        <v>93</v>
      </c>
      <c r="D4270" t="str">
        <f>VLOOKUP(B4270,Products!$A:$E,2,FALSE)</f>
        <v>Product_450</v>
      </c>
      <c r="E4270" t="str">
        <f>VLOOKUP(B4270,Products!$A:$E,3,FALSE)</f>
        <v>Networking</v>
      </c>
    </row>
    <row r="4271" spans="1:5" x14ac:dyDescent="0.3">
      <c r="A4271" t="s">
        <v>5281</v>
      </c>
      <c r="B4271" t="s">
        <v>148</v>
      </c>
      <c r="C4271">
        <v>50</v>
      </c>
      <c r="D4271" t="str">
        <f>VLOOKUP(B4271,Products!$A:$E,2,FALSE)</f>
        <v>Product_70</v>
      </c>
      <c r="E4271" t="str">
        <f>VLOOKUP(B4271,Products!$A:$E,3,FALSE)</f>
        <v>Electronics</v>
      </c>
    </row>
    <row r="4272" spans="1:5" x14ac:dyDescent="0.3">
      <c r="A4272" t="s">
        <v>5282</v>
      </c>
      <c r="B4272" t="s">
        <v>176</v>
      </c>
      <c r="C4272">
        <v>11</v>
      </c>
      <c r="D4272" t="str">
        <f>VLOOKUP(B4272,Products!$A:$E,2,FALSE)</f>
        <v>Product_84</v>
      </c>
      <c r="E4272" t="str">
        <f>VLOOKUP(B4272,Products!$A:$E,3,FALSE)</f>
        <v>Electronics</v>
      </c>
    </row>
    <row r="4273" spans="1:5" x14ac:dyDescent="0.3">
      <c r="A4273" t="s">
        <v>5283</v>
      </c>
      <c r="B4273" t="s">
        <v>288</v>
      </c>
      <c r="C4273">
        <v>51</v>
      </c>
      <c r="D4273" t="str">
        <f>VLOOKUP(B4273,Products!$A:$E,2,FALSE)</f>
        <v>Product_140</v>
      </c>
      <c r="E4273" t="str">
        <f>VLOOKUP(B4273,Products!$A:$E,3,FALSE)</f>
        <v>Electronics</v>
      </c>
    </row>
    <row r="4274" spans="1:5" x14ac:dyDescent="0.3">
      <c r="A4274" t="s">
        <v>5284</v>
      </c>
      <c r="B4274" t="s">
        <v>438</v>
      </c>
      <c r="C4274">
        <v>86</v>
      </c>
      <c r="D4274" t="str">
        <f>VLOOKUP(B4274,Products!$A:$E,2,FALSE)</f>
        <v>Product_215</v>
      </c>
      <c r="E4274" t="str">
        <f>VLOOKUP(B4274,Products!$A:$E,3,FALSE)</f>
        <v>Electronics</v>
      </c>
    </row>
    <row r="4275" spans="1:5" x14ac:dyDescent="0.3">
      <c r="A4275" t="s">
        <v>5285</v>
      </c>
      <c r="B4275" t="s">
        <v>942</v>
      </c>
      <c r="C4275">
        <v>50</v>
      </c>
      <c r="D4275" t="str">
        <f>VLOOKUP(B4275,Products!$A:$E,2,FALSE)</f>
        <v>Product_467</v>
      </c>
      <c r="E4275" t="str">
        <f>VLOOKUP(B4275,Products!$A:$E,3,FALSE)</f>
        <v>Accessories</v>
      </c>
    </row>
    <row r="4276" spans="1:5" x14ac:dyDescent="0.3">
      <c r="A4276" t="s">
        <v>5286</v>
      </c>
      <c r="B4276" t="s">
        <v>58</v>
      </c>
      <c r="C4276">
        <v>42</v>
      </c>
      <c r="D4276" t="str">
        <f>VLOOKUP(B4276,Products!$A:$E,2,FALSE)</f>
        <v>Product_25</v>
      </c>
      <c r="E4276" t="str">
        <f>VLOOKUP(B4276,Products!$A:$E,3,FALSE)</f>
        <v>Office Supplies</v>
      </c>
    </row>
    <row r="4277" spans="1:5" x14ac:dyDescent="0.3">
      <c r="A4277" t="s">
        <v>5287</v>
      </c>
      <c r="B4277" t="s">
        <v>308</v>
      </c>
      <c r="C4277">
        <v>72</v>
      </c>
      <c r="D4277" t="str">
        <f>VLOOKUP(B4277,Products!$A:$E,2,FALSE)</f>
        <v>Product_150</v>
      </c>
      <c r="E4277" t="str">
        <f>VLOOKUP(B4277,Products!$A:$E,3,FALSE)</f>
        <v>Accessories</v>
      </c>
    </row>
    <row r="4278" spans="1:5" x14ac:dyDescent="0.3">
      <c r="A4278" t="s">
        <v>5288</v>
      </c>
      <c r="B4278" t="s">
        <v>664</v>
      </c>
      <c r="C4278">
        <v>14</v>
      </c>
      <c r="D4278" t="str">
        <f>VLOOKUP(B4278,Products!$A:$E,2,FALSE)</f>
        <v>Product_328</v>
      </c>
      <c r="E4278" t="str">
        <f>VLOOKUP(B4278,Products!$A:$E,3,FALSE)</f>
        <v>Office Supplies</v>
      </c>
    </row>
    <row r="4279" spans="1:5" x14ac:dyDescent="0.3">
      <c r="A4279" t="s">
        <v>5289</v>
      </c>
      <c r="B4279" t="s">
        <v>536</v>
      </c>
      <c r="C4279">
        <v>29</v>
      </c>
      <c r="D4279" t="str">
        <f>VLOOKUP(B4279,Products!$A:$E,2,FALSE)</f>
        <v>Product_264</v>
      </c>
      <c r="E4279" t="str">
        <f>VLOOKUP(B4279,Products!$A:$E,3,FALSE)</f>
        <v>Electronics</v>
      </c>
    </row>
    <row r="4280" spans="1:5" x14ac:dyDescent="0.3">
      <c r="A4280" t="s">
        <v>5290</v>
      </c>
      <c r="B4280" t="s">
        <v>794</v>
      </c>
      <c r="C4280">
        <v>85</v>
      </c>
      <c r="D4280" t="str">
        <f>VLOOKUP(B4280,Products!$A:$E,2,FALSE)</f>
        <v>Product_393</v>
      </c>
      <c r="E4280" t="str">
        <f>VLOOKUP(B4280,Products!$A:$E,3,FALSE)</f>
        <v>Electronics</v>
      </c>
    </row>
    <row r="4281" spans="1:5" x14ac:dyDescent="0.3">
      <c r="A4281" t="s">
        <v>5291</v>
      </c>
      <c r="B4281" t="s">
        <v>196</v>
      </c>
      <c r="C4281">
        <v>17</v>
      </c>
      <c r="D4281" t="str">
        <f>VLOOKUP(B4281,Products!$A:$E,2,FALSE)</f>
        <v>Product_94</v>
      </c>
      <c r="E4281" t="str">
        <f>VLOOKUP(B4281,Products!$A:$E,3,FALSE)</f>
        <v>Networking</v>
      </c>
    </row>
    <row r="4282" spans="1:5" x14ac:dyDescent="0.3">
      <c r="A4282" t="s">
        <v>5292</v>
      </c>
      <c r="B4282" t="s">
        <v>622</v>
      </c>
      <c r="C4282">
        <v>26</v>
      </c>
      <c r="D4282" t="str">
        <f>VLOOKUP(B4282,Products!$A:$E,2,FALSE)</f>
        <v>Product_307</v>
      </c>
      <c r="E4282" t="str">
        <f>VLOOKUP(B4282,Products!$A:$E,3,FALSE)</f>
        <v>Storage</v>
      </c>
    </row>
    <row r="4283" spans="1:5" x14ac:dyDescent="0.3">
      <c r="A4283" t="s">
        <v>5293</v>
      </c>
      <c r="B4283" t="s">
        <v>566</v>
      </c>
      <c r="C4283">
        <v>46</v>
      </c>
      <c r="D4283" t="str">
        <f>VLOOKUP(B4283,Products!$A:$E,2,FALSE)</f>
        <v>Product_279</v>
      </c>
      <c r="E4283" t="str">
        <f>VLOOKUP(B4283,Products!$A:$E,3,FALSE)</f>
        <v>Networking</v>
      </c>
    </row>
    <row r="4284" spans="1:5" x14ac:dyDescent="0.3">
      <c r="A4284" t="s">
        <v>5294</v>
      </c>
      <c r="B4284" t="s">
        <v>902</v>
      </c>
      <c r="C4284">
        <v>45</v>
      </c>
      <c r="D4284" t="str">
        <f>VLOOKUP(B4284,Products!$A:$E,2,FALSE)</f>
        <v>Product_447</v>
      </c>
      <c r="E4284" t="str">
        <f>VLOOKUP(B4284,Products!$A:$E,3,FALSE)</f>
        <v>Office Supplies</v>
      </c>
    </row>
    <row r="4285" spans="1:5" x14ac:dyDescent="0.3">
      <c r="A4285" t="s">
        <v>5295</v>
      </c>
      <c r="B4285" t="s">
        <v>856</v>
      </c>
      <c r="C4285">
        <v>92</v>
      </c>
      <c r="D4285" t="str">
        <f>VLOOKUP(B4285,Products!$A:$E,2,FALSE)</f>
        <v>Product_424</v>
      </c>
      <c r="E4285" t="str">
        <f>VLOOKUP(B4285,Products!$A:$E,3,FALSE)</f>
        <v>Networking</v>
      </c>
    </row>
    <row r="4286" spans="1:5" x14ac:dyDescent="0.3">
      <c r="A4286" t="s">
        <v>5296</v>
      </c>
      <c r="B4286" t="s">
        <v>828</v>
      </c>
      <c r="C4286">
        <v>43</v>
      </c>
      <c r="D4286" t="str">
        <f>VLOOKUP(B4286,Products!$A:$E,2,FALSE)</f>
        <v>Product_410</v>
      </c>
      <c r="E4286" t="str">
        <f>VLOOKUP(B4286,Products!$A:$E,3,FALSE)</f>
        <v>Storage</v>
      </c>
    </row>
    <row r="4287" spans="1:5" x14ac:dyDescent="0.3">
      <c r="A4287" t="s">
        <v>5297</v>
      </c>
      <c r="B4287" t="s">
        <v>286</v>
      </c>
      <c r="C4287">
        <v>92</v>
      </c>
      <c r="D4287" t="str">
        <f>VLOOKUP(B4287,Products!$A:$E,2,FALSE)</f>
        <v>Product_139</v>
      </c>
      <c r="E4287" t="str">
        <f>VLOOKUP(B4287,Products!$A:$E,3,FALSE)</f>
        <v>Storage</v>
      </c>
    </row>
    <row r="4288" spans="1:5" x14ac:dyDescent="0.3">
      <c r="A4288" t="s">
        <v>5298</v>
      </c>
      <c r="B4288" t="s">
        <v>724</v>
      </c>
      <c r="C4288">
        <v>93</v>
      </c>
      <c r="D4288" t="str">
        <f>VLOOKUP(B4288,Products!$A:$E,2,FALSE)</f>
        <v>Product_358</v>
      </c>
      <c r="E4288" t="str">
        <f>VLOOKUP(B4288,Products!$A:$E,3,FALSE)</f>
        <v>Storage</v>
      </c>
    </row>
    <row r="4289" spans="1:5" x14ac:dyDescent="0.3">
      <c r="A4289" t="s">
        <v>5299</v>
      </c>
      <c r="B4289" t="s">
        <v>380</v>
      </c>
      <c r="C4289">
        <v>17</v>
      </c>
      <c r="D4289" t="str">
        <f>VLOOKUP(B4289,Products!$A:$E,2,FALSE)</f>
        <v>Product_186</v>
      </c>
      <c r="E4289" t="str">
        <f>VLOOKUP(B4289,Products!$A:$E,3,FALSE)</f>
        <v>Accessories</v>
      </c>
    </row>
    <row r="4290" spans="1:5" x14ac:dyDescent="0.3">
      <c r="A4290" t="s">
        <v>5300</v>
      </c>
      <c r="B4290" t="s">
        <v>556</v>
      </c>
      <c r="C4290">
        <v>79</v>
      </c>
      <c r="D4290" t="str">
        <f>VLOOKUP(B4290,Products!$A:$E,2,FALSE)</f>
        <v>Product_274</v>
      </c>
      <c r="E4290" t="str">
        <f>VLOOKUP(B4290,Products!$A:$E,3,FALSE)</f>
        <v>Accessories</v>
      </c>
    </row>
    <row r="4291" spans="1:5" x14ac:dyDescent="0.3">
      <c r="A4291" t="s">
        <v>5301</v>
      </c>
      <c r="B4291" t="s">
        <v>370</v>
      </c>
      <c r="C4291">
        <v>23</v>
      </c>
      <c r="D4291" t="str">
        <f>VLOOKUP(B4291,Products!$A:$E,2,FALSE)</f>
        <v>Product_181</v>
      </c>
      <c r="E4291" t="str">
        <f>VLOOKUP(B4291,Products!$A:$E,3,FALSE)</f>
        <v>Storage</v>
      </c>
    </row>
    <row r="4292" spans="1:5" x14ac:dyDescent="0.3">
      <c r="A4292" t="s">
        <v>5302</v>
      </c>
      <c r="B4292" t="s">
        <v>22</v>
      </c>
      <c r="C4292">
        <v>22</v>
      </c>
      <c r="D4292" t="str">
        <f>VLOOKUP(B4292,Products!$A:$E,2,FALSE)</f>
        <v>Product_7</v>
      </c>
      <c r="E4292" t="str">
        <f>VLOOKUP(B4292,Products!$A:$E,3,FALSE)</f>
        <v>Storage</v>
      </c>
    </row>
    <row r="4293" spans="1:5" x14ac:dyDescent="0.3">
      <c r="A4293" t="s">
        <v>5303</v>
      </c>
      <c r="B4293" t="s">
        <v>540</v>
      </c>
      <c r="C4293">
        <v>41</v>
      </c>
      <c r="D4293" t="str">
        <f>VLOOKUP(B4293,Products!$A:$E,2,FALSE)</f>
        <v>Product_266</v>
      </c>
      <c r="E4293" t="str">
        <f>VLOOKUP(B4293,Products!$A:$E,3,FALSE)</f>
        <v>Electronics</v>
      </c>
    </row>
    <row r="4294" spans="1:5" x14ac:dyDescent="0.3">
      <c r="A4294" t="s">
        <v>5304</v>
      </c>
      <c r="B4294" t="s">
        <v>390</v>
      </c>
      <c r="C4294">
        <v>67</v>
      </c>
      <c r="D4294" t="str">
        <f>VLOOKUP(B4294,Products!$A:$E,2,FALSE)</f>
        <v>Product_191</v>
      </c>
      <c r="E4294" t="str">
        <f>VLOOKUP(B4294,Products!$A:$E,3,FALSE)</f>
        <v>Networking</v>
      </c>
    </row>
    <row r="4295" spans="1:5" x14ac:dyDescent="0.3">
      <c r="A4295" t="s">
        <v>5305</v>
      </c>
      <c r="B4295" t="s">
        <v>430</v>
      </c>
      <c r="C4295">
        <v>48</v>
      </c>
      <c r="D4295" t="str">
        <f>VLOOKUP(B4295,Products!$A:$E,2,FALSE)</f>
        <v>Product_211</v>
      </c>
      <c r="E4295" t="str">
        <f>VLOOKUP(B4295,Products!$A:$E,3,FALSE)</f>
        <v>Storage</v>
      </c>
    </row>
    <row r="4296" spans="1:5" x14ac:dyDescent="0.3">
      <c r="A4296" t="s">
        <v>5306</v>
      </c>
      <c r="B4296" t="s">
        <v>952</v>
      </c>
      <c r="C4296">
        <v>25</v>
      </c>
      <c r="D4296" t="str">
        <f>VLOOKUP(B4296,Products!$A:$E,2,FALSE)</f>
        <v>Product_472</v>
      </c>
      <c r="E4296" t="str">
        <f>VLOOKUP(B4296,Products!$A:$E,3,FALSE)</f>
        <v>Electronics</v>
      </c>
    </row>
    <row r="4297" spans="1:5" x14ac:dyDescent="0.3">
      <c r="A4297" t="s">
        <v>5307</v>
      </c>
      <c r="B4297" t="s">
        <v>114</v>
      </c>
      <c r="C4297">
        <v>32</v>
      </c>
      <c r="D4297" t="str">
        <f>VLOOKUP(B4297,Products!$A:$E,2,FALSE)</f>
        <v>Product_53</v>
      </c>
      <c r="E4297" t="str">
        <f>VLOOKUP(B4297,Products!$A:$E,3,FALSE)</f>
        <v>Electronics</v>
      </c>
    </row>
    <row r="4298" spans="1:5" x14ac:dyDescent="0.3">
      <c r="A4298" t="s">
        <v>5308</v>
      </c>
      <c r="B4298" t="s">
        <v>168</v>
      </c>
      <c r="C4298">
        <v>69</v>
      </c>
      <c r="D4298" t="str">
        <f>VLOOKUP(B4298,Products!$A:$E,2,FALSE)</f>
        <v>Product_80</v>
      </c>
      <c r="E4298" t="str">
        <f>VLOOKUP(B4298,Products!$A:$E,3,FALSE)</f>
        <v>Accessories</v>
      </c>
    </row>
    <row r="4299" spans="1:5" x14ac:dyDescent="0.3">
      <c r="A4299" t="s">
        <v>5309</v>
      </c>
      <c r="B4299" t="s">
        <v>236</v>
      </c>
      <c r="C4299">
        <v>29</v>
      </c>
      <c r="D4299" t="str">
        <f>VLOOKUP(B4299,Products!$A:$E,2,FALSE)</f>
        <v>Product_114</v>
      </c>
      <c r="E4299" t="str">
        <f>VLOOKUP(B4299,Products!$A:$E,3,FALSE)</f>
        <v>Electronics</v>
      </c>
    </row>
    <row r="4300" spans="1:5" x14ac:dyDescent="0.3">
      <c r="A4300" t="s">
        <v>5310</v>
      </c>
      <c r="B4300" t="s">
        <v>824</v>
      </c>
      <c r="C4300">
        <v>76</v>
      </c>
      <c r="D4300" t="str">
        <f>VLOOKUP(B4300,Products!$A:$E,2,FALSE)</f>
        <v>Product_408</v>
      </c>
      <c r="E4300" t="str">
        <f>VLOOKUP(B4300,Products!$A:$E,3,FALSE)</f>
        <v>Storage</v>
      </c>
    </row>
    <row r="4301" spans="1:5" x14ac:dyDescent="0.3">
      <c r="A4301" t="s">
        <v>5311</v>
      </c>
      <c r="B4301" t="s">
        <v>638</v>
      </c>
      <c r="C4301">
        <v>93</v>
      </c>
      <c r="D4301" t="str">
        <f>VLOOKUP(B4301,Products!$A:$E,2,FALSE)</f>
        <v>Product_315</v>
      </c>
      <c r="E4301" t="str">
        <f>VLOOKUP(B4301,Products!$A:$E,3,FALSE)</f>
        <v>Accessories</v>
      </c>
    </row>
    <row r="4302" spans="1:5" x14ac:dyDescent="0.3">
      <c r="A4302" t="s">
        <v>5312</v>
      </c>
      <c r="B4302" t="s">
        <v>860</v>
      </c>
      <c r="C4302">
        <v>72</v>
      </c>
      <c r="D4302" t="str">
        <f>VLOOKUP(B4302,Products!$A:$E,2,FALSE)</f>
        <v>Product_426</v>
      </c>
      <c r="E4302" t="str">
        <f>VLOOKUP(B4302,Products!$A:$E,3,FALSE)</f>
        <v>Storage</v>
      </c>
    </row>
    <row r="4303" spans="1:5" x14ac:dyDescent="0.3">
      <c r="A4303" t="s">
        <v>5313</v>
      </c>
      <c r="B4303" t="s">
        <v>876</v>
      </c>
      <c r="C4303">
        <v>73</v>
      </c>
      <c r="D4303" t="str">
        <f>VLOOKUP(B4303,Products!$A:$E,2,FALSE)</f>
        <v>Product_434</v>
      </c>
      <c r="E4303" t="str">
        <f>VLOOKUP(B4303,Products!$A:$E,3,FALSE)</f>
        <v>Office Supplies</v>
      </c>
    </row>
    <row r="4304" spans="1:5" x14ac:dyDescent="0.3">
      <c r="A4304" t="s">
        <v>5314</v>
      </c>
      <c r="B4304" t="s">
        <v>738</v>
      </c>
      <c r="C4304">
        <v>75</v>
      </c>
      <c r="D4304" t="str">
        <f>VLOOKUP(B4304,Products!$A:$E,2,FALSE)</f>
        <v>Product_365</v>
      </c>
      <c r="E4304" t="str">
        <f>VLOOKUP(B4304,Products!$A:$E,3,FALSE)</f>
        <v>Storage</v>
      </c>
    </row>
    <row r="4305" spans="1:5" x14ac:dyDescent="0.3">
      <c r="A4305" t="s">
        <v>5315</v>
      </c>
      <c r="B4305" t="s">
        <v>728</v>
      </c>
      <c r="C4305">
        <v>19</v>
      </c>
      <c r="D4305" t="str">
        <f>VLOOKUP(B4305,Products!$A:$E,2,FALSE)</f>
        <v>Product_360</v>
      </c>
      <c r="E4305" t="str">
        <f>VLOOKUP(B4305,Products!$A:$E,3,FALSE)</f>
        <v>Office Supplies</v>
      </c>
    </row>
    <row r="4306" spans="1:5" x14ac:dyDescent="0.3">
      <c r="A4306" t="s">
        <v>5316</v>
      </c>
      <c r="B4306" t="s">
        <v>436</v>
      </c>
      <c r="C4306">
        <v>63</v>
      </c>
      <c r="D4306" t="str">
        <f>VLOOKUP(B4306,Products!$A:$E,2,FALSE)</f>
        <v>Product_214</v>
      </c>
      <c r="E4306" t="str">
        <f>VLOOKUP(B4306,Products!$A:$E,3,FALSE)</f>
        <v>Electronics</v>
      </c>
    </row>
    <row r="4307" spans="1:5" x14ac:dyDescent="0.3">
      <c r="A4307" t="s">
        <v>5317</v>
      </c>
      <c r="B4307" t="s">
        <v>948</v>
      </c>
      <c r="C4307">
        <v>14</v>
      </c>
      <c r="D4307" t="str">
        <f>VLOOKUP(B4307,Products!$A:$E,2,FALSE)</f>
        <v>Product_470</v>
      </c>
      <c r="E4307" t="str">
        <f>VLOOKUP(B4307,Products!$A:$E,3,FALSE)</f>
        <v>Networking</v>
      </c>
    </row>
    <row r="4308" spans="1:5" x14ac:dyDescent="0.3">
      <c r="A4308" t="s">
        <v>5318</v>
      </c>
      <c r="B4308" t="s">
        <v>128</v>
      </c>
      <c r="C4308">
        <v>21</v>
      </c>
      <c r="D4308" t="str">
        <f>VLOOKUP(B4308,Products!$A:$E,2,FALSE)</f>
        <v>Product_60</v>
      </c>
      <c r="E4308" t="str">
        <f>VLOOKUP(B4308,Products!$A:$E,3,FALSE)</f>
        <v>Electronics</v>
      </c>
    </row>
    <row r="4309" spans="1:5" x14ac:dyDescent="0.3">
      <c r="A4309" t="s">
        <v>5319</v>
      </c>
      <c r="B4309" t="s">
        <v>954</v>
      </c>
      <c r="C4309">
        <v>7</v>
      </c>
      <c r="D4309" t="str">
        <f>VLOOKUP(B4309,Products!$A:$E,2,FALSE)</f>
        <v>Product_473</v>
      </c>
      <c r="E4309" t="str">
        <f>VLOOKUP(B4309,Products!$A:$E,3,FALSE)</f>
        <v>Accessories</v>
      </c>
    </row>
    <row r="4310" spans="1:5" x14ac:dyDescent="0.3">
      <c r="A4310" t="s">
        <v>5320</v>
      </c>
      <c r="B4310" t="s">
        <v>500</v>
      </c>
      <c r="C4310">
        <v>49</v>
      </c>
      <c r="D4310" t="str">
        <f>VLOOKUP(B4310,Products!$A:$E,2,FALSE)</f>
        <v>Product_246</v>
      </c>
      <c r="E4310" t="str">
        <f>VLOOKUP(B4310,Products!$A:$E,3,FALSE)</f>
        <v>Electronics</v>
      </c>
    </row>
    <row r="4311" spans="1:5" x14ac:dyDescent="0.3">
      <c r="A4311" t="s">
        <v>5321</v>
      </c>
      <c r="B4311" t="s">
        <v>328</v>
      </c>
      <c r="C4311">
        <v>93</v>
      </c>
      <c r="D4311" t="str">
        <f>VLOOKUP(B4311,Products!$A:$E,2,FALSE)</f>
        <v>Product_160</v>
      </c>
      <c r="E4311" t="str">
        <f>VLOOKUP(B4311,Products!$A:$E,3,FALSE)</f>
        <v>Office Supplies</v>
      </c>
    </row>
    <row r="4312" spans="1:5" x14ac:dyDescent="0.3">
      <c r="A4312" t="s">
        <v>5322</v>
      </c>
      <c r="B4312" t="s">
        <v>380</v>
      </c>
      <c r="C4312">
        <v>22</v>
      </c>
      <c r="D4312" t="str">
        <f>VLOOKUP(B4312,Products!$A:$E,2,FALSE)</f>
        <v>Product_186</v>
      </c>
      <c r="E4312" t="str">
        <f>VLOOKUP(B4312,Products!$A:$E,3,FALSE)</f>
        <v>Accessories</v>
      </c>
    </row>
    <row r="4313" spans="1:5" x14ac:dyDescent="0.3">
      <c r="A4313" t="s">
        <v>5323</v>
      </c>
      <c r="B4313" t="s">
        <v>846</v>
      </c>
      <c r="C4313">
        <v>61</v>
      </c>
      <c r="D4313" t="str">
        <f>VLOOKUP(B4313,Products!$A:$E,2,FALSE)</f>
        <v>Product_419</v>
      </c>
      <c r="E4313" t="str">
        <f>VLOOKUP(B4313,Products!$A:$E,3,FALSE)</f>
        <v>Networking</v>
      </c>
    </row>
    <row r="4314" spans="1:5" x14ac:dyDescent="0.3">
      <c r="A4314" t="s">
        <v>5324</v>
      </c>
      <c r="B4314" t="s">
        <v>920</v>
      </c>
      <c r="C4314">
        <v>81</v>
      </c>
      <c r="D4314" t="str">
        <f>VLOOKUP(B4314,Products!$A:$E,2,FALSE)</f>
        <v>Product_456</v>
      </c>
      <c r="E4314" t="str">
        <f>VLOOKUP(B4314,Products!$A:$E,3,FALSE)</f>
        <v>Electronics</v>
      </c>
    </row>
    <row r="4315" spans="1:5" x14ac:dyDescent="0.3">
      <c r="A4315" t="s">
        <v>5325</v>
      </c>
      <c r="B4315" t="s">
        <v>544</v>
      </c>
      <c r="C4315">
        <v>48</v>
      </c>
      <c r="D4315" t="str">
        <f>VLOOKUP(B4315,Products!$A:$E,2,FALSE)</f>
        <v>Product_268</v>
      </c>
      <c r="E4315" t="str">
        <f>VLOOKUP(B4315,Products!$A:$E,3,FALSE)</f>
        <v>Office Supplies</v>
      </c>
    </row>
    <row r="4316" spans="1:5" x14ac:dyDescent="0.3">
      <c r="A4316" t="s">
        <v>5326</v>
      </c>
      <c r="B4316" t="s">
        <v>186</v>
      </c>
      <c r="C4316">
        <v>95</v>
      </c>
      <c r="D4316" t="str">
        <f>VLOOKUP(B4316,Products!$A:$E,2,FALSE)</f>
        <v>Product_89</v>
      </c>
      <c r="E4316" t="str">
        <f>VLOOKUP(B4316,Products!$A:$E,3,FALSE)</f>
        <v>Storage</v>
      </c>
    </row>
    <row r="4317" spans="1:5" x14ac:dyDescent="0.3">
      <c r="A4317" t="s">
        <v>5327</v>
      </c>
      <c r="B4317" t="s">
        <v>320</v>
      </c>
      <c r="C4317">
        <v>8</v>
      </c>
      <c r="D4317" t="str">
        <f>VLOOKUP(B4317,Products!$A:$E,2,FALSE)</f>
        <v>Product_156</v>
      </c>
      <c r="E4317" t="str">
        <f>VLOOKUP(B4317,Products!$A:$E,3,FALSE)</f>
        <v>Accessories</v>
      </c>
    </row>
    <row r="4318" spans="1:5" x14ac:dyDescent="0.3">
      <c r="A4318" t="s">
        <v>5328</v>
      </c>
      <c r="B4318" t="s">
        <v>772</v>
      </c>
      <c r="C4318">
        <v>20</v>
      </c>
      <c r="D4318" t="str">
        <f>VLOOKUP(B4318,Products!$A:$E,2,FALSE)</f>
        <v>Product_382</v>
      </c>
      <c r="E4318" t="str">
        <f>VLOOKUP(B4318,Products!$A:$E,3,FALSE)</f>
        <v>Storage</v>
      </c>
    </row>
    <row r="4319" spans="1:5" x14ac:dyDescent="0.3">
      <c r="A4319" t="s">
        <v>5329</v>
      </c>
      <c r="B4319" t="s">
        <v>236</v>
      </c>
      <c r="C4319">
        <v>21</v>
      </c>
      <c r="D4319" t="str">
        <f>VLOOKUP(B4319,Products!$A:$E,2,FALSE)</f>
        <v>Product_114</v>
      </c>
      <c r="E4319" t="str">
        <f>VLOOKUP(B4319,Products!$A:$E,3,FALSE)</f>
        <v>Electronics</v>
      </c>
    </row>
    <row r="4320" spans="1:5" x14ac:dyDescent="0.3">
      <c r="A4320" t="s">
        <v>5330</v>
      </c>
      <c r="B4320" t="s">
        <v>886</v>
      </c>
      <c r="C4320">
        <v>93</v>
      </c>
      <c r="D4320" t="str">
        <f>VLOOKUP(B4320,Products!$A:$E,2,FALSE)</f>
        <v>Product_439</v>
      </c>
      <c r="E4320" t="str">
        <f>VLOOKUP(B4320,Products!$A:$E,3,FALSE)</f>
        <v>Networking</v>
      </c>
    </row>
    <row r="4321" spans="1:5" x14ac:dyDescent="0.3">
      <c r="A4321" t="s">
        <v>5331</v>
      </c>
      <c r="B4321" t="s">
        <v>154</v>
      </c>
      <c r="C4321">
        <v>93</v>
      </c>
      <c r="D4321" t="str">
        <f>VLOOKUP(B4321,Products!$A:$E,2,FALSE)</f>
        <v>Product_73</v>
      </c>
      <c r="E4321" t="str">
        <f>VLOOKUP(B4321,Products!$A:$E,3,FALSE)</f>
        <v>Office Supplies</v>
      </c>
    </row>
    <row r="4322" spans="1:5" x14ac:dyDescent="0.3">
      <c r="A4322" t="s">
        <v>5332</v>
      </c>
      <c r="B4322" t="s">
        <v>242</v>
      </c>
      <c r="C4322">
        <v>44</v>
      </c>
      <c r="D4322" t="str">
        <f>VLOOKUP(B4322,Products!$A:$E,2,FALSE)</f>
        <v>Product_117</v>
      </c>
      <c r="E4322" t="str">
        <f>VLOOKUP(B4322,Products!$A:$E,3,FALSE)</f>
        <v>Storage</v>
      </c>
    </row>
    <row r="4323" spans="1:5" x14ac:dyDescent="0.3">
      <c r="A4323" t="s">
        <v>5333</v>
      </c>
      <c r="B4323" t="s">
        <v>138</v>
      </c>
      <c r="C4323">
        <v>31</v>
      </c>
      <c r="D4323" t="str">
        <f>VLOOKUP(B4323,Products!$A:$E,2,FALSE)</f>
        <v>Product_65</v>
      </c>
      <c r="E4323" t="str">
        <f>VLOOKUP(B4323,Products!$A:$E,3,FALSE)</f>
        <v>Office Supplies</v>
      </c>
    </row>
    <row r="4324" spans="1:5" x14ac:dyDescent="0.3">
      <c r="A4324" t="s">
        <v>5334</v>
      </c>
      <c r="B4324" t="s">
        <v>142</v>
      </c>
      <c r="C4324">
        <v>15</v>
      </c>
      <c r="D4324" t="str">
        <f>VLOOKUP(B4324,Products!$A:$E,2,FALSE)</f>
        <v>Product_67</v>
      </c>
      <c r="E4324" t="str">
        <f>VLOOKUP(B4324,Products!$A:$E,3,FALSE)</f>
        <v>Office Supplies</v>
      </c>
    </row>
    <row r="4325" spans="1:5" x14ac:dyDescent="0.3">
      <c r="A4325" t="s">
        <v>5335</v>
      </c>
      <c r="B4325" t="s">
        <v>444</v>
      </c>
      <c r="C4325">
        <v>93</v>
      </c>
      <c r="D4325" t="str">
        <f>VLOOKUP(B4325,Products!$A:$E,2,FALSE)</f>
        <v>Product_218</v>
      </c>
      <c r="E4325" t="str">
        <f>VLOOKUP(B4325,Products!$A:$E,3,FALSE)</f>
        <v>Accessories</v>
      </c>
    </row>
    <row r="4326" spans="1:5" x14ac:dyDescent="0.3">
      <c r="A4326" t="s">
        <v>5336</v>
      </c>
      <c r="B4326" t="s">
        <v>790</v>
      </c>
      <c r="C4326">
        <v>19</v>
      </c>
      <c r="D4326" t="str">
        <f>VLOOKUP(B4326,Products!$A:$E,2,FALSE)</f>
        <v>Product_391</v>
      </c>
      <c r="E4326" t="str">
        <f>VLOOKUP(B4326,Products!$A:$E,3,FALSE)</f>
        <v>Accessories</v>
      </c>
    </row>
    <row r="4327" spans="1:5" x14ac:dyDescent="0.3">
      <c r="A4327" t="s">
        <v>5337</v>
      </c>
      <c r="B4327" t="s">
        <v>88</v>
      </c>
      <c r="C4327">
        <v>7</v>
      </c>
      <c r="D4327" t="str">
        <f>VLOOKUP(B4327,Products!$A:$E,2,FALSE)</f>
        <v>Product_40</v>
      </c>
      <c r="E4327" t="str">
        <f>VLOOKUP(B4327,Products!$A:$E,3,FALSE)</f>
        <v>Accessories</v>
      </c>
    </row>
    <row r="4328" spans="1:5" x14ac:dyDescent="0.3">
      <c r="A4328" t="s">
        <v>5338</v>
      </c>
      <c r="B4328" t="s">
        <v>802</v>
      </c>
      <c r="C4328">
        <v>66</v>
      </c>
      <c r="D4328" t="str">
        <f>VLOOKUP(B4328,Products!$A:$E,2,FALSE)</f>
        <v>Product_397</v>
      </c>
      <c r="E4328" t="str">
        <f>VLOOKUP(B4328,Products!$A:$E,3,FALSE)</f>
        <v>Office Supplies</v>
      </c>
    </row>
    <row r="4329" spans="1:5" x14ac:dyDescent="0.3">
      <c r="A4329" t="s">
        <v>5339</v>
      </c>
      <c r="B4329" t="s">
        <v>784</v>
      </c>
      <c r="C4329">
        <v>60</v>
      </c>
      <c r="D4329" t="str">
        <f>VLOOKUP(B4329,Products!$A:$E,2,FALSE)</f>
        <v>Product_388</v>
      </c>
      <c r="E4329" t="str">
        <f>VLOOKUP(B4329,Products!$A:$E,3,FALSE)</f>
        <v>Office Supplies</v>
      </c>
    </row>
    <row r="4330" spans="1:5" x14ac:dyDescent="0.3">
      <c r="A4330" t="s">
        <v>5340</v>
      </c>
      <c r="B4330" t="s">
        <v>52</v>
      </c>
      <c r="C4330">
        <v>30</v>
      </c>
      <c r="D4330" t="str">
        <f>VLOOKUP(B4330,Products!$A:$E,2,FALSE)</f>
        <v>Product_22</v>
      </c>
      <c r="E4330" t="str">
        <f>VLOOKUP(B4330,Products!$A:$E,3,FALSE)</f>
        <v>Electronics</v>
      </c>
    </row>
    <row r="4331" spans="1:5" x14ac:dyDescent="0.3">
      <c r="A4331" t="s">
        <v>5341</v>
      </c>
      <c r="B4331" t="s">
        <v>120</v>
      </c>
      <c r="C4331">
        <v>9</v>
      </c>
      <c r="D4331" t="str">
        <f>VLOOKUP(B4331,Products!$A:$E,2,FALSE)</f>
        <v>Product_56</v>
      </c>
      <c r="E4331" t="str">
        <f>VLOOKUP(B4331,Products!$A:$E,3,FALSE)</f>
        <v>Networking</v>
      </c>
    </row>
    <row r="4332" spans="1:5" x14ac:dyDescent="0.3">
      <c r="A4332" t="s">
        <v>5342</v>
      </c>
      <c r="B4332" t="s">
        <v>822</v>
      </c>
      <c r="C4332">
        <v>89</v>
      </c>
      <c r="D4332" t="str">
        <f>VLOOKUP(B4332,Products!$A:$E,2,FALSE)</f>
        <v>Product_407</v>
      </c>
      <c r="E4332" t="str">
        <f>VLOOKUP(B4332,Products!$A:$E,3,FALSE)</f>
        <v>Networking</v>
      </c>
    </row>
    <row r="4333" spans="1:5" x14ac:dyDescent="0.3">
      <c r="A4333" t="s">
        <v>5343</v>
      </c>
      <c r="B4333" t="s">
        <v>534</v>
      </c>
      <c r="C4333">
        <v>80</v>
      </c>
      <c r="D4333" t="str">
        <f>VLOOKUP(B4333,Products!$A:$E,2,FALSE)</f>
        <v>Product_263</v>
      </c>
      <c r="E4333" t="str">
        <f>VLOOKUP(B4333,Products!$A:$E,3,FALSE)</f>
        <v>Accessories</v>
      </c>
    </row>
    <row r="4334" spans="1:5" x14ac:dyDescent="0.3">
      <c r="A4334" t="s">
        <v>5344</v>
      </c>
      <c r="B4334" t="s">
        <v>70</v>
      </c>
      <c r="C4334">
        <v>65</v>
      </c>
      <c r="D4334" t="str">
        <f>VLOOKUP(B4334,Products!$A:$E,2,FALSE)</f>
        <v>Product_31</v>
      </c>
      <c r="E4334" t="str">
        <f>VLOOKUP(B4334,Products!$A:$E,3,FALSE)</f>
        <v>Accessories</v>
      </c>
    </row>
    <row r="4335" spans="1:5" x14ac:dyDescent="0.3">
      <c r="A4335" t="s">
        <v>5345</v>
      </c>
      <c r="B4335" t="s">
        <v>130</v>
      </c>
      <c r="C4335">
        <v>37</v>
      </c>
      <c r="D4335" t="str">
        <f>VLOOKUP(B4335,Products!$A:$E,2,FALSE)</f>
        <v>Product_61</v>
      </c>
      <c r="E4335" t="str">
        <f>VLOOKUP(B4335,Products!$A:$E,3,FALSE)</f>
        <v>Storage</v>
      </c>
    </row>
    <row r="4336" spans="1:5" x14ac:dyDescent="0.3">
      <c r="A4336" t="s">
        <v>5346</v>
      </c>
      <c r="B4336" t="s">
        <v>54</v>
      </c>
      <c r="C4336">
        <v>13</v>
      </c>
      <c r="D4336" t="str">
        <f>VLOOKUP(B4336,Products!$A:$E,2,FALSE)</f>
        <v>Product_23</v>
      </c>
      <c r="E4336" t="str">
        <f>VLOOKUP(B4336,Products!$A:$E,3,FALSE)</f>
        <v>Accessories</v>
      </c>
    </row>
    <row r="4337" spans="1:5" x14ac:dyDescent="0.3">
      <c r="A4337" t="s">
        <v>5347</v>
      </c>
      <c r="B4337" t="s">
        <v>318</v>
      </c>
      <c r="C4337">
        <v>90</v>
      </c>
      <c r="D4337" t="str">
        <f>VLOOKUP(B4337,Products!$A:$E,2,FALSE)</f>
        <v>Product_155</v>
      </c>
      <c r="E4337" t="str">
        <f>VLOOKUP(B4337,Products!$A:$E,3,FALSE)</f>
        <v>Office Supplies</v>
      </c>
    </row>
    <row r="4338" spans="1:5" x14ac:dyDescent="0.3">
      <c r="A4338" t="s">
        <v>5348</v>
      </c>
      <c r="B4338" t="s">
        <v>20</v>
      </c>
      <c r="C4338">
        <v>17</v>
      </c>
      <c r="D4338" t="str">
        <f>VLOOKUP(B4338,Products!$A:$E,2,FALSE)</f>
        <v>Product_6</v>
      </c>
      <c r="E4338" t="str">
        <f>VLOOKUP(B4338,Products!$A:$E,3,FALSE)</f>
        <v>Electronics</v>
      </c>
    </row>
    <row r="4339" spans="1:5" x14ac:dyDescent="0.3">
      <c r="A4339" t="s">
        <v>5349</v>
      </c>
      <c r="B4339" t="s">
        <v>810</v>
      </c>
      <c r="C4339">
        <v>20</v>
      </c>
      <c r="D4339" t="str">
        <f>VLOOKUP(B4339,Products!$A:$E,2,FALSE)</f>
        <v>Product_401</v>
      </c>
      <c r="E4339" t="str">
        <f>VLOOKUP(B4339,Products!$A:$E,3,FALSE)</f>
        <v>Storage</v>
      </c>
    </row>
    <row r="4340" spans="1:5" x14ac:dyDescent="0.3">
      <c r="A4340" t="s">
        <v>5350</v>
      </c>
      <c r="B4340" t="s">
        <v>952</v>
      </c>
      <c r="C4340">
        <v>82</v>
      </c>
      <c r="D4340" t="str">
        <f>VLOOKUP(B4340,Products!$A:$E,2,FALSE)</f>
        <v>Product_472</v>
      </c>
      <c r="E4340" t="str">
        <f>VLOOKUP(B4340,Products!$A:$E,3,FALSE)</f>
        <v>Electronics</v>
      </c>
    </row>
    <row r="4341" spans="1:5" x14ac:dyDescent="0.3">
      <c r="A4341" t="s">
        <v>5351</v>
      </c>
      <c r="B4341" t="s">
        <v>220</v>
      </c>
      <c r="C4341">
        <v>80</v>
      </c>
      <c r="D4341" t="str">
        <f>VLOOKUP(B4341,Products!$A:$E,2,FALSE)</f>
        <v>Product_106</v>
      </c>
      <c r="E4341" t="str">
        <f>VLOOKUP(B4341,Products!$A:$E,3,FALSE)</f>
        <v>Networking</v>
      </c>
    </row>
    <row r="4342" spans="1:5" x14ac:dyDescent="0.3">
      <c r="A4342" t="s">
        <v>5352</v>
      </c>
      <c r="B4342" t="s">
        <v>932</v>
      </c>
      <c r="C4342">
        <v>30</v>
      </c>
      <c r="D4342" t="str">
        <f>VLOOKUP(B4342,Products!$A:$E,2,FALSE)</f>
        <v>Product_462</v>
      </c>
      <c r="E4342" t="str">
        <f>VLOOKUP(B4342,Products!$A:$E,3,FALSE)</f>
        <v>Electronics</v>
      </c>
    </row>
    <row r="4343" spans="1:5" x14ac:dyDescent="0.3">
      <c r="A4343" t="s">
        <v>5353</v>
      </c>
      <c r="B4343" t="s">
        <v>198</v>
      </c>
      <c r="C4343">
        <v>90</v>
      </c>
      <c r="D4343" t="str">
        <f>VLOOKUP(B4343,Products!$A:$E,2,FALSE)</f>
        <v>Product_95</v>
      </c>
      <c r="E4343" t="str">
        <f>VLOOKUP(B4343,Products!$A:$E,3,FALSE)</f>
        <v>Electronics</v>
      </c>
    </row>
    <row r="4344" spans="1:5" x14ac:dyDescent="0.3">
      <c r="A4344" t="s">
        <v>5354</v>
      </c>
      <c r="B4344" t="s">
        <v>368</v>
      </c>
      <c r="C4344">
        <v>8</v>
      </c>
      <c r="D4344" t="str">
        <f>VLOOKUP(B4344,Products!$A:$E,2,FALSE)</f>
        <v>Product_180</v>
      </c>
      <c r="E4344" t="str">
        <f>VLOOKUP(B4344,Products!$A:$E,3,FALSE)</f>
        <v>Office Supplies</v>
      </c>
    </row>
    <row r="4345" spans="1:5" x14ac:dyDescent="0.3">
      <c r="A4345" t="s">
        <v>5355</v>
      </c>
      <c r="B4345" t="s">
        <v>102</v>
      </c>
      <c r="C4345">
        <v>23</v>
      </c>
      <c r="D4345" t="str">
        <f>VLOOKUP(B4345,Products!$A:$E,2,FALSE)</f>
        <v>Product_47</v>
      </c>
      <c r="E4345" t="str">
        <f>VLOOKUP(B4345,Products!$A:$E,3,FALSE)</f>
        <v>Electronics</v>
      </c>
    </row>
    <row r="4346" spans="1:5" x14ac:dyDescent="0.3">
      <c r="A4346" t="s">
        <v>5356</v>
      </c>
      <c r="B4346" t="s">
        <v>876</v>
      </c>
      <c r="C4346">
        <v>100</v>
      </c>
      <c r="D4346" t="str">
        <f>VLOOKUP(B4346,Products!$A:$E,2,FALSE)</f>
        <v>Product_434</v>
      </c>
      <c r="E4346" t="str">
        <f>VLOOKUP(B4346,Products!$A:$E,3,FALSE)</f>
        <v>Office Supplies</v>
      </c>
    </row>
    <row r="4347" spans="1:5" x14ac:dyDescent="0.3">
      <c r="A4347" t="s">
        <v>5357</v>
      </c>
      <c r="B4347" t="s">
        <v>974</v>
      </c>
      <c r="C4347">
        <v>40</v>
      </c>
      <c r="D4347" t="str">
        <f>VLOOKUP(B4347,Products!$A:$E,2,FALSE)</f>
        <v>Product_483</v>
      </c>
      <c r="E4347" t="str">
        <f>VLOOKUP(B4347,Products!$A:$E,3,FALSE)</f>
        <v>Electronics</v>
      </c>
    </row>
    <row r="4348" spans="1:5" x14ac:dyDescent="0.3">
      <c r="A4348" t="s">
        <v>5358</v>
      </c>
      <c r="B4348" t="s">
        <v>980</v>
      </c>
      <c r="C4348">
        <v>79</v>
      </c>
      <c r="D4348" t="str">
        <f>VLOOKUP(B4348,Products!$A:$E,2,FALSE)</f>
        <v>Product_486</v>
      </c>
      <c r="E4348" t="str">
        <f>VLOOKUP(B4348,Products!$A:$E,3,FALSE)</f>
        <v>Electronics</v>
      </c>
    </row>
    <row r="4349" spans="1:5" x14ac:dyDescent="0.3">
      <c r="A4349" t="s">
        <v>5359</v>
      </c>
      <c r="B4349" t="s">
        <v>366</v>
      </c>
      <c r="C4349">
        <v>50</v>
      </c>
      <c r="D4349" t="str">
        <f>VLOOKUP(B4349,Products!$A:$E,2,FALSE)</f>
        <v>Product_179</v>
      </c>
      <c r="E4349" t="str">
        <f>VLOOKUP(B4349,Products!$A:$E,3,FALSE)</f>
        <v>Storage</v>
      </c>
    </row>
    <row r="4350" spans="1:5" x14ac:dyDescent="0.3">
      <c r="A4350" t="s">
        <v>5360</v>
      </c>
      <c r="B4350" t="s">
        <v>174</v>
      </c>
      <c r="C4350">
        <v>69</v>
      </c>
      <c r="D4350" t="str">
        <f>VLOOKUP(B4350,Products!$A:$E,2,FALSE)</f>
        <v>Product_83</v>
      </c>
      <c r="E4350" t="str">
        <f>VLOOKUP(B4350,Products!$A:$E,3,FALSE)</f>
        <v>Accessories</v>
      </c>
    </row>
    <row r="4351" spans="1:5" x14ac:dyDescent="0.3">
      <c r="A4351" t="s">
        <v>5361</v>
      </c>
      <c r="B4351" t="s">
        <v>808</v>
      </c>
      <c r="C4351">
        <v>98</v>
      </c>
      <c r="D4351" t="str">
        <f>VLOOKUP(B4351,Products!$A:$E,2,FALSE)</f>
        <v>Product_400</v>
      </c>
      <c r="E4351" t="str">
        <f>VLOOKUP(B4351,Products!$A:$E,3,FALSE)</f>
        <v>Networking</v>
      </c>
    </row>
    <row r="4352" spans="1:5" x14ac:dyDescent="0.3">
      <c r="A4352" t="s">
        <v>5362</v>
      </c>
      <c r="B4352" t="s">
        <v>636</v>
      </c>
      <c r="C4352">
        <v>35</v>
      </c>
      <c r="D4352" t="str">
        <f>VLOOKUP(B4352,Products!$A:$E,2,FALSE)</f>
        <v>Product_314</v>
      </c>
      <c r="E4352" t="str">
        <f>VLOOKUP(B4352,Products!$A:$E,3,FALSE)</f>
        <v>Storage</v>
      </c>
    </row>
    <row r="4353" spans="1:5" x14ac:dyDescent="0.3">
      <c r="A4353" t="s">
        <v>5363</v>
      </c>
      <c r="B4353" t="s">
        <v>526</v>
      </c>
      <c r="C4353">
        <v>77</v>
      </c>
      <c r="D4353" t="str">
        <f>VLOOKUP(B4353,Products!$A:$E,2,FALSE)</f>
        <v>Product_259</v>
      </c>
      <c r="E4353" t="str">
        <f>VLOOKUP(B4353,Products!$A:$E,3,FALSE)</f>
        <v>Electronics</v>
      </c>
    </row>
    <row r="4354" spans="1:5" x14ac:dyDescent="0.3">
      <c r="A4354" t="s">
        <v>5364</v>
      </c>
      <c r="B4354" t="s">
        <v>78</v>
      </c>
      <c r="C4354">
        <v>17</v>
      </c>
      <c r="D4354" t="str">
        <f>VLOOKUP(B4354,Products!$A:$E,2,FALSE)</f>
        <v>Product_35</v>
      </c>
      <c r="E4354" t="str">
        <f>VLOOKUP(B4354,Products!$A:$E,3,FALSE)</f>
        <v>Electronics</v>
      </c>
    </row>
    <row r="4355" spans="1:5" x14ac:dyDescent="0.3">
      <c r="A4355" t="s">
        <v>5365</v>
      </c>
      <c r="B4355" t="s">
        <v>848</v>
      </c>
      <c r="C4355">
        <v>79</v>
      </c>
      <c r="D4355" t="str">
        <f>VLOOKUP(B4355,Products!$A:$E,2,FALSE)</f>
        <v>Product_420</v>
      </c>
      <c r="E4355" t="str">
        <f>VLOOKUP(B4355,Products!$A:$E,3,FALSE)</f>
        <v>Networking</v>
      </c>
    </row>
    <row r="4356" spans="1:5" x14ac:dyDescent="0.3">
      <c r="A4356" t="s">
        <v>5366</v>
      </c>
      <c r="B4356" t="s">
        <v>790</v>
      </c>
      <c r="C4356">
        <v>6</v>
      </c>
      <c r="D4356" t="str">
        <f>VLOOKUP(B4356,Products!$A:$E,2,FALSE)</f>
        <v>Product_391</v>
      </c>
      <c r="E4356" t="str">
        <f>VLOOKUP(B4356,Products!$A:$E,3,FALSE)</f>
        <v>Accessories</v>
      </c>
    </row>
    <row r="4357" spans="1:5" x14ac:dyDescent="0.3">
      <c r="A4357" t="s">
        <v>5367</v>
      </c>
      <c r="B4357" t="s">
        <v>550</v>
      </c>
      <c r="C4357">
        <v>32</v>
      </c>
      <c r="D4357" t="str">
        <f>VLOOKUP(B4357,Products!$A:$E,2,FALSE)</f>
        <v>Product_271</v>
      </c>
      <c r="E4357" t="str">
        <f>VLOOKUP(B4357,Products!$A:$E,3,FALSE)</f>
        <v>Electronics</v>
      </c>
    </row>
    <row r="4358" spans="1:5" x14ac:dyDescent="0.3">
      <c r="A4358" t="s">
        <v>5368</v>
      </c>
      <c r="B4358" t="s">
        <v>742</v>
      </c>
      <c r="C4358">
        <v>29</v>
      </c>
      <c r="D4358" t="str">
        <f>VLOOKUP(B4358,Products!$A:$E,2,FALSE)</f>
        <v>Product_367</v>
      </c>
      <c r="E4358" t="str">
        <f>VLOOKUP(B4358,Products!$A:$E,3,FALSE)</f>
        <v>Storage</v>
      </c>
    </row>
    <row r="4359" spans="1:5" x14ac:dyDescent="0.3">
      <c r="A4359" t="s">
        <v>5369</v>
      </c>
      <c r="B4359" t="s">
        <v>996</v>
      </c>
      <c r="C4359">
        <v>41</v>
      </c>
      <c r="D4359" t="str">
        <f>VLOOKUP(B4359,Products!$A:$E,2,FALSE)</f>
        <v>Product_494</v>
      </c>
      <c r="E4359" t="str">
        <f>VLOOKUP(B4359,Products!$A:$E,3,FALSE)</f>
        <v>Office Supplies</v>
      </c>
    </row>
    <row r="4360" spans="1:5" x14ac:dyDescent="0.3">
      <c r="A4360" t="s">
        <v>5370</v>
      </c>
      <c r="B4360" t="s">
        <v>184</v>
      </c>
      <c r="C4360">
        <v>73</v>
      </c>
      <c r="D4360" t="str">
        <f>VLOOKUP(B4360,Products!$A:$E,2,FALSE)</f>
        <v>Product_88</v>
      </c>
      <c r="E4360" t="str">
        <f>VLOOKUP(B4360,Products!$A:$E,3,FALSE)</f>
        <v>Accessories</v>
      </c>
    </row>
    <row r="4361" spans="1:5" x14ac:dyDescent="0.3">
      <c r="A4361" t="s">
        <v>5371</v>
      </c>
      <c r="B4361" t="s">
        <v>11</v>
      </c>
      <c r="C4361">
        <v>97</v>
      </c>
      <c r="D4361" t="str">
        <f>VLOOKUP(B4361,Products!$A:$E,2,FALSE)</f>
        <v>Product_3</v>
      </c>
      <c r="E4361" t="str">
        <f>VLOOKUP(B4361,Products!$A:$E,3,FALSE)</f>
        <v>Accessories</v>
      </c>
    </row>
    <row r="4362" spans="1:5" x14ac:dyDescent="0.3">
      <c r="A4362" t="s">
        <v>5372</v>
      </c>
      <c r="B4362" t="s">
        <v>110</v>
      </c>
      <c r="C4362">
        <v>32</v>
      </c>
      <c r="D4362" t="str">
        <f>VLOOKUP(B4362,Products!$A:$E,2,FALSE)</f>
        <v>Product_51</v>
      </c>
      <c r="E4362" t="str">
        <f>VLOOKUP(B4362,Products!$A:$E,3,FALSE)</f>
        <v>Storage</v>
      </c>
    </row>
    <row r="4363" spans="1:5" x14ac:dyDescent="0.3">
      <c r="A4363" t="s">
        <v>5373</v>
      </c>
      <c r="B4363" t="s">
        <v>952</v>
      </c>
      <c r="C4363">
        <v>69</v>
      </c>
      <c r="D4363" t="str">
        <f>VLOOKUP(B4363,Products!$A:$E,2,FALSE)</f>
        <v>Product_472</v>
      </c>
      <c r="E4363" t="str">
        <f>VLOOKUP(B4363,Products!$A:$E,3,FALSE)</f>
        <v>Electronics</v>
      </c>
    </row>
    <row r="4364" spans="1:5" x14ac:dyDescent="0.3">
      <c r="A4364" t="s">
        <v>5374</v>
      </c>
      <c r="B4364" t="s">
        <v>880</v>
      </c>
      <c r="C4364">
        <v>95</v>
      </c>
      <c r="D4364" t="str">
        <f>VLOOKUP(B4364,Products!$A:$E,2,FALSE)</f>
        <v>Product_436</v>
      </c>
      <c r="E4364" t="str">
        <f>VLOOKUP(B4364,Products!$A:$E,3,FALSE)</f>
        <v>Networking</v>
      </c>
    </row>
    <row r="4365" spans="1:5" x14ac:dyDescent="0.3">
      <c r="A4365" t="s">
        <v>5375</v>
      </c>
      <c r="B4365" t="s">
        <v>496</v>
      </c>
      <c r="C4365">
        <v>51</v>
      </c>
      <c r="D4365" t="str">
        <f>VLOOKUP(B4365,Products!$A:$E,2,FALSE)</f>
        <v>Product_244</v>
      </c>
      <c r="E4365" t="str">
        <f>VLOOKUP(B4365,Products!$A:$E,3,FALSE)</f>
        <v>Accessories</v>
      </c>
    </row>
    <row r="4366" spans="1:5" x14ac:dyDescent="0.3">
      <c r="A4366" t="s">
        <v>5376</v>
      </c>
      <c r="B4366" t="s">
        <v>724</v>
      </c>
      <c r="C4366">
        <v>80</v>
      </c>
      <c r="D4366" t="str">
        <f>VLOOKUP(B4366,Products!$A:$E,2,FALSE)</f>
        <v>Product_358</v>
      </c>
      <c r="E4366" t="str">
        <f>VLOOKUP(B4366,Products!$A:$E,3,FALSE)</f>
        <v>Storage</v>
      </c>
    </row>
    <row r="4367" spans="1:5" x14ac:dyDescent="0.3">
      <c r="A4367" t="s">
        <v>5377</v>
      </c>
      <c r="B4367" t="s">
        <v>198</v>
      </c>
      <c r="C4367">
        <v>61</v>
      </c>
      <c r="D4367" t="str">
        <f>VLOOKUP(B4367,Products!$A:$E,2,FALSE)</f>
        <v>Product_95</v>
      </c>
      <c r="E4367" t="str">
        <f>VLOOKUP(B4367,Products!$A:$E,3,FALSE)</f>
        <v>Electronics</v>
      </c>
    </row>
    <row r="4368" spans="1:5" x14ac:dyDescent="0.3">
      <c r="A4368" t="s">
        <v>5378</v>
      </c>
      <c r="B4368" t="s">
        <v>698</v>
      </c>
      <c r="C4368">
        <v>18</v>
      </c>
      <c r="D4368" t="str">
        <f>VLOOKUP(B4368,Products!$A:$E,2,FALSE)</f>
        <v>Product_345</v>
      </c>
      <c r="E4368" t="str">
        <f>VLOOKUP(B4368,Products!$A:$E,3,FALSE)</f>
        <v>Storage</v>
      </c>
    </row>
    <row r="4369" spans="1:5" x14ac:dyDescent="0.3">
      <c r="A4369" t="s">
        <v>5379</v>
      </c>
      <c r="B4369" t="s">
        <v>194</v>
      </c>
      <c r="C4369">
        <v>50</v>
      </c>
      <c r="D4369" t="str">
        <f>VLOOKUP(B4369,Products!$A:$E,2,FALSE)</f>
        <v>Product_93</v>
      </c>
      <c r="E4369" t="str">
        <f>VLOOKUP(B4369,Products!$A:$E,3,FALSE)</f>
        <v>Office Supplies</v>
      </c>
    </row>
    <row r="4370" spans="1:5" x14ac:dyDescent="0.3">
      <c r="A4370" t="s">
        <v>5380</v>
      </c>
      <c r="B4370" t="s">
        <v>398</v>
      </c>
      <c r="C4370">
        <v>59</v>
      </c>
      <c r="D4370" t="str">
        <f>VLOOKUP(B4370,Products!$A:$E,2,FALSE)</f>
        <v>Product_195</v>
      </c>
      <c r="E4370" t="str">
        <f>VLOOKUP(B4370,Products!$A:$E,3,FALSE)</f>
        <v>Accessories</v>
      </c>
    </row>
    <row r="4371" spans="1:5" x14ac:dyDescent="0.3">
      <c r="A4371" t="s">
        <v>5381</v>
      </c>
      <c r="B4371" t="s">
        <v>228</v>
      </c>
      <c r="C4371">
        <v>70</v>
      </c>
      <c r="D4371" t="str">
        <f>VLOOKUP(B4371,Products!$A:$E,2,FALSE)</f>
        <v>Product_110</v>
      </c>
      <c r="E4371" t="str">
        <f>VLOOKUP(B4371,Products!$A:$E,3,FALSE)</f>
        <v>Networking</v>
      </c>
    </row>
    <row r="4372" spans="1:5" x14ac:dyDescent="0.3">
      <c r="A4372" t="s">
        <v>5382</v>
      </c>
      <c r="B4372" t="s">
        <v>242</v>
      </c>
      <c r="C4372">
        <v>57</v>
      </c>
      <c r="D4372" t="str">
        <f>VLOOKUP(B4372,Products!$A:$E,2,FALSE)</f>
        <v>Product_117</v>
      </c>
      <c r="E4372" t="str">
        <f>VLOOKUP(B4372,Products!$A:$E,3,FALSE)</f>
        <v>Storage</v>
      </c>
    </row>
    <row r="4373" spans="1:5" x14ac:dyDescent="0.3">
      <c r="A4373" t="s">
        <v>5383</v>
      </c>
      <c r="B4373" t="s">
        <v>124</v>
      </c>
      <c r="C4373">
        <v>45</v>
      </c>
      <c r="D4373" t="str">
        <f>VLOOKUP(B4373,Products!$A:$E,2,FALSE)</f>
        <v>Product_58</v>
      </c>
      <c r="E4373" t="str">
        <f>VLOOKUP(B4373,Products!$A:$E,3,FALSE)</f>
        <v>Office Supplies</v>
      </c>
    </row>
    <row r="4374" spans="1:5" x14ac:dyDescent="0.3">
      <c r="A4374" t="s">
        <v>5384</v>
      </c>
      <c r="B4374" t="s">
        <v>136</v>
      </c>
      <c r="C4374">
        <v>64</v>
      </c>
      <c r="D4374" t="str">
        <f>VLOOKUP(B4374,Products!$A:$E,2,FALSE)</f>
        <v>Product_64</v>
      </c>
      <c r="E4374" t="str">
        <f>VLOOKUP(B4374,Products!$A:$E,3,FALSE)</f>
        <v>Storage</v>
      </c>
    </row>
    <row r="4375" spans="1:5" x14ac:dyDescent="0.3">
      <c r="A4375" t="s">
        <v>5385</v>
      </c>
      <c r="B4375" t="s">
        <v>122</v>
      </c>
      <c r="C4375">
        <v>71</v>
      </c>
      <c r="D4375" t="str">
        <f>VLOOKUP(B4375,Products!$A:$E,2,FALSE)</f>
        <v>Product_57</v>
      </c>
      <c r="E4375" t="str">
        <f>VLOOKUP(B4375,Products!$A:$E,3,FALSE)</f>
        <v>Electronics</v>
      </c>
    </row>
    <row r="4376" spans="1:5" x14ac:dyDescent="0.3">
      <c r="A4376" t="s">
        <v>5386</v>
      </c>
      <c r="B4376" t="s">
        <v>148</v>
      </c>
      <c r="C4376">
        <v>68</v>
      </c>
      <c r="D4376" t="str">
        <f>VLOOKUP(B4376,Products!$A:$E,2,FALSE)</f>
        <v>Product_70</v>
      </c>
      <c r="E4376" t="str">
        <f>VLOOKUP(B4376,Products!$A:$E,3,FALSE)</f>
        <v>Electronics</v>
      </c>
    </row>
    <row r="4377" spans="1:5" x14ac:dyDescent="0.3">
      <c r="A4377" t="s">
        <v>5387</v>
      </c>
      <c r="B4377" t="s">
        <v>790</v>
      </c>
      <c r="C4377">
        <v>51</v>
      </c>
      <c r="D4377" t="str">
        <f>VLOOKUP(B4377,Products!$A:$E,2,FALSE)</f>
        <v>Product_391</v>
      </c>
      <c r="E4377" t="str">
        <f>VLOOKUP(B4377,Products!$A:$E,3,FALSE)</f>
        <v>Accessories</v>
      </c>
    </row>
    <row r="4378" spans="1:5" x14ac:dyDescent="0.3">
      <c r="A4378" t="s">
        <v>5388</v>
      </c>
      <c r="B4378" t="s">
        <v>730</v>
      </c>
      <c r="C4378">
        <v>41</v>
      </c>
      <c r="D4378" t="str">
        <f>VLOOKUP(B4378,Products!$A:$E,2,FALSE)</f>
        <v>Product_361</v>
      </c>
      <c r="E4378" t="str">
        <f>VLOOKUP(B4378,Products!$A:$E,3,FALSE)</f>
        <v>Office Supplies</v>
      </c>
    </row>
    <row r="4379" spans="1:5" x14ac:dyDescent="0.3">
      <c r="A4379" t="s">
        <v>5389</v>
      </c>
      <c r="B4379" t="s">
        <v>580</v>
      </c>
      <c r="C4379">
        <v>97</v>
      </c>
      <c r="D4379" t="str">
        <f>VLOOKUP(B4379,Products!$A:$E,2,FALSE)</f>
        <v>Product_286</v>
      </c>
      <c r="E4379" t="str">
        <f>VLOOKUP(B4379,Products!$A:$E,3,FALSE)</f>
        <v>Storage</v>
      </c>
    </row>
    <row r="4380" spans="1:5" x14ac:dyDescent="0.3">
      <c r="A4380" t="s">
        <v>5390</v>
      </c>
      <c r="B4380" t="s">
        <v>50</v>
      </c>
      <c r="C4380">
        <v>15</v>
      </c>
      <c r="D4380" t="str">
        <f>VLOOKUP(B4380,Products!$A:$E,2,FALSE)</f>
        <v>Product_21</v>
      </c>
      <c r="E4380" t="str">
        <f>VLOOKUP(B4380,Products!$A:$E,3,FALSE)</f>
        <v>Office Supplies</v>
      </c>
    </row>
    <row r="4381" spans="1:5" x14ac:dyDescent="0.3">
      <c r="A4381" t="s">
        <v>5391</v>
      </c>
      <c r="B4381" t="s">
        <v>344</v>
      </c>
      <c r="C4381">
        <v>68</v>
      </c>
      <c r="D4381" t="str">
        <f>VLOOKUP(B4381,Products!$A:$E,2,FALSE)</f>
        <v>Product_168</v>
      </c>
      <c r="E4381" t="str">
        <f>VLOOKUP(B4381,Products!$A:$E,3,FALSE)</f>
        <v>Electronics</v>
      </c>
    </row>
    <row r="4382" spans="1:5" x14ac:dyDescent="0.3">
      <c r="A4382" t="s">
        <v>5392</v>
      </c>
      <c r="B4382" t="s">
        <v>128</v>
      </c>
      <c r="C4382">
        <v>54</v>
      </c>
      <c r="D4382" t="str">
        <f>VLOOKUP(B4382,Products!$A:$E,2,FALSE)</f>
        <v>Product_60</v>
      </c>
      <c r="E4382" t="str">
        <f>VLOOKUP(B4382,Products!$A:$E,3,FALSE)</f>
        <v>Electronics</v>
      </c>
    </row>
    <row r="4383" spans="1:5" x14ac:dyDescent="0.3">
      <c r="A4383" t="s">
        <v>5393</v>
      </c>
      <c r="B4383" t="s">
        <v>300</v>
      </c>
      <c r="C4383">
        <v>63</v>
      </c>
      <c r="D4383" t="str">
        <f>VLOOKUP(B4383,Products!$A:$E,2,FALSE)</f>
        <v>Product_146</v>
      </c>
      <c r="E4383" t="str">
        <f>VLOOKUP(B4383,Products!$A:$E,3,FALSE)</f>
        <v>Office Supplies</v>
      </c>
    </row>
    <row r="4384" spans="1:5" x14ac:dyDescent="0.3">
      <c r="A4384" t="s">
        <v>5394</v>
      </c>
      <c r="B4384" t="s">
        <v>624</v>
      </c>
      <c r="C4384">
        <v>99</v>
      </c>
      <c r="D4384" t="str">
        <f>VLOOKUP(B4384,Products!$A:$E,2,FALSE)</f>
        <v>Product_308</v>
      </c>
      <c r="E4384" t="str">
        <f>VLOOKUP(B4384,Products!$A:$E,3,FALSE)</f>
        <v>Storage</v>
      </c>
    </row>
    <row r="4385" spans="1:5" x14ac:dyDescent="0.3">
      <c r="A4385" t="s">
        <v>5395</v>
      </c>
      <c r="B4385" t="s">
        <v>328</v>
      </c>
      <c r="C4385">
        <v>92</v>
      </c>
      <c r="D4385" t="str">
        <f>VLOOKUP(B4385,Products!$A:$E,2,FALSE)</f>
        <v>Product_160</v>
      </c>
      <c r="E4385" t="str">
        <f>VLOOKUP(B4385,Products!$A:$E,3,FALSE)</f>
        <v>Office Supplies</v>
      </c>
    </row>
    <row r="4386" spans="1:5" x14ac:dyDescent="0.3">
      <c r="A4386" t="s">
        <v>5396</v>
      </c>
      <c r="B4386" t="s">
        <v>1008</v>
      </c>
      <c r="C4386">
        <v>61</v>
      </c>
      <c r="D4386" t="str">
        <f>VLOOKUP(B4386,Products!$A:$E,2,FALSE)</f>
        <v>Product_500</v>
      </c>
      <c r="E4386" t="str">
        <f>VLOOKUP(B4386,Products!$A:$E,3,FALSE)</f>
        <v>Networking</v>
      </c>
    </row>
    <row r="4387" spans="1:5" x14ac:dyDescent="0.3">
      <c r="A4387" t="s">
        <v>5397</v>
      </c>
      <c r="B4387" t="s">
        <v>240</v>
      </c>
      <c r="C4387">
        <v>75</v>
      </c>
      <c r="D4387" t="str">
        <f>VLOOKUP(B4387,Products!$A:$E,2,FALSE)</f>
        <v>Product_116</v>
      </c>
      <c r="E4387" t="str">
        <f>VLOOKUP(B4387,Products!$A:$E,3,FALSE)</f>
        <v>Storage</v>
      </c>
    </row>
    <row r="4388" spans="1:5" x14ac:dyDescent="0.3">
      <c r="A4388" t="s">
        <v>5398</v>
      </c>
      <c r="B4388" t="s">
        <v>426</v>
      </c>
      <c r="C4388">
        <v>42</v>
      </c>
      <c r="D4388" t="str">
        <f>VLOOKUP(B4388,Products!$A:$E,2,FALSE)</f>
        <v>Product_209</v>
      </c>
      <c r="E4388" t="str">
        <f>VLOOKUP(B4388,Products!$A:$E,3,FALSE)</f>
        <v>Networking</v>
      </c>
    </row>
    <row r="4389" spans="1:5" x14ac:dyDescent="0.3">
      <c r="A4389" t="s">
        <v>5399</v>
      </c>
      <c r="B4389" t="s">
        <v>884</v>
      </c>
      <c r="C4389">
        <v>59</v>
      </c>
      <c r="D4389" t="str">
        <f>VLOOKUP(B4389,Products!$A:$E,2,FALSE)</f>
        <v>Product_438</v>
      </c>
      <c r="E4389" t="str">
        <f>VLOOKUP(B4389,Products!$A:$E,3,FALSE)</f>
        <v>Electronics</v>
      </c>
    </row>
    <row r="4390" spans="1:5" x14ac:dyDescent="0.3">
      <c r="A4390" t="s">
        <v>5400</v>
      </c>
      <c r="B4390" t="s">
        <v>202</v>
      </c>
      <c r="C4390">
        <v>13</v>
      </c>
      <c r="D4390" t="str">
        <f>VLOOKUP(B4390,Products!$A:$E,2,FALSE)</f>
        <v>Product_97</v>
      </c>
      <c r="E4390" t="str">
        <f>VLOOKUP(B4390,Products!$A:$E,3,FALSE)</f>
        <v>Accessories</v>
      </c>
    </row>
    <row r="4391" spans="1:5" x14ac:dyDescent="0.3">
      <c r="A4391" t="s">
        <v>5401</v>
      </c>
      <c r="B4391" t="s">
        <v>926</v>
      </c>
      <c r="C4391">
        <v>65</v>
      </c>
      <c r="D4391" t="str">
        <f>VLOOKUP(B4391,Products!$A:$E,2,FALSE)</f>
        <v>Product_459</v>
      </c>
      <c r="E4391" t="str">
        <f>VLOOKUP(B4391,Products!$A:$E,3,FALSE)</f>
        <v>Office Supplies</v>
      </c>
    </row>
    <row r="4392" spans="1:5" x14ac:dyDescent="0.3">
      <c r="A4392" t="s">
        <v>5402</v>
      </c>
      <c r="B4392" t="s">
        <v>970</v>
      </c>
      <c r="C4392">
        <v>91</v>
      </c>
      <c r="D4392" t="str">
        <f>VLOOKUP(B4392,Products!$A:$E,2,FALSE)</f>
        <v>Product_481</v>
      </c>
      <c r="E4392" t="str">
        <f>VLOOKUP(B4392,Products!$A:$E,3,FALSE)</f>
        <v>Storage</v>
      </c>
    </row>
    <row r="4393" spans="1:5" x14ac:dyDescent="0.3">
      <c r="A4393" t="s">
        <v>5403</v>
      </c>
      <c r="B4393" t="s">
        <v>386</v>
      </c>
      <c r="C4393">
        <v>27</v>
      </c>
      <c r="D4393" t="str">
        <f>VLOOKUP(B4393,Products!$A:$E,2,FALSE)</f>
        <v>Product_189</v>
      </c>
      <c r="E4393" t="str">
        <f>VLOOKUP(B4393,Products!$A:$E,3,FALSE)</f>
        <v>Electronics</v>
      </c>
    </row>
    <row r="4394" spans="1:5" x14ac:dyDescent="0.3">
      <c r="A4394" t="s">
        <v>5404</v>
      </c>
      <c r="B4394" t="s">
        <v>22</v>
      </c>
      <c r="C4394">
        <v>91</v>
      </c>
      <c r="D4394" t="str">
        <f>VLOOKUP(B4394,Products!$A:$E,2,FALSE)</f>
        <v>Product_7</v>
      </c>
      <c r="E4394" t="str">
        <f>VLOOKUP(B4394,Products!$A:$E,3,FALSE)</f>
        <v>Storage</v>
      </c>
    </row>
    <row r="4395" spans="1:5" x14ac:dyDescent="0.3">
      <c r="A4395" t="s">
        <v>5405</v>
      </c>
      <c r="B4395" t="s">
        <v>512</v>
      </c>
      <c r="C4395">
        <v>91</v>
      </c>
      <c r="D4395" t="str">
        <f>VLOOKUP(B4395,Products!$A:$E,2,FALSE)</f>
        <v>Product_252</v>
      </c>
      <c r="E4395" t="str">
        <f>VLOOKUP(B4395,Products!$A:$E,3,FALSE)</f>
        <v>Networking</v>
      </c>
    </row>
    <row r="4396" spans="1:5" x14ac:dyDescent="0.3">
      <c r="A4396" t="s">
        <v>5406</v>
      </c>
      <c r="B4396" t="s">
        <v>116</v>
      </c>
      <c r="C4396">
        <v>55</v>
      </c>
      <c r="D4396" t="str">
        <f>VLOOKUP(B4396,Products!$A:$E,2,FALSE)</f>
        <v>Product_54</v>
      </c>
      <c r="E4396" t="str">
        <f>VLOOKUP(B4396,Products!$A:$E,3,FALSE)</f>
        <v>Storage</v>
      </c>
    </row>
    <row r="4397" spans="1:5" x14ac:dyDescent="0.3">
      <c r="A4397" t="s">
        <v>5407</v>
      </c>
      <c r="B4397" t="s">
        <v>458</v>
      </c>
      <c r="C4397">
        <v>71</v>
      </c>
      <c r="D4397" t="str">
        <f>VLOOKUP(B4397,Products!$A:$E,2,FALSE)</f>
        <v>Product_225</v>
      </c>
      <c r="E4397" t="str">
        <f>VLOOKUP(B4397,Products!$A:$E,3,FALSE)</f>
        <v>Accessories</v>
      </c>
    </row>
    <row r="4398" spans="1:5" x14ac:dyDescent="0.3">
      <c r="A4398" t="s">
        <v>5408</v>
      </c>
      <c r="B4398" t="s">
        <v>684</v>
      </c>
      <c r="C4398">
        <v>91</v>
      </c>
      <c r="D4398" t="str">
        <f>VLOOKUP(B4398,Products!$A:$E,2,FALSE)</f>
        <v>Product_338</v>
      </c>
      <c r="E4398" t="str">
        <f>VLOOKUP(B4398,Products!$A:$E,3,FALSE)</f>
        <v>Networking</v>
      </c>
    </row>
    <row r="4399" spans="1:5" x14ac:dyDescent="0.3">
      <c r="A4399" t="s">
        <v>5409</v>
      </c>
      <c r="B4399" t="s">
        <v>96</v>
      </c>
      <c r="C4399">
        <v>20</v>
      </c>
      <c r="D4399" t="str">
        <f>VLOOKUP(B4399,Products!$A:$E,2,FALSE)</f>
        <v>Product_44</v>
      </c>
      <c r="E4399" t="str">
        <f>VLOOKUP(B4399,Products!$A:$E,3,FALSE)</f>
        <v>Storage</v>
      </c>
    </row>
    <row r="4400" spans="1:5" x14ac:dyDescent="0.3">
      <c r="A4400" t="s">
        <v>5410</v>
      </c>
      <c r="B4400" t="s">
        <v>156</v>
      </c>
      <c r="C4400">
        <v>55</v>
      </c>
      <c r="D4400" t="str">
        <f>VLOOKUP(B4400,Products!$A:$E,2,FALSE)</f>
        <v>Product_74</v>
      </c>
      <c r="E4400" t="str">
        <f>VLOOKUP(B4400,Products!$A:$E,3,FALSE)</f>
        <v>Storage</v>
      </c>
    </row>
    <row r="4401" spans="1:5" x14ac:dyDescent="0.3">
      <c r="A4401" t="s">
        <v>5411</v>
      </c>
      <c r="B4401" t="s">
        <v>420</v>
      </c>
      <c r="C4401">
        <v>93</v>
      </c>
      <c r="D4401" t="str">
        <f>VLOOKUP(B4401,Products!$A:$E,2,FALSE)</f>
        <v>Product_206</v>
      </c>
      <c r="E4401" t="str">
        <f>VLOOKUP(B4401,Products!$A:$E,3,FALSE)</f>
        <v>Accessories</v>
      </c>
    </row>
    <row r="4402" spans="1:5" x14ac:dyDescent="0.3">
      <c r="A4402" t="s">
        <v>5412</v>
      </c>
      <c r="B4402" t="s">
        <v>614</v>
      </c>
      <c r="C4402">
        <v>18</v>
      </c>
      <c r="D4402" t="str">
        <f>VLOOKUP(B4402,Products!$A:$E,2,FALSE)</f>
        <v>Product_303</v>
      </c>
      <c r="E4402" t="str">
        <f>VLOOKUP(B4402,Products!$A:$E,3,FALSE)</f>
        <v>Networking</v>
      </c>
    </row>
    <row r="4403" spans="1:5" x14ac:dyDescent="0.3">
      <c r="A4403" t="s">
        <v>5413</v>
      </c>
      <c r="B4403" t="s">
        <v>768</v>
      </c>
      <c r="C4403">
        <v>26</v>
      </c>
      <c r="D4403" t="str">
        <f>VLOOKUP(B4403,Products!$A:$E,2,FALSE)</f>
        <v>Product_380</v>
      </c>
      <c r="E4403" t="str">
        <f>VLOOKUP(B4403,Products!$A:$E,3,FALSE)</f>
        <v>Electronics</v>
      </c>
    </row>
    <row r="4404" spans="1:5" x14ac:dyDescent="0.3">
      <c r="A4404" t="s">
        <v>5414</v>
      </c>
      <c r="B4404" t="s">
        <v>76</v>
      </c>
      <c r="C4404">
        <v>51</v>
      </c>
      <c r="D4404" t="str">
        <f>VLOOKUP(B4404,Products!$A:$E,2,FALSE)</f>
        <v>Product_34</v>
      </c>
      <c r="E4404" t="str">
        <f>VLOOKUP(B4404,Products!$A:$E,3,FALSE)</f>
        <v>Office Supplies</v>
      </c>
    </row>
    <row r="4405" spans="1:5" x14ac:dyDescent="0.3">
      <c r="A4405" t="s">
        <v>5415</v>
      </c>
      <c r="B4405" t="s">
        <v>1008</v>
      </c>
      <c r="C4405">
        <v>30</v>
      </c>
      <c r="D4405" t="str">
        <f>VLOOKUP(B4405,Products!$A:$E,2,FALSE)</f>
        <v>Product_500</v>
      </c>
      <c r="E4405" t="str">
        <f>VLOOKUP(B4405,Products!$A:$E,3,FALSE)</f>
        <v>Networking</v>
      </c>
    </row>
    <row r="4406" spans="1:5" x14ac:dyDescent="0.3">
      <c r="A4406" t="s">
        <v>5416</v>
      </c>
      <c r="B4406" t="s">
        <v>356</v>
      </c>
      <c r="C4406">
        <v>30</v>
      </c>
      <c r="D4406" t="str">
        <f>VLOOKUP(B4406,Products!$A:$E,2,FALSE)</f>
        <v>Product_174</v>
      </c>
      <c r="E4406" t="str">
        <f>VLOOKUP(B4406,Products!$A:$E,3,FALSE)</f>
        <v>Storage</v>
      </c>
    </row>
    <row r="4407" spans="1:5" x14ac:dyDescent="0.3">
      <c r="A4407" t="s">
        <v>5417</v>
      </c>
      <c r="B4407" t="s">
        <v>618</v>
      </c>
      <c r="C4407">
        <v>56</v>
      </c>
      <c r="D4407" t="str">
        <f>VLOOKUP(B4407,Products!$A:$E,2,FALSE)</f>
        <v>Product_305</v>
      </c>
      <c r="E4407" t="str">
        <f>VLOOKUP(B4407,Products!$A:$E,3,FALSE)</f>
        <v>Accessories</v>
      </c>
    </row>
    <row r="4408" spans="1:5" x14ac:dyDescent="0.3">
      <c r="A4408" t="s">
        <v>5418</v>
      </c>
      <c r="B4408" t="s">
        <v>134</v>
      </c>
      <c r="C4408">
        <v>34</v>
      </c>
      <c r="D4408" t="str">
        <f>VLOOKUP(B4408,Products!$A:$E,2,FALSE)</f>
        <v>Product_63</v>
      </c>
      <c r="E4408" t="str">
        <f>VLOOKUP(B4408,Products!$A:$E,3,FALSE)</f>
        <v>Accessories</v>
      </c>
    </row>
    <row r="4409" spans="1:5" x14ac:dyDescent="0.3">
      <c r="A4409" t="s">
        <v>5419</v>
      </c>
      <c r="B4409" t="s">
        <v>868</v>
      </c>
      <c r="C4409">
        <v>59</v>
      </c>
      <c r="D4409" t="str">
        <f>VLOOKUP(B4409,Products!$A:$E,2,FALSE)</f>
        <v>Product_430</v>
      </c>
      <c r="E4409" t="str">
        <f>VLOOKUP(B4409,Products!$A:$E,3,FALSE)</f>
        <v>Electronics</v>
      </c>
    </row>
    <row r="4410" spans="1:5" x14ac:dyDescent="0.3">
      <c r="A4410" t="s">
        <v>5420</v>
      </c>
      <c r="B4410" t="s">
        <v>752</v>
      </c>
      <c r="C4410">
        <v>68</v>
      </c>
      <c r="D4410" t="str">
        <f>VLOOKUP(B4410,Products!$A:$E,2,FALSE)</f>
        <v>Product_372</v>
      </c>
      <c r="E4410" t="str">
        <f>VLOOKUP(B4410,Products!$A:$E,3,FALSE)</f>
        <v>Networking</v>
      </c>
    </row>
    <row r="4411" spans="1:5" x14ac:dyDescent="0.3">
      <c r="A4411" t="s">
        <v>5421</v>
      </c>
      <c r="B4411" t="s">
        <v>294</v>
      </c>
      <c r="C4411">
        <v>96</v>
      </c>
      <c r="D4411" t="str">
        <f>VLOOKUP(B4411,Products!$A:$E,2,FALSE)</f>
        <v>Product_143</v>
      </c>
      <c r="E4411" t="str">
        <f>VLOOKUP(B4411,Products!$A:$E,3,FALSE)</f>
        <v>Office Supplies</v>
      </c>
    </row>
    <row r="4412" spans="1:5" x14ac:dyDescent="0.3">
      <c r="A4412" t="s">
        <v>5422</v>
      </c>
      <c r="B4412" t="s">
        <v>794</v>
      </c>
      <c r="C4412">
        <v>79</v>
      </c>
      <c r="D4412" t="str">
        <f>VLOOKUP(B4412,Products!$A:$E,2,FALSE)</f>
        <v>Product_393</v>
      </c>
      <c r="E4412" t="str">
        <f>VLOOKUP(B4412,Products!$A:$E,3,FALSE)</f>
        <v>Electronics</v>
      </c>
    </row>
    <row r="4413" spans="1:5" x14ac:dyDescent="0.3">
      <c r="A4413" t="s">
        <v>5423</v>
      </c>
      <c r="B4413" t="s">
        <v>616</v>
      </c>
      <c r="C4413">
        <v>39</v>
      </c>
      <c r="D4413" t="str">
        <f>VLOOKUP(B4413,Products!$A:$E,2,FALSE)</f>
        <v>Product_304</v>
      </c>
      <c r="E4413" t="str">
        <f>VLOOKUP(B4413,Products!$A:$E,3,FALSE)</f>
        <v>Electronics</v>
      </c>
    </row>
    <row r="4414" spans="1:5" x14ac:dyDescent="0.3">
      <c r="A4414" t="s">
        <v>5424</v>
      </c>
      <c r="B4414" t="s">
        <v>784</v>
      </c>
      <c r="C4414">
        <v>87</v>
      </c>
      <c r="D4414" t="str">
        <f>VLOOKUP(B4414,Products!$A:$E,2,FALSE)</f>
        <v>Product_388</v>
      </c>
      <c r="E4414" t="str">
        <f>VLOOKUP(B4414,Products!$A:$E,3,FALSE)</f>
        <v>Office Supplies</v>
      </c>
    </row>
    <row r="4415" spans="1:5" x14ac:dyDescent="0.3">
      <c r="A4415" t="s">
        <v>5425</v>
      </c>
      <c r="B4415" t="s">
        <v>974</v>
      </c>
      <c r="C4415">
        <v>56</v>
      </c>
      <c r="D4415" t="str">
        <f>VLOOKUP(B4415,Products!$A:$E,2,FALSE)</f>
        <v>Product_483</v>
      </c>
      <c r="E4415" t="str">
        <f>VLOOKUP(B4415,Products!$A:$E,3,FALSE)</f>
        <v>Electronics</v>
      </c>
    </row>
    <row r="4416" spans="1:5" x14ac:dyDescent="0.3">
      <c r="A4416" t="s">
        <v>5426</v>
      </c>
      <c r="B4416" t="s">
        <v>374</v>
      </c>
      <c r="C4416">
        <v>65</v>
      </c>
      <c r="D4416" t="str">
        <f>VLOOKUP(B4416,Products!$A:$E,2,FALSE)</f>
        <v>Product_183</v>
      </c>
      <c r="E4416" t="str">
        <f>VLOOKUP(B4416,Products!$A:$E,3,FALSE)</f>
        <v>Electronics</v>
      </c>
    </row>
    <row r="4417" spans="1:5" x14ac:dyDescent="0.3">
      <c r="A4417" t="s">
        <v>5427</v>
      </c>
      <c r="B4417" t="s">
        <v>692</v>
      </c>
      <c r="C4417">
        <v>82</v>
      </c>
      <c r="D4417" t="str">
        <f>VLOOKUP(B4417,Products!$A:$E,2,FALSE)</f>
        <v>Product_342</v>
      </c>
      <c r="E4417" t="str">
        <f>VLOOKUP(B4417,Products!$A:$E,3,FALSE)</f>
        <v>Accessories</v>
      </c>
    </row>
    <row r="4418" spans="1:5" x14ac:dyDescent="0.3">
      <c r="A4418" t="s">
        <v>5428</v>
      </c>
      <c r="B4418" t="s">
        <v>982</v>
      </c>
      <c r="C4418">
        <v>56</v>
      </c>
      <c r="D4418" t="str">
        <f>VLOOKUP(B4418,Products!$A:$E,2,FALSE)</f>
        <v>Product_487</v>
      </c>
      <c r="E4418" t="str">
        <f>VLOOKUP(B4418,Products!$A:$E,3,FALSE)</f>
        <v>Networking</v>
      </c>
    </row>
    <row r="4419" spans="1:5" x14ac:dyDescent="0.3">
      <c r="A4419" t="s">
        <v>5429</v>
      </c>
      <c r="B4419" t="s">
        <v>506</v>
      </c>
      <c r="C4419">
        <v>70</v>
      </c>
      <c r="D4419" t="str">
        <f>VLOOKUP(B4419,Products!$A:$E,2,FALSE)</f>
        <v>Product_249</v>
      </c>
      <c r="E4419" t="str">
        <f>VLOOKUP(B4419,Products!$A:$E,3,FALSE)</f>
        <v>Storage</v>
      </c>
    </row>
    <row r="4420" spans="1:5" x14ac:dyDescent="0.3">
      <c r="A4420" t="s">
        <v>5430</v>
      </c>
      <c r="B4420" t="s">
        <v>294</v>
      </c>
      <c r="C4420">
        <v>23</v>
      </c>
      <c r="D4420" t="str">
        <f>VLOOKUP(B4420,Products!$A:$E,2,FALSE)</f>
        <v>Product_143</v>
      </c>
      <c r="E4420" t="str">
        <f>VLOOKUP(B4420,Products!$A:$E,3,FALSE)</f>
        <v>Office Supplies</v>
      </c>
    </row>
    <row r="4421" spans="1:5" x14ac:dyDescent="0.3">
      <c r="A4421" t="s">
        <v>5431</v>
      </c>
      <c r="B4421" t="s">
        <v>796</v>
      </c>
      <c r="C4421">
        <v>63</v>
      </c>
      <c r="D4421" t="str">
        <f>VLOOKUP(B4421,Products!$A:$E,2,FALSE)</f>
        <v>Product_394</v>
      </c>
      <c r="E4421" t="str">
        <f>VLOOKUP(B4421,Products!$A:$E,3,FALSE)</f>
        <v>Electronics</v>
      </c>
    </row>
    <row r="4422" spans="1:5" x14ac:dyDescent="0.3">
      <c r="A4422" t="s">
        <v>5432</v>
      </c>
      <c r="B4422" t="s">
        <v>120</v>
      </c>
      <c r="C4422">
        <v>20</v>
      </c>
      <c r="D4422" t="str">
        <f>VLOOKUP(B4422,Products!$A:$E,2,FALSE)</f>
        <v>Product_56</v>
      </c>
      <c r="E4422" t="str">
        <f>VLOOKUP(B4422,Products!$A:$E,3,FALSE)</f>
        <v>Networking</v>
      </c>
    </row>
    <row r="4423" spans="1:5" x14ac:dyDescent="0.3">
      <c r="A4423" t="s">
        <v>5433</v>
      </c>
      <c r="B4423" t="s">
        <v>266</v>
      </c>
      <c r="C4423">
        <v>67</v>
      </c>
      <c r="D4423" t="str">
        <f>VLOOKUP(B4423,Products!$A:$E,2,FALSE)</f>
        <v>Product_129</v>
      </c>
      <c r="E4423" t="str">
        <f>VLOOKUP(B4423,Products!$A:$E,3,FALSE)</f>
        <v>Electronics</v>
      </c>
    </row>
    <row r="4424" spans="1:5" x14ac:dyDescent="0.3">
      <c r="A4424" t="s">
        <v>5434</v>
      </c>
      <c r="B4424" t="s">
        <v>518</v>
      </c>
      <c r="C4424">
        <v>34</v>
      </c>
      <c r="D4424" t="str">
        <f>VLOOKUP(B4424,Products!$A:$E,2,FALSE)</f>
        <v>Product_255</v>
      </c>
      <c r="E4424" t="str">
        <f>VLOOKUP(B4424,Products!$A:$E,3,FALSE)</f>
        <v>Accessories</v>
      </c>
    </row>
    <row r="4425" spans="1:5" x14ac:dyDescent="0.3">
      <c r="A4425" t="s">
        <v>5435</v>
      </c>
      <c r="B4425" t="s">
        <v>652</v>
      </c>
      <c r="C4425">
        <v>22</v>
      </c>
      <c r="D4425" t="str">
        <f>VLOOKUP(B4425,Products!$A:$E,2,FALSE)</f>
        <v>Product_322</v>
      </c>
      <c r="E4425" t="str">
        <f>VLOOKUP(B4425,Products!$A:$E,3,FALSE)</f>
        <v>Accessories</v>
      </c>
    </row>
    <row r="4426" spans="1:5" x14ac:dyDescent="0.3">
      <c r="A4426" t="s">
        <v>5436</v>
      </c>
      <c r="B4426" t="s">
        <v>40</v>
      </c>
      <c r="C4426">
        <v>17</v>
      </c>
      <c r="D4426" t="str">
        <f>VLOOKUP(B4426,Products!$A:$E,2,FALSE)</f>
        <v>Product_16</v>
      </c>
      <c r="E4426" t="str">
        <f>VLOOKUP(B4426,Products!$A:$E,3,FALSE)</f>
        <v>Office Supplies</v>
      </c>
    </row>
    <row r="4427" spans="1:5" x14ac:dyDescent="0.3">
      <c r="A4427" t="s">
        <v>5437</v>
      </c>
      <c r="B4427" t="s">
        <v>764</v>
      </c>
      <c r="C4427">
        <v>11</v>
      </c>
      <c r="D4427" t="str">
        <f>VLOOKUP(B4427,Products!$A:$E,2,FALSE)</f>
        <v>Product_378</v>
      </c>
      <c r="E4427" t="str">
        <f>VLOOKUP(B4427,Products!$A:$E,3,FALSE)</f>
        <v>Electronics</v>
      </c>
    </row>
    <row r="4428" spans="1:5" x14ac:dyDescent="0.3">
      <c r="A4428" t="s">
        <v>5438</v>
      </c>
      <c r="B4428" t="s">
        <v>860</v>
      </c>
      <c r="C4428">
        <v>13</v>
      </c>
      <c r="D4428" t="str">
        <f>VLOOKUP(B4428,Products!$A:$E,2,FALSE)</f>
        <v>Product_426</v>
      </c>
      <c r="E4428" t="str">
        <f>VLOOKUP(B4428,Products!$A:$E,3,FALSE)</f>
        <v>Storage</v>
      </c>
    </row>
    <row r="4429" spans="1:5" x14ac:dyDescent="0.3">
      <c r="A4429" t="s">
        <v>5439</v>
      </c>
      <c r="B4429" t="s">
        <v>520</v>
      </c>
      <c r="C4429">
        <v>91</v>
      </c>
      <c r="D4429" t="str">
        <f>VLOOKUP(B4429,Products!$A:$E,2,FALSE)</f>
        <v>Product_256</v>
      </c>
      <c r="E4429" t="str">
        <f>VLOOKUP(B4429,Products!$A:$E,3,FALSE)</f>
        <v>Office Supplies</v>
      </c>
    </row>
    <row r="4430" spans="1:5" x14ac:dyDescent="0.3">
      <c r="A4430" t="s">
        <v>5440</v>
      </c>
      <c r="B4430" t="s">
        <v>36</v>
      </c>
      <c r="C4430">
        <v>27</v>
      </c>
      <c r="D4430" t="str">
        <f>VLOOKUP(B4430,Products!$A:$E,2,FALSE)</f>
        <v>Product_14</v>
      </c>
      <c r="E4430" t="str">
        <f>VLOOKUP(B4430,Products!$A:$E,3,FALSE)</f>
        <v>Accessories</v>
      </c>
    </row>
    <row r="4431" spans="1:5" x14ac:dyDescent="0.3">
      <c r="A4431" t="s">
        <v>5441</v>
      </c>
      <c r="B4431" t="s">
        <v>400</v>
      </c>
      <c r="C4431">
        <v>82</v>
      </c>
      <c r="D4431" t="str">
        <f>VLOOKUP(B4431,Products!$A:$E,2,FALSE)</f>
        <v>Product_196</v>
      </c>
      <c r="E4431" t="str">
        <f>VLOOKUP(B4431,Products!$A:$E,3,FALSE)</f>
        <v>Office Supplies</v>
      </c>
    </row>
    <row r="4432" spans="1:5" x14ac:dyDescent="0.3">
      <c r="A4432" t="s">
        <v>5442</v>
      </c>
      <c r="B4432" t="s">
        <v>704</v>
      </c>
      <c r="C4432">
        <v>46</v>
      </c>
      <c r="D4432" t="str">
        <f>VLOOKUP(B4432,Products!$A:$E,2,FALSE)</f>
        <v>Product_348</v>
      </c>
      <c r="E4432" t="str">
        <f>VLOOKUP(B4432,Products!$A:$E,3,FALSE)</f>
        <v>Electronics</v>
      </c>
    </row>
    <row r="4433" spans="1:5" x14ac:dyDescent="0.3">
      <c r="A4433" t="s">
        <v>5443</v>
      </c>
      <c r="B4433" t="s">
        <v>166</v>
      </c>
      <c r="C4433">
        <v>43</v>
      </c>
      <c r="D4433" t="str">
        <f>VLOOKUP(B4433,Products!$A:$E,2,FALSE)</f>
        <v>Product_79</v>
      </c>
      <c r="E4433" t="str">
        <f>VLOOKUP(B4433,Products!$A:$E,3,FALSE)</f>
        <v>Storage</v>
      </c>
    </row>
    <row r="4434" spans="1:5" x14ac:dyDescent="0.3">
      <c r="A4434" t="s">
        <v>5444</v>
      </c>
      <c r="B4434" t="s">
        <v>646</v>
      </c>
      <c r="C4434">
        <v>84</v>
      </c>
      <c r="D4434" t="str">
        <f>VLOOKUP(B4434,Products!$A:$E,2,FALSE)</f>
        <v>Product_319</v>
      </c>
      <c r="E4434" t="str">
        <f>VLOOKUP(B4434,Products!$A:$E,3,FALSE)</f>
        <v>Accessories</v>
      </c>
    </row>
    <row r="4435" spans="1:5" x14ac:dyDescent="0.3">
      <c r="A4435" t="s">
        <v>5445</v>
      </c>
      <c r="B4435" t="s">
        <v>108</v>
      </c>
      <c r="C4435">
        <v>14</v>
      </c>
      <c r="D4435" t="str">
        <f>VLOOKUP(B4435,Products!$A:$E,2,FALSE)</f>
        <v>Product_50</v>
      </c>
      <c r="E4435" t="str">
        <f>VLOOKUP(B4435,Products!$A:$E,3,FALSE)</f>
        <v>Networking</v>
      </c>
    </row>
    <row r="4436" spans="1:5" x14ac:dyDescent="0.3">
      <c r="A4436" t="s">
        <v>5446</v>
      </c>
      <c r="B4436" t="s">
        <v>686</v>
      </c>
      <c r="C4436">
        <v>71</v>
      </c>
      <c r="D4436" t="str">
        <f>VLOOKUP(B4436,Products!$A:$E,2,FALSE)</f>
        <v>Product_339</v>
      </c>
      <c r="E4436" t="str">
        <f>VLOOKUP(B4436,Products!$A:$E,3,FALSE)</f>
        <v>Storage</v>
      </c>
    </row>
    <row r="4437" spans="1:5" x14ac:dyDescent="0.3">
      <c r="A4437" t="s">
        <v>5447</v>
      </c>
      <c r="B4437" t="s">
        <v>794</v>
      </c>
      <c r="C4437">
        <v>68</v>
      </c>
      <c r="D4437" t="str">
        <f>VLOOKUP(B4437,Products!$A:$E,2,FALSE)</f>
        <v>Product_393</v>
      </c>
      <c r="E4437" t="str">
        <f>VLOOKUP(B4437,Products!$A:$E,3,FALSE)</f>
        <v>Electronics</v>
      </c>
    </row>
    <row r="4438" spans="1:5" x14ac:dyDescent="0.3">
      <c r="A4438" t="s">
        <v>5448</v>
      </c>
      <c r="B4438" t="s">
        <v>820</v>
      </c>
      <c r="C4438">
        <v>64</v>
      </c>
      <c r="D4438" t="str">
        <f>VLOOKUP(B4438,Products!$A:$E,2,FALSE)</f>
        <v>Product_406</v>
      </c>
      <c r="E4438" t="str">
        <f>VLOOKUP(B4438,Products!$A:$E,3,FALSE)</f>
        <v>Office Supplies</v>
      </c>
    </row>
    <row r="4439" spans="1:5" x14ac:dyDescent="0.3">
      <c r="A4439" t="s">
        <v>5449</v>
      </c>
      <c r="B4439" t="s">
        <v>216</v>
      </c>
      <c r="C4439">
        <v>42</v>
      </c>
      <c r="D4439" t="str">
        <f>VLOOKUP(B4439,Products!$A:$E,2,FALSE)</f>
        <v>Product_104</v>
      </c>
      <c r="E4439" t="str">
        <f>VLOOKUP(B4439,Products!$A:$E,3,FALSE)</f>
        <v>Networking</v>
      </c>
    </row>
    <row r="4440" spans="1:5" x14ac:dyDescent="0.3">
      <c r="A4440" t="s">
        <v>5450</v>
      </c>
      <c r="B4440" t="s">
        <v>686</v>
      </c>
      <c r="C4440">
        <v>68</v>
      </c>
      <c r="D4440" t="str">
        <f>VLOOKUP(B4440,Products!$A:$E,2,FALSE)</f>
        <v>Product_339</v>
      </c>
      <c r="E4440" t="str">
        <f>VLOOKUP(B4440,Products!$A:$E,3,FALSE)</f>
        <v>Storage</v>
      </c>
    </row>
    <row r="4441" spans="1:5" x14ac:dyDescent="0.3">
      <c r="A4441" t="s">
        <v>5451</v>
      </c>
      <c r="B4441" t="s">
        <v>512</v>
      </c>
      <c r="C4441">
        <v>69</v>
      </c>
      <c r="D4441" t="str">
        <f>VLOOKUP(B4441,Products!$A:$E,2,FALSE)</f>
        <v>Product_252</v>
      </c>
      <c r="E4441" t="str">
        <f>VLOOKUP(B4441,Products!$A:$E,3,FALSE)</f>
        <v>Networking</v>
      </c>
    </row>
    <row r="4442" spans="1:5" x14ac:dyDescent="0.3">
      <c r="A4442" t="s">
        <v>5452</v>
      </c>
      <c r="B4442" t="s">
        <v>276</v>
      </c>
      <c r="C4442">
        <v>74</v>
      </c>
      <c r="D4442" t="str">
        <f>VLOOKUP(B4442,Products!$A:$E,2,FALSE)</f>
        <v>Product_134</v>
      </c>
      <c r="E4442" t="str">
        <f>VLOOKUP(B4442,Products!$A:$E,3,FALSE)</f>
        <v>Accessories</v>
      </c>
    </row>
    <row r="4443" spans="1:5" x14ac:dyDescent="0.3">
      <c r="A4443" t="s">
        <v>5453</v>
      </c>
      <c r="B4443" t="s">
        <v>360</v>
      </c>
      <c r="C4443">
        <v>74</v>
      </c>
      <c r="D4443" t="str">
        <f>VLOOKUP(B4443,Products!$A:$E,2,FALSE)</f>
        <v>Product_176</v>
      </c>
      <c r="E4443" t="str">
        <f>VLOOKUP(B4443,Products!$A:$E,3,FALSE)</f>
        <v>Electronics</v>
      </c>
    </row>
    <row r="4444" spans="1:5" x14ac:dyDescent="0.3">
      <c r="A4444" t="s">
        <v>5454</v>
      </c>
      <c r="B4444" t="s">
        <v>568</v>
      </c>
      <c r="C4444">
        <v>7</v>
      </c>
      <c r="D4444" t="str">
        <f>VLOOKUP(B4444,Products!$A:$E,2,FALSE)</f>
        <v>Product_280</v>
      </c>
      <c r="E4444" t="str">
        <f>VLOOKUP(B4444,Products!$A:$E,3,FALSE)</f>
        <v>Electronics</v>
      </c>
    </row>
    <row r="4445" spans="1:5" x14ac:dyDescent="0.3">
      <c r="A4445" t="s">
        <v>5455</v>
      </c>
      <c r="B4445" t="s">
        <v>984</v>
      </c>
      <c r="C4445">
        <v>9</v>
      </c>
      <c r="D4445" t="str">
        <f>VLOOKUP(B4445,Products!$A:$E,2,FALSE)</f>
        <v>Product_488</v>
      </c>
      <c r="E4445" t="str">
        <f>VLOOKUP(B4445,Products!$A:$E,3,FALSE)</f>
        <v>Accessories</v>
      </c>
    </row>
    <row r="4446" spans="1:5" x14ac:dyDescent="0.3">
      <c r="A4446" t="s">
        <v>5456</v>
      </c>
      <c r="B4446" t="s">
        <v>450</v>
      </c>
      <c r="C4446">
        <v>20</v>
      </c>
      <c r="D4446" t="str">
        <f>VLOOKUP(B4446,Products!$A:$E,2,FALSE)</f>
        <v>Product_221</v>
      </c>
      <c r="E4446" t="str">
        <f>VLOOKUP(B4446,Products!$A:$E,3,FALSE)</f>
        <v>Office Supplies</v>
      </c>
    </row>
    <row r="4447" spans="1:5" x14ac:dyDescent="0.3">
      <c r="A4447" t="s">
        <v>5457</v>
      </c>
      <c r="B4447" t="s">
        <v>402</v>
      </c>
      <c r="C4447">
        <v>62</v>
      </c>
      <c r="D4447" t="str">
        <f>VLOOKUP(B4447,Products!$A:$E,2,FALSE)</f>
        <v>Product_197</v>
      </c>
      <c r="E4447" t="str">
        <f>VLOOKUP(B4447,Products!$A:$E,3,FALSE)</f>
        <v>Electronics</v>
      </c>
    </row>
    <row r="4448" spans="1:5" x14ac:dyDescent="0.3">
      <c r="A4448" t="s">
        <v>5458</v>
      </c>
      <c r="B4448" t="s">
        <v>332</v>
      </c>
      <c r="C4448">
        <v>53</v>
      </c>
      <c r="D4448" t="str">
        <f>VLOOKUP(B4448,Products!$A:$E,2,FALSE)</f>
        <v>Product_162</v>
      </c>
      <c r="E4448" t="str">
        <f>VLOOKUP(B4448,Products!$A:$E,3,FALSE)</f>
        <v>Accessories</v>
      </c>
    </row>
    <row r="4449" spans="1:5" x14ac:dyDescent="0.3">
      <c r="A4449" t="s">
        <v>5459</v>
      </c>
      <c r="B4449" t="s">
        <v>462</v>
      </c>
      <c r="C4449">
        <v>63</v>
      </c>
      <c r="D4449" t="str">
        <f>VLOOKUP(B4449,Products!$A:$E,2,FALSE)</f>
        <v>Product_227</v>
      </c>
      <c r="E4449" t="str">
        <f>VLOOKUP(B4449,Products!$A:$E,3,FALSE)</f>
        <v>Accessories</v>
      </c>
    </row>
    <row r="4450" spans="1:5" x14ac:dyDescent="0.3">
      <c r="A4450" t="s">
        <v>5460</v>
      </c>
      <c r="B4450" t="s">
        <v>46</v>
      </c>
      <c r="C4450">
        <v>9</v>
      </c>
      <c r="D4450" t="str">
        <f>VLOOKUP(B4450,Products!$A:$E,2,FALSE)</f>
        <v>Product_19</v>
      </c>
      <c r="E4450" t="str">
        <f>VLOOKUP(B4450,Products!$A:$E,3,FALSE)</f>
        <v>Networking</v>
      </c>
    </row>
    <row r="4451" spans="1:5" x14ac:dyDescent="0.3">
      <c r="A4451" t="s">
        <v>5461</v>
      </c>
      <c r="B4451" t="s">
        <v>190</v>
      </c>
      <c r="C4451">
        <v>76</v>
      </c>
      <c r="D4451" t="str">
        <f>VLOOKUP(B4451,Products!$A:$E,2,FALSE)</f>
        <v>Product_91</v>
      </c>
      <c r="E4451" t="str">
        <f>VLOOKUP(B4451,Products!$A:$E,3,FALSE)</f>
        <v>Networking</v>
      </c>
    </row>
    <row r="4452" spans="1:5" x14ac:dyDescent="0.3">
      <c r="A4452" t="s">
        <v>5462</v>
      </c>
      <c r="B4452" t="s">
        <v>684</v>
      </c>
      <c r="C4452">
        <v>43</v>
      </c>
      <c r="D4452" t="str">
        <f>VLOOKUP(B4452,Products!$A:$E,2,FALSE)</f>
        <v>Product_338</v>
      </c>
      <c r="E4452" t="str">
        <f>VLOOKUP(B4452,Products!$A:$E,3,FALSE)</f>
        <v>Networking</v>
      </c>
    </row>
    <row r="4453" spans="1:5" x14ac:dyDescent="0.3">
      <c r="A4453" t="s">
        <v>5463</v>
      </c>
      <c r="B4453" t="s">
        <v>914</v>
      </c>
      <c r="C4453">
        <v>95</v>
      </c>
      <c r="D4453" t="str">
        <f>VLOOKUP(B4453,Products!$A:$E,2,FALSE)</f>
        <v>Product_453</v>
      </c>
      <c r="E4453" t="str">
        <f>VLOOKUP(B4453,Products!$A:$E,3,FALSE)</f>
        <v>Office Supplies</v>
      </c>
    </row>
    <row r="4454" spans="1:5" x14ac:dyDescent="0.3">
      <c r="A4454" t="s">
        <v>5464</v>
      </c>
      <c r="B4454" t="s">
        <v>178</v>
      </c>
      <c r="C4454">
        <v>67</v>
      </c>
      <c r="D4454" t="str">
        <f>VLOOKUP(B4454,Products!$A:$E,2,FALSE)</f>
        <v>Product_85</v>
      </c>
      <c r="E4454" t="str">
        <f>VLOOKUP(B4454,Products!$A:$E,3,FALSE)</f>
        <v>Electronics</v>
      </c>
    </row>
    <row r="4455" spans="1:5" x14ac:dyDescent="0.3">
      <c r="A4455" t="s">
        <v>5465</v>
      </c>
      <c r="B4455" t="s">
        <v>450</v>
      </c>
      <c r="C4455">
        <v>22</v>
      </c>
      <c r="D4455" t="str">
        <f>VLOOKUP(B4455,Products!$A:$E,2,FALSE)</f>
        <v>Product_221</v>
      </c>
      <c r="E4455" t="str">
        <f>VLOOKUP(B4455,Products!$A:$E,3,FALSE)</f>
        <v>Office Supplies</v>
      </c>
    </row>
    <row r="4456" spans="1:5" x14ac:dyDescent="0.3">
      <c r="A4456" t="s">
        <v>5466</v>
      </c>
      <c r="B4456" t="s">
        <v>328</v>
      </c>
      <c r="C4456">
        <v>96</v>
      </c>
      <c r="D4456" t="str">
        <f>VLOOKUP(B4456,Products!$A:$E,2,FALSE)</f>
        <v>Product_160</v>
      </c>
      <c r="E4456" t="str">
        <f>VLOOKUP(B4456,Products!$A:$E,3,FALSE)</f>
        <v>Office Supplies</v>
      </c>
    </row>
    <row r="4457" spans="1:5" x14ac:dyDescent="0.3">
      <c r="A4457" t="s">
        <v>5467</v>
      </c>
      <c r="B4457" t="s">
        <v>408</v>
      </c>
      <c r="C4457">
        <v>67</v>
      </c>
      <c r="D4457" t="str">
        <f>VLOOKUP(B4457,Products!$A:$E,2,FALSE)</f>
        <v>Product_200</v>
      </c>
      <c r="E4457" t="str">
        <f>VLOOKUP(B4457,Products!$A:$E,3,FALSE)</f>
        <v>Office Supplies</v>
      </c>
    </row>
    <row r="4458" spans="1:5" x14ac:dyDescent="0.3">
      <c r="A4458" t="s">
        <v>5468</v>
      </c>
      <c r="B4458" t="s">
        <v>792</v>
      </c>
      <c r="C4458">
        <v>19</v>
      </c>
      <c r="D4458" t="str">
        <f>VLOOKUP(B4458,Products!$A:$E,2,FALSE)</f>
        <v>Product_392</v>
      </c>
      <c r="E4458" t="str">
        <f>VLOOKUP(B4458,Products!$A:$E,3,FALSE)</f>
        <v>Electronics</v>
      </c>
    </row>
    <row r="4459" spans="1:5" x14ac:dyDescent="0.3">
      <c r="A4459" t="s">
        <v>5469</v>
      </c>
      <c r="B4459" t="s">
        <v>592</v>
      </c>
      <c r="C4459">
        <v>91</v>
      </c>
      <c r="D4459" t="str">
        <f>VLOOKUP(B4459,Products!$A:$E,2,FALSE)</f>
        <v>Product_292</v>
      </c>
      <c r="E4459" t="str">
        <f>VLOOKUP(B4459,Products!$A:$E,3,FALSE)</f>
        <v>Networking</v>
      </c>
    </row>
    <row r="4460" spans="1:5" x14ac:dyDescent="0.3">
      <c r="A4460" t="s">
        <v>5470</v>
      </c>
      <c r="B4460" t="s">
        <v>512</v>
      </c>
      <c r="C4460">
        <v>89</v>
      </c>
      <c r="D4460" t="str">
        <f>VLOOKUP(B4460,Products!$A:$E,2,FALSE)</f>
        <v>Product_252</v>
      </c>
      <c r="E4460" t="str">
        <f>VLOOKUP(B4460,Products!$A:$E,3,FALSE)</f>
        <v>Networking</v>
      </c>
    </row>
    <row r="4461" spans="1:5" x14ac:dyDescent="0.3">
      <c r="A4461" t="s">
        <v>5471</v>
      </c>
      <c r="B4461" t="s">
        <v>576</v>
      </c>
      <c r="C4461">
        <v>92</v>
      </c>
      <c r="D4461" t="str">
        <f>VLOOKUP(B4461,Products!$A:$E,2,FALSE)</f>
        <v>Product_284</v>
      </c>
      <c r="E4461" t="str">
        <f>VLOOKUP(B4461,Products!$A:$E,3,FALSE)</f>
        <v>Networking</v>
      </c>
    </row>
    <row r="4462" spans="1:5" x14ac:dyDescent="0.3">
      <c r="A4462" t="s">
        <v>5472</v>
      </c>
      <c r="B4462" t="s">
        <v>562</v>
      </c>
      <c r="C4462">
        <v>78</v>
      </c>
      <c r="D4462" t="str">
        <f>VLOOKUP(B4462,Products!$A:$E,2,FALSE)</f>
        <v>Product_277</v>
      </c>
      <c r="E4462" t="str">
        <f>VLOOKUP(B4462,Products!$A:$E,3,FALSE)</f>
        <v>Electronics</v>
      </c>
    </row>
    <row r="4463" spans="1:5" x14ac:dyDescent="0.3">
      <c r="A4463" t="s">
        <v>5473</v>
      </c>
      <c r="B4463" t="s">
        <v>490</v>
      </c>
      <c r="C4463">
        <v>65</v>
      </c>
      <c r="D4463" t="str">
        <f>VLOOKUP(B4463,Products!$A:$E,2,FALSE)</f>
        <v>Product_241</v>
      </c>
      <c r="E4463" t="str">
        <f>VLOOKUP(B4463,Products!$A:$E,3,FALSE)</f>
        <v>Electronics</v>
      </c>
    </row>
    <row r="4464" spans="1:5" x14ac:dyDescent="0.3">
      <c r="A4464" t="s">
        <v>5474</v>
      </c>
      <c r="B4464" t="s">
        <v>584</v>
      </c>
      <c r="C4464">
        <v>25</v>
      </c>
      <c r="D4464" t="str">
        <f>VLOOKUP(B4464,Products!$A:$E,2,FALSE)</f>
        <v>Product_288</v>
      </c>
      <c r="E4464" t="str">
        <f>VLOOKUP(B4464,Products!$A:$E,3,FALSE)</f>
        <v>Networking</v>
      </c>
    </row>
    <row r="4465" spans="1:5" x14ac:dyDescent="0.3">
      <c r="A4465" t="s">
        <v>5475</v>
      </c>
      <c r="B4465" t="s">
        <v>528</v>
      </c>
      <c r="C4465">
        <v>12</v>
      </c>
      <c r="D4465" t="str">
        <f>VLOOKUP(B4465,Products!$A:$E,2,FALSE)</f>
        <v>Product_260</v>
      </c>
      <c r="E4465" t="str">
        <f>VLOOKUP(B4465,Products!$A:$E,3,FALSE)</f>
        <v>Storage</v>
      </c>
    </row>
    <row r="4466" spans="1:5" x14ac:dyDescent="0.3">
      <c r="A4466" t="s">
        <v>5476</v>
      </c>
      <c r="B4466" t="s">
        <v>410</v>
      </c>
      <c r="C4466">
        <v>38</v>
      </c>
      <c r="D4466" t="str">
        <f>VLOOKUP(B4466,Products!$A:$E,2,FALSE)</f>
        <v>Product_201</v>
      </c>
      <c r="E4466" t="str">
        <f>VLOOKUP(B4466,Products!$A:$E,3,FALSE)</f>
        <v>Networking</v>
      </c>
    </row>
    <row r="4467" spans="1:5" x14ac:dyDescent="0.3">
      <c r="A4467" t="s">
        <v>5477</v>
      </c>
      <c r="B4467" t="s">
        <v>516</v>
      </c>
      <c r="C4467">
        <v>80</v>
      </c>
      <c r="D4467" t="str">
        <f>VLOOKUP(B4467,Products!$A:$E,2,FALSE)</f>
        <v>Product_254</v>
      </c>
      <c r="E4467" t="str">
        <f>VLOOKUP(B4467,Products!$A:$E,3,FALSE)</f>
        <v>Office Supplies</v>
      </c>
    </row>
    <row r="4468" spans="1:5" x14ac:dyDescent="0.3">
      <c r="A4468" t="s">
        <v>5478</v>
      </c>
      <c r="B4468" t="s">
        <v>1004</v>
      </c>
      <c r="C4468">
        <v>53</v>
      </c>
      <c r="D4468" t="str">
        <f>VLOOKUP(B4468,Products!$A:$E,2,FALSE)</f>
        <v>Product_498</v>
      </c>
      <c r="E4468" t="str">
        <f>VLOOKUP(B4468,Products!$A:$E,3,FALSE)</f>
        <v>Office Supplies</v>
      </c>
    </row>
    <row r="4469" spans="1:5" x14ac:dyDescent="0.3">
      <c r="A4469" t="s">
        <v>5479</v>
      </c>
      <c r="B4469" t="s">
        <v>640</v>
      </c>
      <c r="C4469">
        <v>91</v>
      </c>
      <c r="D4469" t="str">
        <f>VLOOKUP(B4469,Products!$A:$E,2,FALSE)</f>
        <v>Product_316</v>
      </c>
      <c r="E4469" t="str">
        <f>VLOOKUP(B4469,Products!$A:$E,3,FALSE)</f>
        <v>Networking</v>
      </c>
    </row>
    <row r="4470" spans="1:5" x14ac:dyDescent="0.3">
      <c r="A4470" t="s">
        <v>5480</v>
      </c>
      <c r="B4470" t="s">
        <v>370</v>
      </c>
      <c r="C4470">
        <v>41</v>
      </c>
      <c r="D4470" t="str">
        <f>VLOOKUP(B4470,Products!$A:$E,2,FALSE)</f>
        <v>Product_181</v>
      </c>
      <c r="E4470" t="str">
        <f>VLOOKUP(B4470,Products!$A:$E,3,FALSE)</f>
        <v>Storage</v>
      </c>
    </row>
    <row r="4471" spans="1:5" x14ac:dyDescent="0.3">
      <c r="A4471" t="s">
        <v>5481</v>
      </c>
      <c r="B4471" t="s">
        <v>338</v>
      </c>
      <c r="C4471">
        <v>12</v>
      </c>
      <c r="D4471" t="str">
        <f>VLOOKUP(B4471,Products!$A:$E,2,FALSE)</f>
        <v>Product_165</v>
      </c>
      <c r="E4471" t="str">
        <f>VLOOKUP(B4471,Products!$A:$E,3,FALSE)</f>
        <v>Office Supplies</v>
      </c>
    </row>
    <row r="4472" spans="1:5" x14ac:dyDescent="0.3">
      <c r="A4472" t="s">
        <v>5482</v>
      </c>
      <c r="B4472" t="s">
        <v>38</v>
      </c>
      <c r="C4472">
        <v>80</v>
      </c>
      <c r="D4472" t="str">
        <f>VLOOKUP(B4472,Products!$A:$E,2,FALSE)</f>
        <v>Product_15</v>
      </c>
      <c r="E4472" t="str">
        <f>VLOOKUP(B4472,Products!$A:$E,3,FALSE)</f>
        <v>Electronics</v>
      </c>
    </row>
    <row r="4473" spans="1:5" x14ac:dyDescent="0.3">
      <c r="A4473" t="s">
        <v>5483</v>
      </c>
      <c r="B4473" t="s">
        <v>56</v>
      </c>
      <c r="C4473">
        <v>21</v>
      </c>
      <c r="D4473" t="str">
        <f>VLOOKUP(B4473,Products!$A:$E,2,FALSE)</f>
        <v>Product_24</v>
      </c>
      <c r="E4473" t="str">
        <f>VLOOKUP(B4473,Products!$A:$E,3,FALSE)</f>
        <v>Accessories</v>
      </c>
    </row>
    <row r="4474" spans="1:5" x14ac:dyDescent="0.3">
      <c r="A4474" t="s">
        <v>5484</v>
      </c>
      <c r="B4474" t="s">
        <v>866</v>
      </c>
      <c r="C4474">
        <v>51</v>
      </c>
      <c r="D4474" t="str">
        <f>VLOOKUP(B4474,Products!$A:$E,2,FALSE)</f>
        <v>Product_429</v>
      </c>
      <c r="E4474" t="str">
        <f>VLOOKUP(B4474,Products!$A:$E,3,FALSE)</f>
        <v>Office Supplies</v>
      </c>
    </row>
    <row r="4475" spans="1:5" x14ac:dyDescent="0.3">
      <c r="A4475" t="s">
        <v>5485</v>
      </c>
      <c r="B4475" t="s">
        <v>366</v>
      </c>
      <c r="C4475">
        <v>99</v>
      </c>
      <c r="D4475" t="str">
        <f>VLOOKUP(B4475,Products!$A:$E,2,FALSE)</f>
        <v>Product_179</v>
      </c>
      <c r="E4475" t="str">
        <f>VLOOKUP(B4475,Products!$A:$E,3,FALSE)</f>
        <v>Storage</v>
      </c>
    </row>
    <row r="4476" spans="1:5" x14ac:dyDescent="0.3">
      <c r="A4476" t="s">
        <v>5486</v>
      </c>
      <c r="B4476" t="s">
        <v>606</v>
      </c>
      <c r="C4476">
        <v>8</v>
      </c>
      <c r="D4476" t="str">
        <f>VLOOKUP(B4476,Products!$A:$E,2,FALSE)</f>
        <v>Product_299</v>
      </c>
      <c r="E4476" t="str">
        <f>VLOOKUP(B4476,Products!$A:$E,3,FALSE)</f>
        <v>Storage</v>
      </c>
    </row>
    <row r="4477" spans="1:5" x14ac:dyDescent="0.3">
      <c r="A4477" t="s">
        <v>5487</v>
      </c>
      <c r="B4477" t="s">
        <v>792</v>
      </c>
      <c r="C4477">
        <v>85</v>
      </c>
      <c r="D4477" t="str">
        <f>VLOOKUP(B4477,Products!$A:$E,2,FALSE)</f>
        <v>Product_392</v>
      </c>
      <c r="E4477" t="str">
        <f>VLOOKUP(B4477,Products!$A:$E,3,FALSE)</f>
        <v>Electronics</v>
      </c>
    </row>
    <row r="4478" spans="1:5" x14ac:dyDescent="0.3">
      <c r="A4478" t="s">
        <v>5488</v>
      </c>
      <c r="B4478" t="s">
        <v>358</v>
      </c>
      <c r="C4478">
        <v>53</v>
      </c>
      <c r="D4478" t="str">
        <f>VLOOKUP(B4478,Products!$A:$E,2,FALSE)</f>
        <v>Product_175</v>
      </c>
      <c r="E4478" t="str">
        <f>VLOOKUP(B4478,Products!$A:$E,3,FALSE)</f>
        <v>Storage</v>
      </c>
    </row>
    <row r="4479" spans="1:5" x14ac:dyDescent="0.3">
      <c r="A4479" t="s">
        <v>5489</v>
      </c>
      <c r="B4479" t="s">
        <v>108</v>
      </c>
      <c r="C4479">
        <v>59</v>
      </c>
      <c r="D4479" t="str">
        <f>VLOOKUP(B4479,Products!$A:$E,2,FALSE)</f>
        <v>Product_50</v>
      </c>
      <c r="E4479" t="str">
        <f>VLOOKUP(B4479,Products!$A:$E,3,FALSE)</f>
        <v>Networking</v>
      </c>
    </row>
    <row r="4480" spans="1:5" x14ac:dyDescent="0.3">
      <c r="A4480" t="s">
        <v>5490</v>
      </c>
      <c r="B4480" t="s">
        <v>362</v>
      </c>
      <c r="C4480">
        <v>50</v>
      </c>
      <c r="D4480" t="str">
        <f>VLOOKUP(B4480,Products!$A:$E,2,FALSE)</f>
        <v>Product_177</v>
      </c>
      <c r="E4480" t="str">
        <f>VLOOKUP(B4480,Products!$A:$E,3,FALSE)</f>
        <v>Office Supplies</v>
      </c>
    </row>
    <row r="4481" spans="1:5" x14ac:dyDescent="0.3">
      <c r="A4481" t="s">
        <v>5491</v>
      </c>
      <c r="B4481" t="s">
        <v>430</v>
      </c>
      <c r="C4481">
        <v>49</v>
      </c>
      <c r="D4481" t="str">
        <f>VLOOKUP(B4481,Products!$A:$E,2,FALSE)</f>
        <v>Product_211</v>
      </c>
      <c r="E4481" t="str">
        <f>VLOOKUP(B4481,Products!$A:$E,3,FALSE)</f>
        <v>Storage</v>
      </c>
    </row>
    <row r="4482" spans="1:5" x14ac:dyDescent="0.3">
      <c r="A4482" t="s">
        <v>5492</v>
      </c>
      <c r="B4482" t="s">
        <v>66</v>
      </c>
      <c r="C4482">
        <v>89</v>
      </c>
      <c r="D4482" t="str">
        <f>VLOOKUP(B4482,Products!$A:$E,2,FALSE)</f>
        <v>Product_29</v>
      </c>
      <c r="E4482" t="str">
        <f>VLOOKUP(B4482,Products!$A:$E,3,FALSE)</f>
        <v>Electronics</v>
      </c>
    </row>
    <row r="4483" spans="1:5" x14ac:dyDescent="0.3">
      <c r="A4483" t="s">
        <v>5493</v>
      </c>
      <c r="B4483" t="s">
        <v>260</v>
      </c>
      <c r="C4483">
        <v>36</v>
      </c>
      <c r="D4483" t="str">
        <f>VLOOKUP(B4483,Products!$A:$E,2,FALSE)</f>
        <v>Product_126</v>
      </c>
      <c r="E4483" t="str">
        <f>VLOOKUP(B4483,Products!$A:$E,3,FALSE)</f>
        <v>Office Supplies</v>
      </c>
    </row>
    <row r="4484" spans="1:5" x14ac:dyDescent="0.3">
      <c r="A4484" t="s">
        <v>5494</v>
      </c>
      <c r="B4484" t="s">
        <v>250</v>
      </c>
      <c r="C4484">
        <v>87</v>
      </c>
      <c r="D4484" t="str">
        <f>VLOOKUP(B4484,Products!$A:$E,2,FALSE)</f>
        <v>Product_121</v>
      </c>
      <c r="E4484" t="str">
        <f>VLOOKUP(B4484,Products!$A:$E,3,FALSE)</f>
        <v>Storage</v>
      </c>
    </row>
    <row r="4485" spans="1:5" x14ac:dyDescent="0.3">
      <c r="A4485" t="s">
        <v>5495</v>
      </c>
      <c r="B4485" t="s">
        <v>328</v>
      </c>
      <c r="C4485">
        <v>80</v>
      </c>
      <c r="D4485" t="str">
        <f>VLOOKUP(B4485,Products!$A:$E,2,FALSE)</f>
        <v>Product_160</v>
      </c>
      <c r="E4485" t="str">
        <f>VLOOKUP(B4485,Products!$A:$E,3,FALSE)</f>
        <v>Office Supplies</v>
      </c>
    </row>
    <row r="4486" spans="1:5" x14ac:dyDescent="0.3">
      <c r="A4486" t="s">
        <v>5496</v>
      </c>
      <c r="B4486" t="s">
        <v>96</v>
      </c>
      <c r="C4486">
        <v>93</v>
      </c>
      <c r="D4486" t="str">
        <f>VLOOKUP(B4486,Products!$A:$E,2,FALSE)</f>
        <v>Product_44</v>
      </c>
      <c r="E4486" t="str">
        <f>VLOOKUP(B4486,Products!$A:$E,3,FALSE)</f>
        <v>Storage</v>
      </c>
    </row>
    <row r="4487" spans="1:5" x14ac:dyDescent="0.3">
      <c r="A4487" t="s">
        <v>5497</v>
      </c>
      <c r="B4487" t="s">
        <v>76</v>
      </c>
      <c r="C4487">
        <v>44</v>
      </c>
      <c r="D4487" t="str">
        <f>VLOOKUP(B4487,Products!$A:$E,2,FALSE)</f>
        <v>Product_34</v>
      </c>
      <c r="E4487" t="str">
        <f>VLOOKUP(B4487,Products!$A:$E,3,FALSE)</f>
        <v>Office Supplies</v>
      </c>
    </row>
    <row r="4488" spans="1:5" x14ac:dyDescent="0.3">
      <c r="A4488" t="s">
        <v>5498</v>
      </c>
      <c r="B4488" t="s">
        <v>126</v>
      </c>
      <c r="C4488">
        <v>48</v>
      </c>
      <c r="D4488" t="str">
        <f>VLOOKUP(B4488,Products!$A:$E,2,FALSE)</f>
        <v>Product_59</v>
      </c>
      <c r="E4488" t="str">
        <f>VLOOKUP(B4488,Products!$A:$E,3,FALSE)</f>
        <v>Accessories</v>
      </c>
    </row>
    <row r="4489" spans="1:5" x14ac:dyDescent="0.3">
      <c r="A4489" t="s">
        <v>5499</v>
      </c>
      <c r="B4489" t="s">
        <v>182</v>
      </c>
      <c r="C4489">
        <v>7</v>
      </c>
      <c r="D4489" t="str">
        <f>VLOOKUP(B4489,Products!$A:$E,2,FALSE)</f>
        <v>Product_87</v>
      </c>
      <c r="E4489" t="str">
        <f>VLOOKUP(B4489,Products!$A:$E,3,FALSE)</f>
        <v>Networking</v>
      </c>
    </row>
    <row r="4490" spans="1:5" x14ac:dyDescent="0.3">
      <c r="A4490" t="s">
        <v>5500</v>
      </c>
      <c r="B4490" t="s">
        <v>560</v>
      </c>
      <c r="C4490">
        <v>46</v>
      </c>
      <c r="D4490" t="str">
        <f>VLOOKUP(B4490,Products!$A:$E,2,FALSE)</f>
        <v>Product_276</v>
      </c>
      <c r="E4490" t="str">
        <f>VLOOKUP(B4490,Products!$A:$E,3,FALSE)</f>
        <v>Office Supplies</v>
      </c>
    </row>
    <row r="4491" spans="1:5" x14ac:dyDescent="0.3">
      <c r="A4491" t="s">
        <v>5501</v>
      </c>
      <c r="B4491" t="s">
        <v>48</v>
      </c>
      <c r="C4491">
        <v>63</v>
      </c>
      <c r="D4491" t="str">
        <f>VLOOKUP(B4491,Products!$A:$E,2,FALSE)</f>
        <v>Product_20</v>
      </c>
      <c r="E4491" t="str">
        <f>VLOOKUP(B4491,Products!$A:$E,3,FALSE)</f>
        <v>Office Supplies</v>
      </c>
    </row>
    <row r="4492" spans="1:5" x14ac:dyDescent="0.3">
      <c r="A4492" t="s">
        <v>5502</v>
      </c>
      <c r="B4492" t="s">
        <v>682</v>
      </c>
      <c r="C4492">
        <v>59</v>
      </c>
      <c r="D4492" t="str">
        <f>VLOOKUP(B4492,Products!$A:$E,2,FALSE)</f>
        <v>Product_337</v>
      </c>
      <c r="E4492" t="str">
        <f>VLOOKUP(B4492,Products!$A:$E,3,FALSE)</f>
        <v>Storage</v>
      </c>
    </row>
    <row r="4493" spans="1:5" x14ac:dyDescent="0.3">
      <c r="A4493" t="s">
        <v>5503</v>
      </c>
      <c r="B4493" t="s">
        <v>590</v>
      </c>
      <c r="C4493">
        <v>70</v>
      </c>
      <c r="D4493" t="str">
        <f>VLOOKUP(B4493,Products!$A:$E,2,FALSE)</f>
        <v>Product_291</v>
      </c>
      <c r="E4493" t="str">
        <f>VLOOKUP(B4493,Products!$A:$E,3,FALSE)</f>
        <v>Networking</v>
      </c>
    </row>
    <row r="4494" spans="1:5" x14ac:dyDescent="0.3">
      <c r="A4494" t="s">
        <v>5504</v>
      </c>
      <c r="B4494" t="s">
        <v>932</v>
      </c>
      <c r="C4494">
        <v>58</v>
      </c>
      <c r="D4494" t="str">
        <f>VLOOKUP(B4494,Products!$A:$E,2,FALSE)</f>
        <v>Product_462</v>
      </c>
      <c r="E4494" t="str">
        <f>VLOOKUP(B4494,Products!$A:$E,3,FALSE)</f>
        <v>Electronics</v>
      </c>
    </row>
    <row r="4495" spans="1:5" x14ac:dyDescent="0.3">
      <c r="A4495" t="s">
        <v>5505</v>
      </c>
      <c r="B4495" t="s">
        <v>282</v>
      </c>
      <c r="C4495">
        <v>7</v>
      </c>
      <c r="D4495" t="str">
        <f>VLOOKUP(B4495,Products!$A:$E,2,FALSE)</f>
        <v>Product_137</v>
      </c>
      <c r="E4495" t="str">
        <f>VLOOKUP(B4495,Products!$A:$E,3,FALSE)</f>
        <v>Storage</v>
      </c>
    </row>
    <row r="4496" spans="1:5" x14ac:dyDescent="0.3">
      <c r="A4496" t="s">
        <v>5506</v>
      </c>
      <c r="B4496" t="s">
        <v>722</v>
      </c>
      <c r="C4496">
        <v>65</v>
      </c>
      <c r="D4496" t="str">
        <f>VLOOKUP(B4496,Products!$A:$E,2,FALSE)</f>
        <v>Product_357</v>
      </c>
      <c r="E4496" t="str">
        <f>VLOOKUP(B4496,Products!$A:$E,3,FALSE)</f>
        <v>Accessories</v>
      </c>
    </row>
    <row r="4497" spans="1:5" x14ac:dyDescent="0.3">
      <c r="A4497" t="s">
        <v>5507</v>
      </c>
      <c r="B4497" t="s">
        <v>612</v>
      </c>
      <c r="C4497">
        <v>7</v>
      </c>
      <c r="D4497" t="str">
        <f>VLOOKUP(B4497,Products!$A:$E,2,FALSE)</f>
        <v>Product_302</v>
      </c>
      <c r="E4497" t="str">
        <f>VLOOKUP(B4497,Products!$A:$E,3,FALSE)</f>
        <v>Accessories</v>
      </c>
    </row>
    <row r="4498" spans="1:5" x14ac:dyDescent="0.3">
      <c r="A4498" t="s">
        <v>5508</v>
      </c>
      <c r="B4498" t="s">
        <v>334</v>
      </c>
      <c r="C4498">
        <v>53</v>
      </c>
      <c r="D4498" t="str">
        <f>VLOOKUP(B4498,Products!$A:$E,2,FALSE)</f>
        <v>Product_163</v>
      </c>
      <c r="E4498" t="str">
        <f>VLOOKUP(B4498,Products!$A:$E,3,FALSE)</f>
        <v>Accessories</v>
      </c>
    </row>
    <row r="4499" spans="1:5" x14ac:dyDescent="0.3">
      <c r="A4499" t="s">
        <v>5509</v>
      </c>
      <c r="B4499" t="s">
        <v>594</v>
      </c>
      <c r="C4499">
        <v>54</v>
      </c>
      <c r="D4499" t="str">
        <f>VLOOKUP(B4499,Products!$A:$E,2,FALSE)</f>
        <v>Product_293</v>
      </c>
      <c r="E4499" t="str">
        <f>VLOOKUP(B4499,Products!$A:$E,3,FALSE)</f>
        <v>Networking</v>
      </c>
    </row>
    <row r="4500" spans="1:5" x14ac:dyDescent="0.3">
      <c r="A4500" t="s">
        <v>5510</v>
      </c>
      <c r="B4500" t="s">
        <v>340</v>
      </c>
      <c r="C4500">
        <v>78</v>
      </c>
      <c r="D4500" t="str">
        <f>VLOOKUP(B4500,Products!$A:$E,2,FALSE)</f>
        <v>Product_166</v>
      </c>
      <c r="E4500" t="str">
        <f>VLOOKUP(B4500,Products!$A:$E,3,FALSE)</f>
        <v>Accessories</v>
      </c>
    </row>
    <row r="4501" spans="1:5" x14ac:dyDescent="0.3">
      <c r="A4501" t="s">
        <v>5511</v>
      </c>
      <c r="B4501" t="s">
        <v>110</v>
      </c>
      <c r="C4501">
        <v>67</v>
      </c>
      <c r="D4501" t="str">
        <f>VLOOKUP(B4501,Products!$A:$E,2,FALSE)</f>
        <v>Product_51</v>
      </c>
      <c r="E4501" t="str">
        <f>VLOOKUP(B4501,Products!$A:$E,3,FALSE)</f>
        <v>Storage</v>
      </c>
    </row>
    <row r="4502" spans="1:5" x14ac:dyDescent="0.3">
      <c r="A4502" t="s">
        <v>5512</v>
      </c>
      <c r="B4502" t="s">
        <v>112</v>
      </c>
      <c r="C4502">
        <v>93</v>
      </c>
      <c r="D4502" t="str">
        <f>VLOOKUP(B4502,Products!$A:$E,2,FALSE)</f>
        <v>Product_52</v>
      </c>
      <c r="E4502" t="str">
        <f>VLOOKUP(B4502,Products!$A:$E,3,FALSE)</f>
        <v>Electronics</v>
      </c>
    </row>
    <row r="4503" spans="1:5" x14ac:dyDescent="0.3">
      <c r="A4503" t="s">
        <v>5513</v>
      </c>
      <c r="B4503" t="s">
        <v>700</v>
      </c>
      <c r="C4503">
        <v>31</v>
      </c>
      <c r="D4503" t="str">
        <f>VLOOKUP(B4503,Products!$A:$E,2,FALSE)</f>
        <v>Product_346</v>
      </c>
      <c r="E4503" t="str">
        <f>VLOOKUP(B4503,Products!$A:$E,3,FALSE)</f>
        <v>Electronics</v>
      </c>
    </row>
    <row r="4504" spans="1:5" x14ac:dyDescent="0.3">
      <c r="A4504" t="s">
        <v>5514</v>
      </c>
      <c r="B4504" t="s">
        <v>354</v>
      </c>
      <c r="C4504">
        <v>68</v>
      </c>
      <c r="D4504" t="str">
        <f>VLOOKUP(B4504,Products!$A:$E,2,FALSE)</f>
        <v>Product_173</v>
      </c>
      <c r="E4504" t="str">
        <f>VLOOKUP(B4504,Products!$A:$E,3,FALSE)</f>
        <v>Electronics</v>
      </c>
    </row>
    <row r="4505" spans="1:5" x14ac:dyDescent="0.3">
      <c r="A4505" t="s">
        <v>5515</v>
      </c>
      <c r="B4505" t="s">
        <v>524</v>
      </c>
      <c r="C4505">
        <v>90</v>
      </c>
      <c r="D4505" t="str">
        <f>VLOOKUP(B4505,Products!$A:$E,2,FALSE)</f>
        <v>Product_258</v>
      </c>
      <c r="E4505" t="str">
        <f>VLOOKUP(B4505,Products!$A:$E,3,FALSE)</f>
        <v>Networking</v>
      </c>
    </row>
    <row r="4506" spans="1:5" x14ac:dyDescent="0.3">
      <c r="A4506" t="s">
        <v>5516</v>
      </c>
      <c r="B4506" t="s">
        <v>356</v>
      </c>
      <c r="C4506">
        <v>26</v>
      </c>
      <c r="D4506" t="str">
        <f>VLOOKUP(B4506,Products!$A:$E,2,FALSE)</f>
        <v>Product_174</v>
      </c>
      <c r="E4506" t="str">
        <f>VLOOKUP(B4506,Products!$A:$E,3,FALSE)</f>
        <v>Storage</v>
      </c>
    </row>
    <row r="4507" spans="1:5" x14ac:dyDescent="0.3">
      <c r="A4507" t="s">
        <v>5517</v>
      </c>
      <c r="B4507" t="s">
        <v>638</v>
      </c>
      <c r="C4507">
        <v>43</v>
      </c>
      <c r="D4507" t="str">
        <f>VLOOKUP(B4507,Products!$A:$E,2,FALSE)</f>
        <v>Product_315</v>
      </c>
      <c r="E4507" t="str">
        <f>VLOOKUP(B4507,Products!$A:$E,3,FALSE)</f>
        <v>Accessories</v>
      </c>
    </row>
    <row r="4508" spans="1:5" x14ac:dyDescent="0.3">
      <c r="A4508" t="s">
        <v>5518</v>
      </c>
      <c r="B4508" t="s">
        <v>382</v>
      </c>
      <c r="C4508">
        <v>60</v>
      </c>
      <c r="D4508" t="str">
        <f>VLOOKUP(B4508,Products!$A:$E,2,FALSE)</f>
        <v>Product_187</v>
      </c>
      <c r="E4508" t="str">
        <f>VLOOKUP(B4508,Products!$A:$E,3,FALSE)</f>
        <v>Electronics</v>
      </c>
    </row>
    <row r="4509" spans="1:5" x14ac:dyDescent="0.3">
      <c r="A4509" t="s">
        <v>5519</v>
      </c>
      <c r="B4509" t="s">
        <v>216</v>
      </c>
      <c r="C4509">
        <v>68</v>
      </c>
      <c r="D4509" t="str">
        <f>VLOOKUP(B4509,Products!$A:$E,2,FALSE)</f>
        <v>Product_104</v>
      </c>
      <c r="E4509" t="str">
        <f>VLOOKUP(B4509,Products!$A:$E,3,FALSE)</f>
        <v>Networking</v>
      </c>
    </row>
    <row r="4510" spans="1:5" x14ac:dyDescent="0.3">
      <c r="A4510" t="s">
        <v>5520</v>
      </c>
      <c r="B4510" t="s">
        <v>660</v>
      </c>
      <c r="C4510">
        <v>14</v>
      </c>
      <c r="D4510" t="str">
        <f>VLOOKUP(B4510,Products!$A:$E,2,FALSE)</f>
        <v>Product_326</v>
      </c>
      <c r="E4510" t="str">
        <f>VLOOKUP(B4510,Products!$A:$E,3,FALSE)</f>
        <v>Electronics</v>
      </c>
    </row>
    <row r="4511" spans="1:5" x14ac:dyDescent="0.3">
      <c r="A4511" t="s">
        <v>5521</v>
      </c>
      <c r="B4511" t="s">
        <v>870</v>
      </c>
      <c r="C4511">
        <v>73</v>
      </c>
      <c r="D4511" t="str">
        <f>VLOOKUP(B4511,Products!$A:$E,2,FALSE)</f>
        <v>Product_431</v>
      </c>
      <c r="E4511" t="str">
        <f>VLOOKUP(B4511,Products!$A:$E,3,FALSE)</f>
        <v>Electronics</v>
      </c>
    </row>
    <row r="4512" spans="1:5" x14ac:dyDescent="0.3">
      <c r="A4512" t="s">
        <v>5522</v>
      </c>
      <c r="B4512" t="s">
        <v>228</v>
      </c>
      <c r="C4512">
        <v>41</v>
      </c>
      <c r="D4512" t="str">
        <f>VLOOKUP(B4512,Products!$A:$E,2,FALSE)</f>
        <v>Product_110</v>
      </c>
      <c r="E4512" t="str">
        <f>VLOOKUP(B4512,Products!$A:$E,3,FALSE)</f>
        <v>Networking</v>
      </c>
    </row>
    <row r="4513" spans="1:5" x14ac:dyDescent="0.3">
      <c r="A4513" t="s">
        <v>5523</v>
      </c>
      <c r="B4513" t="s">
        <v>280</v>
      </c>
      <c r="C4513">
        <v>11</v>
      </c>
      <c r="D4513" t="str">
        <f>VLOOKUP(B4513,Products!$A:$E,2,FALSE)</f>
        <v>Product_136</v>
      </c>
      <c r="E4513" t="str">
        <f>VLOOKUP(B4513,Products!$A:$E,3,FALSE)</f>
        <v>Storage</v>
      </c>
    </row>
    <row r="4514" spans="1:5" x14ac:dyDescent="0.3">
      <c r="A4514" t="s">
        <v>5524</v>
      </c>
      <c r="B4514" t="s">
        <v>314</v>
      </c>
      <c r="C4514">
        <v>78</v>
      </c>
      <c r="D4514" t="str">
        <f>VLOOKUP(B4514,Products!$A:$E,2,FALSE)</f>
        <v>Product_153</v>
      </c>
      <c r="E4514" t="str">
        <f>VLOOKUP(B4514,Products!$A:$E,3,FALSE)</f>
        <v>Electronics</v>
      </c>
    </row>
    <row r="4515" spans="1:5" x14ac:dyDescent="0.3">
      <c r="A4515" t="s">
        <v>5525</v>
      </c>
      <c r="B4515" t="s">
        <v>420</v>
      </c>
      <c r="C4515">
        <v>33</v>
      </c>
      <c r="D4515" t="str">
        <f>VLOOKUP(B4515,Products!$A:$E,2,FALSE)</f>
        <v>Product_206</v>
      </c>
      <c r="E4515" t="str">
        <f>VLOOKUP(B4515,Products!$A:$E,3,FALSE)</f>
        <v>Accessories</v>
      </c>
    </row>
    <row r="4516" spans="1:5" x14ac:dyDescent="0.3">
      <c r="A4516" t="s">
        <v>5526</v>
      </c>
      <c r="B4516" t="s">
        <v>648</v>
      </c>
      <c r="C4516">
        <v>100</v>
      </c>
      <c r="D4516" t="str">
        <f>VLOOKUP(B4516,Products!$A:$E,2,FALSE)</f>
        <v>Product_320</v>
      </c>
      <c r="E4516" t="str">
        <f>VLOOKUP(B4516,Products!$A:$E,3,FALSE)</f>
        <v>Office Supplies</v>
      </c>
    </row>
    <row r="4517" spans="1:5" x14ac:dyDescent="0.3">
      <c r="A4517" t="s">
        <v>5527</v>
      </c>
      <c r="B4517" t="s">
        <v>990</v>
      </c>
      <c r="C4517">
        <v>16</v>
      </c>
      <c r="D4517" t="str">
        <f>VLOOKUP(B4517,Products!$A:$E,2,FALSE)</f>
        <v>Product_491</v>
      </c>
      <c r="E4517" t="str">
        <f>VLOOKUP(B4517,Products!$A:$E,3,FALSE)</f>
        <v>Accessories</v>
      </c>
    </row>
    <row r="4518" spans="1:5" x14ac:dyDescent="0.3">
      <c r="A4518" t="s">
        <v>5528</v>
      </c>
      <c r="B4518" t="s">
        <v>744</v>
      </c>
      <c r="C4518">
        <v>79</v>
      </c>
      <c r="D4518" t="str">
        <f>VLOOKUP(B4518,Products!$A:$E,2,FALSE)</f>
        <v>Product_368</v>
      </c>
      <c r="E4518" t="str">
        <f>VLOOKUP(B4518,Products!$A:$E,3,FALSE)</f>
        <v>Office Supplies</v>
      </c>
    </row>
    <row r="4519" spans="1:5" x14ac:dyDescent="0.3">
      <c r="A4519" t="s">
        <v>5529</v>
      </c>
      <c r="B4519" t="s">
        <v>106</v>
      </c>
      <c r="C4519">
        <v>80</v>
      </c>
      <c r="D4519" t="str">
        <f>VLOOKUP(B4519,Products!$A:$E,2,FALSE)</f>
        <v>Product_49</v>
      </c>
      <c r="E4519" t="str">
        <f>VLOOKUP(B4519,Products!$A:$E,3,FALSE)</f>
        <v>Storage</v>
      </c>
    </row>
    <row r="4520" spans="1:5" x14ac:dyDescent="0.3">
      <c r="A4520" t="s">
        <v>5530</v>
      </c>
      <c r="B4520" t="s">
        <v>354</v>
      </c>
      <c r="C4520">
        <v>39</v>
      </c>
      <c r="D4520" t="str">
        <f>VLOOKUP(B4520,Products!$A:$E,2,FALSE)</f>
        <v>Product_173</v>
      </c>
      <c r="E4520" t="str">
        <f>VLOOKUP(B4520,Products!$A:$E,3,FALSE)</f>
        <v>Electronics</v>
      </c>
    </row>
    <row r="4521" spans="1:5" x14ac:dyDescent="0.3">
      <c r="A4521" t="s">
        <v>5531</v>
      </c>
      <c r="B4521" t="s">
        <v>78</v>
      </c>
      <c r="C4521">
        <v>77</v>
      </c>
      <c r="D4521" t="str">
        <f>VLOOKUP(B4521,Products!$A:$E,2,FALSE)</f>
        <v>Product_35</v>
      </c>
      <c r="E4521" t="str">
        <f>VLOOKUP(B4521,Products!$A:$E,3,FALSE)</f>
        <v>Electronics</v>
      </c>
    </row>
    <row r="4522" spans="1:5" x14ac:dyDescent="0.3">
      <c r="A4522" t="s">
        <v>5532</v>
      </c>
      <c r="B4522" t="s">
        <v>830</v>
      </c>
      <c r="C4522">
        <v>72</v>
      </c>
      <c r="D4522" t="str">
        <f>VLOOKUP(B4522,Products!$A:$E,2,FALSE)</f>
        <v>Product_411</v>
      </c>
      <c r="E4522" t="str">
        <f>VLOOKUP(B4522,Products!$A:$E,3,FALSE)</f>
        <v>Office Supplies</v>
      </c>
    </row>
    <row r="4523" spans="1:5" x14ac:dyDescent="0.3">
      <c r="A4523" t="s">
        <v>5533</v>
      </c>
      <c r="B4523" t="s">
        <v>496</v>
      </c>
      <c r="C4523">
        <v>59</v>
      </c>
      <c r="D4523" t="str">
        <f>VLOOKUP(B4523,Products!$A:$E,2,FALSE)</f>
        <v>Product_244</v>
      </c>
      <c r="E4523" t="str">
        <f>VLOOKUP(B4523,Products!$A:$E,3,FALSE)</f>
        <v>Accessories</v>
      </c>
    </row>
    <row r="4524" spans="1:5" x14ac:dyDescent="0.3">
      <c r="A4524" t="s">
        <v>5534</v>
      </c>
      <c r="B4524" t="s">
        <v>224</v>
      </c>
      <c r="C4524">
        <v>49</v>
      </c>
      <c r="D4524" t="str">
        <f>VLOOKUP(B4524,Products!$A:$E,2,FALSE)</f>
        <v>Product_108</v>
      </c>
      <c r="E4524" t="str">
        <f>VLOOKUP(B4524,Products!$A:$E,3,FALSE)</f>
        <v>Networking</v>
      </c>
    </row>
    <row r="4525" spans="1:5" x14ac:dyDescent="0.3">
      <c r="A4525" t="s">
        <v>5535</v>
      </c>
      <c r="B4525" t="s">
        <v>824</v>
      </c>
      <c r="C4525">
        <v>14</v>
      </c>
      <c r="D4525" t="str">
        <f>VLOOKUP(B4525,Products!$A:$E,2,FALSE)</f>
        <v>Product_408</v>
      </c>
      <c r="E4525" t="str">
        <f>VLOOKUP(B4525,Products!$A:$E,3,FALSE)</f>
        <v>Storage</v>
      </c>
    </row>
    <row r="4526" spans="1:5" x14ac:dyDescent="0.3">
      <c r="A4526" t="s">
        <v>5536</v>
      </c>
      <c r="B4526" t="s">
        <v>676</v>
      </c>
      <c r="C4526">
        <v>43</v>
      </c>
      <c r="D4526" t="str">
        <f>VLOOKUP(B4526,Products!$A:$E,2,FALSE)</f>
        <v>Product_334</v>
      </c>
      <c r="E4526" t="str">
        <f>VLOOKUP(B4526,Products!$A:$E,3,FALSE)</f>
        <v>Accessories</v>
      </c>
    </row>
    <row r="4527" spans="1:5" x14ac:dyDescent="0.3">
      <c r="A4527" t="s">
        <v>5537</v>
      </c>
      <c r="B4527" t="s">
        <v>526</v>
      </c>
      <c r="C4527">
        <v>43</v>
      </c>
      <c r="D4527" t="str">
        <f>VLOOKUP(B4527,Products!$A:$E,2,FALSE)</f>
        <v>Product_259</v>
      </c>
      <c r="E4527" t="str">
        <f>VLOOKUP(B4527,Products!$A:$E,3,FALSE)</f>
        <v>Electronics</v>
      </c>
    </row>
    <row r="4528" spans="1:5" x14ac:dyDescent="0.3">
      <c r="A4528" t="s">
        <v>5538</v>
      </c>
      <c r="B4528" t="s">
        <v>452</v>
      </c>
      <c r="C4528">
        <v>89</v>
      </c>
      <c r="D4528" t="str">
        <f>VLOOKUP(B4528,Products!$A:$E,2,FALSE)</f>
        <v>Product_222</v>
      </c>
      <c r="E4528" t="str">
        <f>VLOOKUP(B4528,Products!$A:$E,3,FALSE)</f>
        <v>Networking</v>
      </c>
    </row>
    <row r="4529" spans="1:5" x14ac:dyDescent="0.3">
      <c r="A4529" t="s">
        <v>5539</v>
      </c>
      <c r="B4529" t="s">
        <v>562</v>
      </c>
      <c r="C4529">
        <v>45</v>
      </c>
      <c r="D4529" t="str">
        <f>VLOOKUP(B4529,Products!$A:$E,2,FALSE)</f>
        <v>Product_277</v>
      </c>
      <c r="E4529" t="str">
        <f>VLOOKUP(B4529,Products!$A:$E,3,FALSE)</f>
        <v>Electronics</v>
      </c>
    </row>
    <row r="4530" spans="1:5" x14ac:dyDescent="0.3">
      <c r="A4530" t="s">
        <v>5540</v>
      </c>
      <c r="B4530" t="s">
        <v>214</v>
      </c>
      <c r="C4530">
        <v>58</v>
      </c>
      <c r="D4530" t="str">
        <f>VLOOKUP(B4530,Products!$A:$E,2,FALSE)</f>
        <v>Product_103</v>
      </c>
      <c r="E4530" t="str">
        <f>VLOOKUP(B4530,Products!$A:$E,3,FALSE)</f>
        <v>Accessories</v>
      </c>
    </row>
    <row r="4531" spans="1:5" x14ac:dyDescent="0.3">
      <c r="A4531" t="s">
        <v>5541</v>
      </c>
      <c r="B4531" t="s">
        <v>420</v>
      </c>
      <c r="C4531">
        <v>37</v>
      </c>
      <c r="D4531" t="str">
        <f>VLOOKUP(B4531,Products!$A:$E,2,FALSE)</f>
        <v>Product_206</v>
      </c>
      <c r="E4531" t="str">
        <f>VLOOKUP(B4531,Products!$A:$E,3,FALSE)</f>
        <v>Accessories</v>
      </c>
    </row>
    <row r="4532" spans="1:5" x14ac:dyDescent="0.3">
      <c r="A4532" t="s">
        <v>5542</v>
      </c>
      <c r="B4532" t="s">
        <v>648</v>
      </c>
      <c r="C4532">
        <v>70</v>
      </c>
      <c r="D4532" t="str">
        <f>VLOOKUP(B4532,Products!$A:$E,2,FALSE)</f>
        <v>Product_320</v>
      </c>
      <c r="E4532" t="str">
        <f>VLOOKUP(B4532,Products!$A:$E,3,FALSE)</f>
        <v>Office Supplies</v>
      </c>
    </row>
    <row r="4533" spans="1:5" x14ac:dyDescent="0.3">
      <c r="A4533" t="s">
        <v>5543</v>
      </c>
      <c r="B4533" t="s">
        <v>474</v>
      </c>
      <c r="C4533">
        <v>90</v>
      </c>
      <c r="D4533" t="str">
        <f>VLOOKUP(B4533,Products!$A:$E,2,FALSE)</f>
        <v>Product_233</v>
      </c>
      <c r="E4533" t="str">
        <f>VLOOKUP(B4533,Products!$A:$E,3,FALSE)</f>
        <v>Accessories</v>
      </c>
    </row>
    <row r="4534" spans="1:5" x14ac:dyDescent="0.3">
      <c r="A4534" t="s">
        <v>5544</v>
      </c>
      <c r="B4534" t="s">
        <v>790</v>
      </c>
      <c r="C4534">
        <v>75</v>
      </c>
      <c r="D4534" t="str">
        <f>VLOOKUP(B4534,Products!$A:$E,2,FALSE)</f>
        <v>Product_391</v>
      </c>
      <c r="E4534" t="str">
        <f>VLOOKUP(B4534,Products!$A:$E,3,FALSE)</f>
        <v>Accessories</v>
      </c>
    </row>
    <row r="4535" spans="1:5" x14ac:dyDescent="0.3">
      <c r="A4535" t="s">
        <v>5545</v>
      </c>
      <c r="B4535" t="s">
        <v>194</v>
      </c>
      <c r="C4535">
        <v>7</v>
      </c>
      <c r="D4535" t="str">
        <f>VLOOKUP(B4535,Products!$A:$E,2,FALSE)</f>
        <v>Product_93</v>
      </c>
      <c r="E4535" t="str">
        <f>VLOOKUP(B4535,Products!$A:$E,3,FALSE)</f>
        <v>Office Supplies</v>
      </c>
    </row>
    <row r="4536" spans="1:5" x14ac:dyDescent="0.3">
      <c r="A4536" t="s">
        <v>5546</v>
      </c>
      <c r="B4536" t="s">
        <v>652</v>
      </c>
      <c r="C4536">
        <v>95</v>
      </c>
      <c r="D4536" t="str">
        <f>VLOOKUP(B4536,Products!$A:$E,2,FALSE)</f>
        <v>Product_322</v>
      </c>
      <c r="E4536" t="str">
        <f>VLOOKUP(B4536,Products!$A:$E,3,FALSE)</f>
        <v>Accessories</v>
      </c>
    </row>
    <row r="4537" spans="1:5" x14ac:dyDescent="0.3">
      <c r="A4537" t="s">
        <v>5547</v>
      </c>
      <c r="B4537" t="s">
        <v>538</v>
      </c>
      <c r="C4537">
        <v>28</v>
      </c>
      <c r="D4537" t="str">
        <f>VLOOKUP(B4537,Products!$A:$E,2,FALSE)</f>
        <v>Product_265</v>
      </c>
      <c r="E4537" t="str">
        <f>VLOOKUP(B4537,Products!$A:$E,3,FALSE)</f>
        <v>Accessories</v>
      </c>
    </row>
    <row r="4538" spans="1:5" x14ac:dyDescent="0.3">
      <c r="A4538" t="s">
        <v>5548</v>
      </c>
      <c r="B4538" t="s">
        <v>600</v>
      </c>
      <c r="C4538">
        <v>68</v>
      </c>
      <c r="D4538" t="str">
        <f>VLOOKUP(B4538,Products!$A:$E,2,FALSE)</f>
        <v>Product_296</v>
      </c>
      <c r="E4538" t="str">
        <f>VLOOKUP(B4538,Products!$A:$E,3,FALSE)</f>
        <v>Office Supplies</v>
      </c>
    </row>
    <row r="4539" spans="1:5" x14ac:dyDescent="0.3">
      <c r="A4539" t="s">
        <v>5549</v>
      </c>
      <c r="B4539" t="s">
        <v>228</v>
      </c>
      <c r="C4539">
        <v>89</v>
      </c>
      <c r="D4539" t="str">
        <f>VLOOKUP(B4539,Products!$A:$E,2,FALSE)</f>
        <v>Product_110</v>
      </c>
      <c r="E4539" t="str">
        <f>VLOOKUP(B4539,Products!$A:$E,3,FALSE)</f>
        <v>Networking</v>
      </c>
    </row>
    <row r="4540" spans="1:5" x14ac:dyDescent="0.3">
      <c r="A4540" t="s">
        <v>5550</v>
      </c>
      <c r="B4540" t="s">
        <v>994</v>
      </c>
      <c r="C4540">
        <v>100</v>
      </c>
      <c r="D4540" t="str">
        <f>VLOOKUP(B4540,Products!$A:$E,2,FALSE)</f>
        <v>Product_493</v>
      </c>
      <c r="E4540" t="str">
        <f>VLOOKUP(B4540,Products!$A:$E,3,FALSE)</f>
        <v>Networking</v>
      </c>
    </row>
    <row r="4541" spans="1:5" x14ac:dyDescent="0.3">
      <c r="A4541" t="s">
        <v>5551</v>
      </c>
      <c r="B4541" t="s">
        <v>970</v>
      </c>
      <c r="C4541">
        <v>64</v>
      </c>
      <c r="D4541" t="str">
        <f>VLOOKUP(B4541,Products!$A:$E,2,FALSE)</f>
        <v>Product_481</v>
      </c>
      <c r="E4541" t="str">
        <f>VLOOKUP(B4541,Products!$A:$E,3,FALSE)</f>
        <v>Storage</v>
      </c>
    </row>
    <row r="4542" spans="1:5" x14ac:dyDescent="0.3">
      <c r="A4542" t="s">
        <v>5552</v>
      </c>
      <c r="B4542" t="s">
        <v>284</v>
      </c>
      <c r="C4542">
        <v>86</v>
      </c>
      <c r="D4542" t="str">
        <f>VLOOKUP(B4542,Products!$A:$E,2,FALSE)</f>
        <v>Product_138</v>
      </c>
      <c r="E4542" t="str">
        <f>VLOOKUP(B4542,Products!$A:$E,3,FALSE)</f>
        <v>Electronics</v>
      </c>
    </row>
    <row r="4543" spans="1:5" x14ac:dyDescent="0.3">
      <c r="A4543" t="s">
        <v>5553</v>
      </c>
      <c r="B4543" t="s">
        <v>554</v>
      </c>
      <c r="C4543">
        <v>83</v>
      </c>
      <c r="D4543" t="str">
        <f>VLOOKUP(B4543,Products!$A:$E,2,FALSE)</f>
        <v>Product_273</v>
      </c>
      <c r="E4543" t="str">
        <f>VLOOKUP(B4543,Products!$A:$E,3,FALSE)</f>
        <v>Networking</v>
      </c>
    </row>
    <row r="4544" spans="1:5" x14ac:dyDescent="0.3">
      <c r="A4544" t="s">
        <v>5554</v>
      </c>
      <c r="B4544" t="s">
        <v>882</v>
      </c>
      <c r="C4544">
        <v>60</v>
      </c>
      <c r="D4544" t="str">
        <f>VLOOKUP(B4544,Products!$A:$E,2,FALSE)</f>
        <v>Product_437</v>
      </c>
      <c r="E4544" t="str">
        <f>VLOOKUP(B4544,Products!$A:$E,3,FALSE)</f>
        <v>Accessories</v>
      </c>
    </row>
    <row r="4545" spans="1:5" x14ac:dyDescent="0.3">
      <c r="A4545" t="s">
        <v>5555</v>
      </c>
      <c r="B4545" t="s">
        <v>966</v>
      </c>
      <c r="C4545">
        <v>77</v>
      </c>
      <c r="D4545" t="str">
        <f>VLOOKUP(B4545,Products!$A:$E,2,FALSE)</f>
        <v>Product_479</v>
      </c>
      <c r="E4545" t="str">
        <f>VLOOKUP(B4545,Products!$A:$E,3,FALSE)</f>
        <v>Office Supplies</v>
      </c>
    </row>
    <row r="4546" spans="1:5" x14ac:dyDescent="0.3">
      <c r="A4546" t="s">
        <v>5556</v>
      </c>
      <c r="B4546" t="s">
        <v>754</v>
      </c>
      <c r="C4546">
        <v>85</v>
      </c>
      <c r="D4546" t="str">
        <f>VLOOKUP(B4546,Products!$A:$E,2,FALSE)</f>
        <v>Product_373</v>
      </c>
      <c r="E4546" t="str">
        <f>VLOOKUP(B4546,Products!$A:$E,3,FALSE)</f>
        <v>Office Supplies</v>
      </c>
    </row>
    <row r="4547" spans="1:5" x14ac:dyDescent="0.3">
      <c r="A4547" t="s">
        <v>5557</v>
      </c>
      <c r="B4547" t="s">
        <v>70</v>
      </c>
      <c r="C4547">
        <v>71</v>
      </c>
      <c r="D4547" t="str">
        <f>VLOOKUP(B4547,Products!$A:$E,2,FALSE)</f>
        <v>Product_31</v>
      </c>
      <c r="E4547" t="str">
        <f>VLOOKUP(B4547,Products!$A:$E,3,FALSE)</f>
        <v>Accessories</v>
      </c>
    </row>
    <row r="4548" spans="1:5" x14ac:dyDescent="0.3">
      <c r="A4548" t="s">
        <v>5558</v>
      </c>
      <c r="B4548" t="s">
        <v>214</v>
      </c>
      <c r="C4548">
        <v>51</v>
      </c>
      <c r="D4548" t="str">
        <f>VLOOKUP(B4548,Products!$A:$E,2,FALSE)</f>
        <v>Product_103</v>
      </c>
      <c r="E4548" t="str">
        <f>VLOOKUP(B4548,Products!$A:$E,3,FALSE)</f>
        <v>Accessories</v>
      </c>
    </row>
    <row r="4549" spans="1:5" x14ac:dyDescent="0.3">
      <c r="A4549" t="s">
        <v>5559</v>
      </c>
      <c r="B4549" t="s">
        <v>482</v>
      </c>
      <c r="C4549">
        <v>23</v>
      </c>
      <c r="D4549" t="str">
        <f>VLOOKUP(B4549,Products!$A:$E,2,FALSE)</f>
        <v>Product_237</v>
      </c>
      <c r="E4549" t="str">
        <f>VLOOKUP(B4549,Products!$A:$E,3,FALSE)</f>
        <v>Networking</v>
      </c>
    </row>
    <row r="4550" spans="1:5" x14ac:dyDescent="0.3">
      <c r="A4550" t="s">
        <v>5560</v>
      </c>
      <c r="B4550" t="s">
        <v>256</v>
      </c>
      <c r="C4550">
        <v>24</v>
      </c>
      <c r="D4550" t="str">
        <f>VLOOKUP(B4550,Products!$A:$E,2,FALSE)</f>
        <v>Product_124</v>
      </c>
      <c r="E4550" t="str">
        <f>VLOOKUP(B4550,Products!$A:$E,3,FALSE)</f>
        <v>Storage</v>
      </c>
    </row>
    <row r="4551" spans="1:5" x14ac:dyDescent="0.3">
      <c r="A4551" t="s">
        <v>5561</v>
      </c>
      <c r="B4551" t="s">
        <v>774</v>
      </c>
      <c r="C4551">
        <v>92</v>
      </c>
      <c r="D4551" t="str">
        <f>VLOOKUP(B4551,Products!$A:$E,2,FALSE)</f>
        <v>Product_383</v>
      </c>
      <c r="E4551" t="str">
        <f>VLOOKUP(B4551,Products!$A:$E,3,FALSE)</f>
        <v>Electronics</v>
      </c>
    </row>
    <row r="4552" spans="1:5" x14ac:dyDescent="0.3">
      <c r="A4552" t="s">
        <v>5562</v>
      </c>
      <c r="B4552" t="s">
        <v>792</v>
      </c>
      <c r="C4552">
        <v>43</v>
      </c>
      <c r="D4552" t="str">
        <f>VLOOKUP(B4552,Products!$A:$E,2,FALSE)</f>
        <v>Product_392</v>
      </c>
      <c r="E4552" t="str">
        <f>VLOOKUP(B4552,Products!$A:$E,3,FALSE)</f>
        <v>Electronics</v>
      </c>
    </row>
    <row r="4553" spans="1:5" x14ac:dyDescent="0.3">
      <c r="A4553" t="s">
        <v>5563</v>
      </c>
      <c r="B4553" t="s">
        <v>874</v>
      </c>
      <c r="C4553">
        <v>60</v>
      </c>
      <c r="D4553" t="str">
        <f>VLOOKUP(B4553,Products!$A:$E,2,FALSE)</f>
        <v>Product_433</v>
      </c>
      <c r="E4553" t="str">
        <f>VLOOKUP(B4553,Products!$A:$E,3,FALSE)</f>
        <v>Office Supplies</v>
      </c>
    </row>
    <row r="4554" spans="1:5" x14ac:dyDescent="0.3">
      <c r="A4554" t="s">
        <v>5564</v>
      </c>
      <c r="B4554" t="s">
        <v>430</v>
      </c>
      <c r="C4554">
        <v>45</v>
      </c>
      <c r="D4554" t="str">
        <f>VLOOKUP(B4554,Products!$A:$E,2,FALSE)</f>
        <v>Product_211</v>
      </c>
      <c r="E4554" t="str">
        <f>VLOOKUP(B4554,Products!$A:$E,3,FALSE)</f>
        <v>Storage</v>
      </c>
    </row>
    <row r="4555" spans="1:5" x14ac:dyDescent="0.3">
      <c r="A4555" t="s">
        <v>5565</v>
      </c>
      <c r="B4555" t="s">
        <v>890</v>
      </c>
      <c r="C4555">
        <v>13</v>
      </c>
      <c r="D4555" t="str">
        <f>VLOOKUP(B4555,Products!$A:$E,2,FALSE)</f>
        <v>Product_441</v>
      </c>
      <c r="E4555" t="str">
        <f>VLOOKUP(B4555,Products!$A:$E,3,FALSE)</f>
        <v>Storage</v>
      </c>
    </row>
    <row r="4556" spans="1:5" x14ac:dyDescent="0.3">
      <c r="A4556" t="s">
        <v>5566</v>
      </c>
      <c r="B4556" t="s">
        <v>658</v>
      </c>
      <c r="C4556">
        <v>31</v>
      </c>
      <c r="D4556" t="str">
        <f>VLOOKUP(B4556,Products!$A:$E,2,FALSE)</f>
        <v>Product_325</v>
      </c>
      <c r="E4556" t="str">
        <f>VLOOKUP(B4556,Products!$A:$E,3,FALSE)</f>
        <v>Networking</v>
      </c>
    </row>
    <row r="4557" spans="1:5" x14ac:dyDescent="0.3">
      <c r="A4557" t="s">
        <v>5567</v>
      </c>
      <c r="B4557" t="s">
        <v>876</v>
      </c>
      <c r="C4557">
        <v>57</v>
      </c>
      <c r="D4557" t="str">
        <f>VLOOKUP(B4557,Products!$A:$E,2,FALSE)</f>
        <v>Product_434</v>
      </c>
      <c r="E4557" t="str">
        <f>VLOOKUP(B4557,Products!$A:$E,3,FALSE)</f>
        <v>Office Supplies</v>
      </c>
    </row>
    <row r="4558" spans="1:5" x14ac:dyDescent="0.3">
      <c r="A4558" t="s">
        <v>5568</v>
      </c>
      <c r="B4558" t="s">
        <v>282</v>
      </c>
      <c r="C4558">
        <v>41</v>
      </c>
      <c r="D4558" t="str">
        <f>VLOOKUP(B4558,Products!$A:$E,2,FALSE)</f>
        <v>Product_137</v>
      </c>
      <c r="E4558" t="str">
        <f>VLOOKUP(B4558,Products!$A:$E,3,FALSE)</f>
        <v>Storage</v>
      </c>
    </row>
    <row r="4559" spans="1:5" x14ac:dyDescent="0.3">
      <c r="A4559" t="s">
        <v>5569</v>
      </c>
      <c r="B4559" t="s">
        <v>670</v>
      </c>
      <c r="C4559">
        <v>25</v>
      </c>
      <c r="D4559" t="str">
        <f>VLOOKUP(B4559,Products!$A:$E,2,FALSE)</f>
        <v>Product_331</v>
      </c>
      <c r="E4559" t="str">
        <f>VLOOKUP(B4559,Products!$A:$E,3,FALSE)</f>
        <v>Electronics</v>
      </c>
    </row>
    <row r="4560" spans="1:5" x14ac:dyDescent="0.3">
      <c r="A4560" t="s">
        <v>5570</v>
      </c>
      <c r="B4560" t="s">
        <v>272</v>
      </c>
      <c r="C4560">
        <v>92</v>
      </c>
      <c r="D4560" t="str">
        <f>VLOOKUP(B4560,Products!$A:$E,2,FALSE)</f>
        <v>Product_132</v>
      </c>
      <c r="E4560" t="str">
        <f>VLOOKUP(B4560,Products!$A:$E,3,FALSE)</f>
        <v>Storage</v>
      </c>
    </row>
    <row r="4561" spans="1:5" x14ac:dyDescent="0.3">
      <c r="A4561" t="s">
        <v>5571</v>
      </c>
      <c r="B4561" t="s">
        <v>624</v>
      </c>
      <c r="C4561">
        <v>35</v>
      </c>
      <c r="D4561" t="str">
        <f>VLOOKUP(B4561,Products!$A:$E,2,FALSE)</f>
        <v>Product_308</v>
      </c>
      <c r="E4561" t="str">
        <f>VLOOKUP(B4561,Products!$A:$E,3,FALSE)</f>
        <v>Storage</v>
      </c>
    </row>
    <row r="4562" spans="1:5" x14ac:dyDescent="0.3">
      <c r="A4562" t="s">
        <v>5572</v>
      </c>
      <c r="B4562" t="s">
        <v>424</v>
      </c>
      <c r="C4562">
        <v>35</v>
      </c>
      <c r="D4562" t="str">
        <f>VLOOKUP(B4562,Products!$A:$E,2,FALSE)</f>
        <v>Product_208</v>
      </c>
      <c r="E4562" t="str">
        <f>VLOOKUP(B4562,Products!$A:$E,3,FALSE)</f>
        <v>Electronics</v>
      </c>
    </row>
    <row r="4563" spans="1:5" x14ac:dyDescent="0.3">
      <c r="A4563" t="s">
        <v>5573</v>
      </c>
      <c r="B4563" t="s">
        <v>126</v>
      </c>
      <c r="C4563">
        <v>24</v>
      </c>
      <c r="D4563" t="str">
        <f>VLOOKUP(B4563,Products!$A:$E,2,FALSE)</f>
        <v>Product_59</v>
      </c>
      <c r="E4563" t="str">
        <f>VLOOKUP(B4563,Products!$A:$E,3,FALSE)</f>
        <v>Accessories</v>
      </c>
    </row>
    <row r="4564" spans="1:5" x14ac:dyDescent="0.3">
      <c r="A4564" t="s">
        <v>5574</v>
      </c>
      <c r="B4564" t="s">
        <v>206</v>
      </c>
      <c r="C4564">
        <v>8</v>
      </c>
      <c r="D4564" t="str">
        <f>VLOOKUP(B4564,Products!$A:$E,2,FALSE)</f>
        <v>Product_99</v>
      </c>
      <c r="E4564" t="str">
        <f>VLOOKUP(B4564,Products!$A:$E,3,FALSE)</f>
        <v>Accessories</v>
      </c>
    </row>
    <row r="4565" spans="1:5" x14ac:dyDescent="0.3">
      <c r="A4565" t="s">
        <v>5575</v>
      </c>
      <c r="B4565" t="s">
        <v>260</v>
      </c>
      <c r="C4565">
        <v>44</v>
      </c>
      <c r="D4565" t="str">
        <f>VLOOKUP(B4565,Products!$A:$E,2,FALSE)</f>
        <v>Product_126</v>
      </c>
      <c r="E4565" t="str">
        <f>VLOOKUP(B4565,Products!$A:$E,3,FALSE)</f>
        <v>Office Supplies</v>
      </c>
    </row>
    <row r="4566" spans="1:5" x14ac:dyDescent="0.3">
      <c r="A4566" t="s">
        <v>5576</v>
      </c>
      <c r="B4566" t="s">
        <v>484</v>
      </c>
      <c r="C4566">
        <v>67</v>
      </c>
      <c r="D4566" t="str">
        <f>VLOOKUP(B4566,Products!$A:$E,2,FALSE)</f>
        <v>Product_238</v>
      </c>
      <c r="E4566" t="str">
        <f>VLOOKUP(B4566,Products!$A:$E,3,FALSE)</f>
        <v>Accessories</v>
      </c>
    </row>
    <row r="4567" spans="1:5" x14ac:dyDescent="0.3">
      <c r="A4567" t="s">
        <v>5577</v>
      </c>
      <c r="B4567" t="s">
        <v>582</v>
      </c>
      <c r="C4567">
        <v>60</v>
      </c>
      <c r="D4567" t="str">
        <f>VLOOKUP(B4567,Products!$A:$E,2,FALSE)</f>
        <v>Product_287</v>
      </c>
      <c r="E4567" t="str">
        <f>VLOOKUP(B4567,Products!$A:$E,3,FALSE)</f>
        <v>Storage</v>
      </c>
    </row>
    <row r="4568" spans="1:5" x14ac:dyDescent="0.3">
      <c r="A4568" t="s">
        <v>5578</v>
      </c>
      <c r="B4568" t="s">
        <v>442</v>
      </c>
      <c r="C4568">
        <v>87</v>
      </c>
      <c r="D4568" t="str">
        <f>VLOOKUP(B4568,Products!$A:$E,2,FALSE)</f>
        <v>Product_217</v>
      </c>
      <c r="E4568" t="str">
        <f>VLOOKUP(B4568,Products!$A:$E,3,FALSE)</f>
        <v>Networking</v>
      </c>
    </row>
    <row r="4569" spans="1:5" x14ac:dyDescent="0.3">
      <c r="A4569" t="s">
        <v>5579</v>
      </c>
      <c r="B4569" t="s">
        <v>936</v>
      </c>
      <c r="C4569">
        <v>9</v>
      </c>
      <c r="D4569" t="str">
        <f>VLOOKUP(B4569,Products!$A:$E,2,FALSE)</f>
        <v>Product_464</v>
      </c>
      <c r="E4569" t="str">
        <f>VLOOKUP(B4569,Products!$A:$E,3,FALSE)</f>
        <v>Office Supplies</v>
      </c>
    </row>
    <row r="4570" spans="1:5" x14ac:dyDescent="0.3">
      <c r="A4570" t="s">
        <v>5580</v>
      </c>
      <c r="B4570" t="s">
        <v>216</v>
      </c>
      <c r="C4570">
        <v>25</v>
      </c>
      <c r="D4570" t="str">
        <f>VLOOKUP(B4570,Products!$A:$E,2,FALSE)</f>
        <v>Product_104</v>
      </c>
      <c r="E4570" t="str">
        <f>VLOOKUP(B4570,Products!$A:$E,3,FALSE)</f>
        <v>Networking</v>
      </c>
    </row>
    <row r="4571" spans="1:5" x14ac:dyDescent="0.3">
      <c r="A4571" t="s">
        <v>5581</v>
      </c>
      <c r="B4571" t="s">
        <v>288</v>
      </c>
      <c r="C4571">
        <v>22</v>
      </c>
      <c r="D4571" t="str">
        <f>VLOOKUP(B4571,Products!$A:$E,2,FALSE)</f>
        <v>Product_140</v>
      </c>
      <c r="E4571" t="str">
        <f>VLOOKUP(B4571,Products!$A:$E,3,FALSE)</f>
        <v>Electronics</v>
      </c>
    </row>
    <row r="4572" spans="1:5" x14ac:dyDescent="0.3">
      <c r="A4572" t="s">
        <v>5582</v>
      </c>
      <c r="B4572" t="s">
        <v>38</v>
      </c>
      <c r="C4572">
        <v>38</v>
      </c>
      <c r="D4572" t="str">
        <f>VLOOKUP(B4572,Products!$A:$E,2,FALSE)</f>
        <v>Product_15</v>
      </c>
      <c r="E4572" t="str">
        <f>VLOOKUP(B4572,Products!$A:$E,3,FALSE)</f>
        <v>Electronics</v>
      </c>
    </row>
    <row r="4573" spans="1:5" x14ac:dyDescent="0.3">
      <c r="A4573" t="s">
        <v>5583</v>
      </c>
      <c r="B4573" t="s">
        <v>818</v>
      </c>
      <c r="C4573">
        <v>40</v>
      </c>
      <c r="D4573" t="str">
        <f>VLOOKUP(B4573,Products!$A:$E,2,FALSE)</f>
        <v>Product_405</v>
      </c>
      <c r="E4573" t="str">
        <f>VLOOKUP(B4573,Products!$A:$E,3,FALSE)</f>
        <v>Electronics</v>
      </c>
    </row>
    <row r="4574" spans="1:5" x14ac:dyDescent="0.3">
      <c r="A4574" t="s">
        <v>5584</v>
      </c>
      <c r="B4574" t="s">
        <v>684</v>
      </c>
      <c r="C4574">
        <v>75</v>
      </c>
      <c r="D4574" t="str">
        <f>VLOOKUP(B4574,Products!$A:$E,2,FALSE)</f>
        <v>Product_338</v>
      </c>
      <c r="E4574" t="str">
        <f>VLOOKUP(B4574,Products!$A:$E,3,FALSE)</f>
        <v>Networking</v>
      </c>
    </row>
    <row r="4575" spans="1:5" x14ac:dyDescent="0.3">
      <c r="A4575" t="s">
        <v>5585</v>
      </c>
      <c r="B4575" t="s">
        <v>190</v>
      </c>
      <c r="C4575">
        <v>87</v>
      </c>
      <c r="D4575" t="str">
        <f>VLOOKUP(B4575,Products!$A:$E,2,FALSE)</f>
        <v>Product_91</v>
      </c>
      <c r="E4575" t="str">
        <f>VLOOKUP(B4575,Products!$A:$E,3,FALSE)</f>
        <v>Networking</v>
      </c>
    </row>
    <row r="4576" spans="1:5" x14ac:dyDescent="0.3">
      <c r="A4576" t="s">
        <v>5586</v>
      </c>
      <c r="B4576" t="s">
        <v>882</v>
      </c>
      <c r="C4576">
        <v>10</v>
      </c>
      <c r="D4576" t="str">
        <f>VLOOKUP(B4576,Products!$A:$E,2,FALSE)</f>
        <v>Product_437</v>
      </c>
      <c r="E4576" t="str">
        <f>VLOOKUP(B4576,Products!$A:$E,3,FALSE)</f>
        <v>Accessories</v>
      </c>
    </row>
    <row r="4577" spans="1:5" x14ac:dyDescent="0.3">
      <c r="A4577" t="s">
        <v>5587</v>
      </c>
      <c r="B4577" t="s">
        <v>996</v>
      </c>
      <c r="C4577">
        <v>97</v>
      </c>
      <c r="D4577" t="str">
        <f>VLOOKUP(B4577,Products!$A:$E,2,FALSE)</f>
        <v>Product_494</v>
      </c>
      <c r="E4577" t="str">
        <f>VLOOKUP(B4577,Products!$A:$E,3,FALSE)</f>
        <v>Office Supplies</v>
      </c>
    </row>
    <row r="4578" spans="1:5" x14ac:dyDescent="0.3">
      <c r="A4578" t="s">
        <v>5588</v>
      </c>
      <c r="B4578" t="s">
        <v>506</v>
      </c>
      <c r="C4578">
        <v>7</v>
      </c>
      <c r="D4578" t="str">
        <f>VLOOKUP(B4578,Products!$A:$E,2,FALSE)</f>
        <v>Product_249</v>
      </c>
      <c r="E4578" t="str">
        <f>VLOOKUP(B4578,Products!$A:$E,3,FALSE)</f>
        <v>Storage</v>
      </c>
    </row>
    <row r="4579" spans="1:5" x14ac:dyDescent="0.3">
      <c r="A4579" t="s">
        <v>5589</v>
      </c>
      <c r="B4579" t="s">
        <v>66</v>
      </c>
      <c r="C4579">
        <v>15</v>
      </c>
      <c r="D4579" t="str">
        <f>VLOOKUP(B4579,Products!$A:$E,2,FALSE)</f>
        <v>Product_29</v>
      </c>
      <c r="E4579" t="str">
        <f>VLOOKUP(B4579,Products!$A:$E,3,FALSE)</f>
        <v>Electronics</v>
      </c>
    </row>
    <row r="4580" spans="1:5" x14ac:dyDescent="0.3">
      <c r="A4580" t="s">
        <v>5590</v>
      </c>
      <c r="B4580" t="s">
        <v>330</v>
      </c>
      <c r="C4580">
        <v>82</v>
      </c>
      <c r="D4580" t="str">
        <f>VLOOKUP(B4580,Products!$A:$E,2,FALSE)</f>
        <v>Product_161</v>
      </c>
      <c r="E4580" t="str">
        <f>VLOOKUP(B4580,Products!$A:$E,3,FALSE)</f>
        <v>Networking</v>
      </c>
    </row>
    <row r="4581" spans="1:5" x14ac:dyDescent="0.3">
      <c r="A4581" t="s">
        <v>5591</v>
      </c>
      <c r="B4581" t="s">
        <v>314</v>
      </c>
      <c r="C4581">
        <v>13</v>
      </c>
      <c r="D4581" t="str">
        <f>VLOOKUP(B4581,Products!$A:$E,2,FALSE)</f>
        <v>Product_153</v>
      </c>
      <c r="E4581" t="str">
        <f>VLOOKUP(B4581,Products!$A:$E,3,FALSE)</f>
        <v>Electronics</v>
      </c>
    </row>
    <row r="4582" spans="1:5" x14ac:dyDescent="0.3">
      <c r="A4582" t="s">
        <v>5592</v>
      </c>
      <c r="B4582" t="s">
        <v>932</v>
      </c>
      <c r="C4582">
        <v>57</v>
      </c>
      <c r="D4582" t="str">
        <f>VLOOKUP(B4582,Products!$A:$E,2,FALSE)</f>
        <v>Product_462</v>
      </c>
      <c r="E4582" t="str">
        <f>VLOOKUP(B4582,Products!$A:$E,3,FALSE)</f>
        <v>Electronics</v>
      </c>
    </row>
    <row r="4583" spans="1:5" x14ac:dyDescent="0.3">
      <c r="A4583" t="s">
        <v>5593</v>
      </c>
      <c r="B4583" t="s">
        <v>928</v>
      </c>
      <c r="C4583">
        <v>51</v>
      </c>
      <c r="D4583" t="str">
        <f>VLOOKUP(B4583,Products!$A:$E,2,FALSE)</f>
        <v>Product_460</v>
      </c>
      <c r="E4583" t="str">
        <f>VLOOKUP(B4583,Products!$A:$E,3,FALSE)</f>
        <v>Accessories</v>
      </c>
    </row>
    <row r="4584" spans="1:5" x14ac:dyDescent="0.3">
      <c r="A4584" t="s">
        <v>5594</v>
      </c>
      <c r="B4584" t="s">
        <v>696</v>
      </c>
      <c r="C4584">
        <v>89</v>
      </c>
      <c r="D4584" t="str">
        <f>VLOOKUP(B4584,Products!$A:$E,2,FALSE)</f>
        <v>Product_344</v>
      </c>
      <c r="E4584" t="str">
        <f>VLOOKUP(B4584,Products!$A:$E,3,FALSE)</f>
        <v>Accessories</v>
      </c>
    </row>
    <row r="4585" spans="1:5" x14ac:dyDescent="0.3">
      <c r="A4585" t="s">
        <v>5595</v>
      </c>
      <c r="B4585" t="s">
        <v>916</v>
      </c>
      <c r="C4585">
        <v>16</v>
      </c>
      <c r="D4585" t="str">
        <f>VLOOKUP(B4585,Products!$A:$E,2,FALSE)</f>
        <v>Product_454</v>
      </c>
      <c r="E4585" t="str">
        <f>VLOOKUP(B4585,Products!$A:$E,3,FALSE)</f>
        <v>Networking</v>
      </c>
    </row>
    <row r="4586" spans="1:5" x14ac:dyDescent="0.3">
      <c r="A4586" t="s">
        <v>5596</v>
      </c>
      <c r="B4586" t="s">
        <v>416</v>
      </c>
      <c r="C4586">
        <v>97</v>
      </c>
      <c r="D4586" t="str">
        <f>VLOOKUP(B4586,Products!$A:$E,2,FALSE)</f>
        <v>Product_204</v>
      </c>
      <c r="E4586" t="str">
        <f>VLOOKUP(B4586,Products!$A:$E,3,FALSE)</f>
        <v>Office Supplies</v>
      </c>
    </row>
    <row r="4587" spans="1:5" x14ac:dyDescent="0.3">
      <c r="A4587" t="s">
        <v>5597</v>
      </c>
      <c r="B4587" t="s">
        <v>872</v>
      </c>
      <c r="C4587">
        <v>22</v>
      </c>
      <c r="D4587" t="str">
        <f>VLOOKUP(B4587,Products!$A:$E,2,FALSE)</f>
        <v>Product_432</v>
      </c>
      <c r="E4587" t="str">
        <f>VLOOKUP(B4587,Products!$A:$E,3,FALSE)</f>
        <v>Office Supplies</v>
      </c>
    </row>
    <row r="4588" spans="1:5" x14ac:dyDescent="0.3">
      <c r="A4588" t="s">
        <v>5598</v>
      </c>
      <c r="B4588" t="s">
        <v>250</v>
      </c>
      <c r="C4588">
        <v>19</v>
      </c>
      <c r="D4588" t="str">
        <f>VLOOKUP(B4588,Products!$A:$E,2,FALSE)</f>
        <v>Product_121</v>
      </c>
      <c r="E4588" t="str">
        <f>VLOOKUP(B4588,Products!$A:$E,3,FALSE)</f>
        <v>Storage</v>
      </c>
    </row>
    <row r="4589" spans="1:5" x14ac:dyDescent="0.3">
      <c r="A4589" t="s">
        <v>5599</v>
      </c>
      <c r="B4589" t="s">
        <v>594</v>
      </c>
      <c r="C4589">
        <v>99</v>
      </c>
      <c r="D4589" t="str">
        <f>VLOOKUP(B4589,Products!$A:$E,2,FALSE)</f>
        <v>Product_293</v>
      </c>
      <c r="E4589" t="str">
        <f>VLOOKUP(B4589,Products!$A:$E,3,FALSE)</f>
        <v>Networking</v>
      </c>
    </row>
    <row r="4590" spans="1:5" x14ac:dyDescent="0.3">
      <c r="A4590" t="s">
        <v>5600</v>
      </c>
      <c r="B4590" t="s">
        <v>522</v>
      </c>
      <c r="C4590">
        <v>20</v>
      </c>
      <c r="D4590" t="str">
        <f>VLOOKUP(B4590,Products!$A:$E,2,FALSE)</f>
        <v>Product_257</v>
      </c>
      <c r="E4590" t="str">
        <f>VLOOKUP(B4590,Products!$A:$E,3,FALSE)</f>
        <v>Networking</v>
      </c>
    </row>
    <row r="4591" spans="1:5" x14ac:dyDescent="0.3">
      <c r="A4591" t="s">
        <v>5601</v>
      </c>
      <c r="B4591" t="s">
        <v>544</v>
      </c>
      <c r="C4591">
        <v>90</v>
      </c>
      <c r="D4591" t="str">
        <f>VLOOKUP(B4591,Products!$A:$E,2,FALSE)</f>
        <v>Product_268</v>
      </c>
      <c r="E4591" t="str">
        <f>VLOOKUP(B4591,Products!$A:$E,3,FALSE)</f>
        <v>Office Supplies</v>
      </c>
    </row>
    <row r="4592" spans="1:5" x14ac:dyDescent="0.3">
      <c r="A4592" t="s">
        <v>5602</v>
      </c>
      <c r="B4592" t="s">
        <v>858</v>
      </c>
      <c r="C4592">
        <v>79</v>
      </c>
      <c r="D4592" t="str">
        <f>VLOOKUP(B4592,Products!$A:$E,2,FALSE)</f>
        <v>Product_425</v>
      </c>
      <c r="E4592" t="str">
        <f>VLOOKUP(B4592,Products!$A:$E,3,FALSE)</f>
        <v>Office Supplies</v>
      </c>
    </row>
    <row r="4593" spans="1:5" x14ac:dyDescent="0.3">
      <c r="A4593" t="s">
        <v>5603</v>
      </c>
      <c r="B4593" t="s">
        <v>982</v>
      </c>
      <c r="C4593">
        <v>72</v>
      </c>
      <c r="D4593" t="str">
        <f>VLOOKUP(B4593,Products!$A:$E,2,FALSE)</f>
        <v>Product_487</v>
      </c>
      <c r="E4593" t="str">
        <f>VLOOKUP(B4593,Products!$A:$E,3,FALSE)</f>
        <v>Networking</v>
      </c>
    </row>
    <row r="4594" spans="1:5" x14ac:dyDescent="0.3">
      <c r="A4594" t="s">
        <v>5604</v>
      </c>
      <c r="B4594" t="s">
        <v>266</v>
      </c>
      <c r="C4594">
        <v>68</v>
      </c>
      <c r="D4594" t="str">
        <f>VLOOKUP(B4594,Products!$A:$E,2,FALSE)</f>
        <v>Product_129</v>
      </c>
      <c r="E4594" t="str">
        <f>VLOOKUP(B4594,Products!$A:$E,3,FALSE)</f>
        <v>Electronics</v>
      </c>
    </row>
    <row r="4595" spans="1:5" x14ac:dyDescent="0.3">
      <c r="A4595" t="s">
        <v>5605</v>
      </c>
      <c r="B4595" t="s">
        <v>914</v>
      </c>
      <c r="C4595">
        <v>16</v>
      </c>
      <c r="D4595" t="str">
        <f>VLOOKUP(B4595,Products!$A:$E,2,FALSE)</f>
        <v>Product_453</v>
      </c>
      <c r="E4595" t="str">
        <f>VLOOKUP(B4595,Products!$A:$E,3,FALSE)</f>
        <v>Office Supplies</v>
      </c>
    </row>
    <row r="4596" spans="1:5" x14ac:dyDescent="0.3">
      <c r="A4596" t="s">
        <v>5606</v>
      </c>
      <c r="B4596" t="s">
        <v>252</v>
      </c>
      <c r="C4596">
        <v>81</v>
      </c>
      <c r="D4596" t="str">
        <f>VLOOKUP(B4596,Products!$A:$E,2,FALSE)</f>
        <v>Product_122</v>
      </c>
      <c r="E4596" t="str">
        <f>VLOOKUP(B4596,Products!$A:$E,3,FALSE)</f>
        <v>Storage</v>
      </c>
    </row>
    <row r="4597" spans="1:5" x14ac:dyDescent="0.3">
      <c r="A4597" t="s">
        <v>5607</v>
      </c>
      <c r="B4597" t="s">
        <v>134</v>
      </c>
      <c r="C4597">
        <v>45</v>
      </c>
      <c r="D4597" t="str">
        <f>VLOOKUP(B4597,Products!$A:$E,2,FALSE)</f>
        <v>Product_63</v>
      </c>
      <c r="E4597" t="str">
        <f>VLOOKUP(B4597,Products!$A:$E,3,FALSE)</f>
        <v>Accessories</v>
      </c>
    </row>
    <row r="4598" spans="1:5" x14ac:dyDescent="0.3">
      <c r="A4598" t="s">
        <v>5608</v>
      </c>
      <c r="B4598" t="s">
        <v>346</v>
      </c>
      <c r="C4598">
        <v>79</v>
      </c>
      <c r="D4598" t="str">
        <f>VLOOKUP(B4598,Products!$A:$E,2,FALSE)</f>
        <v>Product_169</v>
      </c>
      <c r="E4598" t="str">
        <f>VLOOKUP(B4598,Products!$A:$E,3,FALSE)</f>
        <v>Accessories</v>
      </c>
    </row>
    <row r="4599" spans="1:5" x14ac:dyDescent="0.3">
      <c r="A4599" t="s">
        <v>5609</v>
      </c>
      <c r="B4599" t="s">
        <v>764</v>
      </c>
      <c r="C4599">
        <v>54</v>
      </c>
      <c r="D4599" t="str">
        <f>VLOOKUP(B4599,Products!$A:$E,2,FALSE)</f>
        <v>Product_378</v>
      </c>
      <c r="E4599" t="str">
        <f>VLOOKUP(B4599,Products!$A:$E,3,FALSE)</f>
        <v>Electronics</v>
      </c>
    </row>
    <row r="4600" spans="1:5" x14ac:dyDescent="0.3">
      <c r="A4600" t="s">
        <v>5610</v>
      </c>
      <c r="B4600" t="s">
        <v>834</v>
      </c>
      <c r="C4600">
        <v>100</v>
      </c>
      <c r="D4600" t="str">
        <f>VLOOKUP(B4600,Products!$A:$E,2,FALSE)</f>
        <v>Product_413</v>
      </c>
      <c r="E4600" t="str">
        <f>VLOOKUP(B4600,Products!$A:$E,3,FALSE)</f>
        <v>Accessories</v>
      </c>
    </row>
    <row r="4601" spans="1:5" x14ac:dyDescent="0.3">
      <c r="A4601" t="s">
        <v>5611</v>
      </c>
      <c r="B4601" t="s">
        <v>770</v>
      </c>
      <c r="C4601">
        <v>35</v>
      </c>
      <c r="D4601" t="str">
        <f>VLOOKUP(B4601,Products!$A:$E,2,FALSE)</f>
        <v>Product_381</v>
      </c>
      <c r="E4601" t="str">
        <f>VLOOKUP(B4601,Products!$A:$E,3,FALSE)</f>
        <v>Storage</v>
      </c>
    </row>
    <row r="4602" spans="1:5" x14ac:dyDescent="0.3">
      <c r="A4602" t="s">
        <v>5612</v>
      </c>
      <c r="B4602" t="s">
        <v>966</v>
      </c>
      <c r="C4602">
        <v>59</v>
      </c>
      <c r="D4602" t="str">
        <f>VLOOKUP(B4602,Products!$A:$E,2,FALSE)</f>
        <v>Product_479</v>
      </c>
      <c r="E4602" t="str">
        <f>VLOOKUP(B4602,Products!$A:$E,3,FALSE)</f>
        <v>Office Supplies</v>
      </c>
    </row>
    <row r="4603" spans="1:5" x14ac:dyDescent="0.3">
      <c r="A4603" t="s">
        <v>5613</v>
      </c>
      <c r="B4603" t="s">
        <v>232</v>
      </c>
      <c r="C4603">
        <v>23</v>
      </c>
      <c r="D4603" t="str">
        <f>VLOOKUP(B4603,Products!$A:$E,2,FALSE)</f>
        <v>Product_112</v>
      </c>
      <c r="E4603" t="str">
        <f>VLOOKUP(B4603,Products!$A:$E,3,FALSE)</f>
        <v>Storage</v>
      </c>
    </row>
    <row r="4604" spans="1:5" x14ac:dyDescent="0.3">
      <c r="A4604" t="s">
        <v>5614</v>
      </c>
      <c r="B4604" t="s">
        <v>118</v>
      </c>
      <c r="C4604">
        <v>27</v>
      </c>
      <c r="D4604" t="str">
        <f>VLOOKUP(B4604,Products!$A:$E,2,FALSE)</f>
        <v>Product_55</v>
      </c>
      <c r="E4604" t="str">
        <f>VLOOKUP(B4604,Products!$A:$E,3,FALSE)</f>
        <v>Office Supplies</v>
      </c>
    </row>
    <row r="4605" spans="1:5" x14ac:dyDescent="0.3">
      <c r="A4605" t="s">
        <v>5615</v>
      </c>
      <c r="B4605" t="s">
        <v>228</v>
      </c>
      <c r="C4605">
        <v>40</v>
      </c>
      <c r="D4605" t="str">
        <f>VLOOKUP(B4605,Products!$A:$E,2,FALSE)</f>
        <v>Product_110</v>
      </c>
      <c r="E4605" t="str">
        <f>VLOOKUP(B4605,Products!$A:$E,3,FALSE)</f>
        <v>Networking</v>
      </c>
    </row>
    <row r="4606" spans="1:5" x14ac:dyDescent="0.3">
      <c r="A4606" t="s">
        <v>5616</v>
      </c>
      <c r="B4606" t="s">
        <v>460</v>
      </c>
      <c r="C4606">
        <v>57</v>
      </c>
      <c r="D4606" t="str">
        <f>VLOOKUP(B4606,Products!$A:$E,2,FALSE)</f>
        <v>Product_226</v>
      </c>
      <c r="E4606" t="str">
        <f>VLOOKUP(B4606,Products!$A:$E,3,FALSE)</f>
        <v>Networking</v>
      </c>
    </row>
    <row r="4607" spans="1:5" x14ac:dyDescent="0.3">
      <c r="A4607" t="s">
        <v>5617</v>
      </c>
      <c r="B4607" t="s">
        <v>270</v>
      </c>
      <c r="C4607">
        <v>80</v>
      </c>
      <c r="D4607" t="str">
        <f>VLOOKUP(B4607,Products!$A:$E,2,FALSE)</f>
        <v>Product_131</v>
      </c>
      <c r="E4607" t="str">
        <f>VLOOKUP(B4607,Products!$A:$E,3,FALSE)</f>
        <v>Electronics</v>
      </c>
    </row>
    <row r="4608" spans="1:5" x14ac:dyDescent="0.3">
      <c r="A4608" t="s">
        <v>5618</v>
      </c>
      <c r="B4608" t="s">
        <v>66</v>
      </c>
      <c r="C4608">
        <v>67</v>
      </c>
      <c r="D4608" t="str">
        <f>VLOOKUP(B4608,Products!$A:$E,2,FALSE)</f>
        <v>Product_29</v>
      </c>
      <c r="E4608" t="str">
        <f>VLOOKUP(B4608,Products!$A:$E,3,FALSE)</f>
        <v>Electronics</v>
      </c>
    </row>
    <row r="4609" spans="1:5" x14ac:dyDescent="0.3">
      <c r="A4609" t="s">
        <v>5619</v>
      </c>
      <c r="B4609" t="s">
        <v>556</v>
      </c>
      <c r="C4609">
        <v>52</v>
      </c>
      <c r="D4609" t="str">
        <f>VLOOKUP(B4609,Products!$A:$E,2,FALSE)</f>
        <v>Product_274</v>
      </c>
      <c r="E4609" t="str">
        <f>VLOOKUP(B4609,Products!$A:$E,3,FALSE)</f>
        <v>Accessories</v>
      </c>
    </row>
    <row r="4610" spans="1:5" x14ac:dyDescent="0.3">
      <c r="A4610" t="s">
        <v>5620</v>
      </c>
      <c r="B4610" t="s">
        <v>726</v>
      </c>
      <c r="C4610">
        <v>19</v>
      </c>
      <c r="D4610" t="str">
        <f>VLOOKUP(B4610,Products!$A:$E,2,FALSE)</f>
        <v>Product_359</v>
      </c>
      <c r="E4610" t="str">
        <f>VLOOKUP(B4610,Products!$A:$E,3,FALSE)</f>
        <v>Electronics</v>
      </c>
    </row>
    <row r="4611" spans="1:5" x14ac:dyDescent="0.3">
      <c r="A4611" t="s">
        <v>5621</v>
      </c>
      <c r="B4611" t="s">
        <v>334</v>
      </c>
      <c r="C4611">
        <v>74</v>
      </c>
      <c r="D4611" t="str">
        <f>VLOOKUP(B4611,Products!$A:$E,2,FALSE)</f>
        <v>Product_163</v>
      </c>
      <c r="E4611" t="str">
        <f>VLOOKUP(B4611,Products!$A:$E,3,FALSE)</f>
        <v>Accessories</v>
      </c>
    </row>
    <row r="4612" spans="1:5" x14ac:dyDescent="0.3">
      <c r="A4612" t="s">
        <v>5622</v>
      </c>
      <c r="B4612" t="s">
        <v>442</v>
      </c>
      <c r="C4612">
        <v>65</v>
      </c>
      <c r="D4612" t="str">
        <f>VLOOKUP(B4612,Products!$A:$E,2,FALSE)</f>
        <v>Product_217</v>
      </c>
      <c r="E4612" t="str">
        <f>VLOOKUP(B4612,Products!$A:$E,3,FALSE)</f>
        <v>Networking</v>
      </c>
    </row>
    <row r="4613" spans="1:5" x14ac:dyDescent="0.3">
      <c r="A4613" t="s">
        <v>5623</v>
      </c>
      <c r="B4613" t="s">
        <v>708</v>
      </c>
      <c r="C4613">
        <v>36</v>
      </c>
      <c r="D4613" t="str">
        <f>VLOOKUP(B4613,Products!$A:$E,2,FALSE)</f>
        <v>Product_350</v>
      </c>
      <c r="E4613" t="str">
        <f>VLOOKUP(B4613,Products!$A:$E,3,FALSE)</f>
        <v>Networking</v>
      </c>
    </row>
    <row r="4614" spans="1:5" x14ac:dyDescent="0.3">
      <c r="A4614" t="s">
        <v>5624</v>
      </c>
      <c r="B4614" t="s">
        <v>996</v>
      </c>
      <c r="C4614">
        <v>40</v>
      </c>
      <c r="D4614" t="str">
        <f>VLOOKUP(B4614,Products!$A:$E,2,FALSE)</f>
        <v>Product_494</v>
      </c>
      <c r="E4614" t="str">
        <f>VLOOKUP(B4614,Products!$A:$E,3,FALSE)</f>
        <v>Office Supplies</v>
      </c>
    </row>
    <row r="4615" spans="1:5" x14ac:dyDescent="0.3">
      <c r="A4615" t="s">
        <v>5625</v>
      </c>
      <c r="B4615" t="s">
        <v>910</v>
      </c>
      <c r="C4615">
        <v>23</v>
      </c>
      <c r="D4615" t="str">
        <f>VLOOKUP(B4615,Products!$A:$E,2,FALSE)</f>
        <v>Product_451</v>
      </c>
      <c r="E4615" t="str">
        <f>VLOOKUP(B4615,Products!$A:$E,3,FALSE)</f>
        <v>Accessories</v>
      </c>
    </row>
    <row r="4616" spans="1:5" x14ac:dyDescent="0.3">
      <c r="A4616" t="s">
        <v>5626</v>
      </c>
      <c r="B4616" t="s">
        <v>380</v>
      </c>
      <c r="C4616">
        <v>65</v>
      </c>
      <c r="D4616" t="str">
        <f>VLOOKUP(B4616,Products!$A:$E,2,FALSE)</f>
        <v>Product_186</v>
      </c>
      <c r="E4616" t="str">
        <f>VLOOKUP(B4616,Products!$A:$E,3,FALSE)</f>
        <v>Accessories</v>
      </c>
    </row>
    <row r="4617" spans="1:5" x14ac:dyDescent="0.3">
      <c r="A4617" t="s">
        <v>5627</v>
      </c>
      <c r="B4617" t="s">
        <v>742</v>
      </c>
      <c r="C4617">
        <v>52</v>
      </c>
      <c r="D4617" t="str">
        <f>VLOOKUP(B4617,Products!$A:$E,2,FALSE)</f>
        <v>Product_367</v>
      </c>
      <c r="E4617" t="str">
        <f>VLOOKUP(B4617,Products!$A:$E,3,FALSE)</f>
        <v>Storage</v>
      </c>
    </row>
    <row r="4618" spans="1:5" x14ac:dyDescent="0.3">
      <c r="A4618" t="s">
        <v>5628</v>
      </c>
      <c r="B4618" t="s">
        <v>850</v>
      </c>
      <c r="C4618">
        <v>44</v>
      </c>
      <c r="D4618" t="str">
        <f>VLOOKUP(B4618,Products!$A:$E,2,FALSE)</f>
        <v>Product_421</v>
      </c>
      <c r="E4618" t="str">
        <f>VLOOKUP(B4618,Products!$A:$E,3,FALSE)</f>
        <v>Accessories</v>
      </c>
    </row>
    <row r="4619" spans="1:5" x14ac:dyDescent="0.3">
      <c r="A4619" t="s">
        <v>5629</v>
      </c>
      <c r="B4619" t="s">
        <v>30</v>
      </c>
      <c r="C4619">
        <v>87</v>
      </c>
      <c r="D4619" t="str">
        <f>VLOOKUP(B4619,Products!$A:$E,2,FALSE)</f>
        <v>Product_11</v>
      </c>
      <c r="E4619" t="str">
        <f>VLOOKUP(B4619,Products!$A:$E,3,FALSE)</f>
        <v>Electronics</v>
      </c>
    </row>
    <row r="4620" spans="1:5" x14ac:dyDescent="0.3">
      <c r="A4620" t="s">
        <v>5630</v>
      </c>
      <c r="B4620" t="s">
        <v>1000</v>
      </c>
      <c r="C4620">
        <v>82</v>
      </c>
      <c r="D4620" t="str">
        <f>VLOOKUP(B4620,Products!$A:$E,2,FALSE)</f>
        <v>Product_496</v>
      </c>
      <c r="E4620" t="str">
        <f>VLOOKUP(B4620,Products!$A:$E,3,FALSE)</f>
        <v>Office Supplies</v>
      </c>
    </row>
    <row r="4621" spans="1:5" x14ac:dyDescent="0.3">
      <c r="A4621" t="s">
        <v>5631</v>
      </c>
      <c r="B4621" t="s">
        <v>44</v>
      </c>
      <c r="C4621">
        <v>99</v>
      </c>
      <c r="D4621" t="str">
        <f>VLOOKUP(B4621,Products!$A:$E,2,FALSE)</f>
        <v>Product_18</v>
      </c>
      <c r="E4621" t="str">
        <f>VLOOKUP(B4621,Products!$A:$E,3,FALSE)</f>
        <v>Networking</v>
      </c>
    </row>
    <row r="4622" spans="1:5" x14ac:dyDescent="0.3">
      <c r="A4622" t="s">
        <v>5632</v>
      </c>
      <c r="B4622" t="s">
        <v>688</v>
      </c>
      <c r="C4622">
        <v>11</v>
      </c>
      <c r="D4622" t="str">
        <f>VLOOKUP(B4622,Products!$A:$E,2,FALSE)</f>
        <v>Product_340</v>
      </c>
      <c r="E4622" t="str">
        <f>VLOOKUP(B4622,Products!$A:$E,3,FALSE)</f>
        <v>Storage</v>
      </c>
    </row>
    <row r="4623" spans="1:5" x14ac:dyDescent="0.3">
      <c r="A4623" t="s">
        <v>5633</v>
      </c>
      <c r="B4623" t="s">
        <v>716</v>
      </c>
      <c r="C4623">
        <v>90</v>
      </c>
      <c r="D4623" t="str">
        <f>VLOOKUP(B4623,Products!$A:$E,2,FALSE)</f>
        <v>Product_354</v>
      </c>
      <c r="E4623" t="str">
        <f>VLOOKUP(B4623,Products!$A:$E,3,FALSE)</f>
        <v>Storage</v>
      </c>
    </row>
    <row r="4624" spans="1:5" x14ac:dyDescent="0.3">
      <c r="A4624" t="s">
        <v>5634</v>
      </c>
      <c r="B4624" t="s">
        <v>254</v>
      </c>
      <c r="C4624">
        <v>37</v>
      </c>
      <c r="D4624" t="str">
        <f>VLOOKUP(B4624,Products!$A:$E,2,FALSE)</f>
        <v>Product_123</v>
      </c>
      <c r="E4624" t="str">
        <f>VLOOKUP(B4624,Products!$A:$E,3,FALSE)</f>
        <v>Electronics</v>
      </c>
    </row>
    <row r="4625" spans="1:5" x14ac:dyDescent="0.3">
      <c r="A4625" t="s">
        <v>5635</v>
      </c>
      <c r="B4625" t="s">
        <v>574</v>
      </c>
      <c r="C4625">
        <v>54</v>
      </c>
      <c r="D4625" t="str">
        <f>VLOOKUP(B4625,Products!$A:$E,2,FALSE)</f>
        <v>Product_283</v>
      </c>
      <c r="E4625" t="str">
        <f>VLOOKUP(B4625,Products!$A:$E,3,FALSE)</f>
        <v>Networking</v>
      </c>
    </row>
    <row r="4626" spans="1:5" x14ac:dyDescent="0.3">
      <c r="A4626" t="s">
        <v>5636</v>
      </c>
      <c r="B4626" t="s">
        <v>326</v>
      </c>
      <c r="C4626">
        <v>86</v>
      </c>
      <c r="D4626" t="str">
        <f>VLOOKUP(B4626,Products!$A:$E,2,FALSE)</f>
        <v>Product_159</v>
      </c>
      <c r="E4626" t="str">
        <f>VLOOKUP(B4626,Products!$A:$E,3,FALSE)</f>
        <v>Accessories</v>
      </c>
    </row>
    <row r="4627" spans="1:5" x14ac:dyDescent="0.3">
      <c r="A4627" t="s">
        <v>5637</v>
      </c>
      <c r="B4627" t="s">
        <v>990</v>
      </c>
      <c r="C4627">
        <v>94</v>
      </c>
      <c r="D4627" t="str">
        <f>VLOOKUP(B4627,Products!$A:$E,2,FALSE)</f>
        <v>Product_491</v>
      </c>
      <c r="E4627" t="str">
        <f>VLOOKUP(B4627,Products!$A:$E,3,FALSE)</f>
        <v>Accessories</v>
      </c>
    </row>
    <row r="4628" spans="1:5" x14ac:dyDescent="0.3">
      <c r="A4628" t="s">
        <v>5638</v>
      </c>
      <c r="B4628" t="s">
        <v>380</v>
      </c>
      <c r="C4628">
        <v>92</v>
      </c>
      <c r="D4628" t="str">
        <f>VLOOKUP(B4628,Products!$A:$E,2,FALSE)</f>
        <v>Product_186</v>
      </c>
      <c r="E4628" t="str">
        <f>VLOOKUP(B4628,Products!$A:$E,3,FALSE)</f>
        <v>Accessories</v>
      </c>
    </row>
    <row r="4629" spans="1:5" x14ac:dyDescent="0.3">
      <c r="A4629" t="s">
        <v>5639</v>
      </c>
      <c r="B4629" t="s">
        <v>134</v>
      </c>
      <c r="C4629">
        <v>73</v>
      </c>
      <c r="D4629" t="str">
        <f>VLOOKUP(B4629,Products!$A:$E,2,FALSE)</f>
        <v>Product_63</v>
      </c>
      <c r="E4629" t="str">
        <f>VLOOKUP(B4629,Products!$A:$E,3,FALSE)</f>
        <v>Accessories</v>
      </c>
    </row>
    <row r="4630" spans="1:5" x14ac:dyDescent="0.3">
      <c r="A4630" t="s">
        <v>5640</v>
      </c>
      <c r="B4630" t="s">
        <v>896</v>
      </c>
      <c r="C4630">
        <v>35</v>
      </c>
      <c r="D4630" t="str">
        <f>VLOOKUP(B4630,Products!$A:$E,2,FALSE)</f>
        <v>Product_444</v>
      </c>
      <c r="E4630" t="str">
        <f>VLOOKUP(B4630,Products!$A:$E,3,FALSE)</f>
        <v>Electronics</v>
      </c>
    </row>
    <row r="4631" spans="1:5" x14ac:dyDescent="0.3">
      <c r="A4631" t="s">
        <v>5641</v>
      </c>
      <c r="B4631" t="s">
        <v>888</v>
      </c>
      <c r="C4631">
        <v>61</v>
      </c>
      <c r="D4631" t="str">
        <f>VLOOKUP(B4631,Products!$A:$E,2,FALSE)</f>
        <v>Product_440</v>
      </c>
      <c r="E4631" t="str">
        <f>VLOOKUP(B4631,Products!$A:$E,3,FALSE)</f>
        <v>Accessories</v>
      </c>
    </row>
    <row r="4632" spans="1:5" x14ac:dyDescent="0.3">
      <c r="A4632" t="s">
        <v>5642</v>
      </c>
      <c r="B4632" t="s">
        <v>406</v>
      </c>
      <c r="C4632">
        <v>6</v>
      </c>
      <c r="D4632" t="str">
        <f>VLOOKUP(B4632,Products!$A:$E,2,FALSE)</f>
        <v>Product_199</v>
      </c>
      <c r="E4632" t="str">
        <f>VLOOKUP(B4632,Products!$A:$E,3,FALSE)</f>
        <v>Storage</v>
      </c>
    </row>
    <row r="4633" spans="1:5" x14ac:dyDescent="0.3">
      <c r="A4633" t="s">
        <v>5643</v>
      </c>
      <c r="B4633" t="s">
        <v>940</v>
      </c>
      <c r="C4633">
        <v>55</v>
      </c>
      <c r="D4633" t="str">
        <f>VLOOKUP(B4633,Products!$A:$E,2,FALSE)</f>
        <v>Product_466</v>
      </c>
      <c r="E4633" t="str">
        <f>VLOOKUP(B4633,Products!$A:$E,3,FALSE)</f>
        <v>Networking</v>
      </c>
    </row>
    <row r="4634" spans="1:5" x14ac:dyDescent="0.3">
      <c r="A4634" t="s">
        <v>5644</v>
      </c>
      <c r="B4634" t="s">
        <v>958</v>
      </c>
      <c r="C4634">
        <v>37</v>
      </c>
      <c r="D4634" t="str">
        <f>VLOOKUP(B4634,Products!$A:$E,2,FALSE)</f>
        <v>Product_475</v>
      </c>
      <c r="E4634" t="str">
        <f>VLOOKUP(B4634,Products!$A:$E,3,FALSE)</f>
        <v>Electronics</v>
      </c>
    </row>
    <row r="4635" spans="1:5" x14ac:dyDescent="0.3">
      <c r="A4635" t="s">
        <v>5645</v>
      </c>
      <c r="B4635" t="s">
        <v>318</v>
      </c>
      <c r="C4635">
        <v>16</v>
      </c>
      <c r="D4635" t="str">
        <f>VLOOKUP(B4635,Products!$A:$E,2,FALSE)</f>
        <v>Product_155</v>
      </c>
      <c r="E4635" t="str">
        <f>VLOOKUP(B4635,Products!$A:$E,3,FALSE)</f>
        <v>Office Supplies</v>
      </c>
    </row>
    <row r="4636" spans="1:5" x14ac:dyDescent="0.3">
      <c r="A4636" t="s">
        <v>5646</v>
      </c>
      <c r="B4636" t="s">
        <v>968</v>
      </c>
      <c r="C4636">
        <v>35</v>
      </c>
      <c r="D4636" t="str">
        <f>VLOOKUP(B4636,Products!$A:$E,2,FALSE)</f>
        <v>Product_480</v>
      </c>
      <c r="E4636" t="str">
        <f>VLOOKUP(B4636,Products!$A:$E,3,FALSE)</f>
        <v>Accessories</v>
      </c>
    </row>
    <row r="4637" spans="1:5" x14ac:dyDescent="0.3">
      <c r="A4637" t="s">
        <v>5647</v>
      </c>
      <c r="B4637" t="s">
        <v>314</v>
      </c>
      <c r="C4637">
        <v>31</v>
      </c>
      <c r="D4637" t="str">
        <f>VLOOKUP(B4637,Products!$A:$E,2,FALSE)</f>
        <v>Product_153</v>
      </c>
      <c r="E4637" t="str">
        <f>VLOOKUP(B4637,Products!$A:$E,3,FALSE)</f>
        <v>Electronics</v>
      </c>
    </row>
    <row r="4638" spans="1:5" x14ac:dyDescent="0.3">
      <c r="A4638" t="s">
        <v>5648</v>
      </c>
      <c r="B4638" t="s">
        <v>890</v>
      </c>
      <c r="C4638">
        <v>25</v>
      </c>
      <c r="D4638" t="str">
        <f>VLOOKUP(B4638,Products!$A:$E,2,FALSE)</f>
        <v>Product_441</v>
      </c>
      <c r="E4638" t="str">
        <f>VLOOKUP(B4638,Products!$A:$E,3,FALSE)</f>
        <v>Storage</v>
      </c>
    </row>
    <row r="4639" spans="1:5" x14ac:dyDescent="0.3">
      <c r="A4639" t="s">
        <v>5649</v>
      </c>
      <c r="B4639" t="s">
        <v>946</v>
      </c>
      <c r="C4639">
        <v>61</v>
      </c>
      <c r="D4639" t="str">
        <f>VLOOKUP(B4639,Products!$A:$E,2,FALSE)</f>
        <v>Product_469</v>
      </c>
      <c r="E4639" t="str">
        <f>VLOOKUP(B4639,Products!$A:$E,3,FALSE)</f>
        <v>Office Supplies</v>
      </c>
    </row>
    <row r="4640" spans="1:5" x14ac:dyDescent="0.3">
      <c r="A4640" t="s">
        <v>5650</v>
      </c>
      <c r="B4640" t="s">
        <v>656</v>
      </c>
      <c r="C4640">
        <v>45</v>
      </c>
      <c r="D4640" t="str">
        <f>VLOOKUP(B4640,Products!$A:$E,2,FALSE)</f>
        <v>Product_324</v>
      </c>
      <c r="E4640" t="str">
        <f>VLOOKUP(B4640,Products!$A:$E,3,FALSE)</f>
        <v>Accessories</v>
      </c>
    </row>
    <row r="4641" spans="1:5" x14ac:dyDescent="0.3">
      <c r="A4641" t="s">
        <v>5651</v>
      </c>
      <c r="B4641" t="s">
        <v>910</v>
      </c>
      <c r="C4641">
        <v>87</v>
      </c>
      <c r="D4641" t="str">
        <f>VLOOKUP(B4641,Products!$A:$E,2,FALSE)</f>
        <v>Product_451</v>
      </c>
      <c r="E4641" t="str">
        <f>VLOOKUP(B4641,Products!$A:$E,3,FALSE)</f>
        <v>Accessories</v>
      </c>
    </row>
    <row r="4642" spans="1:5" x14ac:dyDescent="0.3">
      <c r="A4642" t="s">
        <v>5652</v>
      </c>
      <c r="B4642" t="s">
        <v>426</v>
      </c>
      <c r="C4642">
        <v>9</v>
      </c>
      <c r="D4642" t="str">
        <f>VLOOKUP(B4642,Products!$A:$E,2,FALSE)</f>
        <v>Product_209</v>
      </c>
      <c r="E4642" t="str">
        <f>VLOOKUP(B4642,Products!$A:$E,3,FALSE)</f>
        <v>Networking</v>
      </c>
    </row>
    <row r="4643" spans="1:5" x14ac:dyDescent="0.3">
      <c r="A4643" t="s">
        <v>5653</v>
      </c>
      <c r="B4643" t="s">
        <v>290</v>
      </c>
      <c r="C4643">
        <v>15</v>
      </c>
      <c r="D4643" t="str">
        <f>VLOOKUP(B4643,Products!$A:$E,2,FALSE)</f>
        <v>Product_141</v>
      </c>
      <c r="E4643" t="str">
        <f>VLOOKUP(B4643,Products!$A:$E,3,FALSE)</f>
        <v>Electronics</v>
      </c>
    </row>
    <row r="4644" spans="1:5" x14ac:dyDescent="0.3">
      <c r="A4644" t="s">
        <v>5654</v>
      </c>
      <c r="B4644" t="s">
        <v>852</v>
      </c>
      <c r="C4644">
        <v>67</v>
      </c>
      <c r="D4644" t="str">
        <f>VLOOKUP(B4644,Products!$A:$E,2,FALSE)</f>
        <v>Product_422</v>
      </c>
      <c r="E4644" t="str">
        <f>VLOOKUP(B4644,Products!$A:$E,3,FALSE)</f>
        <v>Accessories</v>
      </c>
    </row>
    <row r="4645" spans="1:5" x14ac:dyDescent="0.3">
      <c r="A4645" t="s">
        <v>5655</v>
      </c>
      <c r="B4645" t="s">
        <v>492</v>
      </c>
      <c r="C4645">
        <v>99</v>
      </c>
      <c r="D4645" t="str">
        <f>VLOOKUP(B4645,Products!$A:$E,2,FALSE)</f>
        <v>Product_242</v>
      </c>
      <c r="E4645" t="str">
        <f>VLOOKUP(B4645,Products!$A:$E,3,FALSE)</f>
        <v>Networking</v>
      </c>
    </row>
    <row r="4646" spans="1:5" x14ac:dyDescent="0.3">
      <c r="A4646" t="s">
        <v>5656</v>
      </c>
      <c r="B4646" t="s">
        <v>432</v>
      </c>
      <c r="C4646">
        <v>47</v>
      </c>
      <c r="D4646" t="str">
        <f>VLOOKUP(B4646,Products!$A:$E,2,FALSE)</f>
        <v>Product_212</v>
      </c>
      <c r="E4646" t="str">
        <f>VLOOKUP(B4646,Products!$A:$E,3,FALSE)</f>
        <v>Networking</v>
      </c>
    </row>
    <row r="4647" spans="1:5" x14ac:dyDescent="0.3">
      <c r="A4647" t="s">
        <v>5657</v>
      </c>
      <c r="B4647" t="s">
        <v>744</v>
      </c>
      <c r="C4647">
        <v>59</v>
      </c>
      <c r="D4647" t="str">
        <f>VLOOKUP(B4647,Products!$A:$E,2,FALSE)</f>
        <v>Product_368</v>
      </c>
      <c r="E4647" t="str">
        <f>VLOOKUP(B4647,Products!$A:$E,3,FALSE)</f>
        <v>Office Supplies</v>
      </c>
    </row>
    <row r="4648" spans="1:5" x14ac:dyDescent="0.3">
      <c r="A4648" t="s">
        <v>5658</v>
      </c>
      <c r="B4648" t="s">
        <v>906</v>
      </c>
      <c r="C4648">
        <v>17</v>
      </c>
      <c r="D4648" t="str">
        <f>VLOOKUP(B4648,Products!$A:$E,2,FALSE)</f>
        <v>Product_449</v>
      </c>
      <c r="E4648" t="str">
        <f>VLOOKUP(B4648,Products!$A:$E,3,FALSE)</f>
        <v>Networking</v>
      </c>
    </row>
    <row r="4649" spans="1:5" x14ac:dyDescent="0.3">
      <c r="A4649" t="s">
        <v>5659</v>
      </c>
      <c r="B4649" t="s">
        <v>854</v>
      </c>
      <c r="C4649">
        <v>25</v>
      </c>
      <c r="D4649" t="str">
        <f>VLOOKUP(B4649,Products!$A:$E,2,FALSE)</f>
        <v>Product_423</v>
      </c>
      <c r="E4649" t="str">
        <f>VLOOKUP(B4649,Products!$A:$E,3,FALSE)</f>
        <v>Office Supplies</v>
      </c>
    </row>
    <row r="4650" spans="1:5" x14ac:dyDescent="0.3">
      <c r="A4650" t="s">
        <v>5660</v>
      </c>
      <c r="B4650" t="s">
        <v>724</v>
      </c>
      <c r="C4650">
        <v>38</v>
      </c>
      <c r="D4650" t="str">
        <f>VLOOKUP(B4650,Products!$A:$E,2,FALSE)</f>
        <v>Product_358</v>
      </c>
      <c r="E4650" t="str">
        <f>VLOOKUP(B4650,Products!$A:$E,3,FALSE)</f>
        <v>Storage</v>
      </c>
    </row>
    <row r="4651" spans="1:5" x14ac:dyDescent="0.3">
      <c r="A4651" t="s">
        <v>5661</v>
      </c>
      <c r="B4651" t="s">
        <v>528</v>
      </c>
      <c r="C4651">
        <v>13</v>
      </c>
      <c r="D4651" t="str">
        <f>VLOOKUP(B4651,Products!$A:$E,2,FALSE)</f>
        <v>Product_260</v>
      </c>
      <c r="E4651" t="str">
        <f>VLOOKUP(B4651,Products!$A:$E,3,FALSE)</f>
        <v>Storage</v>
      </c>
    </row>
    <row r="4652" spans="1:5" x14ac:dyDescent="0.3">
      <c r="A4652" t="s">
        <v>5662</v>
      </c>
      <c r="B4652" t="s">
        <v>370</v>
      </c>
      <c r="C4652">
        <v>58</v>
      </c>
      <c r="D4652" t="str">
        <f>VLOOKUP(B4652,Products!$A:$E,2,FALSE)</f>
        <v>Product_181</v>
      </c>
      <c r="E4652" t="str">
        <f>VLOOKUP(B4652,Products!$A:$E,3,FALSE)</f>
        <v>Storage</v>
      </c>
    </row>
    <row r="4653" spans="1:5" x14ac:dyDescent="0.3">
      <c r="A4653" t="s">
        <v>5663</v>
      </c>
      <c r="B4653" t="s">
        <v>626</v>
      </c>
      <c r="C4653">
        <v>98</v>
      </c>
      <c r="D4653" t="str">
        <f>VLOOKUP(B4653,Products!$A:$E,2,FALSE)</f>
        <v>Product_309</v>
      </c>
      <c r="E4653" t="str">
        <f>VLOOKUP(B4653,Products!$A:$E,3,FALSE)</f>
        <v>Networking</v>
      </c>
    </row>
    <row r="4654" spans="1:5" x14ac:dyDescent="0.3">
      <c r="A4654" t="s">
        <v>5664</v>
      </c>
      <c r="B4654" t="s">
        <v>842</v>
      </c>
      <c r="C4654">
        <v>75</v>
      </c>
      <c r="D4654" t="str">
        <f>VLOOKUP(B4654,Products!$A:$E,2,FALSE)</f>
        <v>Product_417</v>
      </c>
      <c r="E4654" t="str">
        <f>VLOOKUP(B4654,Products!$A:$E,3,FALSE)</f>
        <v>Accessories</v>
      </c>
    </row>
    <row r="4655" spans="1:5" x14ac:dyDescent="0.3">
      <c r="A4655" t="s">
        <v>5665</v>
      </c>
      <c r="B4655" t="s">
        <v>764</v>
      </c>
      <c r="C4655">
        <v>46</v>
      </c>
      <c r="D4655" t="str">
        <f>VLOOKUP(B4655,Products!$A:$E,2,FALSE)</f>
        <v>Product_378</v>
      </c>
      <c r="E4655" t="str">
        <f>VLOOKUP(B4655,Products!$A:$E,3,FALSE)</f>
        <v>Electronics</v>
      </c>
    </row>
    <row r="4656" spans="1:5" x14ac:dyDescent="0.3">
      <c r="A4656" t="s">
        <v>5666</v>
      </c>
      <c r="B4656" t="s">
        <v>474</v>
      </c>
      <c r="C4656">
        <v>93</v>
      </c>
      <c r="D4656" t="str">
        <f>VLOOKUP(B4656,Products!$A:$E,2,FALSE)</f>
        <v>Product_233</v>
      </c>
      <c r="E4656" t="str">
        <f>VLOOKUP(B4656,Products!$A:$E,3,FALSE)</f>
        <v>Accessories</v>
      </c>
    </row>
    <row r="4657" spans="1:5" x14ac:dyDescent="0.3">
      <c r="A4657" t="s">
        <v>5667</v>
      </c>
      <c r="B4657" t="s">
        <v>38</v>
      </c>
      <c r="C4657">
        <v>11</v>
      </c>
      <c r="D4657" t="str">
        <f>VLOOKUP(B4657,Products!$A:$E,2,FALSE)</f>
        <v>Product_15</v>
      </c>
      <c r="E4657" t="str">
        <f>VLOOKUP(B4657,Products!$A:$E,3,FALSE)</f>
        <v>Electronics</v>
      </c>
    </row>
    <row r="4658" spans="1:5" x14ac:dyDescent="0.3">
      <c r="A4658" t="s">
        <v>5668</v>
      </c>
      <c r="B4658" t="s">
        <v>666</v>
      </c>
      <c r="C4658">
        <v>87</v>
      </c>
      <c r="D4658" t="str">
        <f>VLOOKUP(B4658,Products!$A:$E,2,FALSE)</f>
        <v>Product_329</v>
      </c>
      <c r="E4658" t="str">
        <f>VLOOKUP(B4658,Products!$A:$E,3,FALSE)</f>
        <v>Office Supplies</v>
      </c>
    </row>
    <row r="4659" spans="1:5" x14ac:dyDescent="0.3">
      <c r="A4659" t="s">
        <v>5669</v>
      </c>
      <c r="B4659" t="s">
        <v>198</v>
      </c>
      <c r="C4659">
        <v>85</v>
      </c>
      <c r="D4659" t="str">
        <f>VLOOKUP(B4659,Products!$A:$E,2,FALSE)</f>
        <v>Product_95</v>
      </c>
      <c r="E4659" t="str">
        <f>VLOOKUP(B4659,Products!$A:$E,3,FALSE)</f>
        <v>Electronics</v>
      </c>
    </row>
    <row r="4660" spans="1:5" x14ac:dyDescent="0.3">
      <c r="A4660" t="s">
        <v>5670</v>
      </c>
      <c r="B4660" t="s">
        <v>464</v>
      </c>
      <c r="C4660">
        <v>87</v>
      </c>
      <c r="D4660" t="str">
        <f>VLOOKUP(B4660,Products!$A:$E,2,FALSE)</f>
        <v>Product_228</v>
      </c>
      <c r="E4660" t="str">
        <f>VLOOKUP(B4660,Products!$A:$E,3,FALSE)</f>
        <v>Storage</v>
      </c>
    </row>
    <row r="4661" spans="1:5" x14ac:dyDescent="0.3">
      <c r="A4661" t="s">
        <v>5671</v>
      </c>
      <c r="B4661" t="s">
        <v>148</v>
      </c>
      <c r="C4661">
        <v>5</v>
      </c>
      <c r="D4661" t="str">
        <f>VLOOKUP(B4661,Products!$A:$E,2,FALSE)</f>
        <v>Product_70</v>
      </c>
      <c r="E4661" t="str">
        <f>VLOOKUP(B4661,Products!$A:$E,3,FALSE)</f>
        <v>Electronics</v>
      </c>
    </row>
    <row r="4662" spans="1:5" x14ac:dyDescent="0.3">
      <c r="A4662" t="s">
        <v>5672</v>
      </c>
      <c r="B4662" t="s">
        <v>420</v>
      </c>
      <c r="C4662">
        <v>30</v>
      </c>
      <c r="D4662" t="str">
        <f>VLOOKUP(B4662,Products!$A:$E,2,FALSE)</f>
        <v>Product_206</v>
      </c>
      <c r="E4662" t="str">
        <f>VLOOKUP(B4662,Products!$A:$E,3,FALSE)</f>
        <v>Accessories</v>
      </c>
    </row>
    <row r="4663" spans="1:5" x14ac:dyDescent="0.3">
      <c r="A4663" t="s">
        <v>5673</v>
      </c>
      <c r="B4663" t="s">
        <v>652</v>
      </c>
      <c r="C4663">
        <v>44</v>
      </c>
      <c r="D4663" t="str">
        <f>VLOOKUP(B4663,Products!$A:$E,2,FALSE)</f>
        <v>Product_322</v>
      </c>
      <c r="E4663" t="str">
        <f>VLOOKUP(B4663,Products!$A:$E,3,FALSE)</f>
        <v>Accessories</v>
      </c>
    </row>
    <row r="4664" spans="1:5" x14ac:dyDescent="0.3">
      <c r="A4664" t="s">
        <v>5674</v>
      </c>
      <c r="B4664" t="s">
        <v>330</v>
      </c>
      <c r="C4664">
        <v>78</v>
      </c>
      <c r="D4664" t="str">
        <f>VLOOKUP(B4664,Products!$A:$E,2,FALSE)</f>
        <v>Product_161</v>
      </c>
      <c r="E4664" t="str">
        <f>VLOOKUP(B4664,Products!$A:$E,3,FALSE)</f>
        <v>Networking</v>
      </c>
    </row>
    <row r="4665" spans="1:5" x14ac:dyDescent="0.3">
      <c r="A4665" t="s">
        <v>5675</v>
      </c>
      <c r="B4665" t="s">
        <v>94</v>
      </c>
      <c r="C4665">
        <v>19</v>
      </c>
      <c r="D4665" t="str">
        <f>VLOOKUP(B4665,Products!$A:$E,2,FALSE)</f>
        <v>Product_43</v>
      </c>
      <c r="E4665" t="str">
        <f>VLOOKUP(B4665,Products!$A:$E,3,FALSE)</f>
        <v>Storage</v>
      </c>
    </row>
    <row r="4666" spans="1:5" x14ac:dyDescent="0.3">
      <c r="A4666" t="s">
        <v>5676</v>
      </c>
      <c r="B4666" t="s">
        <v>170</v>
      </c>
      <c r="C4666">
        <v>36</v>
      </c>
      <c r="D4666" t="str">
        <f>VLOOKUP(B4666,Products!$A:$E,2,FALSE)</f>
        <v>Product_81</v>
      </c>
      <c r="E4666" t="str">
        <f>VLOOKUP(B4666,Products!$A:$E,3,FALSE)</f>
        <v>Office Supplies</v>
      </c>
    </row>
    <row r="4667" spans="1:5" x14ac:dyDescent="0.3">
      <c r="A4667" t="s">
        <v>5677</v>
      </c>
      <c r="B4667" t="s">
        <v>538</v>
      </c>
      <c r="C4667">
        <v>96</v>
      </c>
      <c r="D4667" t="str">
        <f>VLOOKUP(B4667,Products!$A:$E,2,FALSE)</f>
        <v>Product_265</v>
      </c>
      <c r="E4667" t="str">
        <f>VLOOKUP(B4667,Products!$A:$E,3,FALSE)</f>
        <v>Accessories</v>
      </c>
    </row>
    <row r="4668" spans="1:5" x14ac:dyDescent="0.3">
      <c r="A4668" t="s">
        <v>5678</v>
      </c>
      <c r="B4668" t="s">
        <v>1002</v>
      </c>
      <c r="C4668">
        <v>88</v>
      </c>
      <c r="D4668" t="str">
        <f>VLOOKUP(B4668,Products!$A:$E,2,FALSE)</f>
        <v>Product_497</v>
      </c>
      <c r="E4668" t="str">
        <f>VLOOKUP(B4668,Products!$A:$E,3,FALSE)</f>
        <v>Office Supplies</v>
      </c>
    </row>
    <row r="4669" spans="1:5" x14ac:dyDescent="0.3">
      <c r="A4669" t="s">
        <v>5679</v>
      </c>
      <c r="B4669" t="s">
        <v>790</v>
      </c>
      <c r="C4669">
        <v>21</v>
      </c>
      <c r="D4669" t="str">
        <f>VLOOKUP(B4669,Products!$A:$E,2,FALSE)</f>
        <v>Product_391</v>
      </c>
      <c r="E4669" t="str">
        <f>VLOOKUP(B4669,Products!$A:$E,3,FALSE)</f>
        <v>Accessories</v>
      </c>
    </row>
    <row r="4670" spans="1:5" x14ac:dyDescent="0.3">
      <c r="A4670" t="s">
        <v>5680</v>
      </c>
      <c r="B4670" t="s">
        <v>876</v>
      </c>
      <c r="C4670">
        <v>81</v>
      </c>
      <c r="D4670" t="str">
        <f>VLOOKUP(B4670,Products!$A:$E,2,FALSE)</f>
        <v>Product_434</v>
      </c>
      <c r="E4670" t="str">
        <f>VLOOKUP(B4670,Products!$A:$E,3,FALSE)</f>
        <v>Office Supplies</v>
      </c>
    </row>
    <row r="4671" spans="1:5" x14ac:dyDescent="0.3">
      <c r="A4671" t="s">
        <v>5681</v>
      </c>
      <c r="B4671" t="s">
        <v>712</v>
      </c>
      <c r="C4671">
        <v>57</v>
      </c>
      <c r="D4671" t="str">
        <f>VLOOKUP(B4671,Products!$A:$E,2,FALSE)</f>
        <v>Product_352</v>
      </c>
      <c r="E4671" t="str">
        <f>VLOOKUP(B4671,Products!$A:$E,3,FALSE)</f>
        <v>Storage</v>
      </c>
    </row>
    <row r="4672" spans="1:5" x14ac:dyDescent="0.3">
      <c r="A4672" t="s">
        <v>5682</v>
      </c>
      <c r="B4672" t="s">
        <v>820</v>
      </c>
      <c r="C4672">
        <v>45</v>
      </c>
      <c r="D4672" t="str">
        <f>VLOOKUP(B4672,Products!$A:$E,2,FALSE)</f>
        <v>Product_406</v>
      </c>
      <c r="E4672" t="str">
        <f>VLOOKUP(B4672,Products!$A:$E,3,FALSE)</f>
        <v>Office Supplies</v>
      </c>
    </row>
    <row r="4673" spans="1:5" x14ac:dyDescent="0.3">
      <c r="A4673" t="s">
        <v>5683</v>
      </c>
      <c r="B4673" t="s">
        <v>472</v>
      </c>
      <c r="C4673">
        <v>66</v>
      </c>
      <c r="D4673" t="str">
        <f>VLOOKUP(B4673,Products!$A:$E,2,FALSE)</f>
        <v>Product_232</v>
      </c>
      <c r="E4673" t="str">
        <f>VLOOKUP(B4673,Products!$A:$E,3,FALSE)</f>
        <v>Office Supplies</v>
      </c>
    </row>
    <row r="4674" spans="1:5" x14ac:dyDescent="0.3">
      <c r="A4674" t="s">
        <v>5684</v>
      </c>
      <c r="B4674" t="s">
        <v>904</v>
      </c>
      <c r="C4674">
        <v>99</v>
      </c>
      <c r="D4674" t="str">
        <f>VLOOKUP(B4674,Products!$A:$E,2,FALSE)</f>
        <v>Product_448</v>
      </c>
      <c r="E4674" t="str">
        <f>VLOOKUP(B4674,Products!$A:$E,3,FALSE)</f>
        <v>Networking</v>
      </c>
    </row>
    <row r="4675" spans="1:5" x14ac:dyDescent="0.3">
      <c r="A4675" t="s">
        <v>5685</v>
      </c>
      <c r="B4675" t="s">
        <v>146</v>
      </c>
      <c r="C4675">
        <v>38</v>
      </c>
      <c r="D4675" t="str">
        <f>VLOOKUP(B4675,Products!$A:$E,2,FALSE)</f>
        <v>Product_69</v>
      </c>
      <c r="E4675" t="str">
        <f>VLOOKUP(B4675,Products!$A:$E,3,FALSE)</f>
        <v>Electronics</v>
      </c>
    </row>
    <row r="4676" spans="1:5" x14ac:dyDescent="0.3">
      <c r="A4676" t="s">
        <v>5686</v>
      </c>
      <c r="B4676" t="s">
        <v>186</v>
      </c>
      <c r="C4676">
        <v>92</v>
      </c>
      <c r="D4676" t="str">
        <f>VLOOKUP(B4676,Products!$A:$E,2,FALSE)</f>
        <v>Product_89</v>
      </c>
      <c r="E4676" t="str">
        <f>VLOOKUP(B4676,Products!$A:$E,3,FALSE)</f>
        <v>Storage</v>
      </c>
    </row>
    <row r="4677" spans="1:5" x14ac:dyDescent="0.3">
      <c r="A4677" t="s">
        <v>5687</v>
      </c>
      <c r="B4677" t="s">
        <v>616</v>
      </c>
      <c r="C4677">
        <v>46</v>
      </c>
      <c r="D4677" t="str">
        <f>VLOOKUP(B4677,Products!$A:$E,2,FALSE)</f>
        <v>Product_304</v>
      </c>
      <c r="E4677" t="str">
        <f>VLOOKUP(B4677,Products!$A:$E,3,FALSE)</f>
        <v>Electronics</v>
      </c>
    </row>
    <row r="4678" spans="1:5" x14ac:dyDescent="0.3">
      <c r="A4678" t="s">
        <v>5688</v>
      </c>
      <c r="B4678" t="s">
        <v>828</v>
      </c>
      <c r="C4678">
        <v>41</v>
      </c>
      <c r="D4678" t="str">
        <f>VLOOKUP(B4678,Products!$A:$E,2,FALSE)</f>
        <v>Product_410</v>
      </c>
      <c r="E4678" t="str">
        <f>VLOOKUP(B4678,Products!$A:$E,3,FALSE)</f>
        <v>Storage</v>
      </c>
    </row>
    <row r="4679" spans="1:5" x14ac:dyDescent="0.3">
      <c r="A4679" t="s">
        <v>5689</v>
      </c>
      <c r="B4679" t="s">
        <v>212</v>
      </c>
      <c r="C4679">
        <v>15</v>
      </c>
      <c r="D4679" t="str">
        <f>VLOOKUP(B4679,Products!$A:$E,2,FALSE)</f>
        <v>Product_102</v>
      </c>
      <c r="E4679" t="str">
        <f>VLOOKUP(B4679,Products!$A:$E,3,FALSE)</f>
        <v>Storage</v>
      </c>
    </row>
    <row r="4680" spans="1:5" x14ac:dyDescent="0.3">
      <c r="A4680" t="s">
        <v>5690</v>
      </c>
      <c r="B4680" t="s">
        <v>434</v>
      </c>
      <c r="C4680">
        <v>52</v>
      </c>
      <c r="D4680" t="str">
        <f>VLOOKUP(B4680,Products!$A:$E,2,FALSE)</f>
        <v>Product_213</v>
      </c>
      <c r="E4680" t="str">
        <f>VLOOKUP(B4680,Products!$A:$E,3,FALSE)</f>
        <v>Accessories</v>
      </c>
    </row>
    <row r="4681" spans="1:5" x14ac:dyDescent="0.3">
      <c r="A4681" t="s">
        <v>5691</v>
      </c>
      <c r="B4681" t="s">
        <v>196</v>
      </c>
      <c r="C4681">
        <v>55</v>
      </c>
      <c r="D4681" t="str">
        <f>VLOOKUP(B4681,Products!$A:$E,2,FALSE)</f>
        <v>Product_94</v>
      </c>
      <c r="E4681" t="str">
        <f>VLOOKUP(B4681,Products!$A:$E,3,FALSE)</f>
        <v>Networking</v>
      </c>
    </row>
    <row r="4682" spans="1:5" x14ac:dyDescent="0.3">
      <c r="A4682" t="s">
        <v>5692</v>
      </c>
      <c r="B4682" t="s">
        <v>906</v>
      </c>
      <c r="C4682">
        <v>53</v>
      </c>
      <c r="D4682" t="str">
        <f>VLOOKUP(B4682,Products!$A:$E,2,FALSE)</f>
        <v>Product_449</v>
      </c>
      <c r="E4682" t="str">
        <f>VLOOKUP(B4682,Products!$A:$E,3,FALSE)</f>
        <v>Networking</v>
      </c>
    </row>
    <row r="4683" spans="1:5" x14ac:dyDescent="0.3">
      <c r="A4683" t="s">
        <v>5693</v>
      </c>
      <c r="B4683" t="s">
        <v>976</v>
      </c>
      <c r="C4683">
        <v>78</v>
      </c>
      <c r="D4683" t="str">
        <f>VLOOKUP(B4683,Products!$A:$E,2,FALSE)</f>
        <v>Product_484</v>
      </c>
      <c r="E4683" t="str">
        <f>VLOOKUP(B4683,Products!$A:$E,3,FALSE)</f>
        <v>Networking</v>
      </c>
    </row>
    <row r="4684" spans="1:5" x14ac:dyDescent="0.3">
      <c r="A4684" t="s">
        <v>5694</v>
      </c>
      <c r="B4684" t="s">
        <v>238</v>
      </c>
      <c r="C4684">
        <v>7</v>
      </c>
      <c r="D4684" t="str">
        <f>VLOOKUP(B4684,Products!$A:$E,2,FALSE)</f>
        <v>Product_115</v>
      </c>
      <c r="E4684" t="str">
        <f>VLOOKUP(B4684,Products!$A:$E,3,FALSE)</f>
        <v>Networking</v>
      </c>
    </row>
    <row r="4685" spans="1:5" x14ac:dyDescent="0.3">
      <c r="A4685" t="s">
        <v>5695</v>
      </c>
      <c r="B4685" t="s">
        <v>980</v>
      </c>
      <c r="C4685">
        <v>7</v>
      </c>
      <c r="D4685" t="str">
        <f>VLOOKUP(B4685,Products!$A:$E,2,FALSE)</f>
        <v>Product_486</v>
      </c>
      <c r="E4685" t="str">
        <f>VLOOKUP(B4685,Products!$A:$E,3,FALSE)</f>
        <v>Electronics</v>
      </c>
    </row>
    <row r="4686" spans="1:5" x14ac:dyDescent="0.3">
      <c r="A4686" t="s">
        <v>5696</v>
      </c>
      <c r="B4686" t="s">
        <v>954</v>
      </c>
      <c r="C4686">
        <v>76</v>
      </c>
      <c r="D4686" t="str">
        <f>VLOOKUP(B4686,Products!$A:$E,2,FALSE)</f>
        <v>Product_473</v>
      </c>
      <c r="E4686" t="str">
        <f>VLOOKUP(B4686,Products!$A:$E,3,FALSE)</f>
        <v>Accessories</v>
      </c>
    </row>
    <row r="4687" spans="1:5" x14ac:dyDescent="0.3">
      <c r="A4687" t="s">
        <v>5697</v>
      </c>
      <c r="B4687" t="s">
        <v>672</v>
      </c>
      <c r="C4687">
        <v>83</v>
      </c>
      <c r="D4687" t="str">
        <f>VLOOKUP(B4687,Products!$A:$E,2,FALSE)</f>
        <v>Product_332</v>
      </c>
      <c r="E4687" t="str">
        <f>VLOOKUP(B4687,Products!$A:$E,3,FALSE)</f>
        <v>Electronics</v>
      </c>
    </row>
    <row r="4688" spans="1:5" x14ac:dyDescent="0.3">
      <c r="A4688" t="s">
        <v>5698</v>
      </c>
      <c r="B4688" t="s">
        <v>650</v>
      </c>
      <c r="C4688">
        <v>34</v>
      </c>
      <c r="D4688" t="str">
        <f>VLOOKUP(B4688,Products!$A:$E,2,FALSE)</f>
        <v>Product_321</v>
      </c>
      <c r="E4688" t="str">
        <f>VLOOKUP(B4688,Products!$A:$E,3,FALSE)</f>
        <v>Electronics</v>
      </c>
    </row>
    <row r="4689" spans="1:5" x14ac:dyDescent="0.3">
      <c r="A4689" t="s">
        <v>5699</v>
      </c>
      <c r="B4689" t="s">
        <v>938</v>
      </c>
      <c r="C4689">
        <v>16</v>
      </c>
      <c r="D4689" t="str">
        <f>VLOOKUP(B4689,Products!$A:$E,2,FALSE)</f>
        <v>Product_465</v>
      </c>
      <c r="E4689" t="str">
        <f>VLOOKUP(B4689,Products!$A:$E,3,FALSE)</f>
        <v>Electronics</v>
      </c>
    </row>
    <row r="4690" spans="1:5" x14ac:dyDescent="0.3">
      <c r="A4690" t="s">
        <v>5700</v>
      </c>
      <c r="B4690" t="s">
        <v>1006</v>
      </c>
      <c r="C4690">
        <v>64</v>
      </c>
      <c r="D4690" t="str">
        <f>VLOOKUP(B4690,Products!$A:$E,2,FALSE)</f>
        <v>Product_499</v>
      </c>
      <c r="E4690" t="str">
        <f>VLOOKUP(B4690,Products!$A:$E,3,FALSE)</f>
        <v>Office Supplies</v>
      </c>
    </row>
    <row r="4691" spans="1:5" x14ac:dyDescent="0.3">
      <c r="A4691" t="s">
        <v>5701</v>
      </c>
      <c r="B4691" t="s">
        <v>212</v>
      </c>
      <c r="C4691">
        <v>38</v>
      </c>
      <c r="D4691" t="str">
        <f>VLOOKUP(B4691,Products!$A:$E,2,FALSE)</f>
        <v>Product_102</v>
      </c>
      <c r="E4691" t="str">
        <f>VLOOKUP(B4691,Products!$A:$E,3,FALSE)</f>
        <v>Storage</v>
      </c>
    </row>
    <row r="4692" spans="1:5" x14ac:dyDescent="0.3">
      <c r="A4692" t="s">
        <v>5702</v>
      </c>
      <c r="B4692" t="s">
        <v>728</v>
      </c>
      <c r="C4692">
        <v>26</v>
      </c>
      <c r="D4692" t="str">
        <f>VLOOKUP(B4692,Products!$A:$E,2,FALSE)</f>
        <v>Product_360</v>
      </c>
      <c r="E4692" t="str">
        <f>VLOOKUP(B4692,Products!$A:$E,3,FALSE)</f>
        <v>Office Supplies</v>
      </c>
    </row>
    <row r="4693" spans="1:5" x14ac:dyDescent="0.3">
      <c r="A4693" t="s">
        <v>5703</v>
      </c>
      <c r="B4693" t="s">
        <v>60</v>
      </c>
      <c r="C4693">
        <v>56</v>
      </c>
      <c r="D4693" t="str">
        <f>VLOOKUP(B4693,Products!$A:$E,2,FALSE)</f>
        <v>Product_26</v>
      </c>
      <c r="E4693" t="str">
        <f>VLOOKUP(B4693,Products!$A:$E,3,FALSE)</f>
        <v>Office Supplies</v>
      </c>
    </row>
    <row r="4694" spans="1:5" x14ac:dyDescent="0.3">
      <c r="A4694" t="s">
        <v>5704</v>
      </c>
      <c r="B4694" t="s">
        <v>642</v>
      </c>
      <c r="C4694">
        <v>59</v>
      </c>
      <c r="D4694" t="str">
        <f>VLOOKUP(B4694,Products!$A:$E,2,FALSE)</f>
        <v>Product_317</v>
      </c>
      <c r="E4694" t="str">
        <f>VLOOKUP(B4694,Products!$A:$E,3,FALSE)</f>
        <v>Storage</v>
      </c>
    </row>
    <row r="4695" spans="1:5" x14ac:dyDescent="0.3">
      <c r="A4695" t="s">
        <v>5705</v>
      </c>
      <c r="B4695" t="s">
        <v>624</v>
      </c>
      <c r="C4695">
        <v>38</v>
      </c>
      <c r="D4695" t="str">
        <f>VLOOKUP(B4695,Products!$A:$E,2,FALSE)</f>
        <v>Product_308</v>
      </c>
      <c r="E4695" t="str">
        <f>VLOOKUP(B4695,Products!$A:$E,3,FALSE)</f>
        <v>Storage</v>
      </c>
    </row>
    <row r="4696" spans="1:5" x14ac:dyDescent="0.3">
      <c r="A4696" t="s">
        <v>5706</v>
      </c>
      <c r="B4696" t="s">
        <v>162</v>
      </c>
      <c r="C4696">
        <v>16</v>
      </c>
      <c r="D4696" t="str">
        <f>VLOOKUP(B4696,Products!$A:$E,2,FALSE)</f>
        <v>Product_77</v>
      </c>
      <c r="E4696" t="str">
        <f>VLOOKUP(B4696,Products!$A:$E,3,FALSE)</f>
        <v>Networking</v>
      </c>
    </row>
    <row r="4697" spans="1:5" x14ac:dyDescent="0.3">
      <c r="A4697" t="s">
        <v>5707</v>
      </c>
      <c r="B4697" t="s">
        <v>990</v>
      </c>
      <c r="C4697">
        <v>52</v>
      </c>
      <c r="D4697" t="str">
        <f>VLOOKUP(B4697,Products!$A:$E,2,FALSE)</f>
        <v>Product_491</v>
      </c>
      <c r="E4697" t="str">
        <f>VLOOKUP(B4697,Products!$A:$E,3,FALSE)</f>
        <v>Accessories</v>
      </c>
    </row>
    <row r="4698" spans="1:5" x14ac:dyDescent="0.3">
      <c r="A4698" t="s">
        <v>5708</v>
      </c>
      <c r="B4698" t="s">
        <v>184</v>
      </c>
      <c r="C4698">
        <v>77</v>
      </c>
      <c r="D4698" t="str">
        <f>VLOOKUP(B4698,Products!$A:$E,2,FALSE)</f>
        <v>Product_88</v>
      </c>
      <c r="E4698" t="str">
        <f>VLOOKUP(B4698,Products!$A:$E,3,FALSE)</f>
        <v>Accessories</v>
      </c>
    </row>
    <row r="4699" spans="1:5" x14ac:dyDescent="0.3">
      <c r="A4699" t="s">
        <v>5709</v>
      </c>
      <c r="B4699" t="s">
        <v>130</v>
      </c>
      <c r="C4699">
        <v>6</v>
      </c>
      <c r="D4699" t="str">
        <f>VLOOKUP(B4699,Products!$A:$E,2,FALSE)</f>
        <v>Product_61</v>
      </c>
      <c r="E4699" t="str">
        <f>VLOOKUP(B4699,Products!$A:$E,3,FALSE)</f>
        <v>Storage</v>
      </c>
    </row>
    <row r="4700" spans="1:5" x14ac:dyDescent="0.3">
      <c r="A4700" t="s">
        <v>5710</v>
      </c>
      <c r="B4700" t="s">
        <v>744</v>
      </c>
      <c r="C4700">
        <v>72</v>
      </c>
      <c r="D4700" t="str">
        <f>VLOOKUP(B4700,Products!$A:$E,2,FALSE)</f>
        <v>Product_368</v>
      </c>
      <c r="E4700" t="str">
        <f>VLOOKUP(B4700,Products!$A:$E,3,FALSE)</f>
        <v>Office Supplies</v>
      </c>
    </row>
    <row r="4701" spans="1:5" x14ac:dyDescent="0.3">
      <c r="A4701" t="s">
        <v>5711</v>
      </c>
      <c r="B4701" t="s">
        <v>454</v>
      </c>
      <c r="C4701">
        <v>63</v>
      </c>
      <c r="D4701" t="str">
        <f>VLOOKUP(B4701,Products!$A:$E,2,FALSE)</f>
        <v>Product_223</v>
      </c>
      <c r="E4701" t="str">
        <f>VLOOKUP(B4701,Products!$A:$E,3,FALSE)</f>
        <v>Storage</v>
      </c>
    </row>
    <row r="4702" spans="1:5" x14ac:dyDescent="0.3">
      <c r="A4702" t="s">
        <v>5712</v>
      </c>
      <c r="B4702" t="s">
        <v>856</v>
      </c>
      <c r="C4702">
        <v>91</v>
      </c>
      <c r="D4702" t="str">
        <f>VLOOKUP(B4702,Products!$A:$E,2,FALSE)</f>
        <v>Product_424</v>
      </c>
      <c r="E4702" t="str">
        <f>VLOOKUP(B4702,Products!$A:$E,3,FALSE)</f>
        <v>Networking</v>
      </c>
    </row>
    <row r="4703" spans="1:5" x14ac:dyDescent="0.3">
      <c r="A4703" t="s">
        <v>5713</v>
      </c>
      <c r="B4703" t="s">
        <v>516</v>
      </c>
      <c r="C4703">
        <v>20</v>
      </c>
      <c r="D4703" t="str">
        <f>VLOOKUP(B4703,Products!$A:$E,2,FALSE)</f>
        <v>Product_254</v>
      </c>
      <c r="E4703" t="str">
        <f>VLOOKUP(B4703,Products!$A:$E,3,FALSE)</f>
        <v>Office Supplies</v>
      </c>
    </row>
    <row r="4704" spans="1:5" x14ac:dyDescent="0.3">
      <c r="A4704" t="s">
        <v>5714</v>
      </c>
      <c r="B4704" t="s">
        <v>238</v>
      </c>
      <c r="C4704">
        <v>96</v>
      </c>
      <c r="D4704" t="str">
        <f>VLOOKUP(B4704,Products!$A:$E,2,FALSE)</f>
        <v>Product_115</v>
      </c>
      <c r="E4704" t="str">
        <f>VLOOKUP(B4704,Products!$A:$E,3,FALSE)</f>
        <v>Networking</v>
      </c>
    </row>
    <row r="4705" spans="1:5" x14ac:dyDescent="0.3">
      <c r="A4705" t="s">
        <v>5715</v>
      </c>
      <c r="B4705" t="s">
        <v>218</v>
      </c>
      <c r="C4705">
        <v>29</v>
      </c>
      <c r="D4705" t="str">
        <f>VLOOKUP(B4705,Products!$A:$E,2,FALSE)</f>
        <v>Product_105</v>
      </c>
      <c r="E4705" t="str">
        <f>VLOOKUP(B4705,Products!$A:$E,3,FALSE)</f>
        <v>Networking</v>
      </c>
    </row>
    <row r="4706" spans="1:5" x14ac:dyDescent="0.3">
      <c r="A4706" t="s">
        <v>5716</v>
      </c>
      <c r="B4706" t="s">
        <v>978</v>
      </c>
      <c r="C4706">
        <v>39</v>
      </c>
      <c r="D4706" t="str">
        <f>VLOOKUP(B4706,Products!$A:$E,2,FALSE)</f>
        <v>Product_485</v>
      </c>
      <c r="E4706" t="str">
        <f>VLOOKUP(B4706,Products!$A:$E,3,FALSE)</f>
        <v>Networking</v>
      </c>
    </row>
    <row r="4707" spans="1:5" x14ac:dyDescent="0.3">
      <c r="A4707" t="s">
        <v>5717</v>
      </c>
      <c r="B4707" t="s">
        <v>304</v>
      </c>
      <c r="C4707">
        <v>100</v>
      </c>
      <c r="D4707" t="str">
        <f>VLOOKUP(B4707,Products!$A:$E,2,FALSE)</f>
        <v>Product_148</v>
      </c>
      <c r="E4707" t="str">
        <f>VLOOKUP(B4707,Products!$A:$E,3,FALSE)</f>
        <v>Electronics</v>
      </c>
    </row>
    <row r="4708" spans="1:5" x14ac:dyDescent="0.3">
      <c r="A4708" t="s">
        <v>5718</v>
      </c>
      <c r="B4708" t="s">
        <v>516</v>
      </c>
      <c r="C4708">
        <v>53</v>
      </c>
      <c r="D4708" t="str">
        <f>VLOOKUP(B4708,Products!$A:$E,2,FALSE)</f>
        <v>Product_254</v>
      </c>
      <c r="E4708" t="str">
        <f>VLOOKUP(B4708,Products!$A:$E,3,FALSE)</f>
        <v>Office Supplies</v>
      </c>
    </row>
    <row r="4709" spans="1:5" x14ac:dyDescent="0.3">
      <c r="A4709" t="s">
        <v>5719</v>
      </c>
      <c r="B4709" t="s">
        <v>142</v>
      </c>
      <c r="C4709">
        <v>60</v>
      </c>
      <c r="D4709" t="str">
        <f>VLOOKUP(B4709,Products!$A:$E,2,FALSE)</f>
        <v>Product_67</v>
      </c>
      <c r="E4709" t="str">
        <f>VLOOKUP(B4709,Products!$A:$E,3,FALSE)</f>
        <v>Office Supplies</v>
      </c>
    </row>
    <row r="4710" spans="1:5" x14ac:dyDescent="0.3">
      <c r="A4710" t="s">
        <v>5720</v>
      </c>
      <c r="B4710" t="s">
        <v>886</v>
      </c>
      <c r="C4710">
        <v>31</v>
      </c>
      <c r="D4710" t="str">
        <f>VLOOKUP(B4710,Products!$A:$E,2,FALSE)</f>
        <v>Product_439</v>
      </c>
      <c r="E4710" t="str">
        <f>VLOOKUP(B4710,Products!$A:$E,3,FALSE)</f>
        <v>Networking</v>
      </c>
    </row>
    <row r="4711" spans="1:5" x14ac:dyDescent="0.3">
      <c r="A4711" t="s">
        <v>5721</v>
      </c>
      <c r="B4711" t="s">
        <v>624</v>
      </c>
      <c r="C4711">
        <v>32</v>
      </c>
      <c r="D4711" t="str">
        <f>VLOOKUP(B4711,Products!$A:$E,2,FALSE)</f>
        <v>Product_308</v>
      </c>
      <c r="E4711" t="str">
        <f>VLOOKUP(B4711,Products!$A:$E,3,FALSE)</f>
        <v>Storage</v>
      </c>
    </row>
    <row r="4712" spans="1:5" x14ac:dyDescent="0.3">
      <c r="A4712" t="s">
        <v>5722</v>
      </c>
      <c r="B4712" t="s">
        <v>852</v>
      </c>
      <c r="C4712">
        <v>41</v>
      </c>
      <c r="D4712" t="str">
        <f>VLOOKUP(B4712,Products!$A:$E,2,FALSE)</f>
        <v>Product_422</v>
      </c>
      <c r="E4712" t="str">
        <f>VLOOKUP(B4712,Products!$A:$E,3,FALSE)</f>
        <v>Accessories</v>
      </c>
    </row>
    <row r="4713" spans="1:5" x14ac:dyDescent="0.3">
      <c r="A4713" t="s">
        <v>5723</v>
      </c>
      <c r="B4713" t="s">
        <v>754</v>
      </c>
      <c r="C4713">
        <v>91</v>
      </c>
      <c r="D4713" t="str">
        <f>VLOOKUP(B4713,Products!$A:$E,2,FALSE)</f>
        <v>Product_373</v>
      </c>
      <c r="E4713" t="str">
        <f>VLOOKUP(B4713,Products!$A:$E,3,FALSE)</f>
        <v>Office Supplies</v>
      </c>
    </row>
    <row r="4714" spans="1:5" x14ac:dyDescent="0.3">
      <c r="A4714" t="s">
        <v>5724</v>
      </c>
      <c r="B4714" t="s">
        <v>202</v>
      </c>
      <c r="C4714">
        <v>58</v>
      </c>
      <c r="D4714" t="str">
        <f>VLOOKUP(B4714,Products!$A:$E,2,FALSE)</f>
        <v>Product_97</v>
      </c>
      <c r="E4714" t="str">
        <f>VLOOKUP(B4714,Products!$A:$E,3,FALSE)</f>
        <v>Accessories</v>
      </c>
    </row>
    <row r="4715" spans="1:5" x14ac:dyDescent="0.3">
      <c r="A4715" t="s">
        <v>5725</v>
      </c>
      <c r="B4715" t="s">
        <v>194</v>
      </c>
      <c r="C4715">
        <v>57</v>
      </c>
      <c r="D4715" t="str">
        <f>VLOOKUP(B4715,Products!$A:$E,2,FALSE)</f>
        <v>Product_93</v>
      </c>
      <c r="E4715" t="str">
        <f>VLOOKUP(B4715,Products!$A:$E,3,FALSE)</f>
        <v>Office Supplies</v>
      </c>
    </row>
    <row r="4716" spans="1:5" x14ac:dyDescent="0.3">
      <c r="A4716" t="s">
        <v>5726</v>
      </c>
      <c r="B4716" t="s">
        <v>820</v>
      </c>
      <c r="C4716">
        <v>23</v>
      </c>
      <c r="D4716" t="str">
        <f>VLOOKUP(B4716,Products!$A:$E,2,FALSE)</f>
        <v>Product_406</v>
      </c>
      <c r="E4716" t="str">
        <f>VLOOKUP(B4716,Products!$A:$E,3,FALSE)</f>
        <v>Office Supplies</v>
      </c>
    </row>
    <row r="4717" spans="1:5" x14ac:dyDescent="0.3">
      <c r="A4717" t="s">
        <v>5727</v>
      </c>
      <c r="B4717" t="s">
        <v>38</v>
      </c>
      <c r="C4717">
        <v>42</v>
      </c>
      <c r="D4717" t="str">
        <f>VLOOKUP(B4717,Products!$A:$E,2,FALSE)</f>
        <v>Product_15</v>
      </c>
      <c r="E4717" t="str">
        <f>VLOOKUP(B4717,Products!$A:$E,3,FALSE)</f>
        <v>Electronics</v>
      </c>
    </row>
    <row r="4718" spans="1:5" x14ac:dyDescent="0.3">
      <c r="A4718" t="s">
        <v>5728</v>
      </c>
      <c r="B4718" t="s">
        <v>1008</v>
      </c>
      <c r="C4718">
        <v>38</v>
      </c>
      <c r="D4718" t="str">
        <f>VLOOKUP(B4718,Products!$A:$E,2,FALSE)</f>
        <v>Product_500</v>
      </c>
      <c r="E4718" t="str">
        <f>VLOOKUP(B4718,Products!$A:$E,3,FALSE)</f>
        <v>Networking</v>
      </c>
    </row>
    <row r="4719" spans="1:5" x14ac:dyDescent="0.3">
      <c r="A4719" t="s">
        <v>5729</v>
      </c>
      <c r="B4719" t="s">
        <v>250</v>
      </c>
      <c r="C4719">
        <v>84</v>
      </c>
      <c r="D4719" t="str">
        <f>VLOOKUP(B4719,Products!$A:$E,2,FALSE)</f>
        <v>Product_121</v>
      </c>
      <c r="E4719" t="str">
        <f>VLOOKUP(B4719,Products!$A:$E,3,FALSE)</f>
        <v>Storage</v>
      </c>
    </row>
    <row r="4720" spans="1:5" x14ac:dyDescent="0.3">
      <c r="A4720" t="s">
        <v>5730</v>
      </c>
      <c r="B4720" t="s">
        <v>470</v>
      </c>
      <c r="C4720">
        <v>36</v>
      </c>
      <c r="D4720" t="str">
        <f>VLOOKUP(B4720,Products!$A:$E,2,FALSE)</f>
        <v>Product_231</v>
      </c>
      <c r="E4720" t="str">
        <f>VLOOKUP(B4720,Products!$A:$E,3,FALSE)</f>
        <v>Accessories</v>
      </c>
    </row>
    <row r="4721" spans="1:5" x14ac:dyDescent="0.3">
      <c r="A4721" t="s">
        <v>5731</v>
      </c>
      <c r="B4721" t="s">
        <v>388</v>
      </c>
      <c r="C4721">
        <v>79</v>
      </c>
      <c r="D4721" t="str">
        <f>VLOOKUP(B4721,Products!$A:$E,2,FALSE)</f>
        <v>Product_190</v>
      </c>
      <c r="E4721" t="str">
        <f>VLOOKUP(B4721,Products!$A:$E,3,FALSE)</f>
        <v>Office Supplies</v>
      </c>
    </row>
    <row r="4722" spans="1:5" x14ac:dyDescent="0.3">
      <c r="A4722" t="s">
        <v>5732</v>
      </c>
      <c r="B4722" t="s">
        <v>710</v>
      </c>
      <c r="C4722">
        <v>87</v>
      </c>
      <c r="D4722" t="str">
        <f>VLOOKUP(B4722,Products!$A:$E,2,FALSE)</f>
        <v>Product_351</v>
      </c>
      <c r="E4722" t="str">
        <f>VLOOKUP(B4722,Products!$A:$E,3,FALSE)</f>
        <v>Accessories</v>
      </c>
    </row>
    <row r="4723" spans="1:5" x14ac:dyDescent="0.3">
      <c r="A4723" t="s">
        <v>5733</v>
      </c>
      <c r="B4723" t="s">
        <v>478</v>
      </c>
      <c r="C4723">
        <v>15</v>
      </c>
      <c r="D4723" t="str">
        <f>VLOOKUP(B4723,Products!$A:$E,2,FALSE)</f>
        <v>Product_235</v>
      </c>
      <c r="E4723" t="str">
        <f>VLOOKUP(B4723,Products!$A:$E,3,FALSE)</f>
        <v>Accessories</v>
      </c>
    </row>
    <row r="4724" spans="1:5" x14ac:dyDescent="0.3">
      <c r="A4724" t="s">
        <v>5734</v>
      </c>
      <c r="B4724" t="s">
        <v>20</v>
      </c>
      <c r="C4724">
        <v>65</v>
      </c>
      <c r="D4724" t="str">
        <f>VLOOKUP(B4724,Products!$A:$E,2,FALSE)</f>
        <v>Product_6</v>
      </c>
      <c r="E4724" t="str">
        <f>VLOOKUP(B4724,Products!$A:$E,3,FALSE)</f>
        <v>Electronics</v>
      </c>
    </row>
    <row r="4725" spans="1:5" x14ac:dyDescent="0.3">
      <c r="A4725" t="s">
        <v>5735</v>
      </c>
      <c r="B4725" t="s">
        <v>146</v>
      </c>
      <c r="C4725">
        <v>46</v>
      </c>
      <c r="D4725" t="str">
        <f>VLOOKUP(B4725,Products!$A:$E,2,FALSE)</f>
        <v>Product_69</v>
      </c>
      <c r="E4725" t="str">
        <f>VLOOKUP(B4725,Products!$A:$E,3,FALSE)</f>
        <v>Electronics</v>
      </c>
    </row>
    <row r="4726" spans="1:5" x14ac:dyDescent="0.3">
      <c r="A4726" t="s">
        <v>5736</v>
      </c>
      <c r="B4726" t="s">
        <v>1006</v>
      </c>
      <c r="C4726">
        <v>93</v>
      </c>
      <c r="D4726" t="str">
        <f>VLOOKUP(B4726,Products!$A:$E,2,FALSE)</f>
        <v>Product_499</v>
      </c>
      <c r="E4726" t="str">
        <f>VLOOKUP(B4726,Products!$A:$E,3,FALSE)</f>
        <v>Office Supplies</v>
      </c>
    </row>
    <row r="4727" spans="1:5" x14ac:dyDescent="0.3">
      <c r="A4727" t="s">
        <v>5737</v>
      </c>
      <c r="B4727" t="s">
        <v>416</v>
      </c>
      <c r="C4727">
        <v>92</v>
      </c>
      <c r="D4727" t="str">
        <f>VLOOKUP(B4727,Products!$A:$E,2,FALSE)</f>
        <v>Product_204</v>
      </c>
      <c r="E4727" t="str">
        <f>VLOOKUP(B4727,Products!$A:$E,3,FALSE)</f>
        <v>Office Supplies</v>
      </c>
    </row>
    <row r="4728" spans="1:5" x14ac:dyDescent="0.3">
      <c r="A4728" t="s">
        <v>5738</v>
      </c>
      <c r="B4728" t="s">
        <v>226</v>
      </c>
      <c r="C4728">
        <v>96</v>
      </c>
      <c r="D4728" t="str">
        <f>VLOOKUP(B4728,Products!$A:$E,2,FALSE)</f>
        <v>Product_109</v>
      </c>
      <c r="E4728" t="str">
        <f>VLOOKUP(B4728,Products!$A:$E,3,FALSE)</f>
        <v>Storage</v>
      </c>
    </row>
    <row r="4729" spans="1:5" x14ac:dyDescent="0.3">
      <c r="A4729" t="s">
        <v>5739</v>
      </c>
      <c r="B4729" t="s">
        <v>402</v>
      </c>
      <c r="C4729">
        <v>95</v>
      </c>
      <c r="D4729" t="str">
        <f>VLOOKUP(B4729,Products!$A:$E,2,FALSE)</f>
        <v>Product_197</v>
      </c>
      <c r="E4729" t="str">
        <f>VLOOKUP(B4729,Products!$A:$E,3,FALSE)</f>
        <v>Electronics</v>
      </c>
    </row>
    <row r="4730" spans="1:5" x14ac:dyDescent="0.3">
      <c r="A4730" t="s">
        <v>5740</v>
      </c>
      <c r="B4730" t="s">
        <v>442</v>
      </c>
      <c r="C4730">
        <v>99</v>
      </c>
      <c r="D4730" t="str">
        <f>VLOOKUP(B4730,Products!$A:$E,2,FALSE)</f>
        <v>Product_217</v>
      </c>
      <c r="E4730" t="str">
        <f>VLOOKUP(B4730,Products!$A:$E,3,FALSE)</f>
        <v>Networking</v>
      </c>
    </row>
    <row r="4731" spans="1:5" x14ac:dyDescent="0.3">
      <c r="A4731" t="s">
        <v>5741</v>
      </c>
      <c r="B4731" t="s">
        <v>620</v>
      </c>
      <c r="C4731">
        <v>37</v>
      </c>
      <c r="D4731" t="str">
        <f>VLOOKUP(B4731,Products!$A:$E,2,FALSE)</f>
        <v>Product_306</v>
      </c>
      <c r="E4731" t="str">
        <f>VLOOKUP(B4731,Products!$A:$E,3,FALSE)</f>
        <v>Accessories</v>
      </c>
    </row>
    <row r="4732" spans="1:5" x14ac:dyDescent="0.3">
      <c r="A4732" t="s">
        <v>5742</v>
      </c>
      <c r="B4732" t="s">
        <v>84</v>
      </c>
      <c r="C4732">
        <v>17</v>
      </c>
      <c r="D4732" t="str">
        <f>VLOOKUP(B4732,Products!$A:$E,2,FALSE)</f>
        <v>Product_38</v>
      </c>
      <c r="E4732" t="str">
        <f>VLOOKUP(B4732,Products!$A:$E,3,FALSE)</f>
        <v>Accessories</v>
      </c>
    </row>
    <row r="4733" spans="1:5" x14ac:dyDescent="0.3">
      <c r="A4733" t="s">
        <v>5743</v>
      </c>
      <c r="B4733" t="s">
        <v>580</v>
      </c>
      <c r="C4733">
        <v>12</v>
      </c>
      <c r="D4733" t="str">
        <f>VLOOKUP(B4733,Products!$A:$E,2,FALSE)</f>
        <v>Product_286</v>
      </c>
      <c r="E4733" t="str">
        <f>VLOOKUP(B4733,Products!$A:$E,3,FALSE)</f>
        <v>Storage</v>
      </c>
    </row>
    <row r="4734" spans="1:5" x14ac:dyDescent="0.3">
      <c r="A4734" t="s">
        <v>5744</v>
      </c>
      <c r="B4734" t="s">
        <v>62</v>
      </c>
      <c r="C4734">
        <v>47</v>
      </c>
      <c r="D4734" t="str">
        <f>VLOOKUP(B4734,Products!$A:$E,2,FALSE)</f>
        <v>Product_27</v>
      </c>
      <c r="E4734" t="str">
        <f>VLOOKUP(B4734,Products!$A:$E,3,FALSE)</f>
        <v>Office Supplies</v>
      </c>
    </row>
    <row r="4735" spans="1:5" x14ac:dyDescent="0.3">
      <c r="A4735" t="s">
        <v>5745</v>
      </c>
      <c r="B4735" t="s">
        <v>962</v>
      </c>
      <c r="C4735">
        <v>35</v>
      </c>
      <c r="D4735" t="str">
        <f>VLOOKUP(B4735,Products!$A:$E,2,FALSE)</f>
        <v>Product_477</v>
      </c>
      <c r="E4735" t="str">
        <f>VLOOKUP(B4735,Products!$A:$E,3,FALSE)</f>
        <v>Networking</v>
      </c>
    </row>
    <row r="4736" spans="1:5" x14ac:dyDescent="0.3">
      <c r="A4736" t="s">
        <v>5746</v>
      </c>
      <c r="B4736" t="s">
        <v>492</v>
      </c>
      <c r="C4736">
        <v>50</v>
      </c>
      <c r="D4736" t="str">
        <f>VLOOKUP(B4736,Products!$A:$E,2,FALSE)</f>
        <v>Product_242</v>
      </c>
      <c r="E4736" t="str">
        <f>VLOOKUP(B4736,Products!$A:$E,3,FALSE)</f>
        <v>Networking</v>
      </c>
    </row>
    <row r="4737" spans="1:5" x14ac:dyDescent="0.3">
      <c r="A4737" t="s">
        <v>5747</v>
      </c>
      <c r="B4737" t="s">
        <v>630</v>
      </c>
      <c r="C4737">
        <v>90</v>
      </c>
      <c r="D4737" t="str">
        <f>VLOOKUP(B4737,Products!$A:$E,2,FALSE)</f>
        <v>Product_311</v>
      </c>
      <c r="E4737" t="str">
        <f>VLOOKUP(B4737,Products!$A:$E,3,FALSE)</f>
        <v>Networking</v>
      </c>
    </row>
    <row r="4738" spans="1:5" x14ac:dyDescent="0.3">
      <c r="A4738" t="s">
        <v>5748</v>
      </c>
      <c r="B4738" t="s">
        <v>1000</v>
      </c>
      <c r="C4738">
        <v>81</v>
      </c>
      <c r="D4738" t="str">
        <f>VLOOKUP(B4738,Products!$A:$E,2,FALSE)</f>
        <v>Product_496</v>
      </c>
      <c r="E4738" t="str">
        <f>VLOOKUP(B4738,Products!$A:$E,3,FALSE)</f>
        <v>Office Supplies</v>
      </c>
    </row>
    <row r="4739" spans="1:5" x14ac:dyDescent="0.3">
      <c r="A4739" t="s">
        <v>5749</v>
      </c>
      <c r="B4739" t="s">
        <v>736</v>
      </c>
      <c r="C4739">
        <v>100</v>
      </c>
      <c r="D4739" t="str">
        <f>VLOOKUP(B4739,Products!$A:$E,2,FALSE)</f>
        <v>Product_364</v>
      </c>
      <c r="E4739" t="str">
        <f>VLOOKUP(B4739,Products!$A:$E,3,FALSE)</f>
        <v>Networking</v>
      </c>
    </row>
    <row r="4740" spans="1:5" x14ac:dyDescent="0.3">
      <c r="A4740" t="s">
        <v>5750</v>
      </c>
      <c r="B4740" t="s">
        <v>838</v>
      </c>
      <c r="C4740">
        <v>10</v>
      </c>
      <c r="D4740" t="str">
        <f>VLOOKUP(B4740,Products!$A:$E,2,FALSE)</f>
        <v>Product_415</v>
      </c>
      <c r="E4740" t="str">
        <f>VLOOKUP(B4740,Products!$A:$E,3,FALSE)</f>
        <v>Networking</v>
      </c>
    </row>
    <row r="4741" spans="1:5" x14ac:dyDescent="0.3">
      <c r="A4741" t="s">
        <v>5751</v>
      </c>
      <c r="B4741" t="s">
        <v>11</v>
      </c>
      <c r="C4741">
        <v>37</v>
      </c>
      <c r="D4741" t="str">
        <f>VLOOKUP(B4741,Products!$A:$E,2,FALSE)</f>
        <v>Product_3</v>
      </c>
      <c r="E4741" t="str">
        <f>VLOOKUP(B4741,Products!$A:$E,3,FALSE)</f>
        <v>Accessories</v>
      </c>
    </row>
    <row r="4742" spans="1:5" x14ac:dyDescent="0.3">
      <c r="A4742" t="s">
        <v>5752</v>
      </c>
      <c r="B4742" t="s">
        <v>526</v>
      </c>
      <c r="C4742">
        <v>84</v>
      </c>
      <c r="D4742" t="str">
        <f>VLOOKUP(B4742,Products!$A:$E,2,FALSE)</f>
        <v>Product_259</v>
      </c>
      <c r="E4742" t="str">
        <f>VLOOKUP(B4742,Products!$A:$E,3,FALSE)</f>
        <v>Electronics</v>
      </c>
    </row>
    <row r="4743" spans="1:5" x14ac:dyDescent="0.3">
      <c r="A4743" t="s">
        <v>5753</v>
      </c>
      <c r="B4743" t="s">
        <v>400</v>
      </c>
      <c r="C4743">
        <v>43</v>
      </c>
      <c r="D4743" t="str">
        <f>VLOOKUP(B4743,Products!$A:$E,2,FALSE)</f>
        <v>Product_196</v>
      </c>
      <c r="E4743" t="str">
        <f>VLOOKUP(B4743,Products!$A:$E,3,FALSE)</f>
        <v>Office Supplies</v>
      </c>
    </row>
    <row r="4744" spans="1:5" x14ac:dyDescent="0.3">
      <c r="A4744" t="s">
        <v>5754</v>
      </c>
      <c r="B4744" t="s">
        <v>414</v>
      </c>
      <c r="C4744">
        <v>90</v>
      </c>
      <c r="D4744" t="str">
        <f>VLOOKUP(B4744,Products!$A:$E,2,FALSE)</f>
        <v>Product_203</v>
      </c>
      <c r="E4744" t="str">
        <f>VLOOKUP(B4744,Products!$A:$E,3,FALSE)</f>
        <v>Accessories</v>
      </c>
    </row>
    <row r="4745" spans="1:5" x14ac:dyDescent="0.3">
      <c r="A4745" t="s">
        <v>5755</v>
      </c>
      <c r="B4745" t="s">
        <v>388</v>
      </c>
      <c r="C4745">
        <v>21</v>
      </c>
      <c r="D4745" t="str">
        <f>VLOOKUP(B4745,Products!$A:$E,2,FALSE)</f>
        <v>Product_190</v>
      </c>
      <c r="E4745" t="str">
        <f>VLOOKUP(B4745,Products!$A:$E,3,FALSE)</f>
        <v>Office Supplies</v>
      </c>
    </row>
    <row r="4746" spans="1:5" x14ac:dyDescent="0.3">
      <c r="A4746" t="s">
        <v>5756</v>
      </c>
      <c r="B4746" t="s">
        <v>1000</v>
      </c>
      <c r="C4746">
        <v>76</v>
      </c>
      <c r="D4746" t="str">
        <f>VLOOKUP(B4746,Products!$A:$E,2,FALSE)</f>
        <v>Product_496</v>
      </c>
      <c r="E4746" t="str">
        <f>VLOOKUP(B4746,Products!$A:$E,3,FALSE)</f>
        <v>Office Supplies</v>
      </c>
    </row>
    <row r="4747" spans="1:5" x14ac:dyDescent="0.3">
      <c r="A4747" t="s">
        <v>5757</v>
      </c>
      <c r="B4747" t="s">
        <v>52</v>
      </c>
      <c r="C4747">
        <v>79</v>
      </c>
      <c r="D4747" t="str">
        <f>VLOOKUP(B4747,Products!$A:$E,2,FALSE)</f>
        <v>Product_22</v>
      </c>
      <c r="E4747" t="str">
        <f>VLOOKUP(B4747,Products!$A:$E,3,FALSE)</f>
        <v>Electronics</v>
      </c>
    </row>
    <row r="4748" spans="1:5" x14ac:dyDescent="0.3">
      <c r="A4748" t="s">
        <v>5758</v>
      </c>
      <c r="B4748" t="s">
        <v>192</v>
      </c>
      <c r="C4748">
        <v>38</v>
      </c>
      <c r="D4748" t="str">
        <f>VLOOKUP(B4748,Products!$A:$E,2,FALSE)</f>
        <v>Product_92</v>
      </c>
      <c r="E4748" t="str">
        <f>VLOOKUP(B4748,Products!$A:$E,3,FALSE)</f>
        <v>Electronics</v>
      </c>
    </row>
    <row r="4749" spans="1:5" x14ac:dyDescent="0.3">
      <c r="A4749" t="s">
        <v>5759</v>
      </c>
      <c r="B4749" t="s">
        <v>182</v>
      </c>
      <c r="C4749">
        <v>69</v>
      </c>
      <c r="D4749" t="str">
        <f>VLOOKUP(B4749,Products!$A:$E,2,FALSE)</f>
        <v>Product_87</v>
      </c>
      <c r="E4749" t="str">
        <f>VLOOKUP(B4749,Products!$A:$E,3,FALSE)</f>
        <v>Networking</v>
      </c>
    </row>
    <row r="4750" spans="1:5" x14ac:dyDescent="0.3">
      <c r="A4750" t="s">
        <v>5760</v>
      </c>
      <c r="B4750" t="s">
        <v>514</v>
      </c>
      <c r="C4750">
        <v>48</v>
      </c>
      <c r="D4750" t="str">
        <f>VLOOKUP(B4750,Products!$A:$E,2,FALSE)</f>
        <v>Product_253</v>
      </c>
      <c r="E4750" t="str">
        <f>VLOOKUP(B4750,Products!$A:$E,3,FALSE)</f>
        <v>Networking</v>
      </c>
    </row>
    <row r="4751" spans="1:5" x14ac:dyDescent="0.3">
      <c r="A4751" t="s">
        <v>5761</v>
      </c>
      <c r="B4751" t="s">
        <v>908</v>
      </c>
      <c r="C4751">
        <v>64</v>
      </c>
      <c r="D4751" t="str">
        <f>VLOOKUP(B4751,Products!$A:$E,2,FALSE)</f>
        <v>Product_450</v>
      </c>
      <c r="E4751" t="str">
        <f>VLOOKUP(B4751,Products!$A:$E,3,FALSE)</f>
        <v>Networking</v>
      </c>
    </row>
    <row r="4752" spans="1:5" x14ac:dyDescent="0.3">
      <c r="A4752" t="s">
        <v>5762</v>
      </c>
      <c r="B4752" t="s">
        <v>144</v>
      </c>
      <c r="C4752">
        <v>16</v>
      </c>
      <c r="D4752" t="str">
        <f>VLOOKUP(B4752,Products!$A:$E,2,FALSE)</f>
        <v>Product_68</v>
      </c>
      <c r="E4752" t="str">
        <f>VLOOKUP(B4752,Products!$A:$E,3,FALSE)</f>
        <v>Accessories</v>
      </c>
    </row>
    <row r="4753" spans="1:5" x14ac:dyDescent="0.3">
      <c r="A4753" t="s">
        <v>5763</v>
      </c>
      <c r="B4753" t="s">
        <v>334</v>
      </c>
      <c r="C4753">
        <v>95</v>
      </c>
      <c r="D4753" t="str">
        <f>VLOOKUP(B4753,Products!$A:$E,2,FALSE)</f>
        <v>Product_163</v>
      </c>
      <c r="E4753" t="str">
        <f>VLOOKUP(B4753,Products!$A:$E,3,FALSE)</f>
        <v>Accessories</v>
      </c>
    </row>
    <row r="4754" spans="1:5" x14ac:dyDescent="0.3">
      <c r="A4754" t="s">
        <v>5764</v>
      </c>
      <c r="B4754" t="s">
        <v>552</v>
      </c>
      <c r="C4754">
        <v>60</v>
      </c>
      <c r="D4754" t="str">
        <f>VLOOKUP(B4754,Products!$A:$E,2,FALSE)</f>
        <v>Product_272</v>
      </c>
      <c r="E4754" t="str">
        <f>VLOOKUP(B4754,Products!$A:$E,3,FALSE)</f>
        <v>Office Supplies</v>
      </c>
    </row>
    <row r="4755" spans="1:5" x14ac:dyDescent="0.3">
      <c r="A4755" t="s">
        <v>5765</v>
      </c>
      <c r="B4755" t="s">
        <v>154</v>
      </c>
      <c r="C4755">
        <v>38</v>
      </c>
      <c r="D4755" t="str">
        <f>VLOOKUP(B4755,Products!$A:$E,2,FALSE)</f>
        <v>Product_73</v>
      </c>
      <c r="E4755" t="str">
        <f>VLOOKUP(B4755,Products!$A:$E,3,FALSE)</f>
        <v>Office Supplies</v>
      </c>
    </row>
    <row r="4756" spans="1:5" x14ac:dyDescent="0.3">
      <c r="A4756" t="s">
        <v>5766</v>
      </c>
      <c r="B4756" t="s">
        <v>128</v>
      </c>
      <c r="C4756">
        <v>45</v>
      </c>
      <c r="D4756" t="str">
        <f>VLOOKUP(B4756,Products!$A:$E,2,FALSE)</f>
        <v>Product_60</v>
      </c>
      <c r="E4756" t="str">
        <f>VLOOKUP(B4756,Products!$A:$E,3,FALSE)</f>
        <v>Electronics</v>
      </c>
    </row>
    <row r="4757" spans="1:5" x14ac:dyDescent="0.3">
      <c r="A4757" t="s">
        <v>5767</v>
      </c>
      <c r="B4757" t="s">
        <v>54</v>
      </c>
      <c r="C4757">
        <v>21</v>
      </c>
      <c r="D4757" t="str">
        <f>VLOOKUP(B4757,Products!$A:$E,2,FALSE)</f>
        <v>Product_23</v>
      </c>
      <c r="E4757" t="str">
        <f>VLOOKUP(B4757,Products!$A:$E,3,FALSE)</f>
        <v>Accessories</v>
      </c>
    </row>
    <row r="4758" spans="1:5" x14ac:dyDescent="0.3">
      <c r="A4758" t="s">
        <v>5768</v>
      </c>
      <c r="B4758" t="s">
        <v>520</v>
      </c>
      <c r="C4758">
        <v>40</v>
      </c>
      <c r="D4758" t="str">
        <f>VLOOKUP(B4758,Products!$A:$E,2,FALSE)</f>
        <v>Product_256</v>
      </c>
      <c r="E4758" t="str">
        <f>VLOOKUP(B4758,Products!$A:$E,3,FALSE)</f>
        <v>Office Supplies</v>
      </c>
    </row>
    <row r="4759" spans="1:5" x14ac:dyDescent="0.3">
      <c r="A4759" t="s">
        <v>5769</v>
      </c>
      <c r="B4759" t="s">
        <v>774</v>
      </c>
      <c r="C4759">
        <v>51</v>
      </c>
      <c r="D4759" t="str">
        <f>VLOOKUP(B4759,Products!$A:$E,2,FALSE)</f>
        <v>Product_383</v>
      </c>
      <c r="E4759" t="str">
        <f>VLOOKUP(B4759,Products!$A:$E,3,FALSE)</f>
        <v>Electronics</v>
      </c>
    </row>
    <row r="4760" spans="1:5" x14ac:dyDescent="0.3">
      <c r="A4760" t="s">
        <v>5770</v>
      </c>
      <c r="B4760" t="s">
        <v>958</v>
      </c>
      <c r="C4760">
        <v>60</v>
      </c>
      <c r="D4760" t="str">
        <f>VLOOKUP(B4760,Products!$A:$E,2,FALSE)</f>
        <v>Product_475</v>
      </c>
      <c r="E4760" t="str">
        <f>VLOOKUP(B4760,Products!$A:$E,3,FALSE)</f>
        <v>Electronics</v>
      </c>
    </row>
    <row r="4761" spans="1:5" x14ac:dyDescent="0.3">
      <c r="A4761" t="s">
        <v>5771</v>
      </c>
      <c r="B4761" t="s">
        <v>298</v>
      </c>
      <c r="C4761">
        <v>38</v>
      </c>
      <c r="D4761" t="str">
        <f>VLOOKUP(B4761,Products!$A:$E,2,FALSE)</f>
        <v>Product_145</v>
      </c>
      <c r="E4761" t="str">
        <f>VLOOKUP(B4761,Products!$A:$E,3,FALSE)</f>
        <v>Office Supplies</v>
      </c>
    </row>
    <row r="4762" spans="1:5" x14ac:dyDescent="0.3">
      <c r="A4762" t="s">
        <v>5772</v>
      </c>
      <c r="B4762" t="s">
        <v>636</v>
      </c>
      <c r="C4762">
        <v>38</v>
      </c>
      <c r="D4762" t="str">
        <f>VLOOKUP(B4762,Products!$A:$E,2,FALSE)</f>
        <v>Product_314</v>
      </c>
      <c r="E4762" t="str">
        <f>VLOOKUP(B4762,Products!$A:$E,3,FALSE)</f>
        <v>Storage</v>
      </c>
    </row>
    <row r="4763" spans="1:5" x14ac:dyDescent="0.3">
      <c r="A4763" t="s">
        <v>5773</v>
      </c>
      <c r="B4763" t="s">
        <v>538</v>
      </c>
      <c r="C4763">
        <v>45</v>
      </c>
      <c r="D4763" t="str">
        <f>VLOOKUP(B4763,Products!$A:$E,2,FALSE)</f>
        <v>Product_265</v>
      </c>
      <c r="E4763" t="str">
        <f>VLOOKUP(B4763,Products!$A:$E,3,FALSE)</f>
        <v>Accessories</v>
      </c>
    </row>
    <row r="4764" spans="1:5" x14ac:dyDescent="0.3">
      <c r="A4764" t="s">
        <v>5774</v>
      </c>
      <c r="B4764" t="s">
        <v>456</v>
      </c>
      <c r="C4764">
        <v>26</v>
      </c>
      <c r="D4764" t="str">
        <f>VLOOKUP(B4764,Products!$A:$E,2,FALSE)</f>
        <v>Product_224</v>
      </c>
      <c r="E4764" t="str">
        <f>VLOOKUP(B4764,Products!$A:$E,3,FALSE)</f>
        <v>Storage</v>
      </c>
    </row>
    <row r="4765" spans="1:5" x14ac:dyDescent="0.3">
      <c r="A4765" t="s">
        <v>5775</v>
      </c>
      <c r="B4765" t="s">
        <v>332</v>
      </c>
      <c r="C4765">
        <v>99</v>
      </c>
      <c r="D4765" t="str">
        <f>VLOOKUP(B4765,Products!$A:$E,2,FALSE)</f>
        <v>Product_162</v>
      </c>
      <c r="E4765" t="str">
        <f>VLOOKUP(B4765,Products!$A:$E,3,FALSE)</f>
        <v>Accessories</v>
      </c>
    </row>
    <row r="4766" spans="1:5" x14ac:dyDescent="0.3">
      <c r="A4766" t="s">
        <v>5776</v>
      </c>
      <c r="B4766" t="s">
        <v>512</v>
      </c>
      <c r="C4766">
        <v>24</v>
      </c>
      <c r="D4766" t="str">
        <f>VLOOKUP(B4766,Products!$A:$E,2,FALSE)</f>
        <v>Product_252</v>
      </c>
      <c r="E4766" t="str">
        <f>VLOOKUP(B4766,Products!$A:$E,3,FALSE)</f>
        <v>Networking</v>
      </c>
    </row>
    <row r="4767" spans="1:5" x14ac:dyDescent="0.3">
      <c r="A4767" t="s">
        <v>5777</v>
      </c>
      <c r="B4767" t="s">
        <v>578</v>
      </c>
      <c r="C4767">
        <v>89</v>
      </c>
      <c r="D4767" t="str">
        <f>VLOOKUP(B4767,Products!$A:$E,2,FALSE)</f>
        <v>Product_285</v>
      </c>
      <c r="E4767" t="str">
        <f>VLOOKUP(B4767,Products!$A:$E,3,FALSE)</f>
        <v>Networking</v>
      </c>
    </row>
    <row r="4768" spans="1:5" x14ac:dyDescent="0.3">
      <c r="A4768" t="s">
        <v>5778</v>
      </c>
      <c r="B4768" t="s">
        <v>660</v>
      </c>
      <c r="C4768">
        <v>61</v>
      </c>
      <c r="D4768" t="str">
        <f>VLOOKUP(B4768,Products!$A:$E,2,FALSE)</f>
        <v>Product_326</v>
      </c>
      <c r="E4768" t="str">
        <f>VLOOKUP(B4768,Products!$A:$E,3,FALSE)</f>
        <v>Electronics</v>
      </c>
    </row>
    <row r="4769" spans="1:5" x14ac:dyDescent="0.3">
      <c r="A4769" t="s">
        <v>5779</v>
      </c>
      <c r="B4769" t="s">
        <v>64</v>
      </c>
      <c r="C4769">
        <v>29</v>
      </c>
      <c r="D4769" t="str">
        <f>VLOOKUP(B4769,Products!$A:$E,2,FALSE)</f>
        <v>Product_28</v>
      </c>
      <c r="E4769" t="str">
        <f>VLOOKUP(B4769,Products!$A:$E,3,FALSE)</f>
        <v>Office Supplies</v>
      </c>
    </row>
    <row r="4770" spans="1:5" x14ac:dyDescent="0.3">
      <c r="A4770" t="s">
        <v>5780</v>
      </c>
      <c r="B4770" t="s">
        <v>162</v>
      </c>
      <c r="C4770">
        <v>11</v>
      </c>
      <c r="D4770" t="str">
        <f>VLOOKUP(B4770,Products!$A:$E,2,FALSE)</f>
        <v>Product_77</v>
      </c>
      <c r="E4770" t="str">
        <f>VLOOKUP(B4770,Products!$A:$E,3,FALSE)</f>
        <v>Networking</v>
      </c>
    </row>
    <row r="4771" spans="1:5" x14ac:dyDescent="0.3">
      <c r="A4771" t="s">
        <v>5781</v>
      </c>
      <c r="B4771" t="s">
        <v>244</v>
      </c>
      <c r="C4771">
        <v>28</v>
      </c>
      <c r="D4771" t="str">
        <f>VLOOKUP(B4771,Products!$A:$E,2,FALSE)</f>
        <v>Product_118</v>
      </c>
      <c r="E4771" t="str">
        <f>VLOOKUP(B4771,Products!$A:$E,3,FALSE)</f>
        <v>Accessories</v>
      </c>
    </row>
    <row r="4772" spans="1:5" x14ac:dyDescent="0.3">
      <c r="A4772" t="s">
        <v>5782</v>
      </c>
      <c r="B4772" t="s">
        <v>46</v>
      </c>
      <c r="C4772">
        <v>65</v>
      </c>
      <c r="D4772" t="str">
        <f>VLOOKUP(B4772,Products!$A:$E,2,FALSE)</f>
        <v>Product_19</v>
      </c>
      <c r="E4772" t="str">
        <f>VLOOKUP(B4772,Products!$A:$E,3,FALSE)</f>
        <v>Networking</v>
      </c>
    </row>
    <row r="4773" spans="1:5" x14ac:dyDescent="0.3">
      <c r="A4773" t="s">
        <v>5783</v>
      </c>
      <c r="B4773" t="s">
        <v>276</v>
      </c>
      <c r="C4773">
        <v>25</v>
      </c>
      <c r="D4773" t="str">
        <f>VLOOKUP(B4773,Products!$A:$E,2,FALSE)</f>
        <v>Product_134</v>
      </c>
      <c r="E4773" t="str">
        <f>VLOOKUP(B4773,Products!$A:$E,3,FALSE)</f>
        <v>Accessories</v>
      </c>
    </row>
    <row r="4774" spans="1:5" x14ac:dyDescent="0.3">
      <c r="A4774" t="s">
        <v>5784</v>
      </c>
      <c r="B4774" t="s">
        <v>732</v>
      </c>
      <c r="C4774">
        <v>64</v>
      </c>
      <c r="D4774" t="str">
        <f>VLOOKUP(B4774,Products!$A:$E,2,FALSE)</f>
        <v>Product_362</v>
      </c>
      <c r="E4774" t="str">
        <f>VLOOKUP(B4774,Products!$A:$E,3,FALSE)</f>
        <v>Networking</v>
      </c>
    </row>
    <row r="4775" spans="1:5" x14ac:dyDescent="0.3">
      <c r="A4775" t="s">
        <v>5785</v>
      </c>
      <c r="B4775" t="s">
        <v>456</v>
      </c>
      <c r="C4775">
        <v>19</v>
      </c>
      <c r="D4775" t="str">
        <f>VLOOKUP(B4775,Products!$A:$E,2,FALSE)</f>
        <v>Product_224</v>
      </c>
      <c r="E4775" t="str">
        <f>VLOOKUP(B4775,Products!$A:$E,3,FALSE)</f>
        <v>Storage</v>
      </c>
    </row>
    <row r="4776" spans="1:5" x14ac:dyDescent="0.3">
      <c r="A4776" t="s">
        <v>5786</v>
      </c>
      <c r="B4776" t="s">
        <v>926</v>
      </c>
      <c r="C4776">
        <v>68</v>
      </c>
      <c r="D4776" t="str">
        <f>VLOOKUP(B4776,Products!$A:$E,2,FALSE)</f>
        <v>Product_459</v>
      </c>
      <c r="E4776" t="str">
        <f>VLOOKUP(B4776,Products!$A:$E,3,FALSE)</f>
        <v>Office Supplies</v>
      </c>
    </row>
    <row r="4777" spans="1:5" x14ac:dyDescent="0.3">
      <c r="A4777" t="s">
        <v>5787</v>
      </c>
      <c r="B4777" t="s">
        <v>50</v>
      </c>
      <c r="C4777">
        <v>61</v>
      </c>
      <c r="D4777" t="str">
        <f>VLOOKUP(B4777,Products!$A:$E,2,FALSE)</f>
        <v>Product_21</v>
      </c>
      <c r="E4777" t="str">
        <f>VLOOKUP(B4777,Products!$A:$E,3,FALSE)</f>
        <v>Office Supplies</v>
      </c>
    </row>
    <row r="4778" spans="1:5" x14ac:dyDescent="0.3">
      <c r="A4778" t="s">
        <v>5788</v>
      </c>
      <c r="B4778" t="s">
        <v>374</v>
      </c>
      <c r="C4778">
        <v>95</v>
      </c>
      <c r="D4778" t="str">
        <f>VLOOKUP(B4778,Products!$A:$E,2,FALSE)</f>
        <v>Product_183</v>
      </c>
      <c r="E4778" t="str">
        <f>VLOOKUP(B4778,Products!$A:$E,3,FALSE)</f>
        <v>Electronics</v>
      </c>
    </row>
    <row r="4779" spans="1:5" x14ac:dyDescent="0.3">
      <c r="A4779" t="s">
        <v>5789</v>
      </c>
      <c r="B4779" t="s">
        <v>584</v>
      </c>
      <c r="C4779">
        <v>67</v>
      </c>
      <c r="D4779" t="str">
        <f>VLOOKUP(B4779,Products!$A:$E,2,FALSE)</f>
        <v>Product_288</v>
      </c>
      <c r="E4779" t="str">
        <f>VLOOKUP(B4779,Products!$A:$E,3,FALSE)</f>
        <v>Networking</v>
      </c>
    </row>
    <row r="4780" spans="1:5" x14ac:dyDescent="0.3">
      <c r="A4780" t="s">
        <v>5790</v>
      </c>
      <c r="B4780" t="s">
        <v>478</v>
      </c>
      <c r="C4780">
        <v>68</v>
      </c>
      <c r="D4780" t="str">
        <f>VLOOKUP(B4780,Products!$A:$E,2,FALSE)</f>
        <v>Product_235</v>
      </c>
      <c r="E4780" t="str">
        <f>VLOOKUP(B4780,Products!$A:$E,3,FALSE)</f>
        <v>Accessories</v>
      </c>
    </row>
    <row r="4781" spans="1:5" x14ac:dyDescent="0.3">
      <c r="A4781" t="s">
        <v>5791</v>
      </c>
      <c r="B4781" t="s">
        <v>124</v>
      </c>
      <c r="C4781">
        <v>97</v>
      </c>
      <c r="D4781" t="str">
        <f>VLOOKUP(B4781,Products!$A:$E,2,FALSE)</f>
        <v>Product_58</v>
      </c>
      <c r="E4781" t="str">
        <f>VLOOKUP(B4781,Products!$A:$E,3,FALSE)</f>
        <v>Office Supplies</v>
      </c>
    </row>
    <row r="4782" spans="1:5" x14ac:dyDescent="0.3">
      <c r="A4782" t="s">
        <v>5792</v>
      </c>
      <c r="B4782" t="s">
        <v>896</v>
      </c>
      <c r="C4782">
        <v>23</v>
      </c>
      <c r="D4782" t="str">
        <f>VLOOKUP(B4782,Products!$A:$E,2,FALSE)</f>
        <v>Product_444</v>
      </c>
      <c r="E4782" t="str">
        <f>VLOOKUP(B4782,Products!$A:$E,3,FALSE)</f>
        <v>Electronics</v>
      </c>
    </row>
    <row r="4783" spans="1:5" x14ac:dyDescent="0.3">
      <c r="A4783" t="s">
        <v>5793</v>
      </c>
      <c r="B4783" t="s">
        <v>136</v>
      </c>
      <c r="C4783">
        <v>49</v>
      </c>
      <c r="D4783" t="str">
        <f>VLOOKUP(B4783,Products!$A:$E,2,FALSE)</f>
        <v>Product_64</v>
      </c>
      <c r="E4783" t="str">
        <f>VLOOKUP(B4783,Products!$A:$E,3,FALSE)</f>
        <v>Storage</v>
      </c>
    </row>
    <row r="4784" spans="1:5" x14ac:dyDescent="0.3">
      <c r="A4784" t="s">
        <v>5794</v>
      </c>
      <c r="B4784" t="s">
        <v>104</v>
      </c>
      <c r="C4784">
        <v>31</v>
      </c>
      <c r="D4784" t="str">
        <f>VLOOKUP(B4784,Products!$A:$E,2,FALSE)</f>
        <v>Product_48</v>
      </c>
      <c r="E4784" t="str">
        <f>VLOOKUP(B4784,Products!$A:$E,3,FALSE)</f>
        <v>Accessories</v>
      </c>
    </row>
    <row r="4785" spans="1:5" x14ac:dyDescent="0.3">
      <c r="A4785" t="s">
        <v>5795</v>
      </c>
      <c r="B4785" t="s">
        <v>898</v>
      </c>
      <c r="C4785">
        <v>41</v>
      </c>
      <c r="D4785" t="str">
        <f>VLOOKUP(B4785,Products!$A:$E,2,FALSE)</f>
        <v>Product_445</v>
      </c>
      <c r="E4785" t="str">
        <f>VLOOKUP(B4785,Products!$A:$E,3,FALSE)</f>
        <v>Office Supplies</v>
      </c>
    </row>
    <row r="4786" spans="1:5" x14ac:dyDescent="0.3">
      <c r="A4786" t="s">
        <v>5796</v>
      </c>
      <c r="B4786" t="s">
        <v>194</v>
      </c>
      <c r="C4786">
        <v>26</v>
      </c>
      <c r="D4786" t="str">
        <f>VLOOKUP(B4786,Products!$A:$E,2,FALSE)</f>
        <v>Product_93</v>
      </c>
      <c r="E4786" t="str">
        <f>VLOOKUP(B4786,Products!$A:$E,3,FALSE)</f>
        <v>Office Supplies</v>
      </c>
    </row>
    <row r="4787" spans="1:5" x14ac:dyDescent="0.3">
      <c r="A4787" t="s">
        <v>5797</v>
      </c>
      <c r="B4787" t="s">
        <v>776</v>
      </c>
      <c r="C4787">
        <v>70</v>
      </c>
      <c r="D4787" t="str">
        <f>VLOOKUP(B4787,Products!$A:$E,2,FALSE)</f>
        <v>Product_384</v>
      </c>
      <c r="E4787" t="str">
        <f>VLOOKUP(B4787,Products!$A:$E,3,FALSE)</f>
        <v>Office Supplies</v>
      </c>
    </row>
    <row r="4788" spans="1:5" x14ac:dyDescent="0.3">
      <c r="A4788" t="s">
        <v>5798</v>
      </c>
      <c r="B4788" t="s">
        <v>852</v>
      </c>
      <c r="C4788">
        <v>39</v>
      </c>
      <c r="D4788" t="str">
        <f>VLOOKUP(B4788,Products!$A:$E,2,FALSE)</f>
        <v>Product_422</v>
      </c>
      <c r="E4788" t="str">
        <f>VLOOKUP(B4788,Products!$A:$E,3,FALSE)</f>
        <v>Accessories</v>
      </c>
    </row>
    <row r="4789" spans="1:5" x14ac:dyDescent="0.3">
      <c r="A4789" t="s">
        <v>5799</v>
      </c>
      <c r="B4789" t="s">
        <v>586</v>
      </c>
      <c r="C4789">
        <v>89</v>
      </c>
      <c r="D4789" t="str">
        <f>VLOOKUP(B4789,Products!$A:$E,2,FALSE)</f>
        <v>Product_289</v>
      </c>
      <c r="E4789" t="str">
        <f>VLOOKUP(B4789,Products!$A:$E,3,FALSE)</f>
        <v>Storage</v>
      </c>
    </row>
    <row r="4790" spans="1:5" x14ac:dyDescent="0.3">
      <c r="A4790" t="s">
        <v>5800</v>
      </c>
      <c r="B4790" t="s">
        <v>608</v>
      </c>
      <c r="C4790">
        <v>32</v>
      </c>
      <c r="D4790" t="str">
        <f>VLOOKUP(B4790,Products!$A:$E,2,FALSE)</f>
        <v>Product_300</v>
      </c>
      <c r="E4790" t="str">
        <f>VLOOKUP(B4790,Products!$A:$E,3,FALSE)</f>
        <v>Accessories</v>
      </c>
    </row>
    <row r="4791" spans="1:5" x14ac:dyDescent="0.3">
      <c r="A4791" t="s">
        <v>5801</v>
      </c>
      <c r="B4791" t="s">
        <v>606</v>
      </c>
      <c r="C4791">
        <v>5</v>
      </c>
      <c r="D4791" t="str">
        <f>VLOOKUP(B4791,Products!$A:$E,2,FALSE)</f>
        <v>Product_299</v>
      </c>
      <c r="E4791" t="str">
        <f>VLOOKUP(B4791,Products!$A:$E,3,FALSE)</f>
        <v>Storage</v>
      </c>
    </row>
    <row r="4792" spans="1:5" x14ac:dyDescent="0.3">
      <c r="A4792" t="s">
        <v>5802</v>
      </c>
      <c r="B4792" t="s">
        <v>548</v>
      </c>
      <c r="C4792">
        <v>78</v>
      </c>
      <c r="D4792" t="str">
        <f>VLOOKUP(B4792,Products!$A:$E,2,FALSE)</f>
        <v>Product_270</v>
      </c>
      <c r="E4792" t="str">
        <f>VLOOKUP(B4792,Products!$A:$E,3,FALSE)</f>
        <v>Electronics</v>
      </c>
    </row>
    <row r="4793" spans="1:5" x14ac:dyDescent="0.3">
      <c r="A4793" t="s">
        <v>5803</v>
      </c>
      <c r="B4793" t="s">
        <v>194</v>
      </c>
      <c r="C4793">
        <v>58</v>
      </c>
      <c r="D4793" t="str">
        <f>VLOOKUP(B4793,Products!$A:$E,2,FALSE)</f>
        <v>Product_93</v>
      </c>
      <c r="E4793" t="str">
        <f>VLOOKUP(B4793,Products!$A:$E,3,FALSE)</f>
        <v>Office Supplies</v>
      </c>
    </row>
    <row r="4794" spans="1:5" x14ac:dyDescent="0.3">
      <c r="A4794" t="s">
        <v>5804</v>
      </c>
      <c r="B4794" t="s">
        <v>952</v>
      </c>
      <c r="C4794">
        <v>14</v>
      </c>
      <c r="D4794" t="str">
        <f>VLOOKUP(B4794,Products!$A:$E,2,FALSE)</f>
        <v>Product_472</v>
      </c>
      <c r="E4794" t="str">
        <f>VLOOKUP(B4794,Products!$A:$E,3,FALSE)</f>
        <v>Electronics</v>
      </c>
    </row>
    <row r="4795" spans="1:5" x14ac:dyDescent="0.3">
      <c r="A4795" t="s">
        <v>5805</v>
      </c>
      <c r="B4795" t="s">
        <v>262</v>
      </c>
      <c r="C4795">
        <v>68</v>
      </c>
      <c r="D4795" t="str">
        <f>VLOOKUP(B4795,Products!$A:$E,2,FALSE)</f>
        <v>Product_127</v>
      </c>
      <c r="E4795" t="str">
        <f>VLOOKUP(B4795,Products!$A:$E,3,FALSE)</f>
        <v>Networking</v>
      </c>
    </row>
    <row r="4796" spans="1:5" x14ac:dyDescent="0.3">
      <c r="A4796" t="s">
        <v>5806</v>
      </c>
      <c r="B4796" t="s">
        <v>702</v>
      </c>
      <c r="C4796">
        <v>17</v>
      </c>
      <c r="D4796" t="str">
        <f>VLOOKUP(B4796,Products!$A:$E,2,FALSE)</f>
        <v>Product_347</v>
      </c>
      <c r="E4796" t="str">
        <f>VLOOKUP(B4796,Products!$A:$E,3,FALSE)</f>
        <v>Storage</v>
      </c>
    </row>
    <row r="4797" spans="1:5" x14ac:dyDescent="0.3">
      <c r="A4797" t="s">
        <v>5807</v>
      </c>
      <c r="B4797" t="s">
        <v>918</v>
      </c>
      <c r="C4797">
        <v>47</v>
      </c>
      <c r="D4797" t="str">
        <f>VLOOKUP(B4797,Products!$A:$E,2,FALSE)</f>
        <v>Product_455</v>
      </c>
      <c r="E4797" t="str">
        <f>VLOOKUP(B4797,Products!$A:$E,3,FALSE)</f>
        <v>Storage</v>
      </c>
    </row>
    <row r="4798" spans="1:5" x14ac:dyDescent="0.3">
      <c r="A4798" t="s">
        <v>5808</v>
      </c>
      <c r="B4798" t="s">
        <v>36</v>
      </c>
      <c r="C4798">
        <v>41</v>
      </c>
      <c r="D4798" t="str">
        <f>VLOOKUP(B4798,Products!$A:$E,2,FALSE)</f>
        <v>Product_14</v>
      </c>
      <c r="E4798" t="str">
        <f>VLOOKUP(B4798,Products!$A:$E,3,FALSE)</f>
        <v>Accessories</v>
      </c>
    </row>
    <row r="4799" spans="1:5" x14ac:dyDescent="0.3">
      <c r="A4799" t="s">
        <v>5809</v>
      </c>
      <c r="B4799" t="s">
        <v>706</v>
      </c>
      <c r="C4799">
        <v>92</v>
      </c>
      <c r="D4799" t="str">
        <f>VLOOKUP(B4799,Products!$A:$E,2,FALSE)</f>
        <v>Product_349</v>
      </c>
      <c r="E4799" t="str">
        <f>VLOOKUP(B4799,Products!$A:$E,3,FALSE)</f>
        <v>Office Supplies</v>
      </c>
    </row>
    <row r="4800" spans="1:5" x14ac:dyDescent="0.3">
      <c r="A4800" t="s">
        <v>5810</v>
      </c>
      <c r="B4800" t="s">
        <v>134</v>
      </c>
      <c r="C4800">
        <v>55</v>
      </c>
      <c r="D4800" t="str">
        <f>VLOOKUP(B4800,Products!$A:$E,2,FALSE)</f>
        <v>Product_63</v>
      </c>
      <c r="E4800" t="str">
        <f>VLOOKUP(B4800,Products!$A:$E,3,FALSE)</f>
        <v>Accessories</v>
      </c>
    </row>
    <row r="4801" spans="1:5" x14ac:dyDescent="0.3">
      <c r="A4801" t="s">
        <v>5811</v>
      </c>
      <c r="B4801" t="s">
        <v>392</v>
      </c>
      <c r="C4801">
        <v>80</v>
      </c>
      <c r="D4801" t="str">
        <f>VLOOKUP(B4801,Products!$A:$E,2,FALSE)</f>
        <v>Product_192</v>
      </c>
      <c r="E4801" t="str">
        <f>VLOOKUP(B4801,Products!$A:$E,3,FALSE)</f>
        <v>Office Supplies</v>
      </c>
    </row>
    <row r="4802" spans="1:5" x14ac:dyDescent="0.3">
      <c r="A4802" t="s">
        <v>5812</v>
      </c>
      <c r="B4802" t="s">
        <v>960</v>
      </c>
      <c r="C4802">
        <v>18</v>
      </c>
      <c r="D4802" t="str">
        <f>VLOOKUP(B4802,Products!$A:$E,2,FALSE)</f>
        <v>Product_476</v>
      </c>
      <c r="E4802" t="str">
        <f>VLOOKUP(B4802,Products!$A:$E,3,FALSE)</f>
        <v>Office Supplies</v>
      </c>
    </row>
    <row r="4803" spans="1:5" x14ac:dyDescent="0.3">
      <c r="A4803" t="s">
        <v>5813</v>
      </c>
      <c r="B4803" t="s">
        <v>866</v>
      </c>
      <c r="C4803">
        <v>46</v>
      </c>
      <c r="D4803" t="str">
        <f>VLOOKUP(B4803,Products!$A:$E,2,FALSE)</f>
        <v>Product_429</v>
      </c>
      <c r="E4803" t="str">
        <f>VLOOKUP(B4803,Products!$A:$E,3,FALSE)</f>
        <v>Office Supplies</v>
      </c>
    </row>
    <row r="4804" spans="1:5" x14ac:dyDescent="0.3">
      <c r="A4804" t="s">
        <v>5814</v>
      </c>
      <c r="B4804" t="s">
        <v>166</v>
      </c>
      <c r="C4804">
        <v>8</v>
      </c>
      <c r="D4804" t="str">
        <f>VLOOKUP(B4804,Products!$A:$E,2,FALSE)</f>
        <v>Product_79</v>
      </c>
      <c r="E4804" t="str">
        <f>VLOOKUP(B4804,Products!$A:$E,3,FALSE)</f>
        <v>Storage</v>
      </c>
    </row>
    <row r="4805" spans="1:5" x14ac:dyDescent="0.3">
      <c r="A4805" t="s">
        <v>5815</v>
      </c>
      <c r="B4805" t="s">
        <v>92</v>
      </c>
      <c r="C4805">
        <v>63</v>
      </c>
      <c r="D4805" t="str">
        <f>VLOOKUP(B4805,Products!$A:$E,2,FALSE)</f>
        <v>Product_42</v>
      </c>
      <c r="E4805" t="str">
        <f>VLOOKUP(B4805,Products!$A:$E,3,FALSE)</f>
        <v>Storage</v>
      </c>
    </row>
    <row r="4806" spans="1:5" x14ac:dyDescent="0.3">
      <c r="A4806" t="s">
        <v>5816</v>
      </c>
      <c r="B4806" t="s">
        <v>860</v>
      </c>
      <c r="C4806">
        <v>95</v>
      </c>
      <c r="D4806" t="str">
        <f>VLOOKUP(B4806,Products!$A:$E,2,FALSE)</f>
        <v>Product_426</v>
      </c>
      <c r="E4806" t="str">
        <f>VLOOKUP(B4806,Products!$A:$E,3,FALSE)</f>
        <v>Storage</v>
      </c>
    </row>
    <row r="4807" spans="1:5" x14ac:dyDescent="0.3">
      <c r="A4807" t="s">
        <v>5817</v>
      </c>
      <c r="B4807" t="s">
        <v>684</v>
      </c>
      <c r="C4807">
        <v>66</v>
      </c>
      <c r="D4807" t="str">
        <f>VLOOKUP(B4807,Products!$A:$E,2,FALSE)</f>
        <v>Product_338</v>
      </c>
      <c r="E4807" t="str">
        <f>VLOOKUP(B4807,Products!$A:$E,3,FALSE)</f>
        <v>Networking</v>
      </c>
    </row>
    <row r="4808" spans="1:5" x14ac:dyDescent="0.3">
      <c r="A4808" t="s">
        <v>5818</v>
      </c>
      <c r="B4808" t="s">
        <v>474</v>
      </c>
      <c r="C4808">
        <v>85</v>
      </c>
      <c r="D4808" t="str">
        <f>VLOOKUP(B4808,Products!$A:$E,2,FALSE)</f>
        <v>Product_233</v>
      </c>
      <c r="E4808" t="str">
        <f>VLOOKUP(B4808,Products!$A:$E,3,FALSE)</f>
        <v>Accessories</v>
      </c>
    </row>
    <row r="4809" spans="1:5" x14ac:dyDescent="0.3">
      <c r="A4809" t="s">
        <v>5819</v>
      </c>
      <c r="B4809" t="s">
        <v>988</v>
      </c>
      <c r="C4809">
        <v>39</v>
      </c>
      <c r="D4809" t="str">
        <f>VLOOKUP(B4809,Products!$A:$E,2,FALSE)</f>
        <v>Product_490</v>
      </c>
      <c r="E4809" t="str">
        <f>VLOOKUP(B4809,Products!$A:$E,3,FALSE)</f>
        <v>Storage</v>
      </c>
    </row>
    <row r="4810" spans="1:5" x14ac:dyDescent="0.3">
      <c r="A4810" t="s">
        <v>5820</v>
      </c>
      <c r="B4810" t="s">
        <v>618</v>
      </c>
      <c r="C4810">
        <v>89</v>
      </c>
      <c r="D4810" t="str">
        <f>VLOOKUP(B4810,Products!$A:$E,2,FALSE)</f>
        <v>Product_305</v>
      </c>
      <c r="E4810" t="str">
        <f>VLOOKUP(B4810,Products!$A:$E,3,FALSE)</f>
        <v>Accessories</v>
      </c>
    </row>
    <row r="4811" spans="1:5" x14ac:dyDescent="0.3">
      <c r="A4811" t="s">
        <v>5821</v>
      </c>
      <c r="B4811" t="s">
        <v>11</v>
      </c>
      <c r="C4811">
        <v>47</v>
      </c>
      <c r="D4811" t="str">
        <f>VLOOKUP(B4811,Products!$A:$E,2,FALSE)</f>
        <v>Product_3</v>
      </c>
      <c r="E4811" t="str">
        <f>VLOOKUP(B4811,Products!$A:$E,3,FALSE)</f>
        <v>Accessories</v>
      </c>
    </row>
    <row r="4812" spans="1:5" x14ac:dyDescent="0.3">
      <c r="A4812" t="s">
        <v>5822</v>
      </c>
      <c r="B4812" t="s">
        <v>1002</v>
      </c>
      <c r="C4812">
        <v>10</v>
      </c>
      <c r="D4812" t="str">
        <f>VLOOKUP(B4812,Products!$A:$E,2,FALSE)</f>
        <v>Product_497</v>
      </c>
      <c r="E4812" t="str">
        <f>VLOOKUP(B4812,Products!$A:$E,3,FALSE)</f>
        <v>Office Supplies</v>
      </c>
    </row>
    <row r="4813" spans="1:5" x14ac:dyDescent="0.3">
      <c r="A4813" t="s">
        <v>5823</v>
      </c>
      <c r="B4813" t="s">
        <v>680</v>
      </c>
      <c r="C4813">
        <v>84</v>
      </c>
      <c r="D4813" t="str">
        <f>VLOOKUP(B4813,Products!$A:$E,2,FALSE)</f>
        <v>Product_336</v>
      </c>
      <c r="E4813" t="str">
        <f>VLOOKUP(B4813,Products!$A:$E,3,FALSE)</f>
        <v>Storage</v>
      </c>
    </row>
    <row r="4814" spans="1:5" x14ac:dyDescent="0.3">
      <c r="A4814" t="s">
        <v>5824</v>
      </c>
      <c r="B4814" t="s">
        <v>982</v>
      </c>
      <c r="C4814">
        <v>62</v>
      </c>
      <c r="D4814" t="str">
        <f>VLOOKUP(B4814,Products!$A:$E,2,FALSE)</f>
        <v>Product_487</v>
      </c>
      <c r="E4814" t="str">
        <f>VLOOKUP(B4814,Products!$A:$E,3,FALSE)</f>
        <v>Networking</v>
      </c>
    </row>
    <row r="4815" spans="1:5" x14ac:dyDescent="0.3">
      <c r="A4815" t="s">
        <v>5825</v>
      </c>
      <c r="B4815" t="s">
        <v>342</v>
      </c>
      <c r="C4815">
        <v>98</v>
      </c>
      <c r="D4815" t="str">
        <f>VLOOKUP(B4815,Products!$A:$E,2,FALSE)</f>
        <v>Product_167</v>
      </c>
      <c r="E4815" t="str">
        <f>VLOOKUP(B4815,Products!$A:$E,3,FALSE)</f>
        <v>Electronics</v>
      </c>
    </row>
    <row r="4816" spans="1:5" x14ac:dyDescent="0.3">
      <c r="A4816" t="s">
        <v>5826</v>
      </c>
      <c r="B4816" t="s">
        <v>760</v>
      </c>
      <c r="C4816">
        <v>77</v>
      </c>
      <c r="D4816" t="str">
        <f>VLOOKUP(B4816,Products!$A:$E,2,FALSE)</f>
        <v>Product_376</v>
      </c>
      <c r="E4816" t="str">
        <f>VLOOKUP(B4816,Products!$A:$E,3,FALSE)</f>
        <v>Networking</v>
      </c>
    </row>
    <row r="4817" spans="1:5" x14ac:dyDescent="0.3">
      <c r="A4817" t="s">
        <v>5827</v>
      </c>
      <c r="B4817" t="s">
        <v>142</v>
      </c>
      <c r="C4817">
        <v>32</v>
      </c>
      <c r="D4817" t="str">
        <f>VLOOKUP(B4817,Products!$A:$E,2,FALSE)</f>
        <v>Product_67</v>
      </c>
      <c r="E4817" t="str">
        <f>VLOOKUP(B4817,Products!$A:$E,3,FALSE)</f>
        <v>Office Supplies</v>
      </c>
    </row>
    <row r="4818" spans="1:5" x14ac:dyDescent="0.3">
      <c r="A4818" t="s">
        <v>5828</v>
      </c>
      <c r="B4818" t="s">
        <v>892</v>
      </c>
      <c r="C4818">
        <v>11</v>
      </c>
      <c r="D4818" t="str">
        <f>VLOOKUP(B4818,Products!$A:$E,2,FALSE)</f>
        <v>Product_442</v>
      </c>
      <c r="E4818" t="str">
        <f>VLOOKUP(B4818,Products!$A:$E,3,FALSE)</f>
        <v>Networking</v>
      </c>
    </row>
    <row r="4819" spans="1:5" x14ac:dyDescent="0.3">
      <c r="A4819" t="s">
        <v>5829</v>
      </c>
      <c r="B4819" t="s">
        <v>830</v>
      </c>
      <c r="C4819">
        <v>87</v>
      </c>
      <c r="D4819" t="str">
        <f>VLOOKUP(B4819,Products!$A:$E,2,FALSE)</f>
        <v>Product_411</v>
      </c>
      <c r="E4819" t="str">
        <f>VLOOKUP(B4819,Products!$A:$E,3,FALSE)</f>
        <v>Office Supplies</v>
      </c>
    </row>
    <row r="4820" spans="1:5" x14ac:dyDescent="0.3">
      <c r="A4820" t="s">
        <v>5830</v>
      </c>
      <c r="B4820" t="s">
        <v>298</v>
      </c>
      <c r="C4820">
        <v>46</v>
      </c>
      <c r="D4820" t="str">
        <f>VLOOKUP(B4820,Products!$A:$E,2,FALSE)</f>
        <v>Product_145</v>
      </c>
      <c r="E4820" t="str">
        <f>VLOOKUP(B4820,Products!$A:$E,3,FALSE)</f>
        <v>Office Supplies</v>
      </c>
    </row>
    <row r="4821" spans="1:5" x14ac:dyDescent="0.3">
      <c r="A4821" t="s">
        <v>5831</v>
      </c>
      <c r="B4821" t="s">
        <v>826</v>
      </c>
      <c r="C4821">
        <v>12</v>
      </c>
      <c r="D4821" t="str">
        <f>VLOOKUP(B4821,Products!$A:$E,2,FALSE)</f>
        <v>Product_409</v>
      </c>
      <c r="E4821" t="str">
        <f>VLOOKUP(B4821,Products!$A:$E,3,FALSE)</f>
        <v>Office Supplies</v>
      </c>
    </row>
    <row r="4822" spans="1:5" x14ac:dyDescent="0.3">
      <c r="A4822" t="s">
        <v>5832</v>
      </c>
      <c r="B4822" t="s">
        <v>770</v>
      </c>
      <c r="C4822">
        <v>14</v>
      </c>
      <c r="D4822" t="str">
        <f>VLOOKUP(B4822,Products!$A:$E,2,FALSE)</f>
        <v>Product_381</v>
      </c>
      <c r="E4822" t="str">
        <f>VLOOKUP(B4822,Products!$A:$E,3,FALSE)</f>
        <v>Storage</v>
      </c>
    </row>
    <row r="4823" spans="1:5" x14ac:dyDescent="0.3">
      <c r="A4823" t="s">
        <v>5833</v>
      </c>
      <c r="B4823" t="s">
        <v>570</v>
      </c>
      <c r="C4823">
        <v>82</v>
      </c>
      <c r="D4823" t="str">
        <f>VLOOKUP(B4823,Products!$A:$E,2,FALSE)</f>
        <v>Product_281</v>
      </c>
      <c r="E4823" t="str">
        <f>VLOOKUP(B4823,Products!$A:$E,3,FALSE)</f>
        <v>Office Supplies</v>
      </c>
    </row>
    <row r="4824" spans="1:5" x14ac:dyDescent="0.3">
      <c r="A4824" t="s">
        <v>5834</v>
      </c>
      <c r="B4824" t="s">
        <v>400</v>
      </c>
      <c r="C4824">
        <v>16</v>
      </c>
      <c r="D4824" t="str">
        <f>VLOOKUP(B4824,Products!$A:$E,2,FALSE)</f>
        <v>Product_196</v>
      </c>
      <c r="E4824" t="str">
        <f>VLOOKUP(B4824,Products!$A:$E,3,FALSE)</f>
        <v>Office Supplies</v>
      </c>
    </row>
    <row r="4825" spans="1:5" x14ac:dyDescent="0.3">
      <c r="A4825" t="s">
        <v>5835</v>
      </c>
      <c r="B4825" t="s">
        <v>418</v>
      </c>
      <c r="C4825">
        <v>37</v>
      </c>
      <c r="D4825" t="str">
        <f>VLOOKUP(B4825,Products!$A:$E,2,FALSE)</f>
        <v>Product_205</v>
      </c>
      <c r="E4825" t="str">
        <f>VLOOKUP(B4825,Products!$A:$E,3,FALSE)</f>
        <v>Storage</v>
      </c>
    </row>
    <row r="4826" spans="1:5" x14ac:dyDescent="0.3">
      <c r="A4826" t="s">
        <v>5836</v>
      </c>
      <c r="B4826" t="s">
        <v>192</v>
      </c>
      <c r="C4826">
        <v>35</v>
      </c>
      <c r="D4826" t="str">
        <f>VLOOKUP(B4826,Products!$A:$E,2,FALSE)</f>
        <v>Product_92</v>
      </c>
      <c r="E4826" t="str">
        <f>VLOOKUP(B4826,Products!$A:$E,3,FALSE)</f>
        <v>Electronics</v>
      </c>
    </row>
    <row r="4827" spans="1:5" x14ac:dyDescent="0.3">
      <c r="A4827" t="s">
        <v>5837</v>
      </c>
      <c r="B4827" t="s">
        <v>998</v>
      </c>
      <c r="C4827">
        <v>56</v>
      </c>
      <c r="D4827" t="str">
        <f>VLOOKUP(B4827,Products!$A:$E,2,FALSE)</f>
        <v>Product_495</v>
      </c>
      <c r="E4827" t="str">
        <f>VLOOKUP(B4827,Products!$A:$E,3,FALSE)</f>
        <v>Networking</v>
      </c>
    </row>
    <row r="4828" spans="1:5" x14ac:dyDescent="0.3">
      <c r="A4828" t="s">
        <v>5838</v>
      </c>
      <c r="B4828" t="s">
        <v>100</v>
      </c>
      <c r="C4828">
        <v>7</v>
      </c>
      <c r="D4828" t="str">
        <f>VLOOKUP(B4828,Products!$A:$E,2,FALSE)</f>
        <v>Product_46</v>
      </c>
      <c r="E4828" t="str">
        <f>VLOOKUP(B4828,Products!$A:$E,3,FALSE)</f>
        <v>Networking</v>
      </c>
    </row>
    <row r="4829" spans="1:5" x14ac:dyDescent="0.3">
      <c r="A4829" t="s">
        <v>5839</v>
      </c>
      <c r="B4829" t="s">
        <v>882</v>
      </c>
      <c r="C4829">
        <v>31</v>
      </c>
      <c r="D4829" t="str">
        <f>VLOOKUP(B4829,Products!$A:$E,2,FALSE)</f>
        <v>Product_437</v>
      </c>
      <c r="E4829" t="str">
        <f>VLOOKUP(B4829,Products!$A:$E,3,FALSE)</f>
        <v>Accessories</v>
      </c>
    </row>
    <row r="4830" spans="1:5" x14ac:dyDescent="0.3">
      <c r="A4830" t="s">
        <v>5840</v>
      </c>
      <c r="B4830" t="s">
        <v>176</v>
      </c>
      <c r="C4830">
        <v>54</v>
      </c>
      <c r="D4830" t="str">
        <f>VLOOKUP(B4830,Products!$A:$E,2,FALSE)</f>
        <v>Product_84</v>
      </c>
      <c r="E4830" t="str">
        <f>VLOOKUP(B4830,Products!$A:$E,3,FALSE)</f>
        <v>Electronics</v>
      </c>
    </row>
    <row r="4831" spans="1:5" x14ac:dyDescent="0.3">
      <c r="A4831" t="s">
        <v>5841</v>
      </c>
      <c r="B4831" t="s">
        <v>808</v>
      </c>
      <c r="C4831">
        <v>56</v>
      </c>
      <c r="D4831" t="str">
        <f>VLOOKUP(B4831,Products!$A:$E,2,FALSE)</f>
        <v>Product_400</v>
      </c>
      <c r="E4831" t="str">
        <f>VLOOKUP(B4831,Products!$A:$E,3,FALSE)</f>
        <v>Networking</v>
      </c>
    </row>
    <row r="4832" spans="1:5" x14ac:dyDescent="0.3">
      <c r="A4832" t="s">
        <v>5842</v>
      </c>
      <c r="B4832" t="s">
        <v>300</v>
      </c>
      <c r="C4832">
        <v>87</v>
      </c>
      <c r="D4832" t="str">
        <f>VLOOKUP(B4832,Products!$A:$E,2,FALSE)</f>
        <v>Product_146</v>
      </c>
      <c r="E4832" t="str">
        <f>VLOOKUP(B4832,Products!$A:$E,3,FALSE)</f>
        <v>Office Supplies</v>
      </c>
    </row>
    <row r="4833" spans="1:5" x14ac:dyDescent="0.3">
      <c r="A4833" t="s">
        <v>5843</v>
      </c>
      <c r="B4833" t="s">
        <v>780</v>
      </c>
      <c r="C4833">
        <v>88</v>
      </c>
      <c r="D4833" t="str">
        <f>VLOOKUP(B4833,Products!$A:$E,2,FALSE)</f>
        <v>Product_386</v>
      </c>
      <c r="E4833" t="str">
        <f>VLOOKUP(B4833,Products!$A:$E,3,FALSE)</f>
        <v>Electronics</v>
      </c>
    </row>
    <row r="4834" spans="1:5" x14ac:dyDescent="0.3">
      <c r="A4834" t="s">
        <v>5844</v>
      </c>
      <c r="B4834" t="s">
        <v>166</v>
      </c>
      <c r="C4834">
        <v>20</v>
      </c>
      <c r="D4834" t="str">
        <f>VLOOKUP(B4834,Products!$A:$E,2,FALSE)</f>
        <v>Product_79</v>
      </c>
      <c r="E4834" t="str">
        <f>VLOOKUP(B4834,Products!$A:$E,3,FALSE)</f>
        <v>Storage</v>
      </c>
    </row>
    <row r="4835" spans="1:5" x14ac:dyDescent="0.3">
      <c r="A4835" t="s">
        <v>5845</v>
      </c>
      <c r="B4835" t="s">
        <v>314</v>
      </c>
      <c r="C4835">
        <v>67</v>
      </c>
      <c r="D4835" t="str">
        <f>VLOOKUP(B4835,Products!$A:$E,2,FALSE)</f>
        <v>Product_153</v>
      </c>
      <c r="E4835" t="str">
        <f>VLOOKUP(B4835,Products!$A:$E,3,FALSE)</f>
        <v>Electronics</v>
      </c>
    </row>
    <row r="4836" spans="1:5" x14ac:dyDescent="0.3">
      <c r="A4836" t="s">
        <v>5846</v>
      </c>
      <c r="B4836" t="s">
        <v>830</v>
      </c>
      <c r="C4836">
        <v>60</v>
      </c>
      <c r="D4836" t="str">
        <f>VLOOKUP(B4836,Products!$A:$E,2,FALSE)</f>
        <v>Product_411</v>
      </c>
      <c r="E4836" t="str">
        <f>VLOOKUP(B4836,Products!$A:$E,3,FALSE)</f>
        <v>Office Supplies</v>
      </c>
    </row>
    <row r="4837" spans="1:5" x14ac:dyDescent="0.3">
      <c r="A4837" t="s">
        <v>5847</v>
      </c>
      <c r="B4837" t="s">
        <v>762</v>
      </c>
      <c r="C4837">
        <v>44</v>
      </c>
      <c r="D4837" t="str">
        <f>VLOOKUP(B4837,Products!$A:$E,2,FALSE)</f>
        <v>Product_377</v>
      </c>
      <c r="E4837" t="str">
        <f>VLOOKUP(B4837,Products!$A:$E,3,FALSE)</f>
        <v>Networking</v>
      </c>
    </row>
    <row r="4838" spans="1:5" x14ac:dyDescent="0.3">
      <c r="A4838" t="s">
        <v>5848</v>
      </c>
      <c r="B4838" t="s">
        <v>934</v>
      </c>
      <c r="C4838">
        <v>92</v>
      </c>
      <c r="D4838" t="str">
        <f>VLOOKUP(B4838,Products!$A:$E,2,FALSE)</f>
        <v>Product_463</v>
      </c>
      <c r="E4838" t="str">
        <f>VLOOKUP(B4838,Products!$A:$E,3,FALSE)</f>
        <v>Networking</v>
      </c>
    </row>
    <row r="4839" spans="1:5" x14ac:dyDescent="0.3">
      <c r="A4839" t="s">
        <v>5849</v>
      </c>
      <c r="B4839" t="s">
        <v>626</v>
      </c>
      <c r="C4839">
        <v>21</v>
      </c>
      <c r="D4839" t="str">
        <f>VLOOKUP(B4839,Products!$A:$E,2,FALSE)</f>
        <v>Product_309</v>
      </c>
      <c r="E4839" t="str">
        <f>VLOOKUP(B4839,Products!$A:$E,3,FALSE)</f>
        <v>Networking</v>
      </c>
    </row>
    <row r="4840" spans="1:5" x14ac:dyDescent="0.3">
      <c r="A4840" t="s">
        <v>5850</v>
      </c>
      <c r="B4840" t="s">
        <v>376</v>
      </c>
      <c r="C4840">
        <v>90</v>
      </c>
      <c r="D4840" t="str">
        <f>VLOOKUP(B4840,Products!$A:$E,2,FALSE)</f>
        <v>Product_184</v>
      </c>
      <c r="E4840" t="str">
        <f>VLOOKUP(B4840,Products!$A:$E,3,FALSE)</f>
        <v>Electronics</v>
      </c>
    </row>
    <row r="4841" spans="1:5" x14ac:dyDescent="0.3">
      <c r="A4841" t="s">
        <v>5851</v>
      </c>
      <c r="B4841" t="s">
        <v>108</v>
      </c>
      <c r="C4841">
        <v>52</v>
      </c>
      <c r="D4841" t="str">
        <f>VLOOKUP(B4841,Products!$A:$E,2,FALSE)</f>
        <v>Product_50</v>
      </c>
      <c r="E4841" t="str">
        <f>VLOOKUP(B4841,Products!$A:$E,3,FALSE)</f>
        <v>Networking</v>
      </c>
    </row>
    <row r="4842" spans="1:5" x14ac:dyDescent="0.3">
      <c r="A4842" t="s">
        <v>5852</v>
      </c>
      <c r="B4842" t="s">
        <v>534</v>
      </c>
      <c r="C4842">
        <v>30</v>
      </c>
      <c r="D4842" t="str">
        <f>VLOOKUP(B4842,Products!$A:$E,2,FALSE)</f>
        <v>Product_263</v>
      </c>
      <c r="E4842" t="str">
        <f>VLOOKUP(B4842,Products!$A:$E,3,FALSE)</f>
        <v>Accessories</v>
      </c>
    </row>
    <row r="4843" spans="1:5" x14ac:dyDescent="0.3">
      <c r="A4843" t="s">
        <v>5853</v>
      </c>
      <c r="B4843" t="s">
        <v>510</v>
      </c>
      <c r="C4843">
        <v>62</v>
      </c>
      <c r="D4843" t="str">
        <f>VLOOKUP(B4843,Products!$A:$E,2,FALSE)</f>
        <v>Product_251</v>
      </c>
      <c r="E4843" t="str">
        <f>VLOOKUP(B4843,Products!$A:$E,3,FALSE)</f>
        <v>Electronics</v>
      </c>
    </row>
    <row r="4844" spans="1:5" x14ac:dyDescent="0.3">
      <c r="A4844" t="s">
        <v>5854</v>
      </c>
      <c r="B4844" t="s">
        <v>916</v>
      </c>
      <c r="C4844">
        <v>54</v>
      </c>
      <c r="D4844" t="str">
        <f>VLOOKUP(B4844,Products!$A:$E,2,FALSE)</f>
        <v>Product_454</v>
      </c>
      <c r="E4844" t="str">
        <f>VLOOKUP(B4844,Products!$A:$E,3,FALSE)</f>
        <v>Networking</v>
      </c>
    </row>
    <row r="4845" spans="1:5" x14ac:dyDescent="0.3">
      <c r="A4845" t="s">
        <v>5855</v>
      </c>
      <c r="B4845" t="s">
        <v>496</v>
      </c>
      <c r="C4845">
        <v>39</v>
      </c>
      <c r="D4845" t="str">
        <f>VLOOKUP(B4845,Products!$A:$E,2,FALSE)</f>
        <v>Product_244</v>
      </c>
      <c r="E4845" t="str">
        <f>VLOOKUP(B4845,Products!$A:$E,3,FALSE)</f>
        <v>Accessories</v>
      </c>
    </row>
    <row r="4846" spans="1:5" x14ac:dyDescent="0.3">
      <c r="A4846" t="s">
        <v>5856</v>
      </c>
      <c r="B4846" t="s">
        <v>586</v>
      </c>
      <c r="C4846">
        <v>81</v>
      </c>
      <c r="D4846" t="str">
        <f>VLOOKUP(B4846,Products!$A:$E,2,FALSE)</f>
        <v>Product_289</v>
      </c>
      <c r="E4846" t="str">
        <f>VLOOKUP(B4846,Products!$A:$E,3,FALSE)</f>
        <v>Storage</v>
      </c>
    </row>
    <row r="4847" spans="1:5" x14ac:dyDescent="0.3">
      <c r="A4847" t="s">
        <v>5857</v>
      </c>
      <c r="B4847" t="s">
        <v>442</v>
      </c>
      <c r="C4847">
        <v>16</v>
      </c>
      <c r="D4847" t="str">
        <f>VLOOKUP(B4847,Products!$A:$E,2,FALSE)</f>
        <v>Product_217</v>
      </c>
      <c r="E4847" t="str">
        <f>VLOOKUP(B4847,Products!$A:$E,3,FALSE)</f>
        <v>Networking</v>
      </c>
    </row>
    <row r="4848" spans="1:5" x14ac:dyDescent="0.3">
      <c r="A4848" t="s">
        <v>5858</v>
      </c>
      <c r="B4848" t="s">
        <v>784</v>
      </c>
      <c r="C4848">
        <v>59</v>
      </c>
      <c r="D4848" t="str">
        <f>VLOOKUP(B4848,Products!$A:$E,2,FALSE)</f>
        <v>Product_388</v>
      </c>
      <c r="E4848" t="str">
        <f>VLOOKUP(B4848,Products!$A:$E,3,FALSE)</f>
        <v>Office Supplies</v>
      </c>
    </row>
    <row r="4849" spans="1:5" x14ac:dyDescent="0.3">
      <c r="A4849" t="s">
        <v>5859</v>
      </c>
      <c r="B4849" t="s">
        <v>840</v>
      </c>
      <c r="C4849">
        <v>52</v>
      </c>
      <c r="D4849" t="str">
        <f>VLOOKUP(B4849,Products!$A:$E,2,FALSE)</f>
        <v>Product_416</v>
      </c>
      <c r="E4849" t="str">
        <f>VLOOKUP(B4849,Products!$A:$E,3,FALSE)</f>
        <v>Accessories</v>
      </c>
    </row>
    <row r="4850" spans="1:5" x14ac:dyDescent="0.3">
      <c r="A4850" t="s">
        <v>5860</v>
      </c>
      <c r="B4850" t="s">
        <v>638</v>
      </c>
      <c r="C4850">
        <v>28</v>
      </c>
      <c r="D4850" t="str">
        <f>VLOOKUP(B4850,Products!$A:$E,2,FALSE)</f>
        <v>Product_315</v>
      </c>
      <c r="E4850" t="str">
        <f>VLOOKUP(B4850,Products!$A:$E,3,FALSE)</f>
        <v>Accessories</v>
      </c>
    </row>
    <row r="4851" spans="1:5" x14ac:dyDescent="0.3">
      <c r="A4851" t="s">
        <v>5861</v>
      </c>
      <c r="B4851" t="s">
        <v>454</v>
      </c>
      <c r="C4851">
        <v>85</v>
      </c>
      <c r="D4851" t="str">
        <f>VLOOKUP(B4851,Products!$A:$E,2,FALSE)</f>
        <v>Product_223</v>
      </c>
      <c r="E4851" t="str">
        <f>VLOOKUP(B4851,Products!$A:$E,3,FALSE)</f>
        <v>Storage</v>
      </c>
    </row>
    <row r="4852" spans="1:5" x14ac:dyDescent="0.3">
      <c r="A4852" t="s">
        <v>5862</v>
      </c>
      <c r="B4852" t="s">
        <v>446</v>
      </c>
      <c r="C4852">
        <v>16</v>
      </c>
      <c r="D4852" t="str">
        <f>VLOOKUP(B4852,Products!$A:$E,2,FALSE)</f>
        <v>Product_219</v>
      </c>
      <c r="E4852" t="str">
        <f>VLOOKUP(B4852,Products!$A:$E,3,FALSE)</f>
        <v>Accessories</v>
      </c>
    </row>
    <row r="4853" spans="1:5" x14ac:dyDescent="0.3">
      <c r="A4853" t="s">
        <v>5863</v>
      </c>
      <c r="B4853" t="s">
        <v>50</v>
      </c>
      <c r="C4853">
        <v>70</v>
      </c>
      <c r="D4853" t="str">
        <f>VLOOKUP(B4853,Products!$A:$E,2,FALSE)</f>
        <v>Product_21</v>
      </c>
      <c r="E4853" t="str">
        <f>VLOOKUP(B4853,Products!$A:$E,3,FALSE)</f>
        <v>Office Supplies</v>
      </c>
    </row>
    <row r="4854" spans="1:5" x14ac:dyDescent="0.3">
      <c r="A4854" t="s">
        <v>5864</v>
      </c>
      <c r="B4854" t="s">
        <v>358</v>
      </c>
      <c r="C4854">
        <v>64</v>
      </c>
      <c r="D4854" t="str">
        <f>VLOOKUP(B4854,Products!$A:$E,2,FALSE)</f>
        <v>Product_175</v>
      </c>
      <c r="E4854" t="str">
        <f>VLOOKUP(B4854,Products!$A:$E,3,FALSE)</f>
        <v>Storage</v>
      </c>
    </row>
    <row r="4855" spans="1:5" x14ac:dyDescent="0.3">
      <c r="A4855" t="s">
        <v>5865</v>
      </c>
      <c r="B4855" t="s">
        <v>702</v>
      </c>
      <c r="C4855">
        <v>33</v>
      </c>
      <c r="D4855" t="str">
        <f>VLOOKUP(B4855,Products!$A:$E,2,FALSE)</f>
        <v>Product_347</v>
      </c>
      <c r="E4855" t="str">
        <f>VLOOKUP(B4855,Products!$A:$E,3,FALSE)</f>
        <v>Storage</v>
      </c>
    </row>
    <row r="4856" spans="1:5" x14ac:dyDescent="0.3">
      <c r="A4856" t="s">
        <v>5866</v>
      </c>
      <c r="B4856" t="s">
        <v>672</v>
      </c>
      <c r="C4856">
        <v>92</v>
      </c>
      <c r="D4856" t="str">
        <f>VLOOKUP(B4856,Products!$A:$E,2,FALSE)</f>
        <v>Product_332</v>
      </c>
      <c r="E4856" t="str">
        <f>VLOOKUP(B4856,Products!$A:$E,3,FALSE)</f>
        <v>Electronics</v>
      </c>
    </row>
    <row r="4857" spans="1:5" x14ac:dyDescent="0.3">
      <c r="A4857" t="s">
        <v>5867</v>
      </c>
      <c r="B4857" t="s">
        <v>740</v>
      </c>
      <c r="C4857">
        <v>24</v>
      </c>
      <c r="D4857" t="str">
        <f>VLOOKUP(B4857,Products!$A:$E,2,FALSE)</f>
        <v>Product_366</v>
      </c>
      <c r="E4857" t="str">
        <f>VLOOKUP(B4857,Products!$A:$E,3,FALSE)</f>
        <v>Electronics</v>
      </c>
    </row>
    <row r="4858" spans="1:5" x14ac:dyDescent="0.3">
      <c r="A4858" t="s">
        <v>5868</v>
      </c>
      <c r="B4858" t="s">
        <v>962</v>
      </c>
      <c r="C4858">
        <v>68</v>
      </c>
      <c r="D4858" t="str">
        <f>VLOOKUP(B4858,Products!$A:$E,2,FALSE)</f>
        <v>Product_477</v>
      </c>
      <c r="E4858" t="str">
        <f>VLOOKUP(B4858,Products!$A:$E,3,FALSE)</f>
        <v>Networking</v>
      </c>
    </row>
    <row r="4859" spans="1:5" x14ac:dyDescent="0.3">
      <c r="A4859" t="s">
        <v>5869</v>
      </c>
      <c r="B4859" t="s">
        <v>548</v>
      </c>
      <c r="C4859">
        <v>85</v>
      </c>
      <c r="D4859" t="str">
        <f>VLOOKUP(B4859,Products!$A:$E,2,FALSE)</f>
        <v>Product_270</v>
      </c>
      <c r="E4859" t="str">
        <f>VLOOKUP(B4859,Products!$A:$E,3,FALSE)</f>
        <v>Electronics</v>
      </c>
    </row>
    <row r="4860" spans="1:5" x14ac:dyDescent="0.3">
      <c r="A4860" t="s">
        <v>5870</v>
      </c>
      <c r="B4860" t="s">
        <v>672</v>
      </c>
      <c r="C4860">
        <v>72</v>
      </c>
      <c r="D4860" t="str">
        <f>VLOOKUP(B4860,Products!$A:$E,2,FALSE)</f>
        <v>Product_332</v>
      </c>
      <c r="E4860" t="str">
        <f>VLOOKUP(B4860,Products!$A:$E,3,FALSE)</f>
        <v>Electronics</v>
      </c>
    </row>
    <row r="4861" spans="1:5" x14ac:dyDescent="0.3">
      <c r="A4861" t="s">
        <v>5871</v>
      </c>
      <c r="B4861" t="s">
        <v>94</v>
      </c>
      <c r="C4861">
        <v>42</v>
      </c>
      <c r="D4861" t="str">
        <f>VLOOKUP(B4861,Products!$A:$E,2,FALSE)</f>
        <v>Product_43</v>
      </c>
      <c r="E4861" t="str">
        <f>VLOOKUP(B4861,Products!$A:$E,3,FALSE)</f>
        <v>Storage</v>
      </c>
    </row>
    <row r="4862" spans="1:5" x14ac:dyDescent="0.3">
      <c r="A4862" t="s">
        <v>5872</v>
      </c>
      <c r="B4862" t="s">
        <v>488</v>
      </c>
      <c r="C4862">
        <v>60</v>
      </c>
      <c r="D4862" t="str">
        <f>VLOOKUP(B4862,Products!$A:$E,2,FALSE)</f>
        <v>Product_240</v>
      </c>
      <c r="E4862" t="str">
        <f>VLOOKUP(B4862,Products!$A:$E,3,FALSE)</f>
        <v>Storage</v>
      </c>
    </row>
    <row r="4863" spans="1:5" x14ac:dyDescent="0.3">
      <c r="A4863" t="s">
        <v>5873</v>
      </c>
      <c r="B4863" t="s">
        <v>90</v>
      </c>
      <c r="C4863">
        <v>66</v>
      </c>
      <c r="D4863" t="str">
        <f>VLOOKUP(B4863,Products!$A:$E,2,FALSE)</f>
        <v>Product_41</v>
      </c>
      <c r="E4863" t="str">
        <f>VLOOKUP(B4863,Products!$A:$E,3,FALSE)</f>
        <v>Accessories</v>
      </c>
    </row>
    <row r="4864" spans="1:5" x14ac:dyDescent="0.3">
      <c r="A4864" t="s">
        <v>5874</v>
      </c>
      <c r="B4864" t="s">
        <v>316</v>
      </c>
      <c r="C4864">
        <v>24</v>
      </c>
      <c r="D4864" t="str">
        <f>VLOOKUP(B4864,Products!$A:$E,2,FALSE)</f>
        <v>Product_154</v>
      </c>
      <c r="E4864" t="str">
        <f>VLOOKUP(B4864,Products!$A:$E,3,FALSE)</f>
        <v>Accessories</v>
      </c>
    </row>
    <row r="4865" spans="1:5" x14ac:dyDescent="0.3">
      <c r="A4865" t="s">
        <v>5875</v>
      </c>
      <c r="B4865" t="s">
        <v>140</v>
      </c>
      <c r="C4865">
        <v>92</v>
      </c>
      <c r="D4865" t="str">
        <f>VLOOKUP(B4865,Products!$A:$E,2,FALSE)</f>
        <v>Product_66</v>
      </c>
      <c r="E4865" t="str">
        <f>VLOOKUP(B4865,Products!$A:$E,3,FALSE)</f>
        <v>Electronics</v>
      </c>
    </row>
    <row r="4866" spans="1:5" x14ac:dyDescent="0.3">
      <c r="A4866" t="s">
        <v>5876</v>
      </c>
      <c r="B4866" t="s">
        <v>934</v>
      </c>
      <c r="C4866">
        <v>43</v>
      </c>
      <c r="D4866" t="str">
        <f>VLOOKUP(B4866,Products!$A:$E,2,FALSE)</f>
        <v>Product_463</v>
      </c>
      <c r="E4866" t="str">
        <f>VLOOKUP(B4866,Products!$A:$E,3,FALSE)</f>
        <v>Networking</v>
      </c>
    </row>
    <row r="4867" spans="1:5" x14ac:dyDescent="0.3">
      <c r="A4867" t="s">
        <v>5877</v>
      </c>
      <c r="B4867" t="s">
        <v>870</v>
      </c>
      <c r="C4867">
        <v>36</v>
      </c>
      <c r="D4867" t="str">
        <f>VLOOKUP(B4867,Products!$A:$E,2,FALSE)</f>
        <v>Product_431</v>
      </c>
      <c r="E4867" t="str">
        <f>VLOOKUP(B4867,Products!$A:$E,3,FALSE)</f>
        <v>Electronics</v>
      </c>
    </row>
    <row r="4868" spans="1:5" x14ac:dyDescent="0.3">
      <c r="A4868" t="s">
        <v>5878</v>
      </c>
      <c r="B4868" t="s">
        <v>544</v>
      </c>
      <c r="C4868">
        <v>59</v>
      </c>
      <c r="D4868" t="str">
        <f>VLOOKUP(B4868,Products!$A:$E,2,FALSE)</f>
        <v>Product_268</v>
      </c>
      <c r="E4868" t="str">
        <f>VLOOKUP(B4868,Products!$A:$E,3,FALSE)</f>
        <v>Office Supplies</v>
      </c>
    </row>
    <row r="4869" spans="1:5" x14ac:dyDescent="0.3">
      <c r="A4869" t="s">
        <v>5879</v>
      </c>
      <c r="B4869" t="s">
        <v>312</v>
      </c>
      <c r="C4869">
        <v>77</v>
      </c>
      <c r="D4869" t="str">
        <f>VLOOKUP(B4869,Products!$A:$E,2,FALSE)</f>
        <v>Product_152</v>
      </c>
      <c r="E4869" t="str">
        <f>VLOOKUP(B4869,Products!$A:$E,3,FALSE)</f>
        <v>Storage</v>
      </c>
    </row>
    <row r="4870" spans="1:5" x14ac:dyDescent="0.3">
      <c r="A4870" t="s">
        <v>5880</v>
      </c>
      <c r="B4870" t="s">
        <v>58</v>
      </c>
      <c r="C4870">
        <v>75</v>
      </c>
      <c r="D4870" t="str">
        <f>VLOOKUP(B4870,Products!$A:$E,2,FALSE)</f>
        <v>Product_25</v>
      </c>
      <c r="E4870" t="str">
        <f>VLOOKUP(B4870,Products!$A:$E,3,FALSE)</f>
        <v>Office Supplies</v>
      </c>
    </row>
    <row r="4871" spans="1:5" x14ac:dyDescent="0.3">
      <c r="A4871" t="s">
        <v>5881</v>
      </c>
      <c r="B4871" t="s">
        <v>88</v>
      </c>
      <c r="C4871">
        <v>10</v>
      </c>
      <c r="D4871" t="str">
        <f>VLOOKUP(B4871,Products!$A:$E,2,FALSE)</f>
        <v>Product_40</v>
      </c>
      <c r="E4871" t="str">
        <f>VLOOKUP(B4871,Products!$A:$E,3,FALSE)</f>
        <v>Accessories</v>
      </c>
    </row>
    <row r="4872" spans="1:5" x14ac:dyDescent="0.3">
      <c r="A4872" t="s">
        <v>5882</v>
      </c>
      <c r="B4872" t="s">
        <v>534</v>
      </c>
      <c r="C4872">
        <v>18</v>
      </c>
      <c r="D4872" t="str">
        <f>VLOOKUP(B4872,Products!$A:$E,2,FALSE)</f>
        <v>Product_263</v>
      </c>
      <c r="E4872" t="str">
        <f>VLOOKUP(B4872,Products!$A:$E,3,FALSE)</f>
        <v>Accessories</v>
      </c>
    </row>
    <row r="4873" spans="1:5" x14ac:dyDescent="0.3">
      <c r="A4873" t="s">
        <v>5883</v>
      </c>
      <c r="B4873" t="s">
        <v>532</v>
      </c>
      <c r="C4873">
        <v>59</v>
      </c>
      <c r="D4873" t="str">
        <f>VLOOKUP(B4873,Products!$A:$E,2,FALSE)</f>
        <v>Product_262</v>
      </c>
      <c r="E4873" t="str">
        <f>VLOOKUP(B4873,Products!$A:$E,3,FALSE)</f>
        <v>Electronics</v>
      </c>
    </row>
    <row r="4874" spans="1:5" x14ac:dyDescent="0.3">
      <c r="A4874" t="s">
        <v>5884</v>
      </c>
      <c r="B4874" t="s">
        <v>432</v>
      </c>
      <c r="C4874">
        <v>17</v>
      </c>
      <c r="D4874" t="str">
        <f>VLOOKUP(B4874,Products!$A:$E,2,FALSE)</f>
        <v>Product_212</v>
      </c>
      <c r="E4874" t="str">
        <f>VLOOKUP(B4874,Products!$A:$E,3,FALSE)</f>
        <v>Networking</v>
      </c>
    </row>
    <row r="4875" spans="1:5" x14ac:dyDescent="0.3">
      <c r="A4875" t="s">
        <v>5885</v>
      </c>
      <c r="B4875" t="s">
        <v>484</v>
      </c>
      <c r="C4875">
        <v>89</v>
      </c>
      <c r="D4875" t="str">
        <f>VLOOKUP(B4875,Products!$A:$E,2,FALSE)</f>
        <v>Product_238</v>
      </c>
      <c r="E4875" t="str">
        <f>VLOOKUP(B4875,Products!$A:$E,3,FALSE)</f>
        <v>Accessories</v>
      </c>
    </row>
    <row r="4876" spans="1:5" x14ac:dyDescent="0.3">
      <c r="A4876" t="s">
        <v>5886</v>
      </c>
      <c r="B4876" t="s">
        <v>746</v>
      </c>
      <c r="C4876">
        <v>77</v>
      </c>
      <c r="D4876" t="str">
        <f>VLOOKUP(B4876,Products!$A:$E,2,FALSE)</f>
        <v>Product_369</v>
      </c>
      <c r="E4876" t="str">
        <f>VLOOKUP(B4876,Products!$A:$E,3,FALSE)</f>
        <v>Accessories</v>
      </c>
    </row>
    <row r="4877" spans="1:5" x14ac:dyDescent="0.3">
      <c r="A4877" t="s">
        <v>5887</v>
      </c>
      <c r="B4877" t="s">
        <v>842</v>
      </c>
      <c r="C4877">
        <v>37</v>
      </c>
      <c r="D4877" t="str">
        <f>VLOOKUP(B4877,Products!$A:$E,2,FALSE)</f>
        <v>Product_417</v>
      </c>
      <c r="E4877" t="str">
        <f>VLOOKUP(B4877,Products!$A:$E,3,FALSE)</f>
        <v>Accessories</v>
      </c>
    </row>
    <row r="4878" spans="1:5" x14ac:dyDescent="0.3">
      <c r="A4878" t="s">
        <v>5888</v>
      </c>
      <c r="B4878" t="s">
        <v>372</v>
      </c>
      <c r="C4878">
        <v>37</v>
      </c>
      <c r="D4878" t="str">
        <f>VLOOKUP(B4878,Products!$A:$E,2,FALSE)</f>
        <v>Product_182</v>
      </c>
      <c r="E4878" t="str">
        <f>VLOOKUP(B4878,Products!$A:$E,3,FALSE)</f>
        <v>Storage</v>
      </c>
    </row>
    <row r="4879" spans="1:5" x14ac:dyDescent="0.3">
      <c r="A4879" t="s">
        <v>5889</v>
      </c>
      <c r="B4879" t="s">
        <v>608</v>
      </c>
      <c r="C4879">
        <v>15</v>
      </c>
      <c r="D4879" t="str">
        <f>VLOOKUP(B4879,Products!$A:$E,2,FALSE)</f>
        <v>Product_300</v>
      </c>
      <c r="E4879" t="str">
        <f>VLOOKUP(B4879,Products!$A:$E,3,FALSE)</f>
        <v>Accessories</v>
      </c>
    </row>
    <row r="4880" spans="1:5" x14ac:dyDescent="0.3">
      <c r="A4880" t="s">
        <v>5890</v>
      </c>
      <c r="B4880" t="s">
        <v>796</v>
      </c>
      <c r="C4880">
        <v>69</v>
      </c>
      <c r="D4880" t="str">
        <f>VLOOKUP(B4880,Products!$A:$E,2,FALSE)</f>
        <v>Product_394</v>
      </c>
      <c r="E4880" t="str">
        <f>VLOOKUP(B4880,Products!$A:$E,3,FALSE)</f>
        <v>Electronics</v>
      </c>
    </row>
    <row r="4881" spans="1:5" x14ac:dyDescent="0.3">
      <c r="A4881" t="s">
        <v>5891</v>
      </c>
      <c r="B4881" t="s">
        <v>26</v>
      </c>
      <c r="C4881">
        <v>19</v>
      </c>
      <c r="D4881" t="str">
        <f>VLOOKUP(B4881,Products!$A:$E,2,FALSE)</f>
        <v>Product_9</v>
      </c>
      <c r="E4881" t="str">
        <f>VLOOKUP(B4881,Products!$A:$E,3,FALSE)</f>
        <v>Storage</v>
      </c>
    </row>
    <row r="4882" spans="1:5" x14ac:dyDescent="0.3">
      <c r="A4882" t="s">
        <v>5892</v>
      </c>
      <c r="B4882" t="s">
        <v>768</v>
      </c>
      <c r="C4882">
        <v>89</v>
      </c>
      <c r="D4882" t="str">
        <f>VLOOKUP(B4882,Products!$A:$E,2,FALSE)</f>
        <v>Product_380</v>
      </c>
      <c r="E4882" t="str">
        <f>VLOOKUP(B4882,Products!$A:$E,3,FALSE)</f>
        <v>Electronics</v>
      </c>
    </row>
    <row r="4883" spans="1:5" x14ac:dyDescent="0.3">
      <c r="A4883" t="s">
        <v>5893</v>
      </c>
      <c r="B4883" t="s">
        <v>482</v>
      </c>
      <c r="C4883">
        <v>27</v>
      </c>
      <c r="D4883" t="str">
        <f>VLOOKUP(B4883,Products!$A:$E,2,FALSE)</f>
        <v>Product_237</v>
      </c>
      <c r="E4883" t="str">
        <f>VLOOKUP(B4883,Products!$A:$E,3,FALSE)</f>
        <v>Networking</v>
      </c>
    </row>
    <row r="4884" spans="1:5" x14ac:dyDescent="0.3">
      <c r="A4884" t="s">
        <v>5894</v>
      </c>
      <c r="B4884" t="s">
        <v>814</v>
      </c>
      <c r="C4884">
        <v>28</v>
      </c>
      <c r="D4884" t="str">
        <f>VLOOKUP(B4884,Products!$A:$E,2,FALSE)</f>
        <v>Product_403</v>
      </c>
      <c r="E4884" t="str">
        <f>VLOOKUP(B4884,Products!$A:$E,3,FALSE)</f>
        <v>Networking</v>
      </c>
    </row>
    <row r="4885" spans="1:5" x14ac:dyDescent="0.3">
      <c r="A4885" t="s">
        <v>5895</v>
      </c>
      <c r="B4885" t="s">
        <v>872</v>
      </c>
      <c r="C4885">
        <v>55</v>
      </c>
      <c r="D4885" t="str">
        <f>VLOOKUP(B4885,Products!$A:$E,2,FALSE)</f>
        <v>Product_432</v>
      </c>
      <c r="E4885" t="str">
        <f>VLOOKUP(B4885,Products!$A:$E,3,FALSE)</f>
        <v>Office Supplies</v>
      </c>
    </row>
    <row r="4886" spans="1:5" x14ac:dyDescent="0.3">
      <c r="A4886" t="s">
        <v>5896</v>
      </c>
      <c r="B4886" t="s">
        <v>56</v>
      </c>
      <c r="C4886">
        <v>15</v>
      </c>
      <c r="D4886" t="str">
        <f>VLOOKUP(B4886,Products!$A:$E,2,FALSE)</f>
        <v>Product_24</v>
      </c>
      <c r="E4886" t="str">
        <f>VLOOKUP(B4886,Products!$A:$E,3,FALSE)</f>
        <v>Accessories</v>
      </c>
    </row>
    <row r="4887" spans="1:5" x14ac:dyDescent="0.3">
      <c r="A4887" t="s">
        <v>5897</v>
      </c>
      <c r="B4887" t="s">
        <v>436</v>
      </c>
      <c r="C4887">
        <v>95</v>
      </c>
      <c r="D4887" t="str">
        <f>VLOOKUP(B4887,Products!$A:$E,2,FALSE)</f>
        <v>Product_214</v>
      </c>
      <c r="E4887" t="str">
        <f>VLOOKUP(B4887,Products!$A:$E,3,FALSE)</f>
        <v>Electronics</v>
      </c>
    </row>
    <row r="4888" spans="1:5" x14ac:dyDescent="0.3">
      <c r="A4888" t="s">
        <v>5898</v>
      </c>
      <c r="B4888" t="s">
        <v>314</v>
      </c>
      <c r="C4888">
        <v>45</v>
      </c>
      <c r="D4888" t="str">
        <f>VLOOKUP(B4888,Products!$A:$E,2,FALSE)</f>
        <v>Product_153</v>
      </c>
      <c r="E4888" t="str">
        <f>VLOOKUP(B4888,Products!$A:$E,3,FALSE)</f>
        <v>Electronics</v>
      </c>
    </row>
    <row r="4889" spans="1:5" x14ac:dyDescent="0.3">
      <c r="A4889" t="s">
        <v>5899</v>
      </c>
      <c r="B4889" t="s">
        <v>610</v>
      </c>
      <c r="C4889">
        <v>97</v>
      </c>
      <c r="D4889" t="str">
        <f>VLOOKUP(B4889,Products!$A:$E,2,FALSE)</f>
        <v>Product_301</v>
      </c>
      <c r="E4889" t="str">
        <f>VLOOKUP(B4889,Products!$A:$E,3,FALSE)</f>
        <v>Networking</v>
      </c>
    </row>
    <row r="4890" spans="1:5" x14ac:dyDescent="0.3">
      <c r="A4890" t="s">
        <v>5900</v>
      </c>
      <c r="B4890" t="s">
        <v>474</v>
      </c>
      <c r="C4890">
        <v>90</v>
      </c>
      <c r="D4890" t="str">
        <f>VLOOKUP(B4890,Products!$A:$E,2,FALSE)</f>
        <v>Product_233</v>
      </c>
      <c r="E4890" t="str">
        <f>VLOOKUP(B4890,Products!$A:$E,3,FALSE)</f>
        <v>Accessories</v>
      </c>
    </row>
    <row r="4891" spans="1:5" x14ac:dyDescent="0.3">
      <c r="A4891" t="s">
        <v>5901</v>
      </c>
      <c r="B4891" t="s">
        <v>470</v>
      </c>
      <c r="C4891">
        <v>84</v>
      </c>
      <c r="D4891" t="str">
        <f>VLOOKUP(B4891,Products!$A:$E,2,FALSE)</f>
        <v>Product_231</v>
      </c>
      <c r="E4891" t="str">
        <f>VLOOKUP(B4891,Products!$A:$E,3,FALSE)</f>
        <v>Accessories</v>
      </c>
    </row>
    <row r="4892" spans="1:5" x14ac:dyDescent="0.3">
      <c r="A4892" t="s">
        <v>5902</v>
      </c>
      <c r="B4892" t="s">
        <v>836</v>
      </c>
      <c r="C4892">
        <v>38</v>
      </c>
      <c r="D4892" t="str">
        <f>VLOOKUP(B4892,Products!$A:$E,2,FALSE)</f>
        <v>Product_414</v>
      </c>
      <c r="E4892" t="str">
        <f>VLOOKUP(B4892,Products!$A:$E,3,FALSE)</f>
        <v>Office Supplies</v>
      </c>
    </row>
    <row r="4893" spans="1:5" x14ac:dyDescent="0.3">
      <c r="A4893" t="s">
        <v>5903</v>
      </c>
      <c r="B4893" t="s">
        <v>358</v>
      </c>
      <c r="C4893">
        <v>28</v>
      </c>
      <c r="D4893" t="str">
        <f>VLOOKUP(B4893,Products!$A:$E,2,FALSE)</f>
        <v>Product_175</v>
      </c>
      <c r="E4893" t="str">
        <f>VLOOKUP(B4893,Products!$A:$E,3,FALSE)</f>
        <v>Storage</v>
      </c>
    </row>
    <row r="4894" spans="1:5" x14ac:dyDescent="0.3">
      <c r="A4894" t="s">
        <v>5904</v>
      </c>
      <c r="B4894" t="s">
        <v>226</v>
      </c>
      <c r="C4894">
        <v>28</v>
      </c>
      <c r="D4894" t="str">
        <f>VLOOKUP(B4894,Products!$A:$E,2,FALSE)</f>
        <v>Product_109</v>
      </c>
      <c r="E4894" t="str">
        <f>VLOOKUP(B4894,Products!$A:$E,3,FALSE)</f>
        <v>Storage</v>
      </c>
    </row>
    <row r="4895" spans="1:5" x14ac:dyDescent="0.3">
      <c r="A4895" t="s">
        <v>5905</v>
      </c>
      <c r="B4895" t="s">
        <v>90</v>
      </c>
      <c r="C4895">
        <v>100</v>
      </c>
      <c r="D4895" t="str">
        <f>VLOOKUP(B4895,Products!$A:$E,2,FALSE)</f>
        <v>Product_41</v>
      </c>
      <c r="E4895" t="str">
        <f>VLOOKUP(B4895,Products!$A:$E,3,FALSE)</f>
        <v>Accessories</v>
      </c>
    </row>
    <row r="4896" spans="1:5" x14ac:dyDescent="0.3">
      <c r="A4896" t="s">
        <v>5906</v>
      </c>
      <c r="B4896" t="s">
        <v>628</v>
      </c>
      <c r="C4896">
        <v>38</v>
      </c>
      <c r="D4896" t="str">
        <f>VLOOKUP(B4896,Products!$A:$E,2,FALSE)</f>
        <v>Product_310</v>
      </c>
      <c r="E4896" t="str">
        <f>VLOOKUP(B4896,Products!$A:$E,3,FALSE)</f>
        <v>Office Supplies</v>
      </c>
    </row>
    <row r="4897" spans="1:5" x14ac:dyDescent="0.3">
      <c r="A4897" t="s">
        <v>5907</v>
      </c>
      <c r="B4897" t="s">
        <v>902</v>
      </c>
      <c r="C4897">
        <v>91</v>
      </c>
      <c r="D4897" t="str">
        <f>VLOOKUP(B4897,Products!$A:$E,2,FALSE)</f>
        <v>Product_447</v>
      </c>
      <c r="E4897" t="str">
        <f>VLOOKUP(B4897,Products!$A:$E,3,FALSE)</f>
        <v>Office Supplies</v>
      </c>
    </row>
    <row r="4898" spans="1:5" x14ac:dyDescent="0.3">
      <c r="A4898" t="s">
        <v>5908</v>
      </c>
      <c r="B4898" t="s">
        <v>118</v>
      </c>
      <c r="C4898">
        <v>60</v>
      </c>
      <c r="D4898" t="str">
        <f>VLOOKUP(B4898,Products!$A:$E,2,FALSE)</f>
        <v>Product_55</v>
      </c>
      <c r="E4898" t="str">
        <f>VLOOKUP(B4898,Products!$A:$E,3,FALSE)</f>
        <v>Office Supplies</v>
      </c>
    </row>
    <row r="4899" spans="1:5" x14ac:dyDescent="0.3">
      <c r="A4899" t="s">
        <v>5909</v>
      </c>
      <c r="B4899" t="s">
        <v>556</v>
      </c>
      <c r="C4899">
        <v>7</v>
      </c>
      <c r="D4899" t="str">
        <f>VLOOKUP(B4899,Products!$A:$E,2,FALSE)</f>
        <v>Product_274</v>
      </c>
      <c r="E4899" t="str">
        <f>VLOOKUP(B4899,Products!$A:$E,3,FALSE)</f>
        <v>Accessories</v>
      </c>
    </row>
    <row r="4900" spans="1:5" x14ac:dyDescent="0.3">
      <c r="A4900" t="s">
        <v>5910</v>
      </c>
      <c r="B4900" t="s">
        <v>11</v>
      </c>
      <c r="C4900">
        <v>55</v>
      </c>
      <c r="D4900" t="str">
        <f>VLOOKUP(B4900,Products!$A:$E,2,FALSE)</f>
        <v>Product_3</v>
      </c>
      <c r="E4900" t="str">
        <f>VLOOKUP(B4900,Products!$A:$E,3,FALSE)</f>
        <v>Accessories</v>
      </c>
    </row>
    <row r="4901" spans="1:5" x14ac:dyDescent="0.3">
      <c r="A4901" t="s">
        <v>5911</v>
      </c>
      <c r="B4901" t="s">
        <v>128</v>
      </c>
      <c r="C4901">
        <v>6</v>
      </c>
      <c r="D4901" t="str">
        <f>VLOOKUP(B4901,Products!$A:$E,2,FALSE)</f>
        <v>Product_60</v>
      </c>
      <c r="E4901" t="str">
        <f>VLOOKUP(B4901,Products!$A:$E,3,FALSE)</f>
        <v>Electronics</v>
      </c>
    </row>
    <row r="4902" spans="1:5" x14ac:dyDescent="0.3">
      <c r="A4902" t="s">
        <v>5912</v>
      </c>
      <c r="B4902" t="s">
        <v>184</v>
      </c>
      <c r="C4902">
        <v>88</v>
      </c>
      <c r="D4902" t="str">
        <f>VLOOKUP(B4902,Products!$A:$E,2,FALSE)</f>
        <v>Product_88</v>
      </c>
      <c r="E4902" t="str">
        <f>VLOOKUP(B4902,Products!$A:$E,3,FALSE)</f>
        <v>Accessories</v>
      </c>
    </row>
    <row r="4903" spans="1:5" x14ac:dyDescent="0.3">
      <c r="A4903" t="s">
        <v>5913</v>
      </c>
      <c r="B4903" t="s">
        <v>498</v>
      </c>
      <c r="C4903">
        <v>63</v>
      </c>
      <c r="D4903" t="str">
        <f>VLOOKUP(B4903,Products!$A:$E,2,FALSE)</f>
        <v>Product_245</v>
      </c>
      <c r="E4903" t="str">
        <f>VLOOKUP(B4903,Products!$A:$E,3,FALSE)</f>
        <v>Office Supplies</v>
      </c>
    </row>
    <row r="4904" spans="1:5" x14ac:dyDescent="0.3">
      <c r="A4904" t="s">
        <v>5914</v>
      </c>
      <c r="B4904" t="s">
        <v>718</v>
      </c>
      <c r="C4904">
        <v>56</v>
      </c>
      <c r="D4904" t="str">
        <f>VLOOKUP(B4904,Products!$A:$E,2,FALSE)</f>
        <v>Product_355</v>
      </c>
      <c r="E4904" t="str">
        <f>VLOOKUP(B4904,Products!$A:$E,3,FALSE)</f>
        <v>Accessories</v>
      </c>
    </row>
    <row r="4905" spans="1:5" x14ac:dyDescent="0.3">
      <c r="A4905" t="s">
        <v>5915</v>
      </c>
      <c r="B4905" t="s">
        <v>898</v>
      </c>
      <c r="C4905">
        <v>89</v>
      </c>
      <c r="D4905" t="str">
        <f>VLOOKUP(B4905,Products!$A:$E,2,FALSE)</f>
        <v>Product_445</v>
      </c>
      <c r="E4905" t="str">
        <f>VLOOKUP(B4905,Products!$A:$E,3,FALSE)</f>
        <v>Office Supplies</v>
      </c>
    </row>
    <row r="4906" spans="1:5" x14ac:dyDescent="0.3">
      <c r="A4906" t="s">
        <v>5916</v>
      </c>
      <c r="B4906" t="s">
        <v>998</v>
      </c>
      <c r="C4906">
        <v>100</v>
      </c>
      <c r="D4906" t="str">
        <f>VLOOKUP(B4906,Products!$A:$E,2,FALSE)</f>
        <v>Product_495</v>
      </c>
      <c r="E4906" t="str">
        <f>VLOOKUP(B4906,Products!$A:$E,3,FALSE)</f>
        <v>Networking</v>
      </c>
    </row>
    <row r="4907" spans="1:5" x14ac:dyDescent="0.3">
      <c r="A4907" t="s">
        <v>5917</v>
      </c>
      <c r="B4907" t="s">
        <v>626</v>
      </c>
      <c r="C4907">
        <v>97</v>
      </c>
      <c r="D4907" t="str">
        <f>VLOOKUP(B4907,Products!$A:$E,2,FALSE)</f>
        <v>Product_309</v>
      </c>
      <c r="E4907" t="str">
        <f>VLOOKUP(B4907,Products!$A:$E,3,FALSE)</f>
        <v>Networking</v>
      </c>
    </row>
    <row r="4908" spans="1:5" x14ac:dyDescent="0.3">
      <c r="A4908" t="s">
        <v>5918</v>
      </c>
      <c r="B4908" t="s">
        <v>508</v>
      </c>
      <c r="C4908">
        <v>43</v>
      </c>
      <c r="D4908" t="str">
        <f>VLOOKUP(B4908,Products!$A:$E,2,FALSE)</f>
        <v>Product_250</v>
      </c>
      <c r="E4908" t="str">
        <f>VLOOKUP(B4908,Products!$A:$E,3,FALSE)</f>
        <v>Networking</v>
      </c>
    </row>
    <row r="4909" spans="1:5" x14ac:dyDescent="0.3">
      <c r="A4909" t="s">
        <v>5919</v>
      </c>
      <c r="B4909" t="s">
        <v>642</v>
      </c>
      <c r="C4909">
        <v>83</v>
      </c>
      <c r="D4909" t="str">
        <f>VLOOKUP(B4909,Products!$A:$E,2,FALSE)</f>
        <v>Product_317</v>
      </c>
      <c r="E4909" t="str">
        <f>VLOOKUP(B4909,Products!$A:$E,3,FALSE)</f>
        <v>Storage</v>
      </c>
    </row>
    <row r="4910" spans="1:5" x14ac:dyDescent="0.3">
      <c r="A4910" t="s">
        <v>5920</v>
      </c>
      <c r="B4910" t="s">
        <v>378</v>
      </c>
      <c r="C4910">
        <v>93</v>
      </c>
      <c r="D4910" t="str">
        <f>VLOOKUP(B4910,Products!$A:$E,2,FALSE)</f>
        <v>Product_185</v>
      </c>
      <c r="E4910" t="str">
        <f>VLOOKUP(B4910,Products!$A:$E,3,FALSE)</f>
        <v>Storage</v>
      </c>
    </row>
    <row r="4911" spans="1:5" x14ac:dyDescent="0.3">
      <c r="A4911" t="s">
        <v>5921</v>
      </c>
      <c r="B4911" t="s">
        <v>698</v>
      </c>
      <c r="C4911">
        <v>93</v>
      </c>
      <c r="D4911" t="str">
        <f>VLOOKUP(B4911,Products!$A:$E,2,FALSE)</f>
        <v>Product_345</v>
      </c>
      <c r="E4911" t="str">
        <f>VLOOKUP(B4911,Products!$A:$E,3,FALSE)</f>
        <v>Storage</v>
      </c>
    </row>
    <row r="4912" spans="1:5" x14ac:dyDescent="0.3">
      <c r="A4912" t="s">
        <v>5922</v>
      </c>
      <c r="B4912" t="s">
        <v>700</v>
      </c>
      <c r="C4912">
        <v>55</v>
      </c>
      <c r="D4912" t="str">
        <f>VLOOKUP(B4912,Products!$A:$E,2,FALSE)</f>
        <v>Product_346</v>
      </c>
      <c r="E4912" t="str">
        <f>VLOOKUP(B4912,Products!$A:$E,3,FALSE)</f>
        <v>Electronics</v>
      </c>
    </row>
    <row r="4913" spans="1:5" x14ac:dyDescent="0.3">
      <c r="A4913" t="s">
        <v>5923</v>
      </c>
      <c r="B4913" t="s">
        <v>832</v>
      </c>
      <c r="C4913">
        <v>43</v>
      </c>
      <c r="D4913" t="str">
        <f>VLOOKUP(B4913,Products!$A:$E,2,FALSE)</f>
        <v>Product_412</v>
      </c>
      <c r="E4913" t="str">
        <f>VLOOKUP(B4913,Products!$A:$E,3,FALSE)</f>
        <v>Accessories</v>
      </c>
    </row>
    <row r="4914" spans="1:5" x14ac:dyDescent="0.3">
      <c r="A4914" t="s">
        <v>5924</v>
      </c>
      <c r="B4914" t="s">
        <v>98</v>
      </c>
      <c r="C4914">
        <v>21</v>
      </c>
      <c r="D4914" t="str">
        <f>VLOOKUP(B4914,Products!$A:$E,2,FALSE)</f>
        <v>Product_45</v>
      </c>
      <c r="E4914" t="str">
        <f>VLOOKUP(B4914,Products!$A:$E,3,FALSE)</f>
        <v>Accessories</v>
      </c>
    </row>
    <row r="4915" spans="1:5" x14ac:dyDescent="0.3">
      <c r="A4915" t="s">
        <v>5925</v>
      </c>
      <c r="B4915" t="s">
        <v>148</v>
      </c>
      <c r="C4915">
        <v>6</v>
      </c>
      <c r="D4915" t="str">
        <f>VLOOKUP(B4915,Products!$A:$E,2,FALSE)</f>
        <v>Product_70</v>
      </c>
      <c r="E4915" t="str">
        <f>VLOOKUP(B4915,Products!$A:$E,3,FALSE)</f>
        <v>Electronics</v>
      </c>
    </row>
    <row r="4916" spans="1:5" x14ac:dyDescent="0.3">
      <c r="A4916" t="s">
        <v>5926</v>
      </c>
      <c r="B4916" t="s">
        <v>204</v>
      </c>
      <c r="C4916">
        <v>19</v>
      </c>
      <c r="D4916" t="str">
        <f>VLOOKUP(B4916,Products!$A:$E,2,FALSE)</f>
        <v>Product_98</v>
      </c>
      <c r="E4916" t="str">
        <f>VLOOKUP(B4916,Products!$A:$E,3,FALSE)</f>
        <v>Networking</v>
      </c>
    </row>
    <row r="4917" spans="1:5" x14ac:dyDescent="0.3">
      <c r="A4917" t="s">
        <v>5927</v>
      </c>
      <c r="B4917" t="s">
        <v>844</v>
      </c>
      <c r="C4917">
        <v>7</v>
      </c>
      <c r="D4917" t="str">
        <f>VLOOKUP(B4917,Products!$A:$E,2,FALSE)</f>
        <v>Product_418</v>
      </c>
      <c r="E4917" t="str">
        <f>VLOOKUP(B4917,Products!$A:$E,3,FALSE)</f>
        <v>Office Supplies</v>
      </c>
    </row>
    <row r="4918" spans="1:5" x14ac:dyDescent="0.3">
      <c r="A4918" t="s">
        <v>5928</v>
      </c>
      <c r="B4918" t="s">
        <v>722</v>
      </c>
      <c r="C4918">
        <v>29</v>
      </c>
      <c r="D4918" t="str">
        <f>VLOOKUP(B4918,Products!$A:$E,2,FALSE)</f>
        <v>Product_357</v>
      </c>
      <c r="E4918" t="str">
        <f>VLOOKUP(B4918,Products!$A:$E,3,FALSE)</f>
        <v>Accessories</v>
      </c>
    </row>
    <row r="4919" spans="1:5" x14ac:dyDescent="0.3">
      <c r="A4919" t="s">
        <v>5929</v>
      </c>
      <c r="B4919" t="s">
        <v>888</v>
      </c>
      <c r="C4919">
        <v>8</v>
      </c>
      <c r="D4919" t="str">
        <f>VLOOKUP(B4919,Products!$A:$E,2,FALSE)</f>
        <v>Product_440</v>
      </c>
      <c r="E4919" t="str">
        <f>VLOOKUP(B4919,Products!$A:$E,3,FALSE)</f>
        <v>Accessories</v>
      </c>
    </row>
    <row r="4920" spans="1:5" x14ac:dyDescent="0.3">
      <c r="A4920" t="s">
        <v>5930</v>
      </c>
      <c r="B4920" t="s">
        <v>224</v>
      </c>
      <c r="C4920">
        <v>66</v>
      </c>
      <c r="D4920" t="str">
        <f>VLOOKUP(B4920,Products!$A:$E,2,FALSE)</f>
        <v>Product_108</v>
      </c>
      <c r="E4920" t="str">
        <f>VLOOKUP(B4920,Products!$A:$E,3,FALSE)</f>
        <v>Networking</v>
      </c>
    </row>
    <row r="4921" spans="1:5" x14ac:dyDescent="0.3">
      <c r="A4921" t="s">
        <v>5931</v>
      </c>
      <c r="B4921" t="s">
        <v>674</v>
      </c>
      <c r="C4921">
        <v>23</v>
      </c>
      <c r="D4921" t="str">
        <f>VLOOKUP(B4921,Products!$A:$E,2,FALSE)</f>
        <v>Product_333</v>
      </c>
      <c r="E4921" t="str">
        <f>VLOOKUP(B4921,Products!$A:$E,3,FALSE)</f>
        <v>Storage</v>
      </c>
    </row>
    <row r="4922" spans="1:5" x14ac:dyDescent="0.3">
      <c r="A4922" t="s">
        <v>5932</v>
      </c>
      <c r="B4922" t="s">
        <v>674</v>
      </c>
      <c r="C4922">
        <v>35</v>
      </c>
      <c r="D4922" t="str">
        <f>VLOOKUP(B4922,Products!$A:$E,2,FALSE)</f>
        <v>Product_333</v>
      </c>
      <c r="E4922" t="str">
        <f>VLOOKUP(B4922,Products!$A:$E,3,FALSE)</f>
        <v>Storage</v>
      </c>
    </row>
    <row r="4923" spans="1:5" x14ac:dyDescent="0.3">
      <c r="A4923" t="s">
        <v>5933</v>
      </c>
      <c r="B4923" t="s">
        <v>456</v>
      </c>
      <c r="C4923">
        <v>85</v>
      </c>
      <c r="D4923" t="str">
        <f>VLOOKUP(B4923,Products!$A:$E,2,FALSE)</f>
        <v>Product_224</v>
      </c>
      <c r="E4923" t="str">
        <f>VLOOKUP(B4923,Products!$A:$E,3,FALSE)</f>
        <v>Storage</v>
      </c>
    </row>
    <row r="4924" spans="1:5" x14ac:dyDescent="0.3">
      <c r="A4924" t="s">
        <v>5934</v>
      </c>
      <c r="B4924" t="s">
        <v>888</v>
      </c>
      <c r="C4924">
        <v>73</v>
      </c>
      <c r="D4924" t="str">
        <f>VLOOKUP(B4924,Products!$A:$E,2,FALSE)</f>
        <v>Product_440</v>
      </c>
      <c r="E4924" t="str">
        <f>VLOOKUP(B4924,Products!$A:$E,3,FALSE)</f>
        <v>Accessories</v>
      </c>
    </row>
    <row r="4925" spans="1:5" x14ac:dyDescent="0.3">
      <c r="A4925" t="s">
        <v>5935</v>
      </c>
      <c r="B4925" t="s">
        <v>204</v>
      </c>
      <c r="C4925">
        <v>16</v>
      </c>
      <c r="D4925" t="str">
        <f>VLOOKUP(B4925,Products!$A:$E,2,FALSE)</f>
        <v>Product_98</v>
      </c>
      <c r="E4925" t="str">
        <f>VLOOKUP(B4925,Products!$A:$E,3,FALSE)</f>
        <v>Networking</v>
      </c>
    </row>
    <row r="4926" spans="1:5" x14ac:dyDescent="0.3">
      <c r="A4926" t="s">
        <v>5936</v>
      </c>
      <c r="B4926" t="s">
        <v>318</v>
      </c>
      <c r="C4926">
        <v>64</v>
      </c>
      <c r="D4926" t="str">
        <f>VLOOKUP(B4926,Products!$A:$E,2,FALSE)</f>
        <v>Product_155</v>
      </c>
      <c r="E4926" t="str">
        <f>VLOOKUP(B4926,Products!$A:$E,3,FALSE)</f>
        <v>Office Supplies</v>
      </c>
    </row>
    <row r="4927" spans="1:5" x14ac:dyDescent="0.3">
      <c r="A4927" t="s">
        <v>5937</v>
      </c>
      <c r="B4927" t="s">
        <v>160</v>
      </c>
      <c r="C4927">
        <v>65</v>
      </c>
      <c r="D4927" t="str">
        <f>VLOOKUP(B4927,Products!$A:$E,2,FALSE)</f>
        <v>Product_76</v>
      </c>
      <c r="E4927" t="str">
        <f>VLOOKUP(B4927,Products!$A:$E,3,FALSE)</f>
        <v>Accessories</v>
      </c>
    </row>
    <row r="4928" spans="1:5" x14ac:dyDescent="0.3">
      <c r="A4928" t="s">
        <v>5938</v>
      </c>
      <c r="B4928" t="s">
        <v>442</v>
      </c>
      <c r="C4928">
        <v>7</v>
      </c>
      <c r="D4928" t="str">
        <f>VLOOKUP(B4928,Products!$A:$E,2,FALSE)</f>
        <v>Product_217</v>
      </c>
      <c r="E4928" t="str">
        <f>VLOOKUP(B4928,Products!$A:$E,3,FALSE)</f>
        <v>Networking</v>
      </c>
    </row>
    <row r="4929" spans="1:5" x14ac:dyDescent="0.3">
      <c r="A4929" t="s">
        <v>5939</v>
      </c>
      <c r="B4929" t="s">
        <v>128</v>
      </c>
      <c r="C4929">
        <v>26</v>
      </c>
      <c r="D4929" t="str">
        <f>VLOOKUP(B4929,Products!$A:$E,2,FALSE)</f>
        <v>Product_60</v>
      </c>
      <c r="E4929" t="str">
        <f>VLOOKUP(B4929,Products!$A:$E,3,FALSE)</f>
        <v>Electronics</v>
      </c>
    </row>
    <row r="4930" spans="1:5" x14ac:dyDescent="0.3">
      <c r="A4930" t="s">
        <v>5940</v>
      </c>
      <c r="B4930" t="s">
        <v>934</v>
      </c>
      <c r="C4930">
        <v>24</v>
      </c>
      <c r="D4930" t="str">
        <f>VLOOKUP(B4930,Products!$A:$E,2,FALSE)</f>
        <v>Product_463</v>
      </c>
      <c r="E4930" t="str">
        <f>VLOOKUP(B4930,Products!$A:$E,3,FALSE)</f>
        <v>Networking</v>
      </c>
    </row>
    <row r="4931" spans="1:5" x14ac:dyDescent="0.3">
      <c r="A4931" t="s">
        <v>5941</v>
      </c>
      <c r="B4931" t="s">
        <v>766</v>
      </c>
      <c r="C4931">
        <v>94</v>
      </c>
      <c r="D4931" t="str">
        <f>VLOOKUP(B4931,Products!$A:$E,2,FALSE)</f>
        <v>Product_379</v>
      </c>
      <c r="E4931" t="str">
        <f>VLOOKUP(B4931,Products!$A:$E,3,FALSE)</f>
        <v>Office Supplies</v>
      </c>
    </row>
    <row r="4932" spans="1:5" x14ac:dyDescent="0.3">
      <c r="A4932" t="s">
        <v>5942</v>
      </c>
      <c r="B4932" t="s">
        <v>464</v>
      </c>
      <c r="C4932">
        <v>67</v>
      </c>
      <c r="D4932" t="str">
        <f>VLOOKUP(B4932,Products!$A:$E,2,FALSE)</f>
        <v>Product_228</v>
      </c>
      <c r="E4932" t="str">
        <f>VLOOKUP(B4932,Products!$A:$E,3,FALSE)</f>
        <v>Storage</v>
      </c>
    </row>
    <row r="4933" spans="1:5" x14ac:dyDescent="0.3">
      <c r="A4933" t="s">
        <v>5943</v>
      </c>
      <c r="B4933" t="s">
        <v>492</v>
      </c>
      <c r="C4933">
        <v>7</v>
      </c>
      <c r="D4933" t="str">
        <f>VLOOKUP(B4933,Products!$A:$E,2,FALSE)</f>
        <v>Product_242</v>
      </c>
      <c r="E4933" t="str">
        <f>VLOOKUP(B4933,Products!$A:$E,3,FALSE)</f>
        <v>Networking</v>
      </c>
    </row>
    <row r="4934" spans="1:5" x14ac:dyDescent="0.3">
      <c r="A4934" t="s">
        <v>5944</v>
      </c>
      <c r="B4934" t="s">
        <v>890</v>
      </c>
      <c r="C4934">
        <v>62</v>
      </c>
      <c r="D4934" t="str">
        <f>VLOOKUP(B4934,Products!$A:$E,2,FALSE)</f>
        <v>Product_441</v>
      </c>
      <c r="E4934" t="str">
        <f>VLOOKUP(B4934,Products!$A:$E,3,FALSE)</f>
        <v>Storage</v>
      </c>
    </row>
    <row r="4935" spans="1:5" x14ac:dyDescent="0.3">
      <c r="A4935" t="s">
        <v>5945</v>
      </c>
      <c r="B4935" t="s">
        <v>608</v>
      </c>
      <c r="C4935">
        <v>36</v>
      </c>
      <c r="D4935" t="str">
        <f>VLOOKUP(B4935,Products!$A:$E,2,FALSE)</f>
        <v>Product_300</v>
      </c>
      <c r="E4935" t="str">
        <f>VLOOKUP(B4935,Products!$A:$E,3,FALSE)</f>
        <v>Accessories</v>
      </c>
    </row>
    <row r="4936" spans="1:5" x14ac:dyDescent="0.3">
      <c r="A4936" t="s">
        <v>5946</v>
      </c>
      <c r="B4936" t="s">
        <v>216</v>
      </c>
      <c r="C4936">
        <v>42</v>
      </c>
      <c r="D4936" t="str">
        <f>VLOOKUP(B4936,Products!$A:$E,2,FALSE)</f>
        <v>Product_104</v>
      </c>
      <c r="E4936" t="str">
        <f>VLOOKUP(B4936,Products!$A:$E,3,FALSE)</f>
        <v>Networking</v>
      </c>
    </row>
    <row r="4937" spans="1:5" x14ac:dyDescent="0.3">
      <c r="A4937" t="s">
        <v>5947</v>
      </c>
      <c r="B4937" t="s">
        <v>592</v>
      </c>
      <c r="C4937">
        <v>55</v>
      </c>
      <c r="D4937" t="str">
        <f>VLOOKUP(B4937,Products!$A:$E,2,FALSE)</f>
        <v>Product_292</v>
      </c>
      <c r="E4937" t="str">
        <f>VLOOKUP(B4937,Products!$A:$E,3,FALSE)</f>
        <v>Networking</v>
      </c>
    </row>
    <row r="4938" spans="1:5" x14ac:dyDescent="0.3">
      <c r="A4938" t="s">
        <v>5948</v>
      </c>
      <c r="B4938" t="s">
        <v>62</v>
      </c>
      <c r="C4938">
        <v>47</v>
      </c>
      <c r="D4938" t="str">
        <f>VLOOKUP(B4938,Products!$A:$E,2,FALSE)</f>
        <v>Product_27</v>
      </c>
      <c r="E4938" t="str">
        <f>VLOOKUP(B4938,Products!$A:$E,3,FALSE)</f>
        <v>Office Supplies</v>
      </c>
    </row>
    <row r="4939" spans="1:5" x14ac:dyDescent="0.3">
      <c r="A4939" t="s">
        <v>5949</v>
      </c>
      <c r="B4939" t="s">
        <v>17</v>
      </c>
      <c r="C4939">
        <v>18</v>
      </c>
      <c r="D4939" t="str">
        <f>VLOOKUP(B4939,Products!$A:$E,2,FALSE)</f>
        <v>Product_5</v>
      </c>
      <c r="E4939" t="str">
        <f>VLOOKUP(B4939,Products!$A:$E,3,FALSE)</f>
        <v>Networking</v>
      </c>
    </row>
    <row r="4940" spans="1:5" x14ac:dyDescent="0.3">
      <c r="A4940" t="s">
        <v>5950</v>
      </c>
      <c r="B4940" t="s">
        <v>654</v>
      </c>
      <c r="C4940">
        <v>96</v>
      </c>
      <c r="D4940" t="str">
        <f>VLOOKUP(B4940,Products!$A:$E,2,FALSE)</f>
        <v>Product_323</v>
      </c>
      <c r="E4940" t="str">
        <f>VLOOKUP(B4940,Products!$A:$E,3,FALSE)</f>
        <v>Electronics</v>
      </c>
    </row>
    <row r="4941" spans="1:5" x14ac:dyDescent="0.3">
      <c r="A4941" t="s">
        <v>5951</v>
      </c>
      <c r="B4941" t="s">
        <v>452</v>
      </c>
      <c r="C4941">
        <v>58</v>
      </c>
      <c r="D4941" t="str">
        <f>VLOOKUP(B4941,Products!$A:$E,2,FALSE)</f>
        <v>Product_222</v>
      </c>
      <c r="E4941" t="str">
        <f>VLOOKUP(B4941,Products!$A:$E,3,FALSE)</f>
        <v>Networking</v>
      </c>
    </row>
    <row r="4942" spans="1:5" x14ac:dyDescent="0.3">
      <c r="A4942" t="s">
        <v>5952</v>
      </c>
      <c r="B4942" t="s">
        <v>878</v>
      </c>
      <c r="C4942">
        <v>68</v>
      </c>
      <c r="D4942" t="str">
        <f>VLOOKUP(B4942,Products!$A:$E,2,FALSE)</f>
        <v>Product_435</v>
      </c>
      <c r="E4942" t="str">
        <f>VLOOKUP(B4942,Products!$A:$E,3,FALSE)</f>
        <v>Accessories</v>
      </c>
    </row>
    <row r="4943" spans="1:5" x14ac:dyDescent="0.3">
      <c r="A4943" t="s">
        <v>5953</v>
      </c>
      <c r="B4943" t="s">
        <v>764</v>
      </c>
      <c r="C4943">
        <v>79</v>
      </c>
      <c r="D4943" t="str">
        <f>VLOOKUP(B4943,Products!$A:$E,2,FALSE)</f>
        <v>Product_378</v>
      </c>
      <c r="E4943" t="str">
        <f>VLOOKUP(B4943,Products!$A:$E,3,FALSE)</f>
        <v>Electronics</v>
      </c>
    </row>
    <row r="4944" spans="1:5" x14ac:dyDescent="0.3">
      <c r="A4944" t="s">
        <v>5954</v>
      </c>
      <c r="B4944" t="s">
        <v>620</v>
      </c>
      <c r="C4944">
        <v>98</v>
      </c>
      <c r="D4944" t="str">
        <f>VLOOKUP(B4944,Products!$A:$E,2,FALSE)</f>
        <v>Product_306</v>
      </c>
      <c r="E4944" t="str">
        <f>VLOOKUP(B4944,Products!$A:$E,3,FALSE)</f>
        <v>Accessories</v>
      </c>
    </row>
    <row r="4945" spans="1:5" x14ac:dyDescent="0.3">
      <c r="A4945" t="s">
        <v>5955</v>
      </c>
      <c r="B4945" t="s">
        <v>576</v>
      </c>
      <c r="C4945">
        <v>42</v>
      </c>
      <c r="D4945" t="str">
        <f>VLOOKUP(B4945,Products!$A:$E,2,FALSE)</f>
        <v>Product_284</v>
      </c>
      <c r="E4945" t="str">
        <f>VLOOKUP(B4945,Products!$A:$E,3,FALSE)</f>
        <v>Networking</v>
      </c>
    </row>
    <row r="4946" spans="1:5" x14ac:dyDescent="0.3">
      <c r="A4946" t="s">
        <v>5956</v>
      </c>
      <c r="B4946" t="s">
        <v>46</v>
      </c>
      <c r="C4946">
        <v>67</v>
      </c>
      <c r="D4946" t="str">
        <f>VLOOKUP(B4946,Products!$A:$E,2,FALSE)</f>
        <v>Product_19</v>
      </c>
      <c r="E4946" t="str">
        <f>VLOOKUP(B4946,Products!$A:$E,3,FALSE)</f>
        <v>Networking</v>
      </c>
    </row>
    <row r="4947" spans="1:5" x14ac:dyDescent="0.3">
      <c r="A4947" t="s">
        <v>5957</v>
      </c>
      <c r="B4947" t="s">
        <v>418</v>
      </c>
      <c r="C4947">
        <v>67</v>
      </c>
      <c r="D4947" t="str">
        <f>VLOOKUP(B4947,Products!$A:$E,2,FALSE)</f>
        <v>Product_205</v>
      </c>
      <c r="E4947" t="str">
        <f>VLOOKUP(B4947,Products!$A:$E,3,FALSE)</f>
        <v>Storage</v>
      </c>
    </row>
    <row r="4948" spans="1:5" x14ac:dyDescent="0.3">
      <c r="A4948" t="s">
        <v>5958</v>
      </c>
      <c r="B4948" t="s">
        <v>534</v>
      </c>
      <c r="C4948">
        <v>80</v>
      </c>
      <c r="D4948" t="str">
        <f>VLOOKUP(B4948,Products!$A:$E,2,FALSE)</f>
        <v>Product_263</v>
      </c>
      <c r="E4948" t="str">
        <f>VLOOKUP(B4948,Products!$A:$E,3,FALSE)</f>
        <v>Accessories</v>
      </c>
    </row>
    <row r="4949" spans="1:5" x14ac:dyDescent="0.3">
      <c r="A4949" t="s">
        <v>5959</v>
      </c>
      <c r="B4949" t="s">
        <v>752</v>
      </c>
      <c r="C4949">
        <v>83</v>
      </c>
      <c r="D4949" t="str">
        <f>VLOOKUP(B4949,Products!$A:$E,2,FALSE)</f>
        <v>Product_372</v>
      </c>
      <c r="E4949" t="str">
        <f>VLOOKUP(B4949,Products!$A:$E,3,FALSE)</f>
        <v>Networking</v>
      </c>
    </row>
    <row r="4950" spans="1:5" x14ac:dyDescent="0.3">
      <c r="A4950" t="s">
        <v>5960</v>
      </c>
      <c r="B4950" t="s">
        <v>966</v>
      </c>
      <c r="C4950">
        <v>91</v>
      </c>
      <c r="D4950" t="str">
        <f>VLOOKUP(B4950,Products!$A:$E,2,FALSE)</f>
        <v>Product_479</v>
      </c>
      <c r="E4950" t="str">
        <f>VLOOKUP(B4950,Products!$A:$E,3,FALSE)</f>
        <v>Office Supplies</v>
      </c>
    </row>
    <row r="4951" spans="1:5" x14ac:dyDescent="0.3">
      <c r="A4951" t="s">
        <v>5961</v>
      </c>
      <c r="B4951" t="s">
        <v>936</v>
      </c>
      <c r="C4951">
        <v>67</v>
      </c>
      <c r="D4951" t="str">
        <f>VLOOKUP(B4951,Products!$A:$E,2,FALSE)</f>
        <v>Product_464</v>
      </c>
      <c r="E4951" t="str">
        <f>VLOOKUP(B4951,Products!$A:$E,3,FALSE)</f>
        <v>Office Supplies</v>
      </c>
    </row>
    <row r="4952" spans="1:5" x14ac:dyDescent="0.3">
      <c r="A4952" t="s">
        <v>5962</v>
      </c>
      <c r="B4952" t="s">
        <v>246</v>
      </c>
      <c r="C4952">
        <v>96</v>
      </c>
      <c r="D4952" t="str">
        <f>VLOOKUP(B4952,Products!$A:$E,2,FALSE)</f>
        <v>Product_119</v>
      </c>
      <c r="E4952" t="str">
        <f>VLOOKUP(B4952,Products!$A:$E,3,FALSE)</f>
        <v>Electronics</v>
      </c>
    </row>
    <row r="4953" spans="1:5" x14ac:dyDescent="0.3">
      <c r="A4953" t="s">
        <v>5963</v>
      </c>
      <c r="B4953" t="s">
        <v>72</v>
      </c>
      <c r="C4953">
        <v>72</v>
      </c>
      <c r="D4953" t="str">
        <f>VLOOKUP(B4953,Products!$A:$E,2,FALSE)</f>
        <v>Product_32</v>
      </c>
      <c r="E4953" t="str">
        <f>VLOOKUP(B4953,Products!$A:$E,3,FALSE)</f>
        <v>Networking</v>
      </c>
    </row>
    <row r="4954" spans="1:5" x14ac:dyDescent="0.3">
      <c r="A4954" t="s">
        <v>5964</v>
      </c>
      <c r="B4954" t="s">
        <v>28</v>
      </c>
      <c r="C4954">
        <v>59</v>
      </c>
      <c r="D4954" t="str">
        <f>VLOOKUP(B4954,Products!$A:$E,2,FALSE)</f>
        <v>Product_10</v>
      </c>
      <c r="E4954" t="str">
        <f>VLOOKUP(B4954,Products!$A:$E,3,FALSE)</f>
        <v>Networking</v>
      </c>
    </row>
    <row r="4955" spans="1:5" x14ac:dyDescent="0.3">
      <c r="A4955" t="s">
        <v>5965</v>
      </c>
      <c r="B4955" t="s">
        <v>600</v>
      </c>
      <c r="C4955">
        <v>45</v>
      </c>
      <c r="D4955" t="str">
        <f>VLOOKUP(B4955,Products!$A:$E,2,FALSE)</f>
        <v>Product_296</v>
      </c>
      <c r="E4955" t="str">
        <f>VLOOKUP(B4955,Products!$A:$E,3,FALSE)</f>
        <v>Office Supplies</v>
      </c>
    </row>
    <row r="4956" spans="1:5" x14ac:dyDescent="0.3">
      <c r="A4956" t="s">
        <v>5966</v>
      </c>
      <c r="B4956" t="s">
        <v>576</v>
      </c>
      <c r="C4956">
        <v>13</v>
      </c>
      <c r="D4956" t="str">
        <f>VLOOKUP(B4956,Products!$A:$E,2,FALSE)</f>
        <v>Product_284</v>
      </c>
      <c r="E4956" t="str">
        <f>VLOOKUP(B4956,Products!$A:$E,3,FALSE)</f>
        <v>Networking</v>
      </c>
    </row>
    <row r="4957" spans="1:5" x14ac:dyDescent="0.3">
      <c r="A4957" t="s">
        <v>5967</v>
      </c>
      <c r="B4957" t="s">
        <v>284</v>
      </c>
      <c r="C4957">
        <v>87</v>
      </c>
      <c r="D4957" t="str">
        <f>VLOOKUP(B4957,Products!$A:$E,2,FALSE)</f>
        <v>Product_138</v>
      </c>
      <c r="E4957" t="str">
        <f>VLOOKUP(B4957,Products!$A:$E,3,FALSE)</f>
        <v>Electronics</v>
      </c>
    </row>
    <row r="4958" spans="1:5" x14ac:dyDescent="0.3">
      <c r="A4958" t="s">
        <v>5968</v>
      </c>
      <c r="B4958" t="s">
        <v>436</v>
      </c>
      <c r="C4958">
        <v>65</v>
      </c>
      <c r="D4958" t="str">
        <f>VLOOKUP(B4958,Products!$A:$E,2,FALSE)</f>
        <v>Product_214</v>
      </c>
      <c r="E4958" t="str">
        <f>VLOOKUP(B4958,Products!$A:$E,3,FALSE)</f>
        <v>Electronics</v>
      </c>
    </row>
    <row r="4959" spans="1:5" x14ac:dyDescent="0.3">
      <c r="A4959" t="s">
        <v>5969</v>
      </c>
      <c r="B4959" t="s">
        <v>128</v>
      </c>
      <c r="C4959">
        <v>68</v>
      </c>
      <c r="D4959" t="str">
        <f>VLOOKUP(B4959,Products!$A:$E,2,FALSE)</f>
        <v>Product_60</v>
      </c>
      <c r="E4959" t="str">
        <f>VLOOKUP(B4959,Products!$A:$E,3,FALSE)</f>
        <v>Electronics</v>
      </c>
    </row>
    <row r="4960" spans="1:5" x14ac:dyDescent="0.3">
      <c r="A4960" t="s">
        <v>5970</v>
      </c>
      <c r="B4960" t="s">
        <v>646</v>
      </c>
      <c r="C4960">
        <v>87</v>
      </c>
      <c r="D4960" t="str">
        <f>VLOOKUP(B4960,Products!$A:$E,2,FALSE)</f>
        <v>Product_319</v>
      </c>
      <c r="E4960" t="str">
        <f>VLOOKUP(B4960,Products!$A:$E,3,FALSE)</f>
        <v>Accessories</v>
      </c>
    </row>
    <row r="4961" spans="1:5" x14ac:dyDescent="0.3">
      <c r="A4961" t="s">
        <v>5971</v>
      </c>
      <c r="B4961" t="s">
        <v>364</v>
      </c>
      <c r="C4961">
        <v>62</v>
      </c>
      <c r="D4961" t="str">
        <f>VLOOKUP(B4961,Products!$A:$E,2,FALSE)</f>
        <v>Product_178</v>
      </c>
      <c r="E4961" t="str">
        <f>VLOOKUP(B4961,Products!$A:$E,3,FALSE)</f>
        <v>Office Supplies</v>
      </c>
    </row>
    <row r="4962" spans="1:5" x14ac:dyDescent="0.3">
      <c r="A4962" t="s">
        <v>5972</v>
      </c>
      <c r="B4962" t="s">
        <v>724</v>
      </c>
      <c r="C4962">
        <v>60</v>
      </c>
      <c r="D4962" t="str">
        <f>VLOOKUP(B4962,Products!$A:$E,2,FALSE)</f>
        <v>Product_358</v>
      </c>
      <c r="E4962" t="str">
        <f>VLOOKUP(B4962,Products!$A:$E,3,FALSE)</f>
        <v>Storage</v>
      </c>
    </row>
    <row r="4963" spans="1:5" x14ac:dyDescent="0.3">
      <c r="A4963" t="s">
        <v>5973</v>
      </c>
      <c r="B4963" t="s">
        <v>30</v>
      </c>
      <c r="C4963">
        <v>25</v>
      </c>
      <c r="D4963" t="str">
        <f>VLOOKUP(B4963,Products!$A:$E,2,FALSE)</f>
        <v>Product_11</v>
      </c>
      <c r="E4963" t="str">
        <f>VLOOKUP(B4963,Products!$A:$E,3,FALSE)</f>
        <v>Electronics</v>
      </c>
    </row>
    <row r="4964" spans="1:5" x14ac:dyDescent="0.3">
      <c r="A4964" t="s">
        <v>5974</v>
      </c>
      <c r="B4964" t="s">
        <v>304</v>
      </c>
      <c r="C4964">
        <v>97</v>
      </c>
      <c r="D4964" t="str">
        <f>VLOOKUP(B4964,Products!$A:$E,2,FALSE)</f>
        <v>Product_148</v>
      </c>
      <c r="E4964" t="str">
        <f>VLOOKUP(B4964,Products!$A:$E,3,FALSE)</f>
        <v>Electronics</v>
      </c>
    </row>
    <row r="4965" spans="1:5" x14ac:dyDescent="0.3">
      <c r="A4965" t="s">
        <v>5975</v>
      </c>
      <c r="B4965" t="s">
        <v>206</v>
      </c>
      <c r="C4965">
        <v>65</v>
      </c>
      <c r="D4965" t="str">
        <f>VLOOKUP(B4965,Products!$A:$E,2,FALSE)</f>
        <v>Product_99</v>
      </c>
      <c r="E4965" t="str">
        <f>VLOOKUP(B4965,Products!$A:$E,3,FALSE)</f>
        <v>Accessories</v>
      </c>
    </row>
    <row r="4966" spans="1:5" x14ac:dyDescent="0.3">
      <c r="A4966" t="s">
        <v>5976</v>
      </c>
      <c r="B4966" t="s">
        <v>362</v>
      </c>
      <c r="C4966">
        <v>61</v>
      </c>
      <c r="D4966" t="str">
        <f>VLOOKUP(B4966,Products!$A:$E,2,FALSE)</f>
        <v>Product_177</v>
      </c>
      <c r="E4966" t="str">
        <f>VLOOKUP(B4966,Products!$A:$E,3,FALSE)</f>
        <v>Office Supplies</v>
      </c>
    </row>
    <row r="4967" spans="1:5" x14ac:dyDescent="0.3">
      <c r="A4967" t="s">
        <v>5977</v>
      </c>
      <c r="B4967" t="s">
        <v>246</v>
      </c>
      <c r="C4967">
        <v>69</v>
      </c>
      <c r="D4967" t="str">
        <f>VLOOKUP(B4967,Products!$A:$E,2,FALSE)</f>
        <v>Product_119</v>
      </c>
      <c r="E4967" t="str">
        <f>VLOOKUP(B4967,Products!$A:$E,3,FALSE)</f>
        <v>Electronics</v>
      </c>
    </row>
    <row r="4968" spans="1:5" x14ac:dyDescent="0.3">
      <c r="A4968" t="s">
        <v>5978</v>
      </c>
      <c r="B4968" t="s">
        <v>234</v>
      </c>
      <c r="C4968">
        <v>80</v>
      </c>
      <c r="D4968" t="str">
        <f>VLOOKUP(B4968,Products!$A:$E,2,FALSE)</f>
        <v>Product_113</v>
      </c>
      <c r="E4968" t="str">
        <f>VLOOKUP(B4968,Products!$A:$E,3,FALSE)</f>
        <v>Electronics</v>
      </c>
    </row>
    <row r="4969" spans="1:5" x14ac:dyDescent="0.3">
      <c r="A4969" t="s">
        <v>5979</v>
      </c>
      <c r="B4969" t="s">
        <v>940</v>
      </c>
      <c r="C4969">
        <v>92</v>
      </c>
      <c r="D4969" t="str">
        <f>VLOOKUP(B4969,Products!$A:$E,2,FALSE)</f>
        <v>Product_466</v>
      </c>
      <c r="E4969" t="str">
        <f>VLOOKUP(B4969,Products!$A:$E,3,FALSE)</f>
        <v>Networking</v>
      </c>
    </row>
    <row r="4970" spans="1:5" x14ac:dyDescent="0.3">
      <c r="A4970" t="s">
        <v>5980</v>
      </c>
      <c r="B4970" t="s">
        <v>356</v>
      </c>
      <c r="C4970">
        <v>82</v>
      </c>
      <c r="D4970" t="str">
        <f>VLOOKUP(B4970,Products!$A:$E,2,FALSE)</f>
        <v>Product_174</v>
      </c>
      <c r="E4970" t="str">
        <f>VLOOKUP(B4970,Products!$A:$E,3,FALSE)</f>
        <v>Storage</v>
      </c>
    </row>
    <row r="4971" spans="1:5" x14ac:dyDescent="0.3">
      <c r="A4971" t="s">
        <v>5981</v>
      </c>
      <c r="B4971" t="s">
        <v>882</v>
      </c>
      <c r="C4971">
        <v>96</v>
      </c>
      <c r="D4971" t="str">
        <f>VLOOKUP(B4971,Products!$A:$E,2,FALSE)</f>
        <v>Product_437</v>
      </c>
      <c r="E4971" t="str">
        <f>VLOOKUP(B4971,Products!$A:$E,3,FALSE)</f>
        <v>Accessories</v>
      </c>
    </row>
    <row r="4972" spans="1:5" x14ac:dyDescent="0.3">
      <c r="A4972" t="s">
        <v>5982</v>
      </c>
      <c r="B4972" t="s">
        <v>682</v>
      </c>
      <c r="C4972">
        <v>64</v>
      </c>
      <c r="D4972" t="str">
        <f>VLOOKUP(B4972,Products!$A:$E,2,FALSE)</f>
        <v>Product_337</v>
      </c>
      <c r="E4972" t="str">
        <f>VLOOKUP(B4972,Products!$A:$E,3,FALSE)</f>
        <v>Storage</v>
      </c>
    </row>
    <row r="4973" spans="1:5" x14ac:dyDescent="0.3">
      <c r="A4973" t="s">
        <v>5983</v>
      </c>
      <c r="B4973" t="s">
        <v>144</v>
      </c>
      <c r="C4973">
        <v>42</v>
      </c>
      <c r="D4973" t="str">
        <f>VLOOKUP(B4973,Products!$A:$E,2,FALSE)</f>
        <v>Product_68</v>
      </c>
      <c r="E4973" t="str">
        <f>VLOOKUP(B4973,Products!$A:$E,3,FALSE)</f>
        <v>Accessories</v>
      </c>
    </row>
    <row r="4974" spans="1:5" x14ac:dyDescent="0.3">
      <c r="A4974" t="s">
        <v>5984</v>
      </c>
      <c r="B4974" t="s">
        <v>750</v>
      </c>
      <c r="C4974">
        <v>96</v>
      </c>
      <c r="D4974" t="str">
        <f>VLOOKUP(B4974,Products!$A:$E,2,FALSE)</f>
        <v>Product_371</v>
      </c>
      <c r="E4974" t="str">
        <f>VLOOKUP(B4974,Products!$A:$E,3,FALSE)</f>
        <v>Storage</v>
      </c>
    </row>
    <row r="4975" spans="1:5" x14ac:dyDescent="0.3">
      <c r="A4975" t="s">
        <v>5985</v>
      </c>
      <c r="B4975" t="s">
        <v>408</v>
      </c>
      <c r="C4975">
        <v>58</v>
      </c>
      <c r="D4975" t="str">
        <f>VLOOKUP(B4975,Products!$A:$E,2,FALSE)</f>
        <v>Product_200</v>
      </c>
      <c r="E4975" t="str">
        <f>VLOOKUP(B4975,Products!$A:$E,3,FALSE)</f>
        <v>Office Supplies</v>
      </c>
    </row>
    <row r="4976" spans="1:5" x14ac:dyDescent="0.3">
      <c r="A4976" t="s">
        <v>5986</v>
      </c>
      <c r="B4976" t="s">
        <v>862</v>
      </c>
      <c r="C4976">
        <v>91</v>
      </c>
      <c r="D4976" t="str">
        <f>VLOOKUP(B4976,Products!$A:$E,2,FALSE)</f>
        <v>Product_427</v>
      </c>
      <c r="E4976" t="str">
        <f>VLOOKUP(B4976,Products!$A:$E,3,FALSE)</f>
        <v>Networking</v>
      </c>
    </row>
    <row r="4977" spans="1:5" x14ac:dyDescent="0.3">
      <c r="A4977" t="s">
        <v>5987</v>
      </c>
      <c r="B4977" t="s">
        <v>678</v>
      </c>
      <c r="C4977">
        <v>99</v>
      </c>
      <c r="D4977" t="str">
        <f>VLOOKUP(B4977,Products!$A:$E,2,FALSE)</f>
        <v>Product_335</v>
      </c>
      <c r="E4977" t="str">
        <f>VLOOKUP(B4977,Products!$A:$E,3,FALSE)</f>
        <v>Networking</v>
      </c>
    </row>
    <row r="4978" spans="1:5" x14ac:dyDescent="0.3">
      <c r="A4978" t="s">
        <v>5988</v>
      </c>
      <c r="B4978" t="s">
        <v>378</v>
      </c>
      <c r="C4978">
        <v>65</v>
      </c>
      <c r="D4978" t="str">
        <f>VLOOKUP(B4978,Products!$A:$E,2,FALSE)</f>
        <v>Product_185</v>
      </c>
      <c r="E4978" t="str">
        <f>VLOOKUP(B4978,Products!$A:$E,3,FALSE)</f>
        <v>Storage</v>
      </c>
    </row>
    <row r="4979" spans="1:5" x14ac:dyDescent="0.3">
      <c r="A4979" t="s">
        <v>5989</v>
      </c>
      <c r="B4979" t="s">
        <v>828</v>
      </c>
      <c r="C4979">
        <v>25</v>
      </c>
      <c r="D4979" t="str">
        <f>VLOOKUP(B4979,Products!$A:$E,2,FALSE)</f>
        <v>Product_410</v>
      </c>
      <c r="E4979" t="str">
        <f>VLOOKUP(B4979,Products!$A:$E,3,FALSE)</f>
        <v>Storage</v>
      </c>
    </row>
    <row r="4980" spans="1:5" x14ac:dyDescent="0.3">
      <c r="A4980" t="s">
        <v>5990</v>
      </c>
      <c r="B4980" t="s">
        <v>646</v>
      </c>
      <c r="C4980">
        <v>31</v>
      </c>
      <c r="D4980" t="str">
        <f>VLOOKUP(B4980,Products!$A:$E,2,FALSE)</f>
        <v>Product_319</v>
      </c>
      <c r="E4980" t="str">
        <f>VLOOKUP(B4980,Products!$A:$E,3,FALSE)</f>
        <v>Accessories</v>
      </c>
    </row>
    <row r="4981" spans="1:5" x14ac:dyDescent="0.3">
      <c r="A4981" t="s">
        <v>5991</v>
      </c>
      <c r="B4981" t="s">
        <v>298</v>
      </c>
      <c r="C4981">
        <v>93</v>
      </c>
      <c r="D4981" t="str">
        <f>VLOOKUP(B4981,Products!$A:$E,2,FALSE)</f>
        <v>Product_145</v>
      </c>
      <c r="E4981" t="str">
        <f>VLOOKUP(B4981,Products!$A:$E,3,FALSE)</f>
        <v>Office Supplies</v>
      </c>
    </row>
    <row r="4982" spans="1:5" x14ac:dyDescent="0.3">
      <c r="A4982" t="s">
        <v>5992</v>
      </c>
      <c r="B4982" t="s">
        <v>776</v>
      </c>
      <c r="C4982">
        <v>16</v>
      </c>
      <c r="D4982" t="str">
        <f>VLOOKUP(B4982,Products!$A:$E,2,FALSE)</f>
        <v>Product_384</v>
      </c>
      <c r="E4982" t="str">
        <f>VLOOKUP(B4982,Products!$A:$E,3,FALSE)</f>
        <v>Office Supplies</v>
      </c>
    </row>
    <row r="4983" spans="1:5" x14ac:dyDescent="0.3">
      <c r="A4983" t="s">
        <v>5993</v>
      </c>
      <c r="B4983" t="s">
        <v>692</v>
      </c>
      <c r="C4983">
        <v>66</v>
      </c>
      <c r="D4983" t="str">
        <f>VLOOKUP(B4983,Products!$A:$E,2,FALSE)</f>
        <v>Product_342</v>
      </c>
      <c r="E4983" t="str">
        <f>VLOOKUP(B4983,Products!$A:$E,3,FALSE)</f>
        <v>Accessories</v>
      </c>
    </row>
    <row r="4984" spans="1:5" x14ac:dyDescent="0.3">
      <c r="A4984" t="s">
        <v>5994</v>
      </c>
      <c r="B4984" t="s">
        <v>142</v>
      </c>
      <c r="C4984">
        <v>27</v>
      </c>
      <c r="D4984" t="str">
        <f>VLOOKUP(B4984,Products!$A:$E,2,FALSE)</f>
        <v>Product_67</v>
      </c>
      <c r="E4984" t="str">
        <f>VLOOKUP(B4984,Products!$A:$E,3,FALSE)</f>
        <v>Office Supplies</v>
      </c>
    </row>
    <row r="4985" spans="1:5" x14ac:dyDescent="0.3">
      <c r="A4985" t="s">
        <v>5995</v>
      </c>
      <c r="B4985" t="s">
        <v>214</v>
      </c>
      <c r="C4985">
        <v>25</v>
      </c>
      <c r="D4985" t="str">
        <f>VLOOKUP(B4985,Products!$A:$E,2,FALSE)</f>
        <v>Product_103</v>
      </c>
      <c r="E4985" t="str">
        <f>VLOOKUP(B4985,Products!$A:$E,3,FALSE)</f>
        <v>Accessories</v>
      </c>
    </row>
    <row r="4986" spans="1:5" x14ac:dyDescent="0.3">
      <c r="A4986" t="s">
        <v>5996</v>
      </c>
      <c r="B4986" t="s">
        <v>630</v>
      </c>
      <c r="C4986">
        <v>67</v>
      </c>
      <c r="D4986" t="str">
        <f>VLOOKUP(B4986,Products!$A:$E,2,FALSE)</f>
        <v>Product_311</v>
      </c>
      <c r="E4986" t="str">
        <f>VLOOKUP(B4986,Products!$A:$E,3,FALSE)</f>
        <v>Networking</v>
      </c>
    </row>
    <row r="4987" spans="1:5" x14ac:dyDescent="0.3">
      <c r="A4987" t="s">
        <v>5997</v>
      </c>
      <c r="B4987" t="s">
        <v>112</v>
      </c>
      <c r="C4987">
        <v>58</v>
      </c>
      <c r="D4987" t="str">
        <f>VLOOKUP(B4987,Products!$A:$E,2,FALSE)</f>
        <v>Product_52</v>
      </c>
      <c r="E4987" t="str">
        <f>VLOOKUP(B4987,Products!$A:$E,3,FALSE)</f>
        <v>Electronics</v>
      </c>
    </row>
    <row r="4988" spans="1:5" x14ac:dyDescent="0.3">
      <c r="A4988" t="s">
        <v>5998</v>
      </c>
      <c r="B4988" t="s">
        <v>974</v>
      </c>
      <c r="C4988">
        <v>68</v>
      </c>
      <c r="D4988" t="str">
        <f>VLOOKUP(B4988,Products!$A:$E,2,FALSE)</f>
        <v>Product_483</v>
      </c>
      <c r="E4988" t="str">
        <f>VLOOKUP(B4988,Products!$A:$E,3,FALSE)</f>
        <v>Electronics</v>
      </c>
    </row>
    <row r="4989" spans="1:5" x14ac:dyDescent="0.3">
      <c r="A4989" t="s">
        <v>5999</v>
      </c>
      <c r="B4989" t="s">
        <v>320</v>
      </c>
      <c r="C4989">
        <v>35</v>
      </c>
      <c r="D4989" t="str">
        <f>VLOOKUP(B4989,Products!$A:$E,2,FALSE)</f>
        <v>Product_156</v>
      </c>
      <c r="E4989" t="str">
        <f>VLOOKUP(B4989,Products!$A:$E,3,FALSE)</f>
        <v>Accessories</v>
      </c>
    </row>
    <row r="4990" spans="1:5" x14ac:dyDescent="0.3">
      <c r="A4990" t="s">
        <v>6000</v>
      </c>
      <c r="B4990" t="s">
        <v>224</v>
      </c>
      <c r="C4990">
        <v>76</v>
      </c>
      <c r="D4990" t="str">
        <f>VLOOKUP(B4990,Products!$A:$E,2,FALSE)</f>
        <v>Product_108</v>
      </c>
      <c r="E4990" t="str">
        <f>VLOOKUP(B4990,Products!$A:$E,3,FALSE)</f>
        <v>Networking</v>
      </c>
    </row>
    <row r="4991" spans="1:5" x14ac:dyDescent="0.3">
      <c r="A4991" t="s">
        <v>6001</v>
      </c>
      <c r="B4991" t="s">
        <v>58</v>
      </c>
      <c r="C4991">
        <v>7</v>
      </c>
      <c r="D4991" t="str">
        <f>VLOOKUP(B4991,Products!$A:$E,2,FALSE)</f>
        <v>Product_25</v>
      </c>
      <c r="E4991" t="str">
        <f>VLOOKUP(B4991,Products!$A:$E,3,FALSE)</f>
        <v>Office Supplies</v>
      </c>
    </row>
    <row r="4992" spans="1:5" x14ac:dyDescent="0.3">
      <c r="A4992" t="s">
        <v>6002</v>
      </c>
      <c r="B4992" t="s">
        <v>376</v>
      </c>
      <c r="C4992">
        <v>38</v>
      </c>
      <c r="D4992" t="str">
        <f>VLOOKUP(B4992,Products!$A:$E,2,FALSE)</f>
        <v>Product_184</v>
      </c>
      <c r="E4992" t="str">
        <f>VLOOKUP(B4992,Products!$A:$E,3,FALSE)</f>
        <v>Electronics</v>
      </c>
    </row>
    <row r="4993" spans="1:5" x14ac:dyDescent="0.3">
      <c r="A4993" t="s">
        <v>6003</v>
      </c>
      <c r="B4993" t="s">
        <v>374</v>
      </c>
      <c r="C4993">
        <v>91</v>
      </c>
      <c r="D4993" t="str">
        <f>VLOOKUP(B4993,Products!$A:$E,2,FALSE)</f>
        <v>Product_183</v>
      </c>
      <c r="E4993" t="str">
        <f>VLOOKUP(B4993,Products!$A:$E,3,FALSE)</f>
        <v>Electronics</v>
      </c>
    </row>
    <row r="4994" spans="1:5" x14ac:dyDescent="0.3">
      <c r="A4994" t="s">
        <v>6004</v>
      </c>
      <c r="B4994" t="s">
        <v>172</v>
      </c>
      <c r="C4994">
        <v>27</v>
      </c>
      <c r="D4994" t="str">
        <f>VLOOKUP(B4994,Products!$A:$E,2,FALSE)</f>
        <v>Product_82</v>
      </c>
      <c r="E4994" t="str">
        <f>VLOOKUP(B4994,Products!$A:$E,3,FALSE)</f>
        <v>Storage</v>
      </c>
    </row>
    <row r="4995" spans="1:5" x14ac:dyDescent="0.3">
      <c r="A4995" t="s">
        <v>6005</v>
      </c>
      <c r="B4995" t="s">
        <v>856</v>
      </c>
      <c r="C4995">
        <v>69</v>
      </c>
      <c r="D4995" t="str">
        <f>VLOOKUP(B4995,Products!$A:$E,2,FALSE)</f>
        <v>Product_424</v>
      </c>
      <c r="E4995" t="str">
        <f>VLOOKUP(B4995,Products!$A:$E,3,FALSE)</f>
        <v>Networking</v>
      </c>
    </row>
    <row r="4996" spans="1:5" x14ac:dyDescent="0.3">
      <c r="A4996" t="s">
        <v>6006</v>
      </c>
      <c r="B4996" t="s">
        <v>42</v>
      </c>
      <c r="C4996">
        <v>13</v>
      </c>
      <c r="D4996" t="str">
        <f>VLOOKUP(B4996,Products!$A:$E,2,FALSE)</f>
        <v>Product_17</v>
      </c>
      <c r="E4996" t="str">
        <f>VLOOKUP(B4996,Products!$A:$E,3,FALSE)</f>
        <v>Office Supplies</v>
      </c>
    </row>
    <row r="4997" spans="1:5" x14ac:dyDescent="0.3">
      <c r="A4997" t="s">
        <v>6007</v>
      </c>
      <c r="B4997" t="s">
        <v>354</v>
      </c>
      <c r="C4997">
        <v>60</v>
      </c>
      <c r="D4997" t="str">
        <f>VLOOKUP(B4997,Products!$A:$E,2,FALSE)</f>
        <v>Product_173</v>
      </c>
      <c r="E4997" t="str">
        <f>VLOOKUP(B4997,Products!$A:$E,3,FALSE)</f>
        <v>Electronics</v>
      </c>
    </row>
    <row r="4998" spans="1:5" x14ac:dyDescent="0.3">
      <c r="A4998" t="s">
        <v>6008</v>
      </c>
      <c r="B4998" t="s">
        <v>126</v>
      </c>
      <c r="C4998">
        <v>84</v>
      </c>
      <c r="D4998" t="str">
        <f>VLOOKUP(B4998,Products!$A:$E,2,FALSE)</f>
        <v>Product_59</v>
      </c>
      <c r="E4998" t="str">
        <f>VLOOKUP(B4998,Products!$A:$E,3,FALSE)</f>
        <v>Accessories</v>
      </c>
    </row>
    <row r="4999" spans="1:5" x14ac:dyDescent="0.3">
      <c r="A4999" t="s">
        <v>6009</v>
      </c>
      <c r="B4999" t="s">
        <v>242</v>
      </c>
      <c r="C4999">
        <v>20</v>
      </c>
      <c r="D4999" t="str">
        <f>VLOOKUP(B4999,Products!$A:$E,2,FALSE)</f>
        <v>Product_117</v>
      </c>
      <c r="E4999" t="str">
        <f>VLOOKUP(B4999,Products!$A:$E,3,FALSE)</f>
        <v>Storage</v>
      </c>
    </row>
    <row r="5000" spans="1:5" x14ac:dyDescent="0.3">
      <c r="A5000" t="s">
        <v>6010</v>
      </c>
      <c r="B5000" t="s">
        <v>584</v>
      </c>
      <c r="C5000">
        <v>33</v>
      </c>
      <c r="D5000" t="str">
        <f>VLOOKUP(B5000,Products!$A:$E,2,FALSE)</f>
        <v>Product_288</v>
      </c>
      <c r="E5000" t="str">
        <f>VLOOKUP(B5000,Products!$A:$E,3,FALSE)</f>
        <v>Networking</v>
      </c>
    </row>
    <row r="5001" spans="1:5" x14ac:dyDescent="0.3">
      <c r="A5001" t="s">
        <v>6011</v>
      </c>
      <c r="B5001" t="s">
        <v>508</v>
      </c>
      <c r="C5001">
        <v>38</v>
      </c>
      <c r="D5001" t="str">
        <f>VLOOKUP(B5001,Products!$A:$E,2,FALSE)</f>
        <v>Product_250</v>
      </c>
      <c r="E5001" t="str">
        <f>VLOOKUP(B5001,Products!$A:$E,3,FALSE)</f>
        <v>Networking</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001"/>
  <sheetViews>
    <sheetView workbookViewId="0">
      <selection activeCell="E2" sqref="E2:E7001"/>
    </sheetView>
  </sheetViews>
  <sheetFormatPr defaultRowHeight="14.4" x14ac:dyDescent="0.3"/>
  <cols>
    <col min="1" max="1" width="6.88671875" bestFit="1" customWidth="1"/>
    <col min="2" max="2" width="9.88671875" bestFit="1" customWidth="1"/>
    <col min="3" max="3" width="12.44140625" bestFit="1" customWidth="1"/>
    <col min="4" max="4" width="13.21875" bestFit="1" customWidth="1"/>
    <col min="5" max="5" width="15.21875" bestFit="1" customWidth="1"/>
  </cols>
  <sheetData>
    <row r="1" spans="1:5" x14ac:dyDescent="0.3">
      <c r="A1" s="1" t="s">
        <v>6012</v>
      </c>
      <c r="B1" s="1" t="s">
        <v>0</v>
      </c>
      <c r="C1" s="1" t="s">
        <v>6013</v>
      </c>
      <c r="D1" s="3" t="s">
        <v>13014</v>
      </c>
      <c r="E1" s="3" t="s">
        <v>13015</v>
      </c>
    </row>
    <row r="2" spans="1:5" x14ac:dyDescent="0.3">
      <c r="A2" t="s">
        <v>6014</v>
      </c>
      <c r="B2" t="s">
        <v>358</v>
      </c>
      <c r="C2">
        <v>23</v>
      </c>
      <c r="D2" t="str">
        <f>VLOOKUP(B2,Products!$A:$E,2,FALSE)</f>
        <v>Product_175</v>
      </c>
      <c r="E2" t="str">
        <f>VLOOKUP(B2,Products!$A:$E,3,FALSE)</f>
        <v>Storage</v>
      </c>
    </row>
    <row r="3" spans="1:5" x14ac:dyDescent="0.3">
      <c r="A3" t="s">
        <v>6015</v>
      </c>
      <c r="B3" t="s">
        <v>796</v>
      </c>
      <c r="C3">
        <v>3</v>
      </c>
      <c r="D3" t="str">
        <f>VLOOKUP(B3,Products!$A:$E,2,FALSE)</f>
        <v>Product_394</v>
      </c>
      <c r="E3" t="str">
        <f>VLOOKUP(B3,Products!$A:$E,3,FALSE)</f>
        <v>Electronics</v>
      </c>
    </row>
    <row r="4" spans="1:5" x14ac:dyDescent="0.3">
      <c r="A4" t="s">
        <v>6016</v>
      </c>
      <c r="B4" t="s">
        <v>798</v>
      </c>
      <c r="C4">
        <v>36</v>
      </c>
      <c r="D4" t="str">
        <f>VLOOKUP(B4,Products!$A:$E,2,FALSE)</f>
        <v>Product_395</v>
      </c>
      <c r="E4" t="str">
        <f>VLOOKUP(B4,Products!$A:$E,3,FALSE)</f>
        <v>Accessories</v>
      </c>
    </row>
    <row r="5" spans="1:5" x14ac:dyDescent="0.3">
      <c r="A5" t="s">
        <v>6017</v>
      </c>
      <c r="B5" t="s">
        <v>282</v>
      </c>
      <c r="C5">
        <v>10</v>
      </c>
      <c r="D5" t="str">
        <f>VLOOKUP(B5,Products!$A:$E,2,FALSE)</f>
        <v>Product_137</v>
      </c>
      <c r="E5" t="str">
        <f>VLOOKUP(B5,Products!$A:$E,3,FALSE)</f>
        <v>Storage</v>
      </c>
    </row>
    <row r="6" spans="1:5" x14ac:dyDescent="0.3">
      <c r="A6" t="s">
        <v>6018</v>
      </c>
      <c r="B6" t="s">
        <v>882</v>
      </c>
      <c r="C6">
        <v>45</v>
      </c>
      <c r="D6" t="str">
        <f>VLOOKUP(B6,Products!$A:$E,2,FALSE)</f>
        <v>Product_437</v>
      </c>
      <c r="E6" t="str">
        <f>VLOOKUP(B6,Products!$A:$E,3,FALSE)</f>
        <v>Accessories</v>
      </c>
    </row>
    <row r="7" spans="1:5" x14ac:dyDescent="0.3">
      <c r="A7" t="s">
        <v>6019</v>
      </c>
      <c r="B7" t="s">
        <v>904</v>
      </c>
      <c r="C7">
        <v>33</v>
      </c>
      <c r="D7" t="str">
        <f>VLOOKUP(B7,Products!$A:$E,2,FALSE)</f>
        <v>Product_448</v>
      </c>
      <c r="E7" t="str">
        <f>VLOOKUP(B7,Products!$A:$E,3,FALSE)</f>
        <v>Networking</v>
      </c>
    </row>
    <row r="8" spans="1:5" x14ac:dyDescent="0.3">
      <c r="A8" t="s">
        <v>6020</v>
      </c>
      <c r="B8" t="s">
        <v>628</v>
      </c>
      <c r="C8">
        <v>43</v>
      </c>
      <c r="D8" t="str">
        <f>VLOOKUP(B8,Products!$A:$E,2,FALSE)</f>
        <v>Product_310</v>
      </c>
      <c r="E8" t="str">
        <f>VLOOKUP(B8,Products!$A:$E,3,FALSE)</f>
        <v>Office Supplies</v>
      </c>
    </row>
    <row r="9" spans="1:5" x14ac:dyDescent="0.3">
      <c r="A9" t="s">
        <v>6021</v>
      </c>
      <c r="B9" t="s">
        <v>116</v>
      </c>
      <c r="C9">
        <v>46</v>
      </c>
      <c r="D9" t="str">
        <f>VLOOKUP(B9,Products!$A:$E,2,FALSE)</f>
        <v>Product_54</v>
      </c>
      <c r="E9" t="str">
        <f>VLOOKUP(B9,Products!$A:$E,3,FALSE)</f>
        <v>Storage</v>
      </c>
    </row>
    <row r="10" spans="1:5" x14ac:dyDescent="0.3">
      <c r="A10" t="s">
        <v>6022</v>
      </c>
      <c r="B10" t="s">
        <v>60</v>
      </c>
      <c r="C10">
        <v>29</v>
      </c>
      <c r="D10" t="str">
        <f>VLOOKUP(B10,Products!$A:$E,2,FALSE)</f>
        <v>Product_26</v>
      </c>
      <c r="E10" t="str">
        <f>VLOOKUP(B10,Products!$A:$E,3,FALSE)</f>
        <v>Office Supplies</v>
      </c>
    </row>
    <row r="11" spans="1:5" x14ac:dyDescent="0.3">
      <c r="A11" t="s">
        <v>6023</v>
      </c>
      <c r="B11" t="s">
        <v>828</v>
      </c>
      <c r="C11">
        <v>30</v>
      </c>
      <c r="D11" t="str">
        <f>VLOOKUP(B11,Products!$A:$E,2,FALSE)</f>
        <v>Product_410</v>
      </c>
      <c r="E11" t="str">
        <f>VLOOKUP(B11,Products!$A:$E,3,FALSE)</f>
        <v>Storage</v>
      </c>
    </row>
    <row r="12" spans="1:5" x14ac:dyDescent="0.3">
      <c r="A12" t="s">
        <v>6024</v>
      </c>
      <c r="B12" t="s">
        <v>994</v>
      </c>
      <c r="C12">
        <v>49</v>
      </c>
      <c r="D12" t="str">
        <f>VLOOKUP(B12,Products!$A:$E,2,FALSE)</f>
        <v>Product_493</v>
      </c>
      <c r="E12" t="str">
        <f>VLOOKUP(B12,Products!$A:$E,3,FALSE)</f>
        <v>Networking</v>
      </c>
    </row>
    <row r="13" spans="1:5" x14ac:dyDescent="0.3">
      <c r="A13" t="s">
        <v>6025</v>
      </c>
      <c r="B13" t="s">
        <v>122</v>
      </c>
      <c r="C13">
        <v>7</v>
      </c>
      <c r="D13" t="str">
        <f>VLOOKUP(B13,Products!$A:$E,2,FALSE)</f>
        <v>Product_57</v>
      </c>
      <c r="E13" t="str">
        <f>VLOOKUP(B13,Products!$A:$E,3,FALSE)</f>
        <v>Electronics</v>
      </c>
    </row>
    <row r="14" spans="1:5" x14ac:dyDescent="0.3">
      <c r="A14" t="s">
        <v>6026</v>
      </c>
      <c r="B14" t="s">
        <v>810</v>
      </c>
      <c r="C14">
        <v>40</v>
      </c>
      <c r="D14" t="str">
        <f>VLOOKUP(B14,Products!$A:$E,2,FALSE)</f>
        <v>Product_401</v>
      </c>
      <c r="E14" t="str">
        <f>VLOOKUP(B14,Products!$A:$E,3,FALSE)</f>
        <v>Storage</v>
      </c>
    </row>
    <row r="15" spans="1:5" x14ac:dyDescent="0.3">
      <c r="A15" t="s">
        <v>6027</v>
      </c>
      <c r="B15" t="s">
        <v>634</v>
      </c>
      <c r="C15">
        <v>7</v>
      </c>
      <c r="D15" t="str">
        <f>VLOOKUP(B15,Products!$A:$E,2,FALSE)</f>
        <v>Product_313</v>
      </c>
      <c r="E15" t="str">
        <f>VLOOKUP(B15,Products!$A:$E,3,FALSE)</f>
        <v>Accessories</v>
      </c>
    </row>
    <row r="16" spans="1:5" x14ac:dyDescent="0.3">
      <c r="A16" t="s">
        <v>6028</v>
      </c>
      <c r="B16" t="s">
        <v>852</v>
      </c>
      <c r="C16">
        <v>36</v>
      </c>
      <c r="D16" t="str">
        <f>VLOOKUP(B16,Products!$A:$E,2,FALSE)</f>
        <v>Product_422</v>
      </c>
      <c r="E16" t="str">
        <f>VLOOKUP(B16,Products!$A:$E,3,FALSE)</f>
        <v>Accessories</v>
      </c>
    </row>
    <row r="17" spans="1:5" x14ac:dyDescent="0.3">
      <c r="A17" t="s">
        <v>6029</v>
      </c>
      <c r="B17" t="s">
        <v>52</v>
      </c>
      <c r="C17">
        <v>33</v>
      </c>
      <c r="D17" t="str">
        <f>VLOOKUP(B17,Products!$A:$E,2,FALSE)</f>
        <v>Product_22</v>
      </c>
      <c r="E17" t="str">
        <f>VLOOKUP(B17,Products!$A:$E,3,FALSE)</f>
        <v>Electronics</v>
      </c>
    </row>
    <row r="18" spans="1:5" x14ac:dyDescent="0.3">
      <c r="A18" t="s">
        <v>6030</v>
      </c>
      <c r="B18" t="s">
        <v>116</v>
      </c>
      <c r="C18">
        <v>11</v>
      </c>
      <c r="D18" t="str">
        <f>VLOOKUP(B18,Products!$A:$E,2,FALSE)</f>
        <v>Product_54</v>
      </c>
      <c r="E18" t="str">
        <f>VLOOKUP(B18,Products!$A:$E,3,FALSE)</f>
        <v>Storage</v>
      </c>
    </row>
    <row r="19" spans="1:5" x14ac:dyDescent="0.3">
      <c r="A19" t="s">
        <v>6031</v>
      </c>
      <c r="B19" t="s">
        <v>654</v>
      </c>
      <c r="C19">
        <v>8</v>
      </c>
      <c r="D19" t="str">
        <f>VLOOKUP(B19,Products!$A:$E,2,FALSE)</f>
        <v>Product_323</v>
      </c>
      <c r="E19" t="str">
        <f>VLOOKUP(B19,Products!$A:$E,3,FALSE)</f>
        <v>Electronics</v>
      </c>
    </row>
    <row r="20" spans="1:5" x14ac:dyDescent="0.3">
      <c r="A20" t="s">
        <v>6032</v>
      </c>
      <c r="B20" t="s">
        <v>900</v>
      </c>
      <c r="C20">
        <v>14</v>
      </c>
      <c r="D20" t="str">
        <f>VLOOKUP(B20,Products!$A:$E,2,FALSE)</f>
        <v>Product_446</v>
      </c>
      <c r="E20" t="str">
        <f>VLOOKUP(B20,Products!$A:$E,3,FALSE)</f>
        <v>Accessories</v>
      </c>
    </row>
    <row r="21" spans="1:5" x14ac:dyDescent="0.3">
      <c r="A21" t="s">
        <v>6033</v>
      </c>
      <c r="B21" t="s">
        <v>942</v>
      </c>
      <c r="C21">
        <v>24</v>
      </c>
      <c r="D21" t="str">
        <f>VLOOKUP(B21,Products!$A:$E,2,FALSE)</f>
        <v>Product_467</v>
      </c>
      <c r="E21" t="str">
        <f>VLOOKUP(B21,Products!$A:$E,3,FALSE)</f>
        <v>Accessories</v>
      </c>
    </row>
    <row r="22" spans="1:5" x14ac:dyDescent="0.3">
      <c r="A22" t="s">
        <v>6034</v>
      </c>
      <c r="B22" t="s">
        <v>170</v>
      </c>
      <c r="C22">
        <v>47</v>
      </c>
      <c r="D22" t="str">
        <f>VLOOKUP(B22,Products!$A:$E,2,FALSE)</f>
        <v>Product_81</v>
      </c>
      <c r="E22" t="str">
        <f>VLOOKUP(B22,Products!$A:$E,3,FALSE)</f>
        <v>Office Supplies</v>
      </c>
    </row>
    <row r="23" spans="1:5" x14ac:dyDescent="0.3">
      <c r="A23" t="s">
        <v>6035</v>
      </c>
      <c r="B23" t="s">
        <v>308</v>
      </c>
      <c r="C23">
        <v>46</v>
      </c>
      <c r="D23" t="str">
        <f>VLOOKUP(B23,Products!$A:$E,2,FALSE)</f>
        <v>Product_150</v>
      </c>
      <c r="E23" t="str">
        <f>VLOOKUP(B23,Products!$A:$E,3,FALSE)</f>
        <v>Accessories</v>
      </c>
    </row>
    <row r="24" spans="1:5" x14ac:dyDescent="0.3">
      <c r="A24" t="s">
        <v>6036</v>
      </c>
      <c r="B24" t="s">
        <v>462</v>
      </c>
      <c r="C24">
        <v>49</v>
      </c>
      <c r="D24" t="str">
        <f>VLOOKUP(B24,Products!$A:$E,2,FALSE)</f>
        <v>Product_227</v>
      </c>
      <c r="E24" t="str">
        <f>VLOOKUP(B24,Products!$A:$E,3,FALSE)</f>
        <v>Accessories</v>
      </c>
    </row>
    <row r="25" spans="1:5" x14ac:dyDescent="0.3">
      <c r="A25" t="s">
        <v>6037</v>
      </c>
      <c r="B25" t="s">
        <v>528</v>
      </c>
      <c r="C25">
        <v>32</v>
      </c>
      <c r="D25" t="str">
        <f>VLOOKUP(B25,Products!$A:$E,2,FALSE)</f>
        <v>Product_260</v>
      </c>
      <c r="E25" t="str">
        <f>VLOOKUP(B25,Products!$A:$E,3,FALSE)</f>
        <v>Storage</v>
      </c>
    </row>
    <row r="26" spans="1:5" x14ac:dyDescent="0.3">
      <c r="A26" t="s">
        <v>6038</v>
      </c>
      <c r="B26" t="s">
        <v>760</v>
      </c>
      <c r="C26">
        <v>7</v>
      </c>
      <c r="D26" t="str">
        <f>VLOOKUP(B26,Products!$A:$E,2,FALSE)</f>
        <v>Product_376</v>
      </c>
      <c r="E26" t="str">
        <f>VLOOKUP(B26,Products!$A:$E,3,FALSE)</f>
        <v>Networking</v>
      </c>
    </row>
    <row r="27" spans="1:5" x14ac:dyDescent="0.3">
      <c r="A27" t="s">
        <v>6039</v>
      </c>
      <c r="B27" t="s">
        <v>166</v>
      </c>
      <c r="C27">
        <v>42</v>
      </c>
      <c r="D27" t="str">
        <f>VLOOKUP(B27,Products!$A:$E,2,FALSE)</f>
        <v>Product_79</v>
      </c>
      <c r="E27" t="str">
        <f>VLOOKUP(B27,Products!$A:$E,3,FALSE)</f>
        <v>Storage</v>
      </c>
    </row>
    <row r="28" spans="1:5" x14ac:dyDescent="0.3">
      <c r="A28" t="s">
        <v>6040</v>
      </c>
      <c r="B28" t="s">
        <v>382</v>
      </c>
      <c r="C28">
        <v>22</v>
      </c>
      <c r="D28" t="str">
        <f>VLOOKUP(B28,Products!$A:$E,2,FALSE)</f>
        <v>Product_187</v>
      </c>
      <c r="E28" t="str">
        <f>VLOOKUP(B28,Products!$A:$E,3,FALSE)</f>
        <v>Electronics</v>
      </c>
    </row>
    <row r="29" spans="1:5" x14ac:dyDescent="0.3">
      <c r="A29" t="s">
        <v>6041</v>
      </c>
      <c r="B29" t="s">
        <v>848</v>
      </c>
      <c r="C29">
        <v>9</v>
      </c>
      <c r="D29" t="str">
        <f>VLOOKUP(B29,Products!$A:$E,2,FALSE)</f>
        <v>Product_420</v>
      </c>
      <c r="E29" t="str">
        <f>VLOOKUP(B29,Products!$A:$E,3,FALSE)</f>
        <v>Networking</v>
      </c>
    </row>
    <row r="30" spans="1:5" x14ac:dyDescent="0.3">
      <c r="A30" t="s">
        <v>6042</v>
      </c>
      <c r="B30" t="s">
        <v>134</v>
      </c>
      <c r="C30">
        <v>13</v>
      </c>
      <c r="D30" t="str">
        <f>VLOOKUP(B30,Products!$A:$E,2,FALSE)</f>
        <v>Product_63</v>
      </c>
      <c r="E30" t="str">
        <f>VLOOKUP(B30,Products!$A:$E,3,FALSE)</f>
        <v>Accessories</v>
      </c>
    </row>
    <row r="31" spans="1:5" x14ac:dyDescent="0.3">
      <c r="A31" t="s">
        <v>6043</v>
      </c>
      <c r="B31" t="s">
        <v>458</v>
      </c>
      <c r="C31">
        <v>27</v>
      </c>
      <c r="D31" t="str">
        <f>VLOOKUP(B31,Products!$A:$E,2,FALSE)</f>
        <v>Product_225</v>
      </c>
      <c r="E31" t="str">
        <f>VLOOKUP(B31,Products!$A:$E,3,FALSE)</f>
        <v>Accessories</v>
      </c>
    </row>
    <row r="32" spans="1:5" x14ac:dyDescent="0.3">
      <c r="A32" t="s">
        <v>6044</v>
      </c>
      <c r="B32" t="s">
        <v>796</v>
      </c>
      <c r="C32">
        <v>50</v>
      </c>
      <c r="D32" t="str">
        <f>VLOOKUP(B32,Products!$A:$E,2,FALSE)</f>
        <v>Product_394</v>
      </c>
      <c r="E32" t="str">
        <f>VLOOKUP(B32,Products!$A:$E,3,FALSE)</f>
        <v>Electronics</v>
      </c>
    </row>
    <row r="33" spans="1:5" x14ac:dyDescent="0.3">
      <c r="A33" t="s">
        <v>6045</v>
      </c>
      <c r="B33" t="s">
        <v>14</v>
      </c>
      <c r="C33">
        <v>16</v>
      </c>
      <c r="D33" t="str">
        <f>VLOOKUP(B33,Products!$A:$E,2,FALSE)</f>
        <v>Product_4</v>
      </c>
      <c r="E33" t="str">
        <f>VLOOKUP(B33,Products!$A:$E,3,FALSE)</f>
        <v>Storage</v>
      </c>
    </row>
    <row r="34" spans="1:5" x14ac:dyDescent="0.3">
      <c r="A34" t="s">
        <v>6046</v>
      </c>
      <c r="B34" t="s">
        <v>864</v>
      </c>
      <c r="C34">
        <v>31</v>
      </c>
      <c r="D34" t="str">
        <f>VLOOKUP(B34,Products!$A:$E,2,FALSE)</f>
        <v>Product_428</v>
      </c>
      <c r="E34" t="str">
        <f>VLOOKUP(B34,Products!$A:$E,3,FALSE)</f>
        <v>Storage</v>
      </c>
    </row>
    <row r="35" spans="1:5" x14ac:dyDescent="0.3">
      <c r="A35" t="s">
        <v>6047</v>
      </c>
      <c r="B35" t="s">
        <v>358</v>
      </c>
      <c r="C35">
        <v>19</v>
      </c>
      <c r="D35" t="str">
        <f>VLOOKUP(B35,Products!$A:$E,2,FALSE)</f>
        <v>Product_175</v>
      </c>
      <c r="E35" t="str">
        <f>VLOOKUP(B35,Products!$A:$E,3,FALSE)</f>
        <v>Storage</v>
      </c>
    </row>
    <row r="36" spans="1:5" x14ac:dyDescent="0.3">
      <c r="A36" t="s">
        <v>6048</v>
      </c>
      <c r="B36" t="s">
        <v>526</v>
      </c>
      <c r="C36">
        <v>11</v>
      </c>
      <c r="D36" t="str">
        <f>VLOOKUP(B36,Products!$A:$E,2,FALSE)</f>
        <v>Product_259</v>
      </c>
      <c r="E36" t="str">
        <f>VLOOKUP(B36,Products!$A:$E,3,FALSE)</f>
        <v>Electronics</v>
      </c>
    </row>
    <row r="37" spans="1:5" x14ac:dyDescent="0.3">
      <c r="A37" t="s">
        <v>6049</v>
      </c>
      <c r="B37" t="s">
        <v>96</v>
      </c>
      <c r="C37">
        <v>18</v>
      </c>
      <c r="D37" t="str">
        <f>VLOOKUP(B37,Products!$A:$E,2,FALSE)</f>
        <v>Product_44</v>
      </c>
      <c r="E37" t="str">
        <f>VLOOKUP(B37,Products!$A:$E,3,FALSE)</f>
        <v>Storage</v>
      </c>
    </row>
    <row r="38" spans="1:5" x14ac:dyDescent="0.3">
      <c r="A38" t="s">
        <v>6050</v>
      </c>
      <c r="B38" t="s">
        <v>390</v>
      </c>
      <c r="C38">
        <v>46</v>
      </c>
      <c r="D38" t="str">
        <f>VLOOKUP(B38,Products!$A:$E,2,FALSE)</f>
        <v>Product_191</v>
      </c>
      <c r="E38" t="str">
        <f>VLOOKUP(B38,Products!$A:$E,3,FALSE)</f>
        <v>Networking</v>
      </c>
    </row>
    <row r="39" spans="1:5" x14ac:dyDescent="0.3">
      <c r="A39" t="s">
        <v>6051</v>
      </c>
      <c r="B39" t="s">
        <v>782</v>
      </c>
      <c r="C39">
        <v>27</v>
      </c>
      <c r="D39" t="str">
        <f>VLOOKUP(B39,Products!$A:$E,2,FALSE)</f>
        <v>Product_387</v>
      </c>
      <c r="E39" t="str">
        <f>VLOOKUP(B39,Products!$A:$E,3,FALSE)</f>
        <v>Storage</v>
      </c>
    </row>
    <row r="40" spans="1:5" x14ac:dyDescent="0.3">
      <c r="A40" t="s">
        <v>6052</v>
      </c>
      <c r="B40" t="s">
        <v>378</v>
      </c>
      <c r="C40">
        <v>41</v>
      </c>
      <c r="D40" t="str">
        <f>VLOOKUP(B40,Products!$A:$E,2,FALSE)</f>
        <v>Product_185</v>
      </c>
      <c r="E40" t="str">
        <f>VLOOKUP(B40,Products!$A:$E,3,FALSE)</f>
        <v>Storage</v>
      </c>
    </row>
    <row r="41" spans="1:5" x14ac:dyDescent="0.3">
      <c r="A41" t="s">
        <v>6053</v>
      </c>
      <c r="B41" t="s">
        <v>690</v>
      </c>
      <c r="C41">
        <v>16</v>
      </c>
      <c r="D41" t="str">
        <f>VLOOKUP(B41,Products!$A:$E,2,FALSE)</f>
        <v>Product_341</v>
      </c>
      <c r="E41" t="str">
        <f>VLOOKUP(B41,Products!$A:$E,3,FALSE)</f>
        <v>Storage</v>
      </c>
    </row>
    <row r="42" spans="1:5" x14ac:dyDescent="0.3">
      <c r="A42" t="s">
        <v>6054</v>
      </c>
      <c r="B42" t="s">
        <v>164</v>
      </c>
      <c r="C42">
        <v>49</v>
      </c>
      <c r="D42" t="str">
        <f>VLOOKUP(B42,Products!$A:$E,2,FALSE)</f>
        <v>Product_78</v>
      </c>
      <c r="E42" t="str">
        <f>VLOOKUP(B42,Products!$A:$E,3,FALSE)</f>
        <v>Office Supplies</v>
      </c>
    </row>
    <row r="43" spans="1:5" x14ac:dyDescent="0.3">
      <c r="A43" t="s">
        <v>6055</v>
      </c>
      <c r="B43" t="s">
        <v>780</v>
      </c>
      <c r="C43">
        <v>34</v>
      </c>
      <c r="D43" t="str">
        <f>VLOOKUP(B43,Products!$A:$E,2,FALSE)</f>
        <v>Product_386</v>
      </c>
      <c r="E43" t="str">
        <f>VLOOKUP(B43,Products!$A:$E,3,FALSE)</f>
        <v>Electronics</v>
      </c>
    </row>
    <row r="44" spans="1:5" x14ac:dyDescent="0.3">
      <c r="A44" t="s">
        <v>6056</v>
      </c>
      <c r="B44" t="s">
        <v>440</v>
      </c>
      <c r="C44">
        <v>15</v>
      </c>
      <c r="D44" t="str">
        <f>VLOOKUP(B44,Products!$A:$E,2,FALSE)</f>
        <v>Product_216</v>
      </c>
      <c r="E44" t="str">
        <f>VLOOKUP(B44,Products!$A:$E,3,FALSE)</f>
        <v>Accessories</v>
      </c>
    </row>
    <row r="45" spans="1:5" x14ac:dyDescent="0.3">
      <c r="A45" t="s">
        <v>6057</v>
      </c>
      <c r="B45" t="s">
        <v>150</v>
      </c>
      <c r="C45">
        <v>28</v>
      </c>
      <c r="D45" t="str">
        <f>VLOOKUP(B45,Products!$A:$E,2,FALSE)</f>
        <v>Product_71</v>
      </c>
      <c r="E45" t="str">
        <f>VLOOKUP(B45,Products!$A:$E,3,FALSE)</f>
        <v>Accessories</v>
      </c>
    </row>
    <row r="46" spans="1:5" x14ac:dyDescent="0.3">
      <c r="A46" t="s">
        <v>6058</v>
      </c>
      <c r="B46" t="s">
        <v>432</v>
      </c>
      <c r="C46">
        <v>27</v>
      </c>
      <c r="D46" t="str">
        <f>VLOOKUP(B46,Products!$A:$E,2,FALSE)</f>
        <v>Product_212</v>
      </c>
      <c r="E46" t="str">
        <f>VLOOKUP(B46,Products!$A:$E,3,FALSE)</f>
        <v>Networking</v>
      </c>
    </row>
    <row r="47" spans="1:5" x14ac:dyDescent="0.3">
      <c r="A47" t="s">
        <v>6059</v>
      </c>
      <c r="B47" t="s">
        <v>928</v>
      </c>
      <c r="C47">
        <v>30</v>
      </c>
      <c r="D47" t="str">
        <f>VLOOKUP(B47,Products!$A:$E,2,FALSE)</f>
        <v>Product_460</v>
      </c>
      <c r="E47" t="str">
        <f>VLOOKUP(B47,Products!$A:$E,3,FALSE)</f>
        <v>Accessories</v>
      </c>
    </row>
    <row r="48" spans="1:5" x14ac:dyDescent="0.3">
      <c r="A48" t="s">
        <v>6060</v>
      </c>
      <c r="B48" t="s">
        <v>984</v>
      </c>
      <c r="C48">
        <v>34</v>
      </c>
      <c r="D48" t="str">
        <f>VLOOKUP(B48,Products!$A:$E,2,FALSE)</f>
        <v>Product_488</v>
      </c>
      <c r="E48" t="str">
        <f>VLOOKUP(B48,Products!$A:$E,3,FALSE)</f>
        <v>Accessories</v>
      </c>
    </row>
    <row r="49" spans="1:5" x14ac:dyDescent="0.3">
      <c r="A49" t="s">
        <v>6061</v>
      </c>
      <c r="B49" t="s">
        <v>822</v>
      </c>
      <c r="C49">
        <v>44</v>
      </c>
      <c r="D49" t="str">
        <f>VLOOKUP(B49,Products!$A:$E,2,FALSE)</f>
        <v>Product_407</v>
      </c>
      <c r="E49" t="str">
        <f>VLOOKUP(B49,Products!$A:$E,3,FALSE)</f>
        <v>Networking</v>
      </c>
    </row>
    <row r="50" spans="1:5" x14ac:dyDescent="0.3">
      <c r="A50" t="s">
        <v>6062</v>
      </c>
      <c r="B50" t="s">
        <v>380</v>
      </c>
      <c r="C50">
        <v>2</v>
      </c>
      <c r="D50" t="str">
        <f>VLOOKUP(B50,Products!$A:$E,2,FALSE)</f>
        <v>Product_186</v>
      </c>
      <c r="E50" t="str">
        <f>VLOOKUP(B50,Products!$A:$E,3,FALSE)</f>
        <v>Accessories</v>
      </c>
    </row>
    <row r="51" spans="1:5" x14ac:dyDescent="0.3">
      <c r="A51" t="s">
        <v>6063</v>
      </c>
      <c r="B51" t="s">
        <v>462</v>
      </c>
      <c r="C51">
        <v>10</v>
      </c>
      <c r="D51" t="str">
        <f>VLOOKUP(B51,Products!$A:$E,2,FALSE)</f>
        <v>Product_227</v>
      </c>
      <c r="E51" t="str">
        <f>VLOOKUP(B51,Products!$A:$E,3,FALSE)</f>
        <v>Accessories</v>
      </c>
    </row>
    <row r="52" spans="1:5" x14ac:dyDescent="0.3">
      <c r="A52" t="s">
        <v>6064</v>
      </c>
      <c r="B52" t="s">
        <v>798</v>
      </c>
      <c r="C52">
        <v>1</v>
      </c>
      <c r="D52" t="str">
        <f>VLOOKUP(B52,Products!$A:$E,2,FALSE)</f>
        <v>Product_395</v>
      </c>
      <c r="E52" t="str">
        <f>VLOOKUP(B52,Products!$A:$E,3,FALSE)</f>
        <v>Accessories</v>
      </c>
    </row>
    <row r="53" spans="1:5" x14ac:dyDescent="0.3">
      <c r="A53" t="s">
        <v>6065</v>
      </c>
      <c r="B53" t="s">
        <v>744</v>
      </c>
      <c r="C53">
        <v>34</v>
      </c>
      <c r="D53" t="str">
        <f>VLOOKUP(B53,Products!$A:$E,2,FALSE)</f>
        <v>Product_368</v>
      </c>
      <c r="E53" t="str">
        <f>VLOOKUP(B53,Products!$A:$E,3,FALSE)</f>
        <v>Office Supplies</v>
      </c>
    </row>
    <row r="54" spans="1:5" x14ac:dyDescent="0.3">
      <c r="A54" t="s">
        <v>6066</v>
      </c>
      <c r="B54" t="s">
        <v>976</v>
      </c>
      <c r="C54">
        <v>5</v>
      </c>
      <c r="D54" t="str">
        <f>VLOOKUP(B54,Products!$A:$E,2,FALSE)</f>
        <v>Product_484</v>
      </c>
      <c r="E54" t="str">
        <f>VLOOKUP(B54,Products!$A:$E,3,FALSE)</f>
        <v>Networking</v>
      </c>
    </row>
    <row r="55" spans="1:5" x14ac:dyDescent="0.3">
      <c r="A55" t="s">
        <v>6067</v>
      </c>
      <c r="B55" t="s">
        <v>96</v>
      </c>
      <c r="C55">
        <v>22</v>
      </c>
      <c r="D55" t="str">
        <f>VLOOKUP(B55,Products!$A:$E,2,FALSE)</f>
        <v>Product_44</v>
      </c>
      <c r="E55" t="str">
        <f>VLOOKUP(B55,Products!$A:$E,3,FALSE)</f>
        <v>Storage</v>
      </c>
    </row>
    <row r="56" spans="1:5" x14ac:dyDescent="0.3">
      <c r="A56" t="s">
        <v>6068</v>
      </c>
      <c r="B56" t="s">
        <v>332</v>
      </c>
      <c r="C56">
        <v>26</v>
      </c>
      <c r="D56" t="str">
        <f>VLOOKUP(B56,Products!$A:$E,2,FALSE)</f>
        <v>Product_162</v>
      </c>
      <c r="E56" t="str">
        <f>VLOOKUP(B56,Products!$A:$E,3,FALSE)</f>
        <v>Accessories</v>
      </c>
    </row>
    <row r="57" spans="1:5" x14ac:dyDescent="0.3">
      <c r="A57" t="s">
        <v>6069</v>
      </c>
      <c r="B57" t="s">
        <v>800</v>
      </c>
      <c r="C57">
        <v>11</v>
      </c>
      <c r="D57" t="str">
        <f>VLOOKUP(B57,Products!$A:$E,2,FALSE)</f>
        <v>Product_396</v>
      </c>
      <c r="E57" t="str">
        <f>VLOOKUP(B57,Products!$A:$E,3,FALSE)</f>
        <v>Office Supplies</v>
      </c>
    </row>
    <row r="58" spans="1:5" x14ac:dyDescent="0.3">
      <c r="A58" t="s">
        <v>6070</v>
      </c>
      <c r="B58" t="s">
        <v>454</v>
      </c>
      <c r="C58">
        <v>4</v>
      </c>
      <c r="D58" t="str">
        <f>VLOOKUP(B58,Products!$A:$E,2,FALSE)</f>
        <v>Product_223</v>
      </c>
      <c r="E58" t="str">
        <f>VLOOKUP(B58,Products!$A:$E,3,FALSE)</f>
        <v>Storage</v>
      </c>
    </row>
    <row r="59" spans="1:5" x14ac:dyDescent="0.3">
      <c r="A59" t="s">
        <v>6071</v>
      </c>
      <c r="B59" t="s">
        <v>412</v>
      </c>
      <c r="C59">
        <v>49</v>
      </c>
      <c r="D59" t="str">
        <f>VLOOKUP(B59,Products!$A:$E,2,FALSE)</f>
        <v>Product_202</v>
      </c>
      <c r="E59" t="str">
        <f>VLOOKUP(B59,Products!$A:$E,3,FALSE)</f>
        <v>Storage</v>
      </c>
    </row>
    <row r="60" spans="1:5" x14ac:dyDescent="0.3">
      <c r="A60" t="s">
        <v>6072</v>
      </c>
      <c r="B60" t="s">
        <v>46</v>
      </c>
      <c r="C60">
        <v>43</v>
      </c>
      <c r="D60" t="str">
        <f>VLOOKUP(B60,Products!$A:$E,2,FALSE)</f>
        <v>Product_19</v>
      </c>
      <c r="E60" t="str">
        <f>VLOOKUP(B60,Products!$A:$E,3,FALSE)</f>
        <v>Networking</v>
      </c>
    </row>
    <row r="61" spans="1:5" x14ac:dyDescent="0.3">
      <c r="A61" t="s">
        <v>6073</v>
      </c>
      <c r="B61" t="s">
        <v>954</v>
      </c>
      <c r="C61">
        <v>42</v>
      </c>
      <c r="D61" t="str">
        <f>VLOOKUP(B61,Products!$A:$E,2,FALSE)</f>
        <v>Product_473</v>
      </c>
      <c r="E61" t="str">
        <f>VLOOKUP(B61,Products!$A:$E,3,FALSE)</f>
        <v>Accessories</v>
      </c>
    </row>
    <row r="62" spans="1:5" x14ac:dyDescent="0.3">
      <c r="A62" t="s">
        <v>6074</v>
      </c>
      <c r="B62" t="s">
        <v>164</v>
      </c>
      <c r="C62">
        <v>37</v>
      </c>
      <c r="D62" t="str">
        <f>VLOOKUP(B62,Products!$A:$E,2,FALSE)</f>
        <v>Product_78</v>
      </c>
      <c r="E62" t="str">
        <f>VLOOKUP(B62,Products!$A:$E,3,FALSE)</f>
        <v>Office Supplies</v>
      </c>
    </row>
    <row r="63" spans="1:5" x14ac:dyDescent="0.3">
      <c r="A63" t="s">
        <v>6075</v>
      </c>
      <c r="B63" t="s">
        <v>68</v>
      </c>
      <c r="C63">
        <v>41</v>
      </c>
      <c r="D63" t="str">
        <f>VLOOKUP(B63,Products!$A:$E,2,FALSE)</f>
        <v>Product_30</v>
      </c>
      <c r="E63" t="str">
        <f>VLOOKUP(B63,Products!$A:$E,3,FALSE)</f>
        <v>Accessories</v>
      </c>
    </row>
    <row r="64" spans="1:5" x14ac:dyDescent="0.3">
      <c r="A64" t="s">
        <v>6076</v>
      </c>
      <c r="B64" t="s">
        <v>740</v>
      </c>
      <c r="C64">
        <v>43</v>
      </c>
      <c r="D64" t="str">
        <f>VLOOKUP(B64,Products!$A:$E,2,FALSE)</f>
        <v>Product_366</v>
      </c>
      <c r="E64" t="str">
        <f>VLOOKUP(B64,Products!$A:$E,3,FALSE)</f>
        <v>Electronics</v>
      </c>
    </row>
    <row r="65" spans="1:5" x14ac:dyDescent="0.3">
      <c r="A65" t="s">
        <v>6077</v>
      </c>
      <c r="B65" t="s">
        <v>906</v>
      </c>
      <c r="C65">
        <v>34</v>
      </c>
      <c r="D65" t="str">
        <f>VLOOKUP(B65,Products!$A:$E,2,FALSE)</f>
        <v>Product_449</v>
      </c>
      <c r="E65" t="str">
        <f>VLOOKUP(B65,Products!$A:$E,3,FALSE)</f>
        <v>Networking</v>
      </c>
    </row>
    <row r="66" spans="1:5" x14ac:dyDescent="0.3">
      <c r="A66" t="s">
        <v>6078</v>
      </c>
      <c r="B66" t="s">
        <v>1006</v>
      </c>
      <c r="C66">
        <v>19</v>
      </c>
      <c r="D66" t="str">
        <f>VLOOKUP(B66,Products!$A:$E,2,FALSE)</f>
        <v>Product_499</v>
      </c>
      <c r="E66" t="str">
        <f>VLOOKUP(B66,Products!$A:$E,3,FALSE)</f>
        <v>Office Supplies</v>
      </c>
    </row>
    <row r="67" spans="1:5" x14ac:dyDescent="0.3">
      <c r="A67" t="s">
        <v>6079</v>
      </c>
      <c r="B67" t="s">
        <v>438</v>
      </c>
      <c r="C67">
        <v>26</v>
      </c>
      <c r="D67" t="str">
        <f>VLOOKUP(B67,Products!$A:$E,2,FALSE)</f>
        <v>Product_215</v>
      </c>
      <c r="E67" t="str">
        <f>VLOOKUP(B67,Products!$A:$E,3,FALSE)</f>
        <v>Electronics</v>
      </c>
    </row>
    <row r="68" spans="1:5" x14ac:dyDescent="0.3">
      <c r="A68" t="s">
        <v>6080</v>
      </c>
      <c r="B68" t="s">
        <v>916</v>
      </c>
      <c r="C68">
        <v>44</v>
      </c>
      <c r="D68" t="str">
        <f>VLOOKUP(B68,Products!$A:$E,2,FALSE)</f>
        <v>Product_454</v>
      </c>
      <c r="E68" t="str">
        <f>VLOOKUP(B68,Products!$A:$E,3,FALSE)</f>
        <v>Networking</v>
      </c>
    </row>
    <row r="69" spans="1:5" x14ac:dyDescent="0.3">
      <c r="A69" t="s">
        <v>6081</v>
      </c>
      <c r="B69" t="s">
        <v>726</v>
      </c>
      <c r="C69">
        <v>36</v>
      </c>
      <c r="D69" t="str">
        <f>VLOOKUP(B69,Products!$A:$E,2,FALSE)</f>
        <v>Product_359</v>
      </c>
      <c r="E69" t="str">
        <f>VLOOKUP(B69,Products!$A:$E,3,FALSE)</f>
        <v>Electronics</v>
      </c>
    </row>
    <row r="70" spans="1:5" x14ac:dyDescent="0.3">
      <c r="A70" t="s">
        <v>6082</v>
      </c>
      <c r="B70" t="s">
        <v>904</v>
      </c>
      <c r="C70">
        <v>20</v>
      </c>
      <c r="D70" t="str">
        <f>VLOOKUP(B70,Products!$A:$E,2,FALSE)</f>
        <v>Product_448</v>
      </c>
      <c r="E70" t="str">
        <f>VLOOKUP(B70,Products!$A:$E,3,FALSE)</f>
        <v>Networking</v>
      </c>
    </row>
    <row r="71" spans="1:5" x14ac:dyDescent="0.3">
      <c r="A71" t="s">
        <v>6083</v>
      </c>
      <c r="B71" t="s">
        <v>748</v>
      </c>
      <c r="C71">
        <v>48</v>
      </c>
      <c r="D71" t="str">
        <f>VLOOKUP(B71,Products!$A:$E,2,FALSE)</f>
        <v>Product_370</v>
      </c>
      <c r="E71" t="str">
        <f>VLOOKUP(B71,Products!$A:$E,3,FALSE)</f>
        <v>Networking</v>
      </c>
    </row>
    <row r="72" spans="1:5" x14ac:dyDescent="0.3">
      <c r="A72" t="s">
        <v>6084</v>
      </c>
      <c r="B72" t="s">
        <v>330</v>
      </c>
      <c r="C72">
        <v>23</v>
      </c>
      <c r="D72" t="str">
        <f>VLOOKUP(B72,Products!$A:$E,2,FALSE)</f>
        <v>Product_161</v>
      </c>
      <c r="E72" t="str">
        <f>VLOOKUP(B72,Products!$A:$E,3,FALSE)</f>
        <v>Networking</v>
      </c>
    </row>
    <row r="73" spans="1:5" x14ac:dyDescent="0.3">
      <c r="A73" t="s">
        <v>6085</v>
      </c>
      <c r="B73" t="s">
        <v>17</v>
      </c>
      <c r="C73">
        <v>18</v>
      </c>
      <c r="D73" t="str">
        <f>VLOOKUP(B73,Products!$A:$E,2,FALSE)</f>
        <v>Product_5</v>
      </c>
      <c r="E73" t="str">
        <f>VLOOKUP(B73,Products!$A:$E,3,FALSE)</f>
        <v>Networking</v>
      </c>
    </row>
    <row r="74" spans="1:5" x14ac:dyDescent="0.3">
      <c r="A74" t="s">
        <v>6086</v>
      </c>
      <c r="B74" t="s">
        <v>930</v>
      </c>
      <c r="C74">
        <v>34</v>
      </c>
      <c r="D74" t="str">
        <f>VLOOKUP(B74,Products!$A:$E,2,FALSE)</f>
        <v>Product_461</v>
      </c>
      <c r="E74" t="str">
        <f>VLOOKUP(B74,Products!$A:$E,3,FALSE)</f>
        <v>Accessories</v>
      </c>
    </row>
    <row r="75" spans="1:5" x14ac:dyDescent="0.3">
      <c r="A75" t="s">
        <v>6087</v>
      </c>
      <c r="B75" t="s">
        <v>634</v>
      </c>
      <c r="C75">
        <v>10</v>
      </c>
      <c r="D75" t="str">
        <f>VLOOKUP(B75,Products!$A:$E,2,FALSE)</f>
        <v>Product_313</v>
      </c>
      <c r="E75" t="str">
        <f>VLOOKUP(B75,Products!$A:$E,3,FALSE)</f>
        <v>Accessories</v>
      </c>
    </row>
    <row r="76" spans="1:5" x14ac:dyDescent="0.3">
      <c r="A76" t="s">
        <v>6088</v>
      </c>
      <c r="B76" t="s">
        <v>726</v>
      </c>
      <c r="C76">
        <v>26</v>
      </c>
      <c r="D76" t="str">
        <f>VLOOKUP(B76,Products!$A:$E,2,FALSE)</f>
        <v>Product_359</v>
      </c>
      <c r="E76" t="str">
        <f>VLOOKUP(B76,Products!$A:$E,3,FALSE)</f>
        <v>Electronics</v>
      </c>
    </row>
    <row r="77" spans="1:5" x14ac:dyDescent="0.3">
      <c r="A77" t="s">
        <v>6089</v>
      </c>
      <c r="B77" t="s">
        <v>466</v>
      </c>
      <c r="C77">
        <v>42</v>
      </c>
      <c r="D77" t="str">
        <f>VLOOKUP(B77,Products!$A:$E,2,FALSE)</f>
        <v>Product_229</v>
      </c>
      <c r="E77" t="str">
        <f>VLOOKUP(B77,Products!$A:$E,3,FALSE)</f>
        <v>Accessories</v>
      </c>
    </row>
    <row r="78" spans="1:5" x14ac:dyDescent="0.3">
      <c r="A78" t="s">
        <v>6090</v>
      </c>
      <c r="B78" t="s">
        <v>220</v>
      </c>
      <c r="C78">
        <v>35</v>
      </c>
      <c r="D78" t="str">
        <f>VLOOKUP(B78,Products!$A:$E,2,FALSE)</f>
        <v>Product_106</v>
      </c>
      <c r="E78" t="str">
        <f>VLOOKUP(B78,Products!$A:$E,3,FALSE)</f>
        <v>Networking</v>
      </c>
    </row>
    <row r="79" spans="1:5" x14ac:dyDescent="0.3">
      <c r="A79" t="s">
        <v>6091</v>
      </c>
      <c r="B79" t="s">
        <v>648</v>
      </c>
      <c r="C79">
        <v>40</v>
      </c>
      <c r="D79" t="str">
        <f>VLOOKUP(B79,Products!$A:$E,2,FALSE)</f>
        <v>Product_320</v>
      </c>
      <c r="E79" t="str">
        <f>VLOOKUP(B79,Products!$A:$E,3,FALSE)</f>
        <v>Office Supplies</v>
      </c>
    </row>
    <row r="80" spans="1:5" x14ac:dyDescent="0.3">
      <c r="A80" t="s">
        <v>6092</v>
      </c>
      <c r="B80" t="s">
        <v>676</v>
      </c>
      <c r="C80">
        <v>29</v>
      </c>
      <c r="D80" t="str">
        <f>VLOOKUP(B80,Products!$A:$E,2,FALSE)</f>
        <v>Product_334</v>
      </c>
      <c r="E80" t="str">
        <f>VLOOKUP(B80,Products!$A:$E,3,FALSE)</f>
        <v>Accessories</v>
      </c>
    </row>
    <row r="81" spans="1:5" x14ac:dyDescent="0.3">
      <c r="A81" t="s">
        <v>6093</v>
      </c>
      <c r="B81" t="s">
        <v>724</v>
      </c>
      <c r="C81">
        <v>23</v>
      </c>
      <c r="D81" t="str">
        <f>VLOOKUP(B81,Products!$A:$E,2,FALSE)</f>
        <v>Product_358</v>
      </c>
      <c r="E81" t="str">
        <f>VLOOKUP(B81,Products!$A:$E,3,FALSE)</f>
        <v>Storage</v>
      </c>
    </row>
    <row r="82" spans="1:5" x14ac:dyDescent="0.3">
      <c r="A82" t="s">
        <v>6094</v>
      </c>
      <c r="B82" t="s">
        <v>918</v>
      </c>
      <c r="C82">
        <v>42</v>
      </c>
      <c r="D82" t="str">
        <f>VLOOKUP(B82,Products!$A:$E,2,FALSE)</f>
        <v>Product_455</v>
      </c>
      <c r="E82" t="str">
        <f>VLOOKUP(B82,Products!$A:$E,3,FALSE)</f>
        <v>Storage</v>
      </c>
    </row>
    <row r="83" spans="1:5" x14ac:dyDescent="0.3">
      <c r="A83" t="s">
        <v>6095</v>
      </c>
      <c r="B83" t="s">
        <v>424</v>
      </c>
      <c r="C83">
        <v>50</v>
      </c>
      <c r="D83" t="str">
        <f>VLOOKUP(B83,Products!$A:$E,2,FALSE)</f>
        <v>Product_208</v>
      </c>
      <c r="E83" t="str">
        <f>VLOOKUP(B83,Products!$A:$E,3,FALSE)</f>
        <v>Electronics</v>
      </c>
    </row>
    <row r="84" spans="1:5" x14ac:dyDescent="0.3">
      <c r="A84" t="s">
        <v>6096</v>
      </c>
      <c r="B84" t="s">
        <v>212</v>
      </c>
      <c r="C84">
        <v>20</v>
      </c>
      <c r="D84" t="str">
        <f>VLOOKUP(B84,Products!$A:$E,2,FALSE)</f>
        <v>Product_102</v>
      </c>
      <c r="E84" t="str">
        <f>VLOOKUP(B84,Products!$A:$E,3,FALSE)</f>
        <v>Storage</v>
      </c>
    </row>
    <row r="85" spans="1:5" x14ac:dyDescent="0.3">
      <c r="A85" t="s">
        <v>6097</v>
      </c>
      <c r="B85" t="s">
        <v>96</v>
      </c>
      <c r="C85">
        <v>3</v>
      </c>
      <c r="D85" t="str">
        <f>VLOOKUP(B85,Products!$A:$E,2,FALSE)</f>
        <v>Product_44</v>
      </c>
      <c r="E85" t="str">
        <f>VLOOKUP(B85,Products!$A:$E,3,FALSE)</f>
        <v>Storage</v>
      </c>
    </row>
    <row r="86" spans="1:5" x14ac:dyDescent="0.3">
      <c r="A86" t="s">
        <v>6098</v>
      </c>
      <c r="B86" t="s">
        <v>560</v>
      </c>
      <c r="C86">
        <v>22</v>
      </c>
      <c r="D86" t="str">
        <f>VLOOKUP(B86,Products!$A:$E,2,FALSE)</f>
        <v>Product_276</v>
      </c>
      <c r="E86" t="str">
        <f>VLOOKUP(B86,Products!$A:$E,3,FALSE)</f>
        <v>Office Supplies</v>
      </c>
    </row>
    <row r="87" spans="1:5" x14ac:dyDescent="0.3">
      <c r="A87" t="s">
        <v>6099</v>
      </c>
      <c r="B87" t="s">
        <v>408</v>
      </c>
      <c r="C87">
        <v>47</v>
      </c>
      <c r="D87" t="str">
        <f>VLOOKUP(B87,Products!$A:$E,2,FALSE)</f>
        <v>Product_200</v>
      </c>
      <c r="E87" t="str">
        <f>VLOOKUP(B87,Products!$A:$E,3,FALSE)</f>
        <v>Office Supplies</v>
      </c>
    </row>
    <row r="88" spans="1:5" x14ac:dyDescent="0.3">
      <c r="A88" t="s">
        <v>6100</v>
      </c>
      <c r="B88" t="s">
        <v>746</v>
      </c>
      <c r="C88">
        <v>48</v>
      </c>
      <c r="D88" t="str">
        <f>VLOOKUP(B88,Products!$A:$E,2,FALSE)</f>
        <v>Product_369</v>
      </c>
      <c r="E88" t="str">
        <f>VLOOKUP(B88,Products!$A:$E,3,FALSE)</f>
        <v>Accessories</v>
      </c>
    </row>
    <row r="89" spans="1:5" x14ac:dyDescent="0.3">
      <c r="A89" t="s">
        <v>6101</v>
      </c>
      <c r="B89" t="s">
        <v>910</v>
      </c>
      <c r="C89">
        <v>9</v>
      </c>
      <c r="D89" t="str">
        <f>VLOOKUP(B89,Products!$A:$E,2,FALSE)</f>
        <v>Product_451</v>
      </c>
      <c r="E89" t="str">
        <f>VLOOKUP(B89,Products!$A:$E,3,FALSE)</f>
        <v>Accessories</v>
      </c>
    </row>
    <row r="90" spans="1:5" x14ac:dyDescent="0.3">
      <c r="A90" t="s">
        <v>6102</v>
      </c>
      <c r="B90" t="s">
        <v>542</v>
      </c>
      <c r="C90">
        <v>35</v>
      </c>
      <c r="D90" t="str">
        <f>VLOOKUP(B90,Products!$A:$E,2,FALSE)</f>
        <v>Product_267</v>
      </c>
      <c r="E90" t="str">
        <f>VLOOKUP(B90,Products!$A:$E,3,FALSE)</f>
        <v>Networking</v>
      </c>
    </row>
    <row r="91" spans="1:5" x14ac:dyDescent="0.3">
      <c r="A91" t="s">
        <v>6103</v>
      </c>
      <c r="B91" t="s">
        <v>300</v>
      </c>
      <c r="C91">
        <v>14</v>
      </c>
      <c r="D91" t="str">
        <f>VLOOKUP(B91,Products!$A:$E,2,FALSE)</f>
        <v>Product_146</v>
      </c>
      <c r="E91" t="str">
        <f>VLOOKUP(B91,Products!$A:$E,3,FALSE)</f>
        <v>Office Supplies</v>
      </c>
    </row>
    <row r="92" spans="1:5" x14ac:dyDescent="0.3">
      <c r="A92" t="s">
        <v>6104</v>
      </c>
      <c r="B92" t="s">
        <v>104</v>
      </c>
      <c r="C92">
        <v>33</v>
      </c>
      <c r="D92" t="str">
        <f>VLOOKUP(B92,Products!$A:$E,2,FALSE)</f>
        <v>Product_48</v>
      </c>
      <c r="E92" t="str">
        <f>VLOOKUP(B92,Products!$A:$E,3,FALSE)</f>
        <v>Accessories</v>
      </c>
    </row>
    <row r="93" spans="1:5" x14ac:dyDescent="0.3">
      <c r="A93" t="s">
        <v>6105</v>
      </c>
      <c r="B93" t="s">
        <v>574</v>
      </c>
      <c r="C93">
        <v>20</v>
      </c>
      <c r="D93" t="str">
        <f>VLOOKUP(B93,Products!$A:$E,2,FALSE)</f>
        <v>Product_283</v>
      </c>
      <c r="E93" t="str">
        <f>VLOOKUP(B93,Products!$A:$E,3,FALSE)</f>
        <v>Networking</v>
      </c>
    </row>
    <row r="94" spans="1:5" x14ac:dyDescent="0.3">
      <c r="A94" t="s">
        <v>6106</v>
      </c>
      <c r="B94" t="s">
        <v>542</v>
      </c>
      <c r="C94">
        <v>22</v>
      </c>
      <c r="D94" t="str">
        <f>VLOOKUP(B94,Products!$A:$E,2,FALSE)</f>
        <v>Product_267</v>
      </c>
      <c r="E94" t="str">
        <f>VLOOKUP(B94,Products!$A:$E,3,FALSE)</f>
        <v>Networking</v>
      </c>
    </row>
    <row r="95" spans="1:5" x14ac:dyDescent="0.3">
      <c r="A95" t="s">
        <v>6107</v>
      </c>
      <c r="B95" t="s">
        <v>784</v>
      </c>
      <c r="C95">
        <v>41</v>
      </c>
      <c r="D95" t="str">
        <f>VLOOKUP(B95,Products!$A:$E,2,FALSE)</f>
        <v>Product_388</v>
      </c>
      <c r="E95" t="str">
        <f>VLOOKUP(B95,Products!$A:$E,3,FALSE)</f>
        <v>Office Supplies</v>
      </c>
    </row>
    <row r="96" spans="1:5" x14ac:dyDescent="0.3">
      <c r="A96" t="s">
        <v>6108</v>
      </c>
      <c r="B96" t="s">
        <v>172</v>
      </c>
      <c r="C96">
        <v>2</v>
      </c>
      <c r="D96" t="str">
        <f>VLOOKUP(B96,Products!$A:$E,2,FALSE)</f>
        <v>Product_82</v>
      </c>
      <c r="E96" t="str">
        <f>VLOOKUP(B96,Products!$A:$E,3,FALSE)</f>
        <v>Storage</v>
      </c>
    </row>
    <row r="97" spans="1:5" x14ac:dyDescent="0.3">
      <c r="A97" t="s">
        <v>6109</v>
      </c>
      <c r="B97" t="s">
        <v>38</v>
      </c>
      <c r="C97">
        <v>35</v>
      </c>
      <c r="D97" t="str">
        <f>VLOOKUP(B97,Products!$A:$E,2,FALSE)</f>
        <v>Product_15</v>
      </c>
      <c r="E97" t="str">
        <f>VLOOKUP(B97,Products!$A:$E,3,FALSE)</f>
        <v>Electronics</v>
      </c>
    </row>
    <row r="98" spans="1:5" x14ac:dyDescent="0.3">
      <c r="A98" t="s">
        <v>6110</v>
      </c>
      <c r="B98" t="s">
        <v>616</v>
      </c>
      <c r="C98">
        <v>17</v>
      </c>
      <c r="D98" t="str">
        <f>VLOOKUP(B98,Products!$A:$E,2,FALSE)</f>
        <v>Product_304</v>
      </c>
      <c r="E98" t="str">
        <f>VLOOKUP(B98,Products!$A:$E,3,FALSE)</f>
        <v>Electronics</v>
      </c>
    </row>
    <row r="99" spans="1:5" x14ac:dyDescent="0.3">
      <c r="A99" t="s">
        <v>6111</v>
      </c>
      <c r="B99" t="s">
        <v>256</v>
      </c>
      <c r="C99">
        <v>50</v>
      </c>
      <c r="D99" t="str">
        <f>VLOOKUP(B99,Products!$A:$E,2,FALSE)</f>
        <v>Product_124</v>
      </c>
      <c r="E99" t="str">
        <f>VLOOKUP(B99,Products!$A:$E,3,FALSE)</f>
        <v>Storage</v>
      </c>
    </row>
    <row r="100" spans="1:5" x14ac:dyDescent="0.3">
      <c r="A100" t="s">
        <v>6112</v>
      </c>
      <c r="B100" t="s">
        <v>320</v>
      </c>
      <c r="C100">
        <v>47</v>
      </c>
      <c r="D100" t="str">
        <f>VLOOKUP(B100,Products!$A:$E,2,FALSE)</f>
        <v>Product_156</v>
      </c>
      <c r="E100" t="str">
        <f>VLOOKUP(B100,Products!$A:$E,3,FALSE)</f>
        <v>Accessories</v>
      </c>
    </row>
    <row r="101" spans="1:5" x14ac:dyDescent="0.3">
      <c r="A101" t="s">
        <v>6113</v>
      </c>
      <c r="B101" t="s">
        <v>442</v>
      </c>
      <c r="C101">
        <v>33</v>
      </c>
      <c r="D101" t="str">
        <f>VLOOKUP(B101,Products!$A:$E,2,FALSE)</f>
        <v>Product_217</v>
      </c>
      <c r="E101" t="str">
        <f>VLOOKUP(B101,Products!$A:$E,3,FALSE)</f>
        <v>Networking</v>
      </c>
    </row>
    <row r="102" spans="1:5" x14ac:dyDescent="0.3">
      <c r="A102" t="s">
        <v>6114</v>
      </c>
      <c r="B102" t="s">
        <v>122</v>
      </c>
      <c r="C102">
        <v>47</v>
      </c>
      <c r="D102" t="str">
        <f>VLOOKUP(B102,Products!$A:$E,2,FALSE)</f>
        <v>Product_57</v>
      </c>
      <c r="E102" t="str">
        <f>VLOOKUP(B102,Products!$A:$E,3,FALSE)</f>
        <v>Electronics</v>
      </c>
    </row>
    <row r="103" spans="1:5" x14ac:dyDescent="0.3">
      <c r="A103" t="s">
        <v>6115</v>
      </c>
      <c r="B103" t="s">
        <v>70</v>
      </c>
      <c r="C103">
        <v>24</v>
      </c>
      <c r="D103" t="str">
        <f>VLOOKUP(B103,Products!$A:$E,2,FALSE)</f>
        <v>Product_31</v>
      </c>
      <c r="E103" t="str">
        <f>VLOOKUP(B103,Products!$A:$E,3,FALSE)</f>
        <v>Accessories</v>
      </c>
    </row>
    <row r="104" spans="1:5" x14ac:dyDescent="0.3">
      <c r="A104" t="s">
        <v>6116</v>
      </c>
      <c r="B104" t="s">
        <v>274</v>
      </c>
      <c r="C104">
        <v>41</v>
      </c>
      <c r="D104" t="str">
        <f>VLOOKUP(B104,Products!$A:$E,2,FALSE)</f>
        <v>Product_133</v>
      </c>
      <c r="E104" t="str">
        <f>VLOOKUP(B104,Products!$A:$E,3,FALSE)</f>
        <v>Office Supplies</v>
      </c>
    </row>
    <row r="105" spans="1:5" x14ac:dyDescent="0.3">
      <c r="A105" t="s">
        <v>6117</v>
      </c>
      <c r="B105" t="s">
        <v>528</v>
      </c>
      <c r="C105">
        <v>23</v>
      </c>
      <c r="D105" t="str">
        <f>VLOOKUP(B105,Products!$A:$E,2,FALSE)</f>
        <v>Product_260</v>
      </c>
      <c r="E105" t="str">
        <f>VLOOKUP(B105,Products!$A:$E,3,FALSE)</f>
        <v>Storage</v>
      </c>
    </row>
    <row r="106" spans="1:5" x14ac:dyDescent="0.3">
      <c r="A106" t="s">
        <v>6118</v>
      </c>
      <c r="B106" t="s">
        <v>136</v>
      </c>
      <c r="C106">
        <v>4</v>
      </c>
      <c r="D106" t="str">
        <f>VLOOKUP(B106,Products!$A:$E,2,FALSE)</f>
        <v>Product_64</v>
      </c>
      <c r="E106" t="str">
        <f>VLOOKUP(B106,Products!$A:$E,3,FALSE)</f>
        <v>Storage</v>
      </c>
    </row>
    <row r="107" spans="1:5" x14ac:dyDescent="0.3">
      <c r="A107" t="s">
        <v>6119</v>
      </c>
      <c r="B107" t="s">
        <v>784</v>
      </c>
      <c r="C107">
        <v>42</v>
      </c>
      <c r="D107" t="str">
        <f>VLOOKUP(B107,Products!$A:$E,2,FALSE)</f>
        <v>Product_388</v>
      </c>
      <c r="E107" t="str">
        <f>VLOOKUP(B107,Products!$A:$E,3,FALSE)</f>
        <v>Office Supplies</v>
      </c>
    </row>
    <row r="108" spans="1:5" x14ac:dyDescent="0.3">
      <c r="A108" t="s">
        <v>6120</v>
      </c>
      <c r="B108" t="s">
        <v>972</v>
      </c>
      <c r="C108">
        <v>8</v>
      </c>
      <c r="D108" t="str">
        <f>VLOOKUP(B108,Products!$A:$E,2,FALSE)</f>
        <v>Product_482</v>
      </c>
      <c r="E108" t="str">
        <f>VLOOKUP(B108,Products!$A:$E,3,FALSE)</f>
        <v>Storage</v>
      </c>
    </row>
    <row r="109" spans="1:5" x14ac:dyDescent="0.3">
      <c r="A109" t="s">
        <v>6121</v>
      </c>
      <c r="B109" t="s">
        <v>468</v>
      </c>
      <c r="C109">
        <v>20</v>
      </c>
      <c r="D109" t="str">
        <f>VLOOKUP(B109,Products!$A:$E,2,FALSE)</f>
        <v>Product_230</v>
      </c>
      <c r="E109" t="str">
        <f>VLOOKUP(B109,Products!$A:$E,3,FALSE)</f>
        <v>Electronics</v>
      </c>
    </row>
    <row r="110" spans="1:5" x14ac:dyDescent="0.3">
      <c r="A110" t="s">
        <v>6122</v>
      </c>
      <c r="B110" t="s">
        <v>596</v>
      </c>
      <c r="C110">
        <v>48</v>
      </c>
      <c r="D110" t="str">
        <f>VLOOKUP(B110,Products!$A:$E,2,FALSE)</f>
        <v>Product_294</v>
      </c>
      <c r="E110" t="str">
        <f>VLOOKUP(B110,Products!$A:$E,3,FALSE)</f>
        <v>Networking</v>
      </c>
    </row>
    <row r="111" spans="1:5" x14ac:dyDescent="0.3">
      <c r="A111" t="s">
        <v>6123</v>
      </c>
      <c r="B111" t="s">
        <v>11</v>
      </c>
      <c r="C111">
        <v>30</v>
      </c>
      <c r="D111" t="str">
        <f>VLOOKUP(B111,Products!$A:$E,2,FALSE)</f>
        <v>Product_3</v>
      </c>
      <c r="E111" t="str">
        <f>VLOOKUP(B111,Products!$A:$E,3,FALSE)</f>
        <v>Accessories</v>
      </c>
    </row>
    <row r="112" spans="1:5" x14ac:dyDescent="0.3">
      <c r="A112" t="s">
        <v>6124</v>
      </c>
      <c r="B112" t="s">
        <v>356</v>
      </c>
      <c r="C112">
        <v>16</v>
      </c>
      <c r="D112" t="str">
        <f>VLOOKUP(B112,Products!$A:$E,2,FALSE)</f>
        <v>Product_174</v>
      </c>
      <c r="E112" t="str">
        <f>VLOOKUP(B112,Products!$A:$E,3,FALSE)</f>
        <v>Storage</v>
      </c>
    </row>
    <row r="113" spans="1:5" x14ac:dyDescent="0.3">
      <c r="A113" t="s">
        <v>6125</v>
      </c>
      <c r="B113" t="s">
        <v>834</v>
      </c>
      <c r="C113">
        <v>48</v>
      </c>
      <c r="D113" t="str">
        <f>VLOOKUP(B113,Products!$A:$E,2,FALSE)</f>
        <v>Product_413</v>
      </c>
      <c r="E113" t="str">
        <f>VLOOKUP(B113,Products!$A:$E,3,FALSE)</f>
        <v>Accessories</v>
      </c>
    </row>
    <row r="114" spans="1:5" x14ac:dyDescent="0.3">
      <c r="A114" t="s">
        <v>6126</v>
      </c>
      <c r="B114" t="s">
        <v>604</v>
      </c>
      <c r="C114">
        <v>37</v>
      </c>
      <c r="D114" t="str">
        <f>VLOOKUP(B114,Products!$A:$E,2,FALSE)</f>
        <v>Product_298</v>
      </c>
      <c r="E114" t="str">
        <f>VLOOKUP(B114,Products!$A:$E,3,FALSE)</f>
        <v>Office Supplies</v>
      </c>
    </row>
    <row r="115" spans="1:5" x14ac:dyDescent="0.3">
      <c r="A115" t="s">
        <v>6127</v>
      </c>
      <c r="B115" t="s">
        <v>740</v>
      </c>
      <c r="C115">
        <v>41</v>
      </c>
      <c r="D115" t="str">
        <f>VLOOKUP(B115,Products!$A:$E,2,FALSE)</f>
        <v>Product_366</v>
      </c>
      <c r="E115" t="str">
        <f>VLOOKUP(B115,Products!$A:$E,3,FALSE)</f>
        <v>Electronics</v>
      </c>
    </row>
    <row r="116" spans="1:5" x14ac:dyDescent="0.3">
      <c r="A116" t="s">
        <v>6128</v>
      </c>
      <c r="B116" t="s">
        <v>690</v>
      </c>
      <c r="C116">
        <v>35</v>
      </c>
      <c r="D116" t="str">
        <f>VLOOKUP(B116,Products!$A:$E,2,FALSE)</f>
        <v>Product_341</v>
      </c>
      <c r="E116" t="str">
        <f>VLOOKUP(B116,Products!$A:$E,3,FALSE)</f>
        <v>Storage</v>
      </c>
    </row>
    <row r="117" spans="1:5" x14ac:dyDescent="0.3">
      <c r="A117" t="s">
        <v>6129</v>
      </c>
      <c r="B117" t="s">
        <v>874</v>
      </c>
      <c r="C117">
        <v>39</v>
      </c>
      <c r="D117" t="str">
        <f>VLOOKUP(B117,Products!$A:$E,2,FALSE)</f>
        <v>Product_433</v>
      </c>
      <c r="E117" t="str">
        <f>VLOOKUP(B117,Products!$A:$E,3,FALSE)</f>
        <v>Office Supplies</v>
      </c>
    </row>
    <row r="118" spans="1:5" x14ac:dyDescent="0.3">
      <c r="A118" t="s">
        <v>6130</v>
      </c>
      <c r="B118" t="s">
        <v>248</v>
      </c>
      <c r="C118">
        <v>23</v>
      </c>
      <c r="D118" t="str">
        <f>VLOOKUP(B118,Products!$A:$E,2,FALSE)</f>
        <v>Product_120</v>
      </c>
      <c r="E118" t="str">
        <f>VLOOKUP(B118,Products!$A:$E,3,FALSE)</f>
        <v>Accessories</v>
      </c>
    </row>
    <row r="119" spans="1:5" x14ac:dyDescent="0.3">
      <c r="A119" t="s">
        <v>6131</v>
      </c>
      <c r="B119" t="s">
        <v>316</v>
      </c>
      <c r="C119">
        <v>19</v>
      </c>
      <c r="D119" t="str">
        <f>VLOOKUP(B119,Products!$A:$E,2,FALSE)</f>
        <v>Product_154</v>
      </c>
      <c r="E119" t="str">
        <f>VLOOKUP(B119,Products!$A:$E,3,FALSE)</f>
        <v>Accessories</v>
      </c>
    </row>
    <row r="120" spans="1:5" x14ac:dyDescent="0.3">
      <c r="A120" t="s">
        <v>6132</v>
      </c>
      <c r="B120" t="s">
        <v>692</v>
      </c>
      <c r="C120">
        <v>46</v>
      </c>
      <c r="D120" t="str">
        <f>VLOOKUP(B120,Products!$A:$E,2,FALSE)</f>
        <v>Product_342</v>
      </c>
      <c r="E120" t="str">
        <f>VLOOKUP(B120,Products!$A:$E,3,FALSE)</f>
        <v>Accessories</v>
      </c>
    </row>
    <row r="121" spans="1:5" x14ac:dyDescent="0.3">
      <c r="A121" t="s">
        <v>6133</v>
      </c>
      <c r="B121" t="s">
        <v>596</v>
      </c>
      <c r="C121">
        <v>44</v>
      </c>
      <c r="D121" t="str">
        <f>VLOOKUP(B121,Products!$A:$E,2,FALSE)</f>
        <v>Product_294</v>
      </c>
      <c r="E121" t="str">
        <f>VLOOKUP(B121,Products!$A:$E,3,FALSE)</f>
        <v>Networking</v>
      </c>
    </row>
    <row r="122" spans="1:5" x14ac:dyDescent="0.3">
      <c r="A122" t="s">
        <v>6134</v>
      </c>
      <c r="B122" t="s">
        <v>152</v>
      </c>
      <c r="C122">
        <v>46</v>
      </c>
      <c r="D122" t="str">
        <f>VLOOKUP(B122,Products!$A:$E,2,FALSE)</f>
        <v>Product_72</v>
      </c>
      <c r="E122" t="str">
        <f>VLOOKUP(B122,Products!$A:$E,3,FALSE)</f>
        <v>Networking</v>
      </c>
    </row>
    <row r="123" spans="1:5" x14ac:dyDescent="0.3">
      <c r="A123" t="s">
        <v>6135</v>
      </c>
      <c r="B123" t="s">
        <v>396</v>
      </c>
      <c r="C123">
        <v>34</v>
      </c>
      <c r="D123" t="str">
        <f>VLOOKUP(B123,Products!$A:$E,2,FALSE)</f>
        <v>Product_194</v>
      </c>
      <c r="E123" t="str">
        <f>VLOOKUP(B123,Products!$A:$E,3,FALSE)</f>
        <v>Networking</v>
      </c>
    </row>
    <row r="124" spans="1:5" x14ac:dyDescent="0.3">
      <c r="A124" t="s">
        <v>6136</v>
      </c>
      <c r="B124" t="s">
        <v>764</v>
      </c>
      <c r="C124">
        <v>16</v>
      </c>
      <c r="D124" t="str">
        <f>VLOOKUP(B124,Products!$A:$E,2,FALSE)</f>
        <v>Product_378</v>
      </c>
      <c r="E124" t="str">
        <f>VLOOKUP(B124,Products!$A:$E,3,FALSE)</f>
        <v>Electronics</v>
      </c>
    </row>
    <row r="125" spans="1:5" x14ac:dyDescent="0.3">
      <c r="A125" t="s">
        <v>6137</v>
      </c>
      <c r="B125" t="s">
        <v>116</v>
      </c>
      <c r="C125">
        <v>21</v>
      </c>
      <c r="D125" t="str">
        <f>VLOOKUP(B125,Products!$A:$E,2,FALSE)</f>
        <v>Product_54</v>
      </c>
      <c r="E125" t="str">
        <f>VLOOKUP(B125,Products!$A:$E,3,FALSE)</f>
        <v>Storage</v>
      </c>
    </row>
    <row r="126" spans="1:5" x14ac:dyDescent="0.3">
      <c r="A126" t="s">
        <v>6138</v>
      </c>
      <c r="B126" t="s">
        <v>538</v>
      </c>
      <c r="C126">
        <v>38</v>
      </c>
      <c r="D126" t="str">
        <f>VLOOKUP(B126,Products!$A:$E,2,FALSE)</f>
        <v>Product_265</v>
      </c>
      <c r="E126" t="str">
        <f>VLOOKUP(B126,Products!$A:$E,3,FALSE)</f>
        <v>Accessories</v>
      </c>
    </row>
    <row r="127" spans="1:5" x14ac:dyDescent="0.3">
      <c r="A127" t="s">
        <v>6139</v>
      </c>
      <c r="B127" t="s">
        <v>206</v>
      </c>
      <c r="C127">
        <v>50</v>
      </c>
      <c r="D127" t="str">
        <f>VLOOKUP(B127,Products!$A:$E,2,FALSE)</f>
        <v>Product_99</v>
      </c>
      <c r="E127" t="str">
        <f>VLOOKUP(B127,Products!$A:$E,3,FALSE)</f>
        <v>Accessories</v>
      </c>
    </row>
    <row r="128" spans="1:5" x14ac:dyDescent="0.3">
      <c r="A128" t="s">
        <v>6140</v>
      </c>
      <c r="B128" t="s">
        <v>378</v>
      </c>
      <c r="C128">
        <v>30</v>
      </c>
      <c r="D128" t="str">
        <f>VLOOKUP(B128,Products!$A:$E,2,FALSE)</f>
        <v>Product_185</v>
      </c>
      <c r="E128" t="str">
        <f>VLOOKUP(B128,Products!$A:$E,3,FALSE)</f>
        <v>Storage</v>
      </c>
    </row>
    <row r="129" spans="1:5" x14ac:dyDescent="0.3">
      <c r="A129" t="s">
        <v>6141</v>
      </c>
      <c r="B129" t="s">
        <v>110</v>
      </c>
      <c r="C129">
        <v>10</v>
      </c>
      <c r="D129" t="str">
        <f>VLOOKUP(B129,Products!$A:$E,2,FALSE)</f>
        <v>Product_51</v>
      </c>
      <c r="E129" t="str">
        <f>VLOOKUP(B129,Products!$A:$E,3,FALSE)</f>
        <v>Storage</v>
      </c>
    </row>
    <row r="130" spans="1:5" x14ac:dyDescent="0.3">
      <c r="A130" t="s">
        <v>6142</v>
      </c>
      <c r="B130" t="s">
        <v>738</v>
      </c>
      <c r="C130">
        <v>28</v>
      </c>
      <c r="D130" t="str">
        <f>VLOOKUP(B130,Products!$A:$E,2,FALSE)</f>
        <v>Product_365</v>
      </c>
      <c r="E130" t="str">
        <f>VLOOKUP(B130,Products!$A:$E,3,FALSE)</f>
        <v>Storage</v>
      </c>
    </row>
    <row r="131" spans="1:5" x14ac:dyDescent="0.3">
      <c r="A131" t="s">
        <v>6143</v>
      </c>
      <c r="B131" t="s">
        <v>858</v>
      </c>
      <c r="C131">
        <v>27</v>
      </c>
      <c r="D131" t="str">
        <f>VLOOKUP(B131,Products!$A:$E,2,FALSE)</f>
        <v>Product_425</v>
      </c>
      <c r="E131" t="str">
        <f>VLOOKUP(B131,Products!$A:$E,3,FALSE)</f>
        <v>Office Supplies</v>
      </c>
    </row>
    <row r="132" spans="1:5" x14ac:dyDescent="0.3">
      <c r="A132" t="s">
        <v>6144</v>
      </c>
      <c r="B132" t="s">
        <v>92</v>
      </c>
      <c r="C132">
        <v>6</v>
      </c>
      <c r="D132" t="str">
        <f>VLOOKUP(B132,Products!$A:$E,2,FALSE)</f>
        <v>Product_42</v>
      </c>
      <c r="E132" t="str">
        <f>VLOOKUP(B132,Products!$A:$E,3,FALSE)</f>
        <v>Storage</v>
      </c>
    </row>
    <row r="133" spans="1:5" x14ac:dyDescent="0.3">
      <c r="A133" t="s">
        <v>6145</v>
      </c>
      <c r="B133" t="s">
        <v>72</v>
      </c>
      <c r="C133">
        <v>28</v>
      </c>
      <c r="D133" t="str">
        <f>VLOOKUP(B133,Products!$A:$E,2,FALSE)</f>
        <v>Product_32</v>
      </c>
      <c r="E133" t="str">
        <f>VLOOKUP(B133,Products!$A:$E,3,FALSE)</f>
        <v>Networking</v>
      </c>
    </row>
    <row r="134" spans="1:5" x14ac:dyDescent="0.3">
      <c r="A134" t="s">
        <v>6146</v>
      </c>
      <c r="B134" t="s">
        <v>918</v>
      </c>
      <c r="C134">
        <v>9</v>
      </c>
      <c r="D134" t="str">
        <f>VLOOKUP(B134,Products!$A:$E,2,FALSE)</f>
        <v>Product_455</v>
      </c>
      <c r="E134" t="str">
        <f>VLOOKUP(B134,Products!$A:$E,3,FALSE)</f>
        <v>Storage</v>
      </c>
    </row>
    <row r="135" spans="1:5" x14ac:dyDescent="0.3">
      <c r="A135" t="s">
        <v>6147</v>
      </c>
      <c r="B135" t="s">
        <v>496</v>
      </c>
      <c r="C135">
        <v>14</v>
      </c>
      <c r="D135" t="str">
        <f>VLOOKUP(B135,Products!$A:$E,2,FALSE)</f>
        <v>Product_244</v>
      </c>
      <c r="E135" t="str">
        <f>VLOOKUP(B135,Products!$A:$E,3,FALSE)</f>
        <v>Accessories</v>
      </c>
    </row>
    <row r="136" spans="1:5" x14ac:dyDescent="0.3">
      <c r="A136" t="s">
        <v>6148</v>
      </c>
      <c r="B136" t="s">
        <v>466</v>
      </c>
      <c r="C136">
        <v>5</v>
      </c>
      <c r="D136" t="str">
        <f>VLOOKUP(B136,Products!$A:$E,2,FALSE)</f>
        <v>Product_229</v>
      </c>
      <c r="E136" t="str">
        <f>VLOOKUP(B136,Products!$A:$E,3,FALSE)</f>
        <v>Accessories</v>
      </c>
    </row>
    <row r="137" spans="1:5" x14ac:dyDescent="0.3">
      <c r="A137" t="s">
        <v>6149</v>
      </c>
      <c r="B137" t="s">
        <v>388</v>
      </c>
      <c r="C137">
        <v>44</v>
      </c>
      <c r="D137" t="str">
        <f>VLOOKUP(B137,Products!$A:$E,2,FALSE)</f>
        <v>Product_190</v>
      </c>
      <c r="E137" t="str">
        <f>VLOOKUP(B137,Products!$A:$E,3,FALSE)</f>
        <v>Office Supplies</v>
      </c>
    </row>
    <row r="138" spans="1:5" x14ac:dyDescent="0.3">
      <c r="A138" t="s">
        <v>6150</v>
      </c>
      <c r="B138" t="s">
        <v>548</v>
      </c>
      <c r="C138">
        <v>26</v>
      </c>
      <c r="D138" t="str">
        <f>VLOOKUP(B138,Products!$A:$E,2,FALSE)</f>
        <v>Product_270</v>
      </c>
      <c r="E138" t="str">
        <f>VLOOKUP(B138,Products!$A:$E,3,FALSE)</f>
        <v>Electronics</v>
      </c>
    </row>
    <row r="139" spans="1:5" x14ac:dyDescent="0.3">
      <c r="A139" t="s">
        <v>6151</v>
      </c>
      <c r="B139" t="s">
        <v>612</v>
      </c>
      <c r="C139">
        <v>36</v>
      </c>
      <c r="D139" t="str">
        <f>VLOOKUP(B139,Products!$A:$E,2,FALSE)</f>
        <v>Product_302</v>
      </c>
      <c r="E139" t="str">
        <f>VLOOKUP(B139,Products!$A:$E,3,FALSE)</f>
        <v>Accessories</v>
      </c>
    </row>
    <row r="140" spans="1:5" x14ac:dyDescent="0.3">
      <c r="A140" t="s">
        <v>6152</v>
      </c>
      <c r="B140" t="s">
        <v>540</v>
      </c>
      <c r="C140">
        <v>50</v>
      </c>
      <c r="D140" t="str">
        <f>VLOOKUP(B140,Products!$A:$E,2,FALSE)</f>
        <v>Product_266</v>
      </c>
      <c r="E140" t="str">
        <f>VLOOKUP(B140,Products!$A:$E,3,FALSE)</f>
        <v>Electronics</v>
      </c>
    </row>
    <row r="141" spans="1:5" x14ac:dyDescent="0.3">
      <c r="A141" t="s">
        <v>6153</v>
      </c>
      <c r="B141" t="s">
        <v>414</v>
      </c>
      <c r="C141">
        <v>17</v>
      </c>
      <c r="D141" t="str">
        <f>VLOOKUP(B141,Products!$A:$E,2,FALSE)</f>
        <v>Product_203</v>
      </c>
      <c r="E141" t="str">
        <f>VLOOKUP(B141,Products!$A:$E,3,FALSE)</f>
        <v>Accessories</v>
      </c>
    </row>
    <row r="142" spans="1:5" x14ac:dyDescent="0.3">
      <c r="A142" t="s">
        <v>6154</v>
      </c>
      <c r="B142" t="s">
        <v>608</v>
      </c>
      <c r="C142">
        <v>32</v>
      </c>
      <c r="D142" t="str">
        <f>VLOOKUP(B142,Products!$A:$E,2,FALSE)</f>
        <v>Product_300</v>
      </c>
      <c r="E142" t="str">
        <f>VLOOKUP(B142,Products!$A:$E,3,FALSE)</f>
        <v>Accessories</v>
      </c>
    </row>
    <row r="143" spans="1:5" x14ac:dyDescent="0.3">
      <c r="A143" t="s">
        <v>6155</v>
      </c>
      <c r="B143" t="s">
        <v>660</v>
      </c>
      <c r="C143">
        <v>28</v>
      </c>
      <c r="D143" t="str">
        <f>VLOOKUP(B143,Products!$A:$E,2,FALSE)</f>
        <v>Product_326</v>
      </c>
      <c r="E143" t="str">
        <f>VLOOKUP(B143,Products!$A:$E,3,FALSE)</f>
        <v>Electronics</v>
      </c>
    </row>
    <row r="144" spans="1:5" x14ac:dyDescent="0.3">
      <c r="A144" t="s">
        <v>6156</v>
      </c>
      <c r="B144" t="s">
        <v>460</v>
      </c>
      <c r="C144">
        <v>45</v>
      </c>
      <c r="D144" t="str">
        <f>VLOOKUP(B144,Products!$A:$E,2,FALSE)</f>
        <v>Product_226</v>
      </c>
      <c r="E144" t="str">
        <f>VLOOKUP(B144,Products!$A:$E,3,FALSE)</f>
        <v>Networking</v>
      </c>
    </row>
    <row r="145" spans="1:5" x14ac:dyDescent="0.3">
      <c r="A145" t="s">
        <v>6157</v>
      </c>
      <c r="B145" t="s">
        <v>962</v>
      </c>
      <c r="C145">
        <v>32</v>
      </c>
      <c r="D145" t="str">
        <f>VLOOKUP(B145,Products!$A:$E,2,FALSE)</f>
        <v>Product_477</v>
      </c>
      <c r="E145" t="str">
        <f>VLOOKUP(B145,Products!$A:$E,3,FALSE)</f>
        <v>Networking</v>
      </c>
    </row>
    <row r="146" spans="1:5" x14ac:dyDescent="0.3">
      <c r="A146" t="s">
        <v>6158</v>
      </c>
      <c r="B146" t="s">
        <v>758</v>
      </c>
      <c r="C146">
        <v>27</v>
      </c>
      <c r="D146" t="str">
        <f>VLOOKUP(B146,Products!$A:$E,2,FALSE)</f>
        <v>Product_375</v>
      </c>
      <c r="E146" t="str">
        <f>VLOOKUP(B146,Products!$A:$E,3,FALSE)</f>
        <v>Accessories</v>
      </c>
    </row>
    <row r="147" spans="1:5" x14ac:dyDescent="0.3">
      <c r="A147" t="s">
        <v>6159</v>
      </c>
      <c r="B147" t="s">
        <v>852</v>
      </c>
      <c r="C147">
        <v>11</v>
      </c>
      <c r="D147" t="str">
        <f>VLOOKUP(B147,Products!$A:$E,2,FALSE)</f>
        <v>Product_422</v>
      </c>
      <c r="E147" t="str">
        <f>VLOOKUP(B147,Products!$A:$E,3,FALSE)</f>
        <v>Accessories</v>
      </c>
    </row>
    <row r="148" spans="1:5" x14ac:dyDescent="0.3">
      <c r="A148" t="s">
        <v>6160</v>
      </c>
      <c r="B148" t="s">
        <v>156</v>
      </c>
      <c r="C148">
        <v>33</v>
      </c>
      <c r="D148" t="str">
        <f>VLOOKUP(B148,Products!$A:$E,2,FALSE)</f>
        <v>Product_74</v>
      </c>
      <c r="E148" t="str">
        <f>VLOOKUP(B148,Products!$A:$E,3,FALSE)</f>
        <v>Storage</v>
      </c>
    </row>
    <row r="149" spans="1:5" x14ac:dyDescent="0.3">
      <c r="A149" t="s">
        <v>6161</v>
      </c>
      <c r="B149" t="s">
        <v>140</v>
      </c>
      <c r="C149">
        <v>32</v>
      </c>
      <c r="D149" t="str">
        <f>VLOOKUP(B149,Products!$A:$E,2,FALSE)</f>
        <v>Product_66</v>
      </c>
      <c r="E149" t="str">
        <f>VLOOKUP(B149,Products!$A:$E,3,FALSE)</f>
        <v>Electronics</v>
      </c>
    </row>
    <row r="150" spans="1:5" x14ac:dyDescent="0.3">
      <c r="A150" t="s">
        <v>6162</v>
      </c>
      <c r="B150" t="s">
        <v>738</v>
      </c>
      <c r="C150">
        <v>30</v>
      </c>
      <c r="D150" t="str">
        <f>VLOOKUP(B150,Products!$A:$E,2,FALSE)</f>
        <v>Product_365</v>
      </c>
      <c r="E150" t="str">
        <f>VLOOKUP(B150,Products!$A:$E,3,FALSE)</f>
        <v>Storage</v>
      </c>
    </row>
    <row r="151" spans="1:5" x14ac:dyDescent="0.3">
      <c r="A151" t="s">
        <v>6163</v>
      </c>
      <c r="B151" t="s">
        <v>142</v>
      </c>
      <c r="C151">
        <v>46</v>
      </c>
      <c r="D151" t="str">
        <f>VLOOKUP(B151,Products!$A:$E,2,FALSE)</f>
        <v>Product_67</v>
      </c>
      <c r="E151" t="str">
        <f>VLOOKUP(B151,Products!$A:$E,3,FALSE)</f>
        <v>Office Supplies</v>
      </c>
    </row>
    <row r="152" spans="1:5" x14ac:dyDescent="0.3">
      <c r="A152" t="s">
        <v>6164</v>
      </c>
      <c r="B152" t="s">
        <v>534</v>
      </c>
      <c r="C152">
        <v>34</v>
      </c>
      <c r="D152" t="str">
        <f>VLOOKUP(B152,Products!$A:$E,2,FALSE)</f>
        <v>Product_263</v>
      </c>
      <c r="E152" t="str">
        <f>VLOOKUP(B152,Products!$A:$E,3,FALSE)</f>
        <v>Accessories</v>
      </c>
    </row>
    <row r="153" spans="1:5" x14ac:dyDescent="0.3">
      <c r="A153" t="s">
        <v>6165</v>
      </c>
      <c r="B153" t="s">
        <v>130</v>
      </c>
      <c r="C153">
        <v>45</v>
      </c>
      <c r="D153" t="str">
        <f>VLOOKUP(B153,Products!$A:$E,2,FALSE)</f>
        <v>Product_61</v>
      </c>
      <c r="E153" t="str">
        <f>VLOOKUP(B153,Products!$A:$E,3,FALSE)</f>
        <v>Storage</v>
      </c>
    </row>
    <row r="154" spans="1:5" x14ac:dyDescent="0.3">
      <c r="A154" t="s">
        <v>6166</v>
      </c>
      <c r="B154" t="s">
        <v>226</v>
      </c>
      <c r="C154">
        <v>30</v>
      </c>
      <c r="D154" t="str">
        <f>VLOOKUP(B154,Products!$A:$E,2,FALSE)</f>
        <v>Product_109</v>
      </c>
      <c r="E154" t="str">
        <f>VLOOKUP(B154,Products!$A:$E,3,FALSE)</f>
        <v>Storage</v>
      </c>
    </row>
    <row r="155" spans="1:5" x14ac:dyDescent="0.3">
      <c r="A155" t="s">
        <v>6167</v>
      </c>
      <c r="B155" t="s">
        <v>494</v>
      </c>
      <c r="C155">
        <v>3</v>
      </c>
      <c r="D155" t="str">
        <f>VLOOKUP(B155,Products!$A:$E,2,FALSE)</f>
        <v>Product_243</v>
      </c>
      <c r="E155" t="str">
        <f>VLOOKUP(B155,Products!$A:$E,3,FALSE)</f>
        <v>Storage</v>
      </c>
    </row>
    <row r="156" spans="1:5" x14ac:dyDescent="0.3">
      <c r="A156" t="s">
        <v>6168</v>
      </c>
      <c r="B156" t="s">
        <v>774</v>
      </c>
      <c r="C156">
        <v>11</v>
      </c>
      <c r="D156" t="str">
        <f>VLOOKUP(B156,Products!$A:$E,2,FALSE)</f>
        <v>Product_383</v>
      </c>
      <c r="E156" t="str">
        <f>VLOOKUP(B156,Products!$A:$E,3,FALSE)</f>
        <v>Electronics</v>
      </c>
    </row>
    <row r="157" spans="1:5" x14ac:dyDescent="0.3">
      <c r="A157" t="s">
        <v>6169</v>
      </c>
      <c r="B157" t="s">
        <v>976</v>
      </c>
      <c r="C157">
        <v>36</v>
      </c>
      <c r="D157" t="str">
        <f>VLOOKUP(B157,Products!$A:$E,2,FALSE)</f>
        <v>Product_484</v>
      </c>
      <c r="E157" t="str">
        <f>VLOOKUP(B157,Products!$A:$E,3,FALSE)</f>
        <v>Networking</v>
      </c>
    </row>
    <row r="158" spans="1:5" x14ac:dyDescent="0.3">
      <c r="A158" t="s">
        <v>6170</v>
      </c>
      <c r="B158" t="s">
        <v>388</v>
      </c>
      <c r="C158">
        <v>8</v>
      </c>
      <c r="D158" t="str">
        <f>VLOOKUP(B158,Products!$A:$E,2,FALSE)</f>
        <v>Product_190</v>
      </c>
      <c r="E158" t="str">
        <f>VLOOKUP(B158,Products!$A:$E,3,FALSE)</f>
        <v>Office Supplies</v>
      </c>
    </row>
    <row r="159" spans="1:5" x14ac:dyDescent="0.3">
      <c r="A159" t="s">
        <v>6171</v>
      </c>
      <c r="B159" t="s">
        <v>626</v>
      </c>
      <c r="C159">
        <v>27</v>
      </c>
      <c r="D159" t="str">
        <f>VLOOKUP(B159,Products!$A:$E,2,FALSE)</f>
        <v>Product_309</v>
      </c>
      <c r="E159" t="str">
        <f>VLOOKUP(B159,Products!$A:$E,3,FALSE)</f>
        <v>Networking</v>
      </c>
    </row>
    <row r="160" spans="1:5" x14ac:dyDescent="0.3">
      <c r="A160" t="s">
        <v>6172</v>
      </c>
      <c r="B160" t="s">
        <v>122</v>
      </c>
      <c r="C160">
        <v>8</v>
      </c>
      <c r="D160" t="str">
        <f>VLOOKUP(B160,Products!$A:$E,2,FALSE)</f>
        <v>Product_57</v>
      </c>
      <c r="E160" t="str">
        <f>VLOOKUP(B160,Products!$A:$E,3,FALSE)</f>
        <v>Electronics</v>
      </c>
    </row>
    <row r="161" spans="1:5" x14ac:dyDescent="0.3">
      <c r="A161" t="s">
        <v>6173</v>
      </c>
      <c r="B161" t="s">
        <v>388</v>
      </c>
      <c r="C161">
        <v>37</v>
      </c>
      <c r="D161" t="str">
        <f>VLOOKUP(B161,Products!$A:$E,2,FALSE)</f>
        <v>Product_190</v>
      </c>
      <c r="E161" t="str">
        <f>VLOOKUP(B161,Products!$A:$E,3,FALSE)</f>
        <v>Office Supplies</v>
      </c>
    </row>
    <row r="162" spans="1:5" x14ac:dyDescent="0.3">
      <c r="A162" t="s">
        <v>6174</v>
      </c>
      <c r="B162" t="s">
        <v>306</v>
      </c>
      <c r="C162">
        <v>3</v>
      </c>
      <c r="D162" t="str">
        <f>VLOOKUP(B162,Products!$A:$E,2,FALSE)</f>
        <v>Product_149</v>
      </c>
      <c r="E162" t="str">
        <f>VLOOKUP(B162,Products!$A:$E,3,FALSE)</f>
        <v>Accessories</v>
      </c>
    </row>
    <row r="163" spans="1:5" x14ac:dyDescent="0.3">
      <c r="A163" t="s">
        <v>6175</v>
      </c>
      <c r="B163" t="s">
        <v>544</v>
      </c>
      <c r="C163">
        <v>10</v>
      </c>
      <c r="D163" t="str">
        <f>VLOOKUP(B163,Products!$A:$E,2,FALSE)</f>
        <v>Product_268</v>
      </c>
      <c r="E163" t="str">
        <f>VLOOKUP(B163,Products!$A:$E,3,FALSE)</f>
        <v>Office Supplies</v>
      </c>
    </row>
    <row r="164" spans="1:5" x14ac:dyDescent="0.3">
      <c r="A164" t="s">
        <v>6176</v>
      </c>
      <c r="B164" t="s">
        <v>130</v>
      </c>
      <c r="C164">
        <v>24</v>
      </c>
      <c r="D164" t="str">
        <f>VLOOKUP(B164,Products!$A:$E,2,FALSE)</f>
        <v>Product_61</v>
      </c>
      <c r="E164" t="str">
        <f>VLOOKUP(B164,Products!$A:$E,3,FALSE)</f>
        <v>Storage</v>
      </c>
    </row>
    <row r="165" spans="1:5" x14ac:dyDescent="0.3">
      <c r="A165" t="s">
        <v>6177</v>
      </c>
      <c r="B165" t="s">
        <v>322</v>
      </c>
      <c r="C165">
        <v>24</v>
      </c>
      <c r="D165" t="str">
        <f>VLOOKUP(B165,Products!$A:$E,2,FALSE)</f>
        <v>Product_157</v>
      </c>
      <c r="E165" t="str">
        <f>VLOOKUP(B165,Products!$A:$E,3,FALSE)</f>
        <v>Electronics</v>
      </c>
    </row>
    <row r="166" spans="1:5" x14ac:dyDescent="0.3">
      <c r="A166" t="s">
        <v>6178</v>
      </c>
      <c r="B166" t="s">
        <v>320</v>
      </c>
      <c r="C166">
        <v>19</v>
      </c>
      <c r="D166" t="str">
        <f>VLOOKUP(B166,Products!$A:$E,2,FALSE)</f>
        <v>Product_156</v>
      </c>
      <c r="E166" t="str">
        <f>VLOOKUP(B166,Products!$A:$E,3,FALSE)</f>
        <v>Accessories</v>
      </c>
    </row>
    <row r="167" spans="1:5" x14ac:dyDescent="0.3">
      <c r="A167" t="s">
        <v>6179</v>
      </c>
      <c r="B167" t="s">
        <v>506</v>
      </c>
      <c r="C167">
        <v>2</v>
      </c>
      <c r="D167" t="str">
        <f>VLOOKUP(B167,Products!$A:$E,2,FALSE)</f>
        <v>Product_249</v>
      </c>
      <c r="E167" t="str">
        <f>VLOOKUP(B167,Products!$A:$E,3,FALSE)</f>
        <v>Storage</v>
      </c>
    </row>
    <row r="168" spans="1:5" x14ac:dyDescent="0.3">
      <c r="A168" t="s">
        <v>6180</v>
      </c>
      <c r="B168" t="s">
        <v>820</v>
      </c>
      <c r="C168">
        <v>10</v>
      </c>
      <c r="D168" t="str">
        <f>VLOOKUP(B168,Products!$A:$E,2,FALSE)</f>
        <v>Product_406</v>
      </c>
      <c r="E168" t="str">
        <f>VLOOKUP(B168,Products!$A:$E,3,FALSE)</f>
        <v>Office Supplies</v>
      </c>
    </row>
    <row r="169" spans="1:5" x14ac:dyDescent="0.3">
      <c r="A169" t="s">
        <v>6181</v>
      </c>
      <c r="B169" t="s">
        <v>154</v>
      </c>
      <c r="C169">
        <v>38</v>
      </c>
      <c r="D169" t="str">
        <f>VLOOKUP(B169,Products!$A:$E,2,FALSE)</f>
        <v>Product_73</v>
      </c>
      <c r="E169" t="str">
        <f>VLOOKUP(B169,Products!$A:$E,3,FALSE)</f>
        <v>Office Supplies</v>
      </c>
    </row>
    <row r="170" spans="1:5" x14ac:dyDescent="0.3">
      <c r="A170" t="s">
        <v>6182</v>
      </c>
      <c r="B170" t="s">
        <v>440</v>
      </c>
      <c r="C170">
        <v>4</v>
      </c>
      <c r="D170" t="str">
        <f>VLOOKUP(B170,Products!$A:$E,2,FALSE)</f>
        <v>Product_216</v>
      </c>
      <c r="E170" t="str">
        <f>VLOOKUP(B170,Products!$A:$E,3,FALSE)</f>
        <v>Accessories</v>
      </c>
    </row>
    <row r="171" spans="1:5" x14ac:dyDescent="0.3">
      <c r="A171" t="s">
        <v>6183</v>
      </c>
      <c r="B171" t="s">
        <v>968</v>
      </c>
      <c r="C171">
        <v>20</v>
      </c>
      <c r="D171" t="str">
        <f>VLOOKUP(B171,Products!$A:$E,2,FALSE)</f>
        <v>Product_480</v>
      </c>
      <c r="E171" t="str">
        <f>VLOOKUP(B171,Products!$A:$E,3,FALSE)</f>
        <v>Accessories</v>
      </c>
    </row>
    <row r="172" spans="1:5" x14ac:dyDescent="0.3">
      <c r="A172" t="s">
        <v>6184</v>
      </c>
      <c r="B172" t="s">
        <v>920</v>
      </c>
      <c r="C172">
        <v>19</v>
      </c>
      <c r="D172" t="str">
        <f>VLOOKUP(B172,Products!$A:$E,2,FALSE)</f>
        <v>Product_456</v>
      </c>
      <c r="E172" t="str">
        <f>VLOOKUP(B172,Products!$A:$E,3,FALSE)</f>
        <v>Electronics</v>
      </c>
    </row>
    <row r="173" spans="1:5" x14ac:dyDescent="0.3">
      <c r="A173" t="s">
        <v>6185</v>
      </c>
      <c r="B173" t="s">
        <v>230</v>
      </c>
      <c r="C173">
        <v>12</v>
      </c>
      <c r="D173" t="str">
        <f>VLOOKUP(B173,Products!$A:$E,2,FALSE)</f>
        <v>Product_111</v>
      </c>
      <c r="E173" t="str">
        <f>VLOOKUP(B173,Products!$A:$E,3,FALSE)</f>
        <v>Office Supplies</v>
      </c>
    </row>
    <row r="174" spans="1:5" x14ac:dyDescent="0.3">
      <c r="A174" t="s">
        <v>6186</v>
      </c>
      <c r="B174" t="s">
        <v>848</v>
      </c>
      <c r="C174">
        <v>48</v>
      </c>
      <c r="D174" t="str">
        <f>VLOOKUP(B174,Products!$A:$E,2,FALSE)</f>
        <v>Product_420</v>
      </c>
      <c r="E174" t="str">
        <f>VLOOKUP(B174,Products!$A:$E,3,FALSE)</f>
        <v>Networking</v>
      </c>
    </row>
    <row r="175" spans="1:5" x14ac:dyDescent="0.3">
      <c r="A175" t="s">
        <v>6187</v>
      </c>
      <c r="B175" t="s">
        <v>510</v>
      </c>
      <c r="C175">
        <v>1</v>
      </c>
      <c r="D175" t="str">
        <f>VLOOKUP(B175,Products!$A:$E,2,FALSE)</f>
        <v>Product_251</v>
      </c>
      <c r="E175" t="str">
        <f>VLOOKUP(B175,Products!$A:$E,3,FALSE)</f>
        <v>Electronics</v>
      </c>
    </row>
    <row r="176" spans="1:5" x14ac:dyDescent="0.3">
      <c r="A176" t="s">
        <v>6188</v>
      </c>
      <c r="B176" t="s">
        <v>134</v>
      </c>
      <c r="C176">
        <v>36</v>
      </c>
      <c r="D176" t="str">
        <f>VLOOKUP(B176,Products!$A:$E,2,FALSE)</f>
        <v>Product_63</v>
      </c>
      <c r="E176" t="str">
        <f>VLOOKUP(B176,Products!$A:$E,3,FALSE)</f>
        <v>Accessories</v>
      </c>
    </row>
    <row r="177" spans="1:5" x14ac:dyDescent="0.3">
      <c r="A177" t="s">
        <v>6189</v>
      </c>
      <c r="B177" t="s">
        <v>366</v>
      </c>
      <c r="C177">
        <v>5</v>
      </c>
      <c r="D177" t="str">
        <f>VLOOKUP(B177,Products!$A:$E,2,FALSE)</f>
        <v>Product_179</v>
      </c>
      <c r="E177" t="str">
        <f>VLOOKUP(B177,Products!$A:$E,3,FALSE)</f>
        <v>Storage</v>
      </c>
    </row>
    <row r="178" spans="1:5" x14ac:dyDescent="0.3">
      <c r="A178" t="s">
        <v>6190</v>
      </c>
      <c r="B178" t="s">
        <v>900</v>
      </c>
      <c r="C178">
        <v>3</v>
      </c>
      <c r="D178" t="str">
        <f>VLOOKUP(B178,Products!$A:$E,2,FALSE)</f>
        <v>Product_446</v>
      </c>
      <c r="E178" t="str">
        <f>VLOOKUP(B178,Products!$A:$E,3,FALSE)</f>
        <v>Accessories</v>
      </c>
    </row>
    <row r="179" spans="1:5" x14ac:dyDescent="0.3">
      <c r="A179" t="s">
        <v>6191</v>
      </c>
      <c r="B179" t="s">
        <v>436</v>
      </c>
      <c r="C179">
        <v>31</v>
      </c>
      <c r="D179" t="str">
        <f>VLOOKUP(B179,Products!$A:$E,2,FALSE)</f>
        <v>Product_214</v>
      </c>
      <c r="E179" t="str">
        <f>VLOOKUP(B179,Products!$A:$E,3,FALSE)</f>
        <v>Electronics</v>
      </c>
    </row>
    <row r="180" spans="1:5" x14ac:dyDescent="0.3">
      <c r="A180" t="s">
        <v>6192</v>
      </c>
      <c r="B180" t="s">
        <v>596</v>
      </c>
      <c r="C180">
        <v>20</v>
      </c>
      <c r="D180" t="str">
        <f>VLOOKUP(B180,Products!$A:$E,2,FALSE)</f>
        <v>Product_294</v>
      </c>
      <c r="E180" t="str">
        <f>VLOOKUP(B180,Products!$A:$E,3,FALSE)</f>
        <v>Networking</v>
      </c>
    </row>
    <row r="181" spans="1:5" x14ac:dyDescent="0.3">
      <c r="A181" t="s">
        <v>6193</v>
      </c>
      <c r="B181" t="s">
        <v>588</v>
      </c>
      <c r="C181">
        <v>29</v>
      </c>
      <c r="D181" t="str">
        <f>VLOOKUP(B181,Products!$A:$E,2,FALSE)</f>
        <v>Product_290</v>
      </c>
      <c r="E181" t="str">
        <f>VLOOKUP(B181,Products!$A:$E,3,FALSE)</f>
        <v>Accessories</v>
      </c>
    </row>
    <row r="182" spans="1:5" x14ac:dyDescent="0.3">
      <c r="A182" t="s">
        <v>6194</v>
      </c>
      <c r="B182" t="s">
        <v>930</v>
      </c>
      <c r="C182">
        <v>22</v>
      </c>
      <c r="D182" t="str">
        <f>VLOOKUP(B182,Products!$A:$E,2,FALSE)</f>
        <v>Product_461</v>
      </c>
      <c r="E182" t="str">
        <f>VLOOKUP(B182,Products!$A:$E,3,FALSE)</f>
        <v>Accessories</v>
      </c>
    </row>
    <row r="183" spans="1:5" x14ac:dyDescent="0.3">
      <c r="A183" t="s">
        <v>6195</v>
      </c>
      <c r="B183" t="s">
        <v>810</v>
      </c>
      <c r="C183">
        <v>25</v>
      </c>
      <c r="D183" t="str">
        <f>VLOOKUP(B183,Products!$A:$E,2,FALSE)</f>
        <v>Product_401</v>
      </c>
      <c r="E183" t="str">
        <f>VLOOKUP(B183,Products!$A:$E,3,FALSE)</f>
        <v>Storage</v>
      </c>
    </row>
    <row r="184" spans="1:5" x14ac:dyDescent="0.3">
      <c r="A184" t="s">
        <v>6196</v>
      </c>
      <c r="B184" t="s">
        <v>496</v>
      </c>
      <c r="C184">
        <v>47</v>
      </c>
      <c r="D184" t="str">
        <f>VLOOKUP(B184,Products!$A:$E,2,FALSE)</f>
        <v>Product_244</v>
      </c>
      <c r="E184" t="str">
        <f>VLOOKUP(B184,Products!$A:$E,3,FALSE)</f>
        <v>Accessories</v>
      </c>
    </row>
    <row r="185" spans="1:5" x14ac:dyDescent="0.3">
      <c r="A185" t="s">
        <v>6197</v>
      </c>
      <c r="B185" t="s">
        <v>862</v>
      </c>
      <c r="C185">
        <v>39</v>
      </c>
      <c r="D185" t="str">
        <f>VLOOKUP(B185,Products!$A:$E,2,FALSE)</f>
        <v>Product_427</v>
      </c>
      <c r="E185" t="str">
        <f>VLOOKUP(B185,Products!$A:$E,3,FALSE)</f>
        <v>Networking</v>
      </c>
    </row>
    <row r="186" spans="1:5" x14ac:dyDescent="0.3">
      <c r="A186" t="s">
        <v>6198</v>
      </c>
      <c r="B186" t="s">
        <v>144</v>
      </c>
      <c r="C186">
        <v>49</v>
      </c>
      <c r="D186" t="str">
        <f>VLOOKUP(B186,Products!$A:$E,2,FALSE)</f>
        <v>Product_68</v>
      </c>
      <c r="E186" t="str">
        <f>VLOOKUP(B186,Products!$A:$E,3,FALSE)</f>
        <v>Accessories</v>
      </c>
    </row>
    <row r="187" spans="1:5" x14ac:dyDescent="0.3">
      <c r="A187" t="s">
        <v>6199</v>
      </c>
      <c r="B187" t="s">
        <v>150</v>
      </c>
      <c r="C187">
        <v>33</v>
      </c>
      <c r="D187" t="str">
        <f>VLOOKUP(B187,Products!$A:$E,2,FALSE)</f>
        <v>Product_71</v>
      </c>
      <c r="E187" t="str">
        <f>VLOOKUP(B187,Products!$A:$E,3,FALSE)</f>
        <v>Accessories</v>
      </c>
    </row>
    <row r="188" spans="1:5" x14ac:dyDescent="0.3">
      <c r="A188" t="s">
        <v>6200</v>
      </c>
      <c r="B188" t="s">
        <v>660</v>
      </c>
      <c r="C188">
        <v>30</v>
      </c>
      <c r="D188" t="str">
        <f>VLOOKUP(B188,Products!$A:$E,2,FALSE)</f>
        <v>Product_326</v>
      </c>
      <c r="E188" t="str">
        <f>VLOOKUP(B188,Products!$A:$E,3,FALSE)</f>
        <v>Electronics</v>
      </c>
    </row>
    <row r="189" spans="1:5" x14ac:dyDescent="0.3">
      <c r="A189" t="s">
        <v>6201</v>
      </c>
      <c r="B189" t="s">
        <v>788</v>
      </c>
      <c r="C189">
        <v>29</v>
      </c>
      <c r="D189" t="str">
        <f>VLOOKUP(B189,Products!$A:$E,2,FALSE)</f>
        <v>Product_390</v>
      </c>
      <c r="E189" t="str">
        <f>VLOOKUP(B189,Products!$A:$E,3,FALSE)</f>
        <v>Storage</v>
      </c>
    </row>
    <row r="190" spans="1:5" x14ac:dyDescent="0.3">
      <c r="A190" t="s">
        <v>6202</v>
      </c>
      <c r="B190" t="s">
        <v>692</v>
      </c>
      <c r="C190">
        <v>29</v>
      </c>
      <c r="D190" t="str">
        <f>VLOOKUP(B190,Products!$A:$E,2,FALSE)</f>
        <v>Product_342</v>
      </c>
      <c r="E190" t="str">
        <f>VLOOKUP(B190,Products!$A:$E,3,FALSE)</f>
        <v>Accessories</v>
      </c>
    </row>
    <row r="191" spans="1:5" x14ac:dyDescent="0.3">
      <c r="A191" t="s">
        <v>6203</v>
      </c>
      <c r="B191" t="s">
        <v>162</v>
      </c>
      <c r="C191">
        <v>47</v>
      </c>
      <c r="D191" t="str">
        <f>VLOOKUP(B191,Products!$A:$E,2,FALSE)</f>
        <v>Product_77</v>
      </c>
      <c r="E191" t="str">
        <f>VLOOKUP(B191,Products!$A:$E,3,FALSE)</f>
        <v>Networking</v>
      </c>
    </row>
    <row r="192" spans="1:5" x14ac:dyDescent="0.3">
      <c r="A192" t="s">
        <v>6204</v>
      </c>
      <c r="B192" t="s">
        <v>342</v>
      </c>
      <c r="C192">
        <v>6</v>
      </c>
      <c r="D192" t="str">
        <f>VLOOKUP(B192,Products!$A:$E,2,FALSE)</f>
        <v>Product_167</v>
      </c>
      <c r="E192" t="str">
        <f>VLOOKUP(B192,Products!$A:$E,3,FALSE)</f>
        <v>Electronics</v>
      </c>
    </row>
    <row r="193" spans="1:5" x14ac:dyDescent="0.3">
      <c r="A193" t="s">
        <v>6205</v>
      </c>
      <c r="B193" t="s">
        <v>828</v>
      </c>
      <c r="C193">
        <v>40</v>
      </c>
      <c r="D193" t="str">
        <f>VLOOKUP(B193,Products!$A:$E,2,FALSE)</f>
        <v>Product_410</v>
      </c>
      <c r="E193" t="str">
        <f>VLOOKUP(B193,Products!$A:$E,3,FALSE)</f>
        <v>Storage</v>
      </c>
    </row>
    <row r="194" spans="1:5" x14ac:dyDescent="0.3">
      <c r="A194" t="s">
        <v>6206</v>
      </c>
      <c r="B194" t="s">
        <v>690</v>
      </c>
      <c r="C194">
        <v>40</v>
      </c>
      <c r="D194" t="str">
        <f>VLOOKUP(B194,Products!$A:$E,2,FALSE)</f>
        <v>Product_341</v>
      </c>
      <c r="E194" t="str">
        <f>VLOOKUP(B194,Products!$A:$E,3,FALSE)</f>
        <v>Storage</v>
      </c>
    </row>
    <row r="195" spans="1:5" x14ac:dyDescent="0.3">
      <c r="A195" t="s">
        <v>6207</v>
      </c>
      <c r="B195" t="s">
        <v>428</v>
      </c>
      <c r="C195">
        <v>25</v>
      </c>
      <c r="D195" t="str">
        <f>VLOOKUP(B195,Products!$A:$E,2,FALSE)</f>
        <v>Product_210</v>
      </c>
      <c r="E195" t="str">
        <f>VLOOKUP(B195,Products!$A:$E,3,FALSE)</f>
        <v>Electronics</v>
      </c>
    </row>
    <row r="196" spans="1:5" x14ac:dyDescent="0.3">
      <c r="A196" t="s">
        <v>6208</v>
      </c>
      <c r="B196" t="s">
        <v>248</v>
      </c>
      <c r="C196">
        <v>26</v>
      </c>
      <c r="D196" t="str">
        <f>VLOOKUP(B196,Products!$A:$E,2,FALSE)</f>
        <v>Product_120</v>
      </c>
      <c r="E196" t="str">
        <f>VLOOKUP(B196,Products!$A:$E,3,FALSE)</f>
        <v>Accessories</v>
      </c>
    </row>
    <row r="197" spans="1:5" x14ac:dyDescent="0.3">
      <c r="A197" t="s">
        <v>6209</v>
      </c>
      <c r="B197" t="s">
        <v>356</v>
      </c>
      <c r="C197">
        <v>35</v>
      </c>
      <c r="D197" t="str">
        <f>VLOOKUP(B197,Products!$A:$E,2,FALSE)</f>
        <v>Product_174</v>
      </c>
      <c r="E197" t="str">
        <f>VLOOKUP(B197,Products!$A:$E,3,FALSE)</f>
        <v>Storage</v>
      </c>
    </row>
    <row r="198" spans="1:5" x14ac:dyDescent="0.3">
      <c r="A198" t="s">
        <v>6210</v>
      </c>
      <c r="B198" t="s">
        <v>56</v>
      </c>
      <c r="C198">
        <v>43</v>
      </c>
      <c r="D198" t="str">
        <f>VLOOKUP(B198,Products!$A:$E,2,FALSE)</f>
        <v>Product_24</v>
      </c>
      <c r="E198" t="str">
        <f>VLOOKUP(B198,Products!$A:$E,3,FALSE)</f>
        <v>Accessories</v>
      </c>
    </row>
    <row r="199" spans="1:5" x14ac:dyDescent="0.3">
      <c r="A199" t="s">
        <v>6211</v>
      </c>
      <c r="B199" t="s">
        <v>920</v>
      </c>
      <c r="C199">
        <v>29</v>
      </c>
      <c r="D199" t="str">
        <f>VLOOKUP(B199,Products!$A:$E,2,FALSE)</f>
        <v>Product_456</v>
      </c>
      <c r="E199" t="str">
        <f>VLOOKUP(B199,Products!$A:$E,3,FALSE)</f>
        <v>Electronics</v>
      </c>
    </row>
    <row r="200" spans="1:5" x14ac:dyDescent="0.3">
      <c r="A200" t="s">
        <v>6212</v>
      </c>
      <c r="B200" t="s">
        <v>762</v>
      </c>
      <c r="C200">
        <v>18</v>
      </c>
      <c r="D200" t="str">
        <f>VLOOKUP(B200,Products!$A:$E,2,FALSE)</f>
        <v>Product_377</v>
      </c>
      <c r="E200" t="str">
        <f>VLOOKUP(B200,Products!$A:$E,3,FALSE)</f>
        <v>Networking</v>
      </c>
    </row>
    <row r="201" spans="1:5" x14ac:dyDescent="0.3">
      <c r="A201" t="s">
        <v>6213</v>
      </c>
      <c r="B201" t="s">
        <v>670</v>
      </c>
      <c r="C201">
        <v>6</v>
      </c>
      <c r="D201" t="str">
        <f>VLOOKUP(B201,Products!$A:$E,2,FALSE)</f>
        <v>Product_331</v>
      </c>
      <c r="E201" t="str">
        <f>VLOOKUP(B201,Products!$A:$E,3,FALSE)</f>
        <v>Electronics</v>
      </c>
    </row>
    <row r="202" spans="1:5" x14ac:dyDescent="0.3">
      <c r="A202" t="s">
        <v>6214</v>
      </c>
      <c r="B202" t="s">
        <v>896</v>
      </c>
      <c r="C202">
        <v>11</v>
      </c>
      <c r="D202" t="str">
        <f>VLOOKUP(B202,Products!$A:$E,2,FALSE)</f>
        <v>Product_444</v>
      </c>
      <c r="E202" t="str">
        <f>VLOOKUP(B202,Products!$A:$E,3,FALSE)</f>
        <v>Electronics</v>
      </c>
    </row>
    <row r="203" spans="1:5" x14ac:dyDescent="0.3">
      <c r="A203" t="s">
        <v>6215</v>
      </c>
      <c r="B203" t="s">
        <v>734</v>
      </c>
      <c r="C203">
        <v>2</v>
      </c>
      <c r="D203" t="str">
        <f>VLOOKUP(B203,Products!$A:$E,2,FALSE)</f>
        <v>Product_363</v>
      </c>
      <c r="E203" t="str">
        <f>VLOOKUP(B203,Products!$A:$E,3,FALSE)</f>
        <v>Storage</v>
      </c>
    </row>
    <row r="204" spans="1:5" x14ac:dyDescent="0.3">
      <c r="A204" t="s">
        <v>6216</v>
      </c>
      <c r="B204" t="s">
        <v>594</v>
      </c>
      <c r="C204">
        <v>41</v>
      </c>
      <c r="D204" t="str">
        <f>VLOOKUP(B204,Products!$A:$E,2,FALSE)</f>
        <v>Product_293</v>
      </c>
      <c r="E204" t="str">
        <f>VLOOKUP(B204,Products!$A:$E,3,FALSE)</f>
        <v>Networking</v>
      </c>
    </row>
    <row r="205" spans="1:5" x14ac:dyDescent="0.3">
      <c r="A205" t="s">
        <v>6217</v>
      </c>
      <c r="B205" t="s">
        <v>824</v>
      </c>
      <c r="C205">
        <v>50</v>
      </c>
      <c r="D205" t="str">
        <f>VLOOKUP(B205,Products!$A:$E,2,FALSE)</f>
        <v>Product_408</v>
      </c>
      <c r="E205" t="str">
        <f>VLOOKUP(B205,Products!$A:$E,3,FALSE)</f>
        <v>Storage</v>
      </c>
    </row>
    <row r="206" spans="1:5" x14ac:dyDescent="0.3">
      <c r="A206" t="s">
        <v>6218</v>
      </c>
      <c r="B206" t="s">
        <v>734</v>
      </c>
      <c r="C206">
        <v>20</v>
      </c>
      <c r="D206" t="str">
        <f>VLOOKUP(B206,Products!$A:$E,2,FALSE)</f>
        <v>Product_363</v>
      </c>
      <c r="E206" t="str">
        <f>VLOOKUP(B206,Products!$A:$E,3,FALSE)</f>
        <v>Storage</v>
      </c>
    </row>
    <row r="207" spans="1:5" x14ac:dyDescent="0.3">
      <c r="A207" t="s">
        <v>6219</v>
      </c>
      <c r="B207" t="s">
        <v>584</v>
      </c>
      <c r="C207">
        <v>42</v>
      </c>
      <c r="D207" t="str">
        <f>VLOOKUP(B207,Products!$A:$E,2,FALSE)</f>
        <v>Product_288</v>
      </c>
      <c r="E207" t="str">
        <f>VLOOKUP(B207,Products!$A:$E,3,FALSE)</f>
        <v>Networking</v>
      </c>
    </row>
    <row r="208" spans="1:5" x14ac:dyDescent="0.3">
      <c r="A208" t="s">
        <v>6220</v>
      </c>
      <c r="B208" t="s">
        <v>136</v>
      </c>
      <c r="C208">
        <v>42</v>
      </c>
      <c r="D208" t="str">
        <f>VLOOKUP(B208,Products!$A:$E,2,FALSE)</f>
        <v>Product_64</v>
      </c>
      <c r="E208" t="str">
        <f>VLOOKUP(B208,Products!$A:$E,3,FALSE)</f>
        <v>Storage</v>
      </c>
    </row>
    <row r="209" spans="1:5" x14ac:dyDescent="0.3">
      <c r="A209" t="s">
        <v>6221</v>
      </c>
      <c r="B209" t="s">
        <v>582</v>
      </c>
      <c r="C209">
        <v>6</v>
      </c>
      <c r="D209" t="str">
        <f>VLOOKUP(B209,Products!$A:$E,2,FALSE)</f>
        <v>Product_287</v>
      </c>
      <c r="E209" t="str">
        <f>VLOOKUP(B209,Products!$A:$E,3,FALSE)</f>
        <v>Storage</v>
      </c>
    </row>
    <row r="210" spans="1:5" x14ac:dyDescent="0.3">
      <c r="A210" t="s">
        <v>6222</v>
      </c>
      <c r="B210" t="s">
        <v>206</v>
      </c>
      <c r="C210">
        <v>40</v>
      </c>
      <c r="D210" t="str">
        <f>VLOOKUP(B210,Products!$A:$E,2,FALSE)</f>
        <v>Product_99</v>
      </c>
      <c r="E210" t="str">
        <f>VLOOKUP(B210,Products!$A:$E,3,FALSE)</f>
        <v>Accessories</v>
      </c>
    </row>
    <row r="211" spans="1:5" x14ac:dyDescent="0.3">
      <c r="A211" t="s">
        <v>6223</v>
      </c>
      <c r="B211" t="s">
        <v>564</v>
      </c>
      <c r="C211">
        <v>37</v>
      </c>
      <c r="D211" t="str">
        <f>VLOOKUP(B211,Products!$A:$E,2,FALSE)</f>
        <v>Product_278</v>
      </c>
      <c r="E211" t="str">
        <f>VLOOKUP(B211,Products!$A:$E,3,FALSE)</f>
        <v>Electronics</v>
      </c>
    </row>
    <row r="212" spans="1:5" x14ac:dyDescent="0.3">
      <c r="A212" t="s">
        <v>6224</v>
      </c>
      <c r="B212" t="s">
        <v>784</v>
      </c>
      <c r="C212">
        <v>4</v>
      </c>
      <c r="D212" t="str">
        <f>VLOOKUP(B212,Products!$A:$E,2,FALSE)</f>
        <v>Product_388</v>
      </c>
      <c r="E212" t="str">
        <f>VLOOKUP(B212,Products!$A:$E,3,FALSE)</f>
        <v>Office Supplies</v>
      </c>
    </row>
    <row r="213" spans="1:5" x14ac:dyDescent="0.3">
      <c r="A213" t="s">
        <v>6225</v>
      </c>
      <c r="B213" t="s">
        <v>990</v>
      </c>
      <c r="C213">
        <v>37</v>
      </c>
      <c r="D213" t="str">
        <f>VLOOKUP(B213,Products!$A:$E,2,FALSE)</f>
        <v>Product_491</v>
      </c>
      <c r="E213" t="str">
        <f>VLOOKUP(B213,Products!$A:$E,3,FALSE)</f>
        <v>Accessories</v>
      </c>
    </row>
    <row r="214" spans="1:5" x14ac:dyDescent="0.3">
      <c r="A214" t="s">
        <v>6226</v>
      </c>
      <c r="B214" t="s">
        <v>544</v>
      </c>
      <c r="C214">
        <v>13</v>
      </c>
      <c r="D214" t="str">
        <f>VLOOKUP(B214,Products!$A:$E,2,FALSE)</f>
        <v>Product_268</v>
      </c>
      <c r="E214" t="str">
        <f>VLOOKUP(B214,Products!$A:$E,3,FALSE)</f>
        <v>Office Supplies</v>
      </c>
    </row>
    <row r="215" spans="1:5" x14ac:dyDescent="0.3">
      <c r="A215" t="s">
        <v>6227</v>
      </c>
      <c r="B215" t="s">
        <v>778</v>
      </c>
      <c r="C215">
        <v>31</v>
      </c>
      <c r="D215" t="str">
        <f>VLOOKUP(B215,Products!$A:$E,2,FALSE)</f>
        <v>Product_385</v>
      </c>
      <c r="E215" t="str">
        <f>VLOOKUP(B215,Products!$A:$E,3,FALSE)</f>
        <v>Networking</v>
      </c>
    </row>
    <row r="216" spans="1:5" x14ac:dyDescent="0.3">
      <c r="A216" t="s">
        <v>6228</v>
      </c>
      <c r="B216" t="s">
        <v>524</v>
      </c>
      <c r="C216">
        <v>2</v>
      </c>
      <c r="D216" t="str">
        <f>VLOOKUP(B216,Products!$A:$E,2,FALSE)</f>
        <v>Product_258</v>
      </c>
      <c r="E216" t="str">
        <f>VLOOKUP(B216,Products!$A:$E,3,FALSE)</f>
        <v>Networking</v>
      </c>
    </row>
    <row r="217" spans="1:5" x14ac:dyDescent="0.3">
      <c r="A217" t="s">
        <v>6229</v>
      </c>
      <c r="B217" t="s">
        <v>132</v>
      </c>
      <c r="C217">
        <v>43</v>
      </c>
      <c r="D217" t="str">
        <f>VLOOKUP(B217,Products!$A:$E,2,FALSE)</f>
        <v>Product_62</v>
      </c>
      <c r="E217" t="str">
        <f>VLOOKUP(B217,Products!$A:$E,3,FALSE)</f>
        <v>Accessories</v>
      </c>
    </row>
    <row r="218" spans="1:5" x14ac:dyDescent="0.3">
      <c r="A218" t="s">
        <v>6230</v>
      </c>
      <c r="B218" t="s">
        <v>968</v>
      </c>
      <c r="C218">
        <v>35</v>
      </c>
      <c r="D218" t="str">
        <f>VLOOKUP(B218,Products!$A:$E,2,FALSE)</f>
        <v>Product_480</v>
      </c>
      <c r="E218" t="str">
        <f>VLOOKUP(B218,Products!$A:$E,3,FALSE)</f>
        <v>Accessories</v>
      </c>
    </row>
    <row r="219" spans="1:5" x14ac:dyDescent="0.3">
      <c r="A219" t="s">
        <v>6231</v>
      </c>
      <c r="B219" t="s">
        <v>194</v>
      </c>
      <c r="C219">
        <v>2</v>
      </c>
      <c r="D219" t="str">
        <f>VLOOKUP(B219,Products!$A:$E,2,FALSE)</f>
        <v>Product_93</v>
      </c>
      <c r="E219" t="str">
        <f>VLOOKUP(B219,Products!$A:$E,3,FALSE)</f>
        <v>Office Supplies</v>
      </c>
    </row>
    <row r="220" spans="1:5" x14ac:dyDescent="0.3">
      <c r="A220" t="s">
        <v>6232</v>
      </c>
      <c r="B220" t="s">
        <v>290</v>
      </c>
      <c r="C220">
        <v>14</v>
      </c>
      <c r="D220" t="str">
        <f>VLOOKUP(B220,Products!$A:$E,2,FALSE)</f>
        <v>Product_141</v>
      </c>
      <c r="E220" t="str">
        <f>VLOOKUP(B220,Products!$A:$E,3,FALSE)</f>
        <v>Electronics</v>
      </c>
    </row>
    <row r="221" spans="1:5" x14ac:dyDescent="0.3">
      <c r="A221" t="s">
        <v>6233</v>
      </c>
      <c r="B221" t="s">
        <v>260</v>
      </c>
      <c r="C221">
        <v>46</v>
      </c>
      <c r="D221" t="str">
        <f>VLOOKUP(B221,Products!$A:$E,2,FALSE)</f>
        <v>Product_126</v>
      </c>
      <c r="E221" t="str">
        <f>VLOOKUP(B221,Products!$A:$E,3,FALSE)</f>
        <v>Office Supplies</v>
      </c>
    </row>
    <row r="222" spans="1:5" x14ac:dyDescent="0.3">
      <c r="A222" t="s">
        <v>6234</v>
      </c>
      <c r="B222" t="s">
        <v>868</v>
      </c>
      <c r="C222">
        <v>38</v>
      </c>
      <c r="D222" t="str">
        <f>VLOOKUP(B222,Products!$A:$E,2,FALSE)</f>
        <v>Product_430</v>
      </c>
      <c r="E222" t="str">
        <f>VLOOKUP(B222,Products!$A:$E,3,FALSE)</f>
        <v>Electronics</v>
      </c>
    </row>
    <row r="223" spans="1:5" x14ac:dyDescent="0.3">
      <c r="A223" t="s">
        <v>6235</v>
      </c>
      <c r="B223" t="s">
        <v>464</v>
      </c>
      <c r="C223">
        <v>6</v>
      </c>
      <c r="D223" t="str">
        <f>VLOOKUP(B223,Products!$A:$E,2,FALSE)</f>
        <v>Product_228</v>
      </c>
      <c r="E223" t="str">
        <f>VLOOKUP(B223,Products!$A:$E,3,FALSE)</f>
        <v>Storage</v>
      </c>
    </row>
    <row r="224" spans="1:5" x14ac:dyDescent="0.3">
      <c r="A224" t="s">
        <v>6236</v>
      </c>
      <c r="B224" t="s">
        <v>836</v>
      </c>
      <c r="C224">
        <v>35</v>
      </c>
      <c r="D224" t="str">
        <f>VLOOKUP(B224,Products!$A:$E,2,FALSE)</f>
        <v>Product_414</v>
      </c>
      <c r="E224" t="str">
        <f>VLOOKUP(B224,Products!$A:$E,3,FALSE)</f>
        <v>Office Supplies</v>
      </c>
    </row>
    <row r="225" spans="1:5" x14ac:dyDescent="0.3">
      <c r="A225" t="s">
        <v>6237</v>
      </c>
      <c r="B225" t="s">
        <v>630</v>
      </c>
      <c r="C225">
        <v>21</v>
      </c>
      <c r="D225" t="str">
        <f>VLOOKUP(B225,Products!$A:$E,2,FALSE)</f>
        <v>Product_311</v>
      </c>
      <c r="E225" t="str">
        <f>VLOOKUP(B225,Products!$A:$E,3,FALSE)</f>
        <v>Networking</v>
      </c>
    </row>
    <row r="226" spans="1:5" x14ac:dyDescent="0.3">
      <c r="A226" t="s">
        <v>6238</v>
      </c>
      <c r="B226" t="s">
        <v>420</v>
      </c>
      <c r="C226">
        <v>38</v>
      </c>
      <c r="D226" t="str">
        <f>VLOOKUP(B226,Products!$A:$E,2,FALSE)</f>
        <v>Product_206</v>
      </c>
      <c r="E226" t="str">
        <f>VLOOKUP(B226,Products!$A:$E,3,FALSE)</f>
        <v>Accessories</v>
      </c>
    </row>
    <row r="227" spans="1:5" x14ac:dyDescent="0.3">
      <c r="A227" t="s">
        <v>6239</v>
      </c>
      <c r="B227" t="s">
        <v>56</v>
      </c>
      <c r="C227">
        <v>32</v>
      </c>
      <c r="D227" t="str">
        <f>VLOOKUP(B227,Products!$A:$E,2,FALSE)</f>
        <v>Product_24</v>
      </c>
      <c r="E227" t="str">
        <f>VLOOKUP(B227,Products!$A:$E,3,FALSE)</f>
        <v>Accessories</v>
      </c>
    </row>
    <row r="228" spans="1:5" x14ac:dyDescent="0.3">
      <c r="A228" t="s">
        <v>6240</v>
      </c>
      <c r="B228" t="s">
        <v>892</v>
      </c>
      <c r="C228">
        <v>2</v>
      </c>
      <c r="D228" t="str">
        <f>VLOOKUP(B228,Products!$A:$E,2,FALSE)</f>
        <v>Product_442</v>
      </c>
      <c r="E228" t="str">
        <f>VLOOKUP(B228,Products!$A:$E,3,FALSE)</f>
        <v>Networking</v>
      </c>
    </row>
    <row r="229" spans="1:5" x14ac:dyDescent="0.3">
      <c r="A229" t="s">
        <v>6241</v>
      </c>
      <c r="B229" t="s">
        <v>358</v>
      </c>
      <c r="C229">
        <v>28</v>
      </c>
      <c r="D229" t="str">
        <f>VLOOKUP(B229,Products!$A:$E,2,FALSE)</f>
        <v>Product_175</v>
      </c>
      <c r="E229" t="str">
        <f>VLOOKUP(B229,Products!$A:$E,3,FALSE)</f>
        <v>Storage</v>
      </c>
    </row>
    <row r="230" spans="1:5" x14ac:dyDescent="0.3">
      <c r="A230" t="s">
        <v>6242</v>
      </c>
      <c r="B230" t="s">
        <v>194</v>
      </c>
      <c r="C230">
        <v>27</v>
      </c>
      <c r="D230" t="str">
        <f>VLOOKUP(B230,Products!$A:$E,2,FALSE)</f>
        <v>Product_93</v>
      </c>
      <c r="E230" t="str">
        <f>VLOOKUP(B230,Products!$A:$E,3,FALSE)</f>
        <v>Office Supplies</v>
      </c>
    </row>
    <row r="231" spans="1:5" x14ac:dyDescent="0.3">
      <c r="A231" t="s">
        <v>6243</v>
      </c>
      <c r="B231" t="s">
        <v>34</v>
      </c>
      <c r="C231">
        <v>34</v>
      </c>
      <c r="D231" t="str">
        <f>VLOOKUP(B231,Products!$A:$E,2,FALSE)</f>
        <v>Product_13</v>
      </c>
      <c r="E231" t="str">
        <f>VLOOKUP(B231,Products!$A:$E,3,FALSE)</f>
        <v>Office Supplies</v>
      </c>
    </row>
    <row r="232" spans="1:5" x14ac:dyDescent="0.3">
      <c r="A232" t="s">
        <v>6244</v>
      </c>
      <c r="B232" t="s">
        <v>334</v>
      </c>
      <c r="C232">
        <v>25</v>
      </c>
      <c r="D232" t="str">
        <f>VLOOKUP(B232,Products!$A:$E,2,FALSE)</f>
        <v>Product_163</v>
      </c>
      <c r="E232" t="str">
        <f>VLOOKUP(B232,Products!$A:$E,3,FALSE)</f>
        <v>Accessories</v>
      </c>
    </row>
    <row r="233" spans="1:5" x14ac:dyDescent="0.3">
      <c r="A233" t="s">
        <v>6245</v>
      </c>
      <c r="B233" t="s">
        <v>272</v>
      </c>
      <c r="C233">
        <v>6</v>
      </c>
      <c r="D233" t="str">
        <f>VLOOKUP(B233,Products!$A:$E,2,FALSE)</f>
        <v>Product_132</v>
      </c>
      <c r="E233" t="str">
        <f>VLOOKUP(B233,Products!$A:$E,3,FALSE)</f>
        <v>Storage</v>
      </c>
    </row>
    <row r="234" spans="1:5" x14ac:dyDescent="0.3">
      <c r="A234" t="s">
        <v>6246</v>
      </c>
      <c r="B234" t="s">
        <v>126</v>
      </c>
      <c r="C234">
        <v>7</v>
      </c>
      <c r="D234" t="str">
        <f>VLOOKUP(B234,Products!$A:$E,2,FALSE)</f>
        <v>Product_59</v>
      </c>
      <c r="E234" t="str">
        <f>VLOOKUP(B234,Products!$A:$E,3,FALSE)</f>
        <v>Accessories</v>
      </c>
    </row>
    <row r="235" spans="1:5" x14ac:dyDescent="0.3">
      <c r="A235" t="s">
        <v>6247</v>
      </c>
      <c r="B235" t="s">
        <v>564</v>
      </c>
      <c r="C235">
        <v>11</v>
      </c>
      <c r="D235" t="str">
        <f>VLOOKUP(B235,Products!$A:$E,2,FALSE)</f>
        <v>Product_278</v>
      </c>
      <c r="E235" t="str">
        <f>VLOOKUP(B235,Products!$A:$E,3,FALSE)</f>
        <v>Electronics</v>
      </c>
    </row>
    <row r="236" spans="1:5" x14ac:dyDescent="0.3">
      <c r="A236" t="s">
        <v>6248</v>
      </c>
      <c r="B236" t="s">
        <v>302</v>
      </c>
      <c r="C236">
        <v>10</v>
      </c>
      <c r="D236" t="str">
        <f>VLOOKUP(B236,Products!$A:$E,2,FALSE)</f>
        <v>Product_147</v>
      </c>
      <c r="E236" t="str">
        <f>VLOOKUP(B236,Products!$A:$E,3,FALSE)</f>
        <v>Networking</v>
      </c>
    </row>
    <row r="237" spans="1:5" x14ac:dyDescent="0.3">
      <c r="A237" t="s">
        <v>6249</v>
      </c>
      <c r="B237" t="s">
        <v>196</v>
      </c>
      <c r="C237">
        <v>17</v>
      </c>
      <c r="D237" t="str">
        <f>VLOOKUP(B237,Products!$A:$E,2,FALSE)</f>
        <v>Product_94</v>
      </c>
      <c r="E237" t="str">
        <f>VLOOKUP(B237,Products!$A:$E,3,FALSE)</f>
        <v>Networking</v>
      </c>
    </row>
    <row r="238" spans="1:5" x14ac:dyDescent="0.3">
      <c r="A238" t="s">
        <v>6250</v>
      </c>
      <c r="B238" t="s">
        <v>796</v>
      </c>
      <c r="C238">
        <v>6</v>
      </c>
      <c r="D238" t="str">
        <f>VLOOKUP(B238,Products!$A:$E,2,FALSE)</f>
        <v>Product_394</v>
      </c>
      <c r="E238" t="str">
        <f>VLOOKUP(B238,Products!$A:$E,3,FALSE)</f>
        <v>Electronics</v>
      </c>
    </row>
    <row r="239" spans="1:5" x14ac:dyDescent="0.3">
      <c r="A239" t="s">
        <v>6251</v>
      </c>
      <c r="B239" t="s">
        <v>166</v>
      </c>
      <c r="C239">
        <v>20</v>
      </c>
      <c r="D239" t="str">
        <f>VLOOKUP(B239,Products!$A:$E,2,FALSE)</f>
        <v>Product_79</v>
      </c>
      <c r="E239" t="str">
        <f>VLOOKUP(B239,Products!$A:$E,3,FALSE)</f>
        <v>Storage</v>
      </c>
    </row>
    <row r="240" spans="1:5" x14ac:dyDescent="0.3">
      <c r="A240" t="s">
        <v>6252</v>
      </c>
      <c r="B240" t="s">
        <v>984</v>
      </c>
      <c r="C240">
        <v>27</v>
      </c>
      <c r="D240" t="str">
        <f>VLOOKUP(B240,Products!$A:$E,2,FALSE)</f>
        <v>Product_488</v>
      </c>
      <c r="E240" t="str">
        <f>VLOOKUP(B240,Products!$A:$E,3,FALSE)</f>
        <v>Accessories</v>
      </c>
    </row>
    <row r="241" spans="1:5" x14ac:dyDescent="0.3">
      <c r="A241" t="s">
        <v>6253</v>
      </c>
      <c r="B241" t="s">
        <v>704</v>
      </c>
      <c r="C241">
        <v>11</v>
      </c>
      <c r="D241" t="str">
        <f>VLOOKUP(B241,Products!$A:$E,2,FALSE)</f>
        <v>Product_348</v>
      </c>
      <c r="E241" t="str">
        <f>VLOOKUP(B241,Products!$A:$E,3,FALSE)</f>
        <v>Electronics</v>
      </c>
    </row>
    <row r="242" spans="1:5" x14ac:dyDescent="0.3">
      <c r="A242" t="s">
        <v>6254</v>
      </c>
      <c r="B242" t="s">
        <v>70</v>
      </c>
      <c r="C242">
        <v>40</v>
      </c>
      <c r="D242" t="str">
        <f>VLOOKUP(B242,Products!$A:$E,2,FALSE)</f>
        <v>Product_31</v>
      </c>
      <c r="E242" t="str">
        <f>VLOOKUP(B242,Products!$A:$E,3,FALSE)</f>
        <v>Accessories</v>
      </c>
    </row>
    <row r="243" spans="1:5" x14ac:dyDescent="0.3">
      <c r="A243" t="s">
        <v>6255</v>
      </c>
      <c r="B243" t="s">
        <v>994</v>
      </c>
      <c r="C243">
        <v>21</v>
      </c>
      <c r="D243" t="str">
        <f>VLOOKUP(B243,Products!$A:$E,2,FALSE)</f>
        <v>Product_493</v>
      </c>
      <c r="E243" t="str">
        <f>VLOOKUP(B243,Products!$A:$E,3,FALSE)</f>
        <v>Networking</v>
      </c>
    </row>
    <row r="244" spans="1:5" x14ac:dyDescent="0.3">
      <c r="A244" t="s">
        <v>6256</v>
      </c>
      <c r="B244" t="s">
        <v>194</v>
      </c>
      <c r="C244">
        <v>2</v>
      </c>
      <c r="D244" t="str">
        <f>VLOOKUP(B244,Products!$A:$E,2,FALSE)</f>
        <v>Product_93</v>
      </c>
      <c r="E244" t="str">
        <f>VLOOKUP(B244,Products!$A:$E,3,FALSE)</f>
        <v>Office Supplies</v>
      </c>
    </row>
    <row r="245" spans="1:5" x14ac:dyDescent="0.3">
      <c r="A245" t="s">
        <v>6257</v>
      </c>
      <c r="B245" t="s">
        <v>740</v>
      </c>
      <c r="C245">
        <v>4</v>
      </c>
      <c r="D245" t="str">
        <f>VLOOKUP(B245,Products!$A:$E,2,FALSE)</f>
        <v>Product_366</v>
      </c>
      <c r="E245" t="str">
        <f>VLOOKUP(B245,Products!$A:$E,3,FALSE)</f>
        <v>Electronics</v>
      </c>
    </row>
    <row r="246" spans="1:5" x14ac:dyDescent="0.3">
      <c r="A246" t="s">
        <v>6258</v>
      </c>
      <c r="B246" t="s">
        <v>314</v>
      </c>
      <c r="C246">
        <v>25</v>
      </c>
      <c r="D246" t="str">
        <f>VLOOKUP(B246,Products!$A:$E,2,FALSE)</f>
        <v>Product_153</v>
      </c>
      <c r="E246" t="str">
        <f>VLOOKUP(B246,Products!$A:$E,3,FALSE)</f>
        <v>Electronics</v>
      </c>
    </row>
    <row r="247" spans="1:5" x14ac:dyDescent="0.3">
      <c r="A247" t="s">
        <v>6259</v>
      </c>
      <c r="B247" t="s">
        <v>110</v>
      </c>
      <c r="C247">
        <v>21</v>
      </c>
      <c r="D247" t="str">
        <f>VLOOKUP(B247,Products!$A:$E,2,FALSE)</f>
        <v>Product_51</v>
      </c>
      <c r="E247" t="str">
        <f>VLOOKUP(B247,Products!$A:$E,3,FALSE)</f>
        <v>Storage</v>
      </c>
    </row>
    <row r="248" spans="1:5" x14ac:dyDescent="0.3">
      <c r="A248" t="s">
        <v>6260</v>
      </c>
      <c r="B248" t="s">
        <v>154</v>
      </c>
      <c r="C248">
        <v>27</v>
      </c>
      <c r="D248" t="str">
        <f>VLOOKUP(B248,Products!$A:$E,2,FALSE)</f>
        <v>Product_73</v>
      </c>
      <c r="E248" t="str">
        <f>VLOOKUP(B248,Products!$A:$E,3,FALSE)</f>
        <v>Office Supplies</v>
      </c>
    </row>
    <row r="249" spans="1:5" x14ac:dyDescent="0.3">
      <c r="A249" t="s">
        <v>6261</v>
      </c>
      <c r="B249" t="s">
        <v>924</v>
      </c>
      <c r="C249">
        <v>21</v>
      </c>
      <c r="D249" t="str">
        <f>VLOOKUP(B249,Products!$A:$E,2,FALSE)</f>
        <v>Product_458</v>
      </c>
      <c r="E249" t="str">
        <f>VLOOKUP(B249,Products!$A:$E,3,FALSE)</f>
        <v>Accessories</v>
      </c>
    </row>
    <row r="250" spans="1:5" x14ac:dyDescent="0.3">
      <c r="A250" t="s">
        <v>6262</v>
      </c>
      <c r="B250" t="s">
        <v>274</v>
      </c>
      <c r="C250">
        <v>25</v>
      </c>
      <c r="D250" t="str">
        <f>VLOOKUP(B250,Products!$A:$E,2,FALSE)</f>
        <v>Product_133</v>
      </c>
      <c r="E250" t="str">
        <f>VLOOKUP(B250,Products!$A:$E,3,FALSE)</f>
        <v>Office Supplies</v>
      </c>
    </row>
    <row r="251" spans="1:5" x14ac:dyDescent="0.3">
      <c r="A251" t="s">
        <v>6263</v>
      </c>
      <c r="B251" t="s">
        <v>974</v>
      </c>
      <c r="C251">
        <v>8</v>
      </c>
      <c r="D251" t="str">
        <f>VLOOKUP(B251,Products!$A:$E,2,FALSE)</f>
        <v>Product_483</v>
      </c>
      <c r="E251" t="str">
        <f>VLOOKUP(B251,Products!$A:$E,3,FALSE)</f>
        <v>Electronics</v>
      </c>
    </row>
    <row r="252" spans="1:5" x14ac:dyDescent="0.3">
      <c r="A252" t="s">
        <v>6264</v>
      </c>
      <c r="B252" t="s">
        <v>62</v>
      </c>
      <c r="C252">
        <v>13</v>
      </c>
      <c r="D252" t="str">
        <f>VLOOKUP(B252,Products!$A:$E,2,FALSE)</f>
        <v>Product_27</v>
      </c>
      <c r="E252" t="str">
        <f>VLOOKUP(B252,Products!$A:$E,3,FALSE)</f>
        <v>Office Supplies</v>
      </c>
    </row>
    <row r="253" spans="1:5" x14ac:dyDescent="0.3">
      <c r="A253" t="s">
        <v>6265</v>
      </c>
      <c r="B253" t="s">
        <v>254</v>
      </c>
      <c r="C253">
        <v>49</v>
      </c>
      <c r="D253" t="str">
        <f>VLOOKUP(B253,Products!$A:$E,2,FALSE)</f>
        <v>Product_123</v>
      </c>
      <c r="E253" t="str">
        <f>VLOOKUP(B253,Products!$A:$E,3,FALSE)</f>
        <v>Electronics</v>
      </c>
    </row>
    <row r="254" spans="1:5" x14ac:dyDescent="0.3">
      <c r="A254" t="s">
        <v>6266</v>
      </c>
      <c r="B254" t="s">
        <v>620</v>
      </c>
      <c r="C254">
        <v>38</v>
      </c>
      <c r="D254" t="str">
        <f>VLOOKUP(B254,Products!$A:$E,2,FALSE)</f>
        <v>Product_306</v>
      </c>
      <c r="E254" t="str">
        <f>VLOOKUP(B254,Products!$A:$E,3,FALSE)</f>
        <v>Accessories</v>
      </c>
    </row>
    <row r="255" spans="1:5" x14ac:dyDescent="0.3">
      <c r="A255" t="s">
        <v>6267</v>
      </c>
      <c r="B255" t="s">
        <v>252</v>
      </c>
      <c r="C255">
        <v>32</v>
      </c>
      <c r="D255" t="str">
        <f>VLOOKUP(B255,Products!$A:$E,2,FALSE)</f>
        <v>Product_122</v>
      </c>
      <c r="E255" t="str">
        <f>VLOOKUP(B255,Products!$A:$E,3,FALSE)</f>
        <v>Storage</v>
      </c>
    </row>
    <row r="256" spans="1:5" x14ac:dyDescent="0.3">
      <c r="A256" t="s">
        <v>6268</v>
      </c>
      <c r="B256" t="s">
        <v>530</v>
      </c>
      <c r="C256">
        <v>49</v>
      </c>
      <c r="D256" t="str">
        <f>VLOOKUP(B256,Products!$A:$E,2,FALSE)</f>
        <v>Product_261</v>
      </c>
      <c r="E256" t="str">
        <f>VLOOKUP(B256,Products!$A:$E,3,FALSE)</f>
        <v>Accessories</v>
      </c>
    </row>
    <row r="257" spans="1:5" x14ac:dyDescent="0.3">
      <c r="A257" t="s">
        <v>6269</v>
      </c>
      <c r="B257" t="s">
        <v>526</v>
      </c>
      <c r="C257">
        <v>25</v>
      </c>
      <c r="D257" t="str">
        <f>VLOOKUP(B257,Products!$A:$E,2,FALSE)</f>
        <v>Product_259</v>
      </c>
      <c r="E257" t="str">
        <f>VLOOKUP(B257,Products!$A:$E,3,FALSE)</f>
        <v>Electronics</v>
      </c>
    </row>
    <row r="258" spans="1:5" x14ac:dyDescent="0.3">
      <c r="A258" t="s">
        <v>6270</v>
      </c>
      <c r="B258" t="s">
        <v>982</v>
      </c>
      <c r="C258">
        <v>8</v>
      </c>
      <c r="D258" t="str">
        <f>VLOOKUP(B258,Products!$A:$E,2,FALSE)</f>
        <v>Product_487</v>
      </c>
      <c r="E258" t="str">
        <f>VLOOKUP(B258,Products!$A:$E,3,FALSE)</f>
        <v>Networking</v>
      </c>
    </row>
    <row r="259" spans="1:5" x14ac:dyDescent="0.3">
      <c r="A259" t="s">
        <v>6271</v>
      </c>
      <c r="B259" t="s">
        <v>284</v>
      </c>
      <c r="C259">
        <v>4</v>
      </c>
      <c r="D259" t="str">
        <f>VLOOKUP(B259,Products!$A:$E,2,FALSE)</f>
        <v>Product_138</v>
      </c>
      <c r="E259" t="str">
        <f>VLOOKUP(B259,Products!$A:$E,3,FALSE)</f>
        <v>Electronics</v>
      </c>
    </row>
    <row r="260" spans="1:5" x14ac:dyDescent="0.3">
      <c r="A260" t="s">
        <v>6272</v>
      </c>
      <c r="B260" t="s">
        <v>334</v>
      </c>
      <c r="C260">
        <v>30</v>
      </c>
      <c r="D260" t="str">
        <f>VLOOKUP(B260,Products!$A:$E,2,FALSE)</f>
        <v>Product_163</v>
      </c>
      <c r="E260" t="str">
        <f>VLOOKUP(B260,Products!$A:$E,3,FALSE)</f>
        <v>Accessories</v>
      </c>
    </row>
    <row r="261" spans="1:5" x14ac:dyDescent="0.3">
      <c r="A261" t="s">
        <v>6273</v>
      </c>
      <c r="B261" t="s">
        <v>576</v>
      </c>
      <c r="C261">
        <v>27</v>
      </c>
      <c r="D261" t="str">
        <f>VLOOKUP(B261,Products!$A:$E,2,FALSE)</f>
        <v>Product_284</v>
      </c>
      <c r="E261" t="str">
        <f>VLOOKUP(B261,Products!$A:$E,3,FALSE)</f>
        <v>Networking</v>
      </c>
    </row>
    <row r="262" spans="1:5" x14ac:dyDescent="0.3">
      <c r="A262" t="s">
        <v>6274</v>
      </c>
      <c r="B262" t="s">
        <v>76</v>
      </c>
      <c r="C262">
        <v>31</v>
      </c>
      <c r="D262" t="str">
        <f>VLOOKUP(B262,Products!$A:$E,2,FALSE)</f>
        <v>Product_34</v>
      </c>
      <c r="E262" t="str">
        <f>VLOOKUP(B262,Products!$A:$E,3,FALSE)</f>
        <v>Office Supplies</v>
      </c>
    </row>
    <row r="263" spans="1:5" x14ac:dyDescent="0.3">
      <c r="A263" t="s">
        <v>6275</v>
      </c>
      <c r="B263" t="s">
        <v>38</v>
      </c>
      <c r="C263">
        <v>27</v>
      </c>
      <c r="D263" t="str">
        <f>VLOOKUP(B263,Products!$A:$E,2,FALSE)</f>
        <v>Product_15</v>
      </c>
      <c r="E263" t="str">
        <f>VLOOKUP(B263,Products!$A:$E,3,FALSE)</f>
        <v>Electronics</v>
      </c>
    </row>
    <row r="264" spans="1:5" x14ac:dyDescent="0.3">
      <c r="A264" t="s">
        <v>6276</v>
      </c>
      <c r="B264" t="s">
        <v>658</v>
      </c>
      <c r="C264">
        <v>15</v>
      </c>
      <c r="D264" t="str">
        <f>VLOOKUP(B264,Products!$A:$E,2,FALSE)</f>
        <v>Product_325</v>
      </c>
      <c r="E264" t="str">
        <f>VLOOKUP(B264,Products!$A:$E,3,FALSE)</f>
        <v>Networking</v>
      </c>
    </row>
    <row r="265" spans="1:5" x14ac:dyDescent="0.3">
      <c r="A265" t="s">
        <v>6277</v>
      </c>
      <c r="B265" t="s">
        <v>944</v>
      </c>
      <c r="C265">
        <v>2</v>
      </c>
      <c r="D265" t="str">
        <f>VLOOKUP(B265,Products!$A:$E,2,FALSE)</f>
        <v>Product_468</v>
      </c>
      <c r="E265" t="str">
        <f>VLOOKUP(B265,Products!$A:$E,3,FALSE)</f>
        <v>Office Supplies</v>
      </c>
    </row>
    <row r="266" spans="1:5" x14ac:dyDescent="0.3">
      <c r="A266" t="s">
        <v>6278</v>
      </c>
      <c r="B266" t="s">
        <v>284</v>
      </c>
      <c r="C266">
        <v>36</v>
      </c>
      <c r="D266" t="str">
        <f>VLOOKUP(B266,Products!$A:$E,2,FALSE)</f>
        <v>Product_138</v>
      </c>
      <c r="E266" t="str">
        <f>VLOOKUP(B266,Products!$A:$E,3,FALSE)</f>
        <v>Electronics</v>
      </c>
    </row>
    <row r="267" spans="1:5" x14ac:dyDescent="0.3">
      <c r="A267" t="s">
        <v>6279</v>
      </c>
      <c r="B267" t="s">
        <v>996</v>
      </c>
      <c r="C267">
        <v>38</v>
      </c>
      <c r="D267" t="str">
        <f>VLOOKUP(B267,Products!$A:$E,2,FALSE)</f>
        <v>Product_494</v>
      </c>
      <c r="E267" t="str">
        <f>VLOOKUP(B267,Products!$A:$E,3,FALSE)</f>
        <v>Office Supplies</v>
      </c>
    </row>
    <row r="268" spans="1:5" x14ac:dyDescent="0.3">
      <c r="A268" t="s">
        <v>6280</v>
      </c>
      <c r="B268" t="s">
        <v>700</v>
      </c>
      <c r="C268">
        <v>7</v>
      </c>
      <c r="D268" t="str">
        <f>VLOOKUP(B268,Products!$A:$E,2,FALSE)</f>
        <v>Product_346</v>
      </c>
      <c r="E268" t="str">
        <f>VLOOKUP(B268,Products!$A:$E,3,FALSE)</f>
        <v>Electronics</v>
      </c>
    </row>
    <row r="269" spans="1:5" x14ac:dyDescent="0.3">
      <c r="A269" t="s">
        <v>6281</v>
      </c>
      <c r="B269" t="s">
        <v>262</v>
      </c>
      <c r="C269">
        <v>49</v>
      </c>
      <c r="D269" t="str">
        <f>VLOOKUP(B269,Products!$A:$E,2,FALSE)</f>
        <v>Product_127</v>
      </c>
      <c r="E269" t="str">
        <f>VLOOKUP(B269,Products!$A:$E,3,FALSE)</f>
        <v>Networking</v>
      </c>
    </row>
    <row r="270" spans="1:5" x14ac:dyDescent="0.3">
      <c r="A270" t="s">
        <v>6282</v>
      </c>
      <c r="B270" t="s">
        <v>578</v>
      </c>
      <c r="C270">
        <v>42</v>
      </c>
      <c r="D270" t="str">
        <f>VLOOKUP(B270,Products!$A:$E,2,FALSE)</f>
        <v>Product_285</v>
      </c>
      <c r="E270" t="str">
        <f>VLOOKUP(B270,Products!$A:$E,3,FALSE)</f>
        <v>Networking</v>
      </c>
    </row>
    <row r="271" spans="1:5" x14ac:dyDescent="0.3">
      <c r="A271" t="s">
        <v>6283</v>
      </c>
      <c r="B271" t="s">
        <v>814</v>
      </c>
      <c r="C271">
        <v>9</v>
      </c>
      <c r="D271" t="str">
        <f>VLOOKUP(B271,Products!$A:$E,2,FALSE)</f>
        <v>Product_403</v>
      </c>
      <c r="E271" t="str">
        <f>VLOOKUP(B271,Products!$A:$E,3,FALSE)</f>
        <v>Networking</v>
      </c>
    </row>
    <row r="272" spans="1:5" x14ac:dyDescent="0.3">
      <c r="A272" t="s">
        <v>6284</v>
      </c>
      <c r="B272" t="s">
        <v>320</v>
      </c>
      <c r="C272">
        <v>37</v>
      </c>
      <c r="D272" t="str">
        <f>VLOOKUP(B272,Products!$A:$E,2,FALSE)</f>
        <v>Product_156</v>
      </c>
      <c r="E272" t="str">
        <f>VLOOKUP(B272,Products!$A:$E,3,FALSE)</f>
        <v>Accessories</v>
      </c>
    </row>
    <row r="273" spans="1:5" x14ac:dyDescent="0.3">
      <c r="A273" t="s">
        <v>6285</v>
      </c>
      <c r="B273" t="s">
        <v>426</v>
      </c>
      <c r="C273">
        <v>29</v>
      </c>
      <c r="D273" t="str">
        <f>VLOOKUP(B273,Products!$A:$E,2,FALSE)</f>
        <v>Product_209</v>
      </c>
      <c r="E273" t="str">
        <f>VLOOKUP(B273,Products!$A:$E,3,FALSE)</f>
        <v>Networking</v>
      </c>
    </row>
    <row r="274" spans="1:5" x14ac:dyDescent="0.3">
      <c r="A274" t="s">
        <v>6286</v>
      </c>
      <c r="B274" t="s">
        <v>94</v>
      </c>
      <c r="C274">
        <v>41</v>
      </c>
      <c r="D274" t="str">
        <f>VLOOKUP(B274,Products!$A:$E,2,FALSE)</f>
        <v>Product_43</v>
      </c>
      <c r="E274" t="str">
        <f>VLOOKUP(B274,Products!$A:$E,3,FALSE)</f>
        <v>Storage</v>
      </c>
    </row>
    <row r="275" spans="1:5" x14ac:dyDescent="0.3">
      <c r="A275" t="s">
        <v>6287</v>
      </c>
      <c r="B275" t="s">
        <v>522</v>
      </c>
      <c r="C275">
        <v>14</v>
      </c>
      <c r="D275" t="str">
        <f>VLOOKUP(B275,Products!$A:$E,2,FALSE)</f>
        <v>Product_257</v>
      </c>
      <c r="E275" t="str">
        <f>VLOOKUP(B275,Products!$A:$E,3,FALSE)</f>
        <v>Networking</v>
      </c>
    </row>
    <row r="276" spans="1:5" x14ac:dyDescent="0.3">
      <c r="A276" t="s">
        <v>6288</v>
      </c>
      <c r="B276" t="s">
        <v>810</v>
      </c>
      <c r="C276">
        <v>10</v>
      </c>
      <c r="D276" t="str">
        <f>VLOOKUP(B276,Products!$A:$E,2,FALSE)</f>
        <v>Product_401</v>
      </c>
      <c r="E276" t="str">
        <f>VLOOKUP(B276,Products!$A:$E,3,FALSE)</f>
        <v>Storage</v>
      </c>
    </row>
    <row r="277" spans="1:5" x14ac:dyDescent="0.3">
      <c r="A277" t="s">
        <v>6289</v>
      </c>
      <c r="B277" t="s">
        <v>392</v>
      </c>
      <c r="C277">
        <v>35</v>
      </c>
      <c r="D277" t="str">
        <f>VLOOKUP(B277,Products!$A:$E,2,FALSE)</f>
        <v>Product_192</v>
      </c>
      <c r="E277" t="str">
        <f>VLOOKUP(B277,Products!$A:$E,3,FALSE)</f>
        <v>Office Supplies</v>
      </c>
    </row>
    <row r="278" spans="1:5" x14ac:dyDescent="0.3">
      <c r="A278" t="s">
        <v>6290</v>
      </c>
      <c r="B278" t="s">
        <v>182</v>
      </c>
      <c r="C278">
        <v>16</v>
      </c>
      <c r="D278" t="str">
        <f>VLOOKUP(B278,Products!$A:$E,2,FALSE)</f>
        <v>Product_87</v>
      </c>
      <c r="E278" t="str">
        <f>VLOOKUP(B278,Products!$A:$E,3,FALSE)</f>
        <v>Networking</v>
      </c>
    </row>
    <row r="279" spans="1:5" x14ac:dyDescent="0.3">
      <c r="A279" t="s">
        <v>6291</v>
      </c>
      <c r="B279" t="s">
        <v>560</v>
      </c>
      <c r="C279">
        <v>28</v>
      </c>
      <c r="D279" t="str">
        <f>VLOOKUP(B279,Products!$A:$E,2,FALSE)</f>
        <v>Product_276</v>
      </c>
      <c r="E279" t="str">
        <f>VLOOKUP(B279,Products!$A:$E,3,FALSE)</f>
        <v>Office Supplies</v>
      </c>
    </row>
    <row r="280" spans="1:5" x14ac:dyDescent="0.3">
      <c r="A280" t="s">
        <v>6292</v>
      </c>
      <c r="B280" t="s">
        <v>994</v>
      </c>
      <c r="C280">
        <v>36</v>
      </c>
      <c r="D280" t="str">
        <f>VLOOKUP(B280,Products!$A:$E,2,FALSE)</f>
        <v>Product_493</v>
      </c>
      <c r="E280" t="str">
        <f>VLOOKUP(B280,Products!$A:$E,3,FALSE)</f>
        <v>Networking</v>
      </c>
    </row>
    <row r="281" spans="1:5" x14ac:dyDescent="0.3">
      <c r="A281" t="s">
        <v>6293</v>
      </c>
      <c r="B281" t="s">
        <v>472</v>
      </c>
      <c r="C281">
        <v>3</v>
      </c>
      <c r="D281" t="str">
        <f>VLOOKUP(B281,Products!$A:$E,2,FALSE)</f>
        <v>Product_232</v>
      </c>
      <c r="E281" t="str">
        <f>VLOOKUP(B281,Products!$A:$E,3,FALSE)</f>
        <v>Office Supplies</v>
      </c>
    </row>
    <row r="282" spans="1:5" x14ac:dyDescent="0.3">
      <c r="A282" t="s">
        <v>6294</v>
      </c>
      <c r="B282" t="s">
        <v>5</v>
      </c>
      <c r="C282">
        <v>30</v>
      </c>
      <c r="D282" t="str">
        <f>VLOOKUP(B282,Products!$A:$E,2,FALSE)</f>
        <v>Product_1</v>
      </c>
      <c r="E282" t="str">
        <f>VLOOKUP(B282,Products!$A:$E,3,FALSE)</f>
        <v>Electronics</v>
      </c>
    </row>
    <row r="283" spans="1:5" x14ac:dyDescent="0.3">
      <c r="A283" t="s">
        <v>6295</v>
      </c>
      <c r="B283" t="s">
        <v>994</v>
      </c>
      <c r="C283">
        <v>40</v>
      </c>
      <c r="D283" t="str">
        <f>VLOOKUP(B283,Products!$A:$E,2,FALSE)</f>
        <v>Product_493</v>
      </c>
      <c r="E283" t="str">
        <f>VLOOKUP(B283,Products!$A:$E,3,FALSE)</f>
        <v>Networking</v>
      </c>
    </row>
    <row r="284" spans="1:5" x14ac:dyDescent="0.3">
      <c r="A284" t="s">
        <v>6296</v>
      </c>
      <c r="B284" t="s">
        <v>306</v>
      </c>
      <c r="C284">
        <v>42</v>
      </c>
      <c r="D284" t="str">
        <f>VLOOKUP(B284,Products!$A:$E,2,FALSE)</f>
        <v>Product_149</v>
      </c>
      <c r="E284" t="str">
        <f>VLOOKUP(B284,Products!$A:$E,3,FALSE)</f>
        <v>Accessories</v>
      </c>
    </row>
    <row r="285" spans="1:5" x14ac:dyDescent="0.3">
      <c r="A285" t="s">
        <v>6297</v>
      </c>
      <c r="B285" t="s">
        <v>1004</v>
      </c>
      <c r="C285">
        <v>11</v>
      </c>
      <c r="D285" t="str">
        <f>VLOOKUP(B285,Products!$A:$E,2,FALSE)</f>
        <v>Product_498</v>
      </c>
      <c r="E285" t="str">
        <f>VLOOKUP(B285,Products!$A:$E,3,FALSE)</f>
        <v>Office Supplies</v>
      </c>
    </row>
    <row r="286" spans="1:5" x14ac:dyDescent="0.3">
      <c r="A286" t="s">
        <v>6298</v>
      </c>
      <c r="B286" t="s">
        <v>5</v>
      </c>
      <c r="C286">
        <v>4</v>
      </c>
      <c r="D286" t="str">
        <f>VLOOKUP(B286,Products!$A:$E,2,FALSE)</f>
        <v>Product_1</v>
      </c>
      <c r="E286" t="str">
        <f>VLOOKUP(B286,Products!$A:$E,3,FALSE)</f>
        <v>Electronics</v>
      </c>
    </row>
    <row r="287" spans="1:5" x14ac:dyDescent="0.3">
      <c r="A287" t="s">
        <v>6299</v>
      </c>
      <c r="B287" t="s">
        <v>964</v>
      </c>
      <c r="C287">
        <v>31</v>
      </c>
      <c r="D287" t="str">
        <f>VLOOKUP(B287,Products!$A:$E,2,FALSE)</f>
        <v>Product_478</v>
      </c>
      <c r="E287" t="str">
        <f>VLOOKUP(B287,Products!$A:$E,3,FALSE)</f>
        <v>Office Supplies</v>
      </c>
    </row>
    <row r="288" spans="1:5" x14ac:dyDescent="0.3">
      <c r="A288" t="s">
        <v>6300</v>
      </c>
      <c r="B288" t="s">
        <v>288</v>
      </c>
      <c r="C288">
        <v>39</v>
      </c>
      <c r="D288" t="str">
        <f>VLOOKUP(B288,Products!$A:$E,2,FALSE)</f>
        <v>Product_140</v>
      </c>
      <c r="E288" t="str">
        <f>VLOOKUP(B288,Products!$A:$E,3,FALSE)</f>
        <v>Electronics</v>
      </c>
    </row>
    <row r="289" spans="1:5" x14ac:dyDescent="0.3">
      <c r="A289" t="s">
        <v>6301</v>
      </c>
      <c r="B289" t="s">
        <v>266</v>
      </c>
      <c r="C289">
        <v>44</v>
      </c>
      <c r="D289" t="str">
        <f>VLOOKUP(B289,Products!$A:$E,2,FALSE)</f>
        <v>Product_129</v>
      </c>
      <c r="E289" t="str">
        <f>VLOOKUP(B289,Products!$A:$E,3,FALSE)</f>
        <v>Electronics</v>
      </c>
    </row>
    <row r="290" spans="1:5" x14ac:dyDescent="0.3">
      <c r="A290" t="s">
        <v>6302</v>
      </c>
      <c r="B290" t="s">
        <v>398</v>
      </c>
      <c r="C290">
        <v>23</v>
      </c>
      <c r="D290" t="str">
        <f>VLOOKUP(B290,Products!$A:$E,2,FALSE)</f>
        <v>Product_195</v>
      </c>
      <c r="E290" t="str">
        <f>VLOOKUP(B290,Products!$A:$E,3,FALSE)</f>
        <v>Accessories</v>
      </c>
    </row>
    <row r="291" spans="1:5" x14ac:dyDescent="0.3">
      <c r="A291" t="s">
        <v>6303</v>
      </c>
      <c r="B291" t="s">
        <v>872</v>
      </c>
      <c r="C291">
        <v>41</v>
      </c>
      <c r="D291" t="str">
        <f>VLOOKUP(B291,Products!$A:$E,2,FALSE)</f>
        <v>Product_432</v>
      </c>
      <c r="E291" t="str">
        <f>VLOOKUP(B291,Products!$A:$E,3,FALSE)</f>
        <v>Office Supplies</v>
      </c>
    </row>
    <row r="292" spans="1:5" x14ac:dyDescent="0.3">
      <c r="A292" t="s">
        <v>6304</v>
      </c>
      <c r="B292" t="s">
        <v>226</v>
      </c>
      <c r="C292">
        <v>38</v>
      </c>
      <c r="D292" t="str">
        <f>VLOOKUP(B292,Products!$A:$E,2,FALSE)</f>
        <v>Product_109</v>
      </c>
      <c r="E292" t="str">
        <f>VLOOKUP(B292,Products!$A:$E,3,FALSE)</f>
        <v>Storage</v>
      </c>
    </row>
    <row r="293" spans="1:5" x14ac:dyDescent="0.3">
      <c r="A293" t="s">
        <v>6305</v>
      </c>
      <c r="B293" t="s">
        <v>870</v>
      </c>
      <c r="C293">
        <v>33</v>
      </c>
      <c r="D293" t="str">
        <f>VLOOKUP(B293,Products!$A:$E,2,FALSE)</f>
        <v>Product_431</v>
      </c>
      <c r="E293" t="str">
        <f>VLOOKUP(B293,Products!$A:$E,3,FALSE)</f>
        <v>Electronics</v>
      </c>
    </row>
    <row r="294" spans="1:5" x14ac:dyDescent="0.3">
      <c r="A294" t="s">
        <v>6306</v>
      </c>
      <c r="B294" t="s">
        <v>298</v>
      </c>
      <c r="C294">
        <v>3</v>
      </c>
      <c r="D294" t="str">
        <f>VLOOKUP(B294,Products!$A:$E,2,FALSE)</f>
        <v>Product_145</v>
      </c>
      <c r="E294" t="str">
        <f>VLOOKUP(B294,Products!$A:$E,3,FALSE)</f>
        <v>Office Supplies</v>
      </c>
    </row>
    <row r="295" spans="1:5" x14ac:dyDescent="0.3">
      <c r="A295" t="s">
        <v>6307</v>
      </c>
      <c r="B295" t="s">
        <v>174</v>
      </c>
      <c r="C295">
        <v>48</v>
      </c>
      <c r="D295" t="str">
        <f>VLOOKUP(B295,Products!$A:$E,2,FALSE)</f>
        <v>Product_83</v>
      </c>
      <c r="E295" t="str">
        <f>VLOOKUP(B295,Products!$A:$E,3,FALSE)</f>
        <v>Accessories</v>
      </c>
    </row>
    <row r="296" spans="1:5" x14ac:dyDescent="0.3">
      <c r="A296" t="s">
        <v>6308</v>
      </c>
      <c r="B296" t="s">
        <v>556</v>
      </c>
      <c r="C296">
        <v>37</v>
      </c>
      <c r="D296" t="str">
        <f>VLOOKUP(B296,Products!$A:$E,2,FALSE)</f>
        <v>Product_274</v>
      </c>
      <c r="E296" t="str">
        <f>VLOOKUP(B296,Products!$A:$E,3,FALSE)</f>
        <v>Accessories</v>
      </c>
    </row>
    <row r="297" spans="1:5" x14ac:dyDescent="0.3">
      <c r="A297" t="s">
        <v>6309</v>
      </c>
      <c r="B297" t="s">
        <v>80</v>
      </c>
      <c r="C297">
        <v>20</v>
      </c>
      <c r="D297" t="str">
        <f>VLOOKUP(B297,Products!$A:$E,2,FALSE)</f>
        <v>Product_36</v>
      </c>
      <c r="E297" t="str">
        <f>VLOOKUP(B297,Products!$A:$E,3,FALSE)</f>
        <v>Office Supplies</v>
      </c>
    </row>
    <row r="298" spans="1:5" x14ac:dyDescent="0.3">
      <c r="A298" t="s">
        <v>6310</v>
      </c>
      <c r="B298" t="s">
        <v>100</v>
      </c>
      <c r="C298">
        <v>26</v>
      </c>
      <c r="D298" t="str">
        <f>VLOOKUP(B298,Products!$A:$E,2,FALSE)</f>
        <v>Product_46</v>
      </c>
      <c r="E298" t="str">
        <f>VLOOKUP(B298,Products!$A:$E,3,FALSE)</f>
        <v>Networking</v>
      </c>
    </row>
    <row r="299" spans="1:5" x14ac:dyDescent="0.3">
      <c r="A299" t="s">
        <v>6311</v>
      </c>
      <c r="B299" t="s">
        <v>724</v>
      </c>
      <c r="C299">
        <v>8</v>
      </c>
      <c r="D299" t="str">
        <f>VLOOKUP(B299,Products!$A:$E,2,FALSE)</f>
        <v>Product_358</v>
      </c>
      <c r="E299" t="str">
        <f>VLOOKUP(B299,Products!$A:$E,3,FALSE)</f>
        <v>Storage</v>
      </c>
    </row>
    <row r="300" spans="1:5" x14ac:dyDescent="0.3">
      <c r="A300" t="s">
        <v>6312</v>
      </c>
      <c r="B300" t="s">
        <v>860</v>
      </c>
      <c r="C300">
        <v>9</v>
      </c>
      <c r="D300" t="str">
        <f>VLOOKUP(B300,Products!$A:$E,2,FALSE)</f>
        <v>Product_426</v>
      </c>
      <c r="E300" t="str">
        <f>VLOOKUP(B300,Products!$A:$E,3,FALSE)</f>
        <v>Storage</v>
      </c>
    </row>
    <row r="301" spans="1:5" x14ac:dyDescent="0.3">
      <c r="A301" t="s">
        <v>6313</v>
      </c>
      <c r="B301" t="s">
        <v>752</v>
      </c>
      <c r="C301">
        <v>36</v>
      </c>
      <c r="D301" t="str">
        <f>VLOOKUP(B301,Products!$A:$E,2,FALSE)</f>
        <v>Product_372</v>
      </c>
      <c r="E301" t="str">
        <f>VLOOKUP(B301,Products!$A:$E,3,FALSE)</f>
        <v>Networking</v>
      </c>
    </row>
    <row r="302" spans="1:5" x14ac:dyDescent="0.3">
      <c r="A302" t="s">
        <v>6314</v>
      </c>
      <c r="B302" t="s">
        <v>296</v>
      </c>
      <c r="C302">
        <v>28</v>
      </c>
      <c r="D302" t="str">
        <f>VLOOKUP(B302,Products!$A:$E,2,FALSE)</f>
        <v>Product_144</v>
      </c>
      <c r="E302" t="str">
        <f>VLOOKUP(B302,Products!$A:$E,3,FALSE)</f>
        <v>Office Supplies</v>
      </c>
    </row>
    <row r="303" spans="1:5" x14ac:dyDescent="0.3">
      <c r="A303" t="s">
        <v>6315</v>
      </c>
      <c r="B303" t="s">
        <v>224</v>
      </c>
      <c r="C303">
        <v>40</v>
      </c>
      <c r="D303" t="str">
        <f>VLOOKUP(B303,Products!$A:$E,2,FALSE)</f>
        <v>Product_108</v>
      </c>
      <c r="E303" t="str">
        <f>VLOOKUP(B303,Products!$A:$E,3,FALSE)</f>
        <v>Networking</v>
      </c>
    </row>
    <row r="304" spans="1:5" x14ac:dyDescent="0.3">
      <c r="A304" t="s">
        <v>6316</v>
      </c>
      <c r="B304" t="s">
        <v>526</v>
      </c>
      <c r="C304">
        <v>21</v>
      </c>
      <c r="D304" t="str">
        <f>VLOOKUP(B304,Products!$A:$E,2,FALSE)</f>
        <v>Product_259</v>
      </c>
      <c r="E304" t="str">
        <f>VLOOKUP(B304,Products!$A:$E,3,FALSE)</f>
        <v>Electronics</v>
      </c>
    </row>
    <row r="305" spans="1:5" x14ac:dyDescent="0.3">
      <c r="A305" t="s">
        <v>6317</v>
      </c>
      <c r="B305" t="s">
        <v>914</v>
      </c>
      <c r="C305">
        <v>44</v>
      </c>
      <c r="D305" t="str">
        <f>VLOOKUP(B305,Products!$A:$E,2,FALSE)</f>
        <v>Product_453</v>
      </c>
      <c r="E305" t="str">
        <f>VLOOKUP(B305,Products!$A:$E,3,FALSE)</f>
        <v>Office Supplies</v>
      </c>
    </row>
    <row r="306" spans="1:5" x14ac:dyDescent="0.3">
      <c r="A306" t="s">
        <v>6318</v>
      </c>
      <c r="B306" t="s">
        <v>978</v>
      </c>
      <c r="C306">
        <v>22</v>
      </c>
      <c r="D306" t="str">
        <f>VLOOKUP(B306,Products!$A:$E,2,FALSE)</f>
        <v>Product_485</v>
      </c>
      <c r="E306" t="str">
        <f>VLOOKUP(B306,Products!$A:$E,3,FALSE)</f>
        <v>Networking</v>
      </c>
    </row>
    <row r="307" spans="1:5" x14ac:dyDescent="0.3">
      <c r="A307" t="s">
        <v>6319</v>
      </c>
      <c r="B307" t="s">
        <v>660</v>
      </c>
      <c r="C307">
        <v>17</v>
      </c>
      <c r="D307" t="str">
        <f>VLOOKUP(B307,Products!$A:$E,2,FALSE)</f>
        <v>Product_326</v>
      </c>
      <c r="E307" t="str">
        <f>VLOOKUP(B307,Products!$A:$E,3,FALSE)</f>
        <v>Electronics</v>
      </c>
    </row>
    <row r="308" spans="1:5" x14ac:dyDescent="0.3">
      <c r="A308" t="s">
        <v>6320</v>
      </c>
      <c r="B308" t="s">
        <v>780</v>
      </c>
      <c r="C308">
        <v>46</v>
      </c>
      <c r="D308" t="str">
        <f>VLOOKUP(B308,Products!$A:$E,2,FALSE)</f>
        <v>Product_386</v>
      </c>
      <c r="E308" t="str">
        <f>VLOOKUP(B308,Products!$A:$E,3,FALSE)</f>
        <v>Electronics</v>
      </c>
    </row>
    <row r="309" spans="1:5" x14ac:dyDescent="0.3">
      <c r="A309" t="s">
        <v>6321</v>
      </c>
      <c r="B309" t="s">
        <v>472</v>
      </c>
      <c r="C309">
        <v>18</v>
      </c>
      <c r="D309" t="str">
        <f>VLOOKUP(B309,Products!$A:$E,2,FALSE)</f>
        <v>Product_232</v>
      </c>
      <c r="E309" t="str">
        <f>VLOOKUP(B309,Products!$A:$E,3,FALSE)</f>
        <v>Office Supplies</v>
      </c>
    </row>
    <row r="310" spans="1:5" x14ac:dyDescent="0.3">
      <c r="A310" t="s">
        <v>6322</v>
      </c>
      <c r="B310" t="s">
        <v>260</v>
      </c>
      <c r="C310">
        <v>43</v>
      </c>
      <c r="D310" t="str">
        <f>VLOOKUP(B310,Products!$A:$E,2,FALSE)</f>
        <v>Product_126</v>
      </c>
      <c r="E310" t="str">
        <f>VLOOKUP(B310,Products!$A:$E,3,FALSE)</f>
        <v>Office Supplies</v>
      </c>
    </row>
    <row r="311" spans="1:5" x14ac:dyDescent="0.3">
      <c r="A311" t="s">
        <v>6323</v>
      </c>
      <c r="B311" t="s">
        <v>338</v>
      </c>
      <c r="C311">
        <v>22</v>
      </c>
      <c r="D311" t="str">
        <f>VLOOKUP(B311,Products!$A:$E,2,FALSE)</f>
        <v>Product_165</v>
      </c>
      <c r="E311" t="str">
        <f>VLOOKUP(B311,Products!$A:$E,3,FALSE)</f>
        <v>Office Supplies</v>
      </c>
    </row>
    <row r="312" spans="1:5" x14ac:dyDescent="0.3">
      <c r="A312" t="s">
        <v>6324</v>
      </c>
      <c r="B312" t="s">
        <v>224</v>
      </c>
      <c r="C312">
        <v>30</v>
      </c>
      <c r="D312" t="str">
        <f>VLOOKUP(B312,Products!$A:$E,2,FALSE)</f>
        <v>Product_108</v>
      </c>
      <c r="E312" t="str">
        <f>VLOOKUP(B312,Products!$A:$E,3,FALSE)</f>
        <v>Networking</v>
      </c>
    </row>
    <row r="313" spans="1:5" x14ac:dyDescent="0.3">
      <c r="A313" t="s">
        <v>6325</v>
      </c>
      <c r="B313" t="s">
        <v>992</v>
      </c>
      <c r="C313">
        <v>39</v>
      </c>
      <c r="D313" t="str">
        <f>VLOOKUP(B313,Products!$A:$E,2,FALSE)</f>
        <v>Product_492</v>
      </c>
      <c r="E313" t="str">
        <f>VLOOKUP(B313,Products!$A:$E,3,FALSE)</f>
        <v>Electronics</v>
      </c>
    </row>
    <row r="314" spans="1:5" x14ac:dyDescent="0.3">
      <c r="A314" t="s">
        <v>6326</v>
      </c>
      <c r="B314" t="s">
        <v>346</v>
      </c>
      <c r="C314">
        <v>2</v>
      </c>
      <c r="D314" t="str">
        <f>VLOOKUP(B314,Products!$A:$E,2,FALSE)</f>
        <v>Product_169</v>
      </c>
      <c r="E314" t="str">
        <f>VLOOKUP(B314,Products!$A:$E,3,FALSE)</f>
        <v>Accessories</v>
      </c>
    </row>
    <row r="315" spans="1:5" x14ac:dyDescent="0.3">
      <c r="A315" t="s">
        <v>6327</v>
      </c>
      <c r="B315" t="s">
        <v>944</v>
      </c>
      <c r="C315">
        <v>45</v>
      </c>
      <c r="D315" t="str">
        <f>VLOOKUP(B315,Products!$A:$E,2,FALSE)</f>
        <v>Product_468</v>
      </c>
      <c r="E315" t="str">
        <f>VLOOKUP(B315,Products!$A:$E,3,FALSE)</f>
        <v>Office Supplies</v>
      </c>
    </row>
    <row r="316" spans="1:5" x14ac:dyDescent="0.3">
      <c r="A316" t="s">
        <v>6328</v>
      </c>
      <c r="B316" t="s">
        <v>146</v>
      </c>
      <c r="C316">
        <v>42</v>
      </c>
      <c r="D316" t="str">
        <f>VLOOKUP(B316,Products!$A:$E,2,FALSE)</f>
        <v>Product_69</v>
      </c>
      <c r="E316" t="str">
        <f>VLOOKUP(B316,Products!$A:$E,3,FALSE)</f>
        <v>Electronics</v>
      </c>
    </row>
    <row r="317" spans="1:5" x14ac:dyDescent="0.3">
      <c r="A317" t="s">
        <v>6329</v>
      </c>
      <c r="B317" t="s">
        <v>954</v>
      </c>
      <c r="C317">
        <v>1</v>
      </c>
      <c r="D317" t="str">
        <f>VLOOKUP(B317,Products!$A:$E,2,FALSE)</f>
        <v>Product_473</v>
      </c>
      <c r="E317" t="str">
        <f>VLOOKUP(B317,Products!$A:$E,3,FALSE)</f>
        <v>Accessories</v>
      </c>
    </row>
    <row r="318" spans="1:5" x14ac:dyDescent="0.3">
      <c r="A318" t="s">
        <v>6330</v>
      </c>
      <c r="B318" t="s">
        <v>632</v>
      </c>
      <c r="C318">
        <v>31</v>
      </c>
      <c r="D318" t="str">
        <f>VLOOKUP(B318,Products!$A:$E,2,FALSE)</f>
        <v>Product_312</v>
      </c>
      <c r="E318" t="str">
        <f>VLOOKUP(B318,Products!$A:$E,3,FALSE)</f>
        <v>Office Supplies</v>
      </c>
    </row>
    <row r="319" spans="1:5" x14ac:dyDescent="0.3">
      <c r="A319" t="s">
        <v>6331</v>
      </c>
      <c r="B319" t="s">
        <v>11</v>
      </c>
      <c r="C319">
        <v>1</v>
      </c>
      <c r="D319" t="str">
        <f>VLOOKUP(B319,Products!$A:$E,2,FALSE)</f>
        <v>Product_3</v>
      </c>
      <c r="E319" t="str">
        <f>VLOOKUP(B319,Products!$A:$E,3,FALSE)</f>
        <v>Accessories</v>
      </c>
    </row>
    <row r="320" spans="1:5" x14ac:dyDescent="0.3">
      <c r="A320" t="s">
        <v>6332</v>
      </c>
      <c r="B320" t="s">
        <v>698</v>
      </c>
      <c r="C320">
        <v>12</v>
      </c>
      <c r="D320" t="str">
        <f>VLOOKUP(B320,Products!$A:$E,2,FALSE)</f>
        <v>Product_345</v>
      </c>
      <c r="E320" t="str">
        <f>VLOOKUP(B320,Products!$A:$E,3,FALSE)</f>
        <v>Storage</v>
      </c>
    </row>
    <row r="321" spans="1:5" x14ac:dyDescent="0.3">
      <c r="A321" t="s">
        <v>6333</v>
      </c>
      <c r="B321" t="s">
        <v>432</v>
      </c>
      <c r="C321">
        <v>36</v>
      </c>
      <c r="D321" t="str">
        <f>VLOOKUP(B321,Products!$A:$E,2,FALSE)</f>
        <v>Product_212</v>
      </c>
      <c r="E321" t="str">
        <f>VLOOKUP(B321,Products!$A:$E,3,FALSE)</f>
        <v>Networking</v>
      </c>
    </row>
    <row r="322" spans="1:5" x14ac:dyDescent="0.3">
      <c r="A322" t="s">
        <v>6334</v>
      </c>
      <c r="B322" t="s">
        <v>926</v>
      </c>
      <c r="C322">
        <v>45</v>
      </c>
      <c r="D322" t="str">
        <f>VLOOKUP(B322,Products!$A:$E,2,FALSE)</f>
        <v>Product_459</v>
      </c>
      <c r="E322" t="str">
        <f>VLOOKUP(B322,Products!$A:$E,3,FALSE)</f>
        <v>Office Supplies</v>
      </c>
    </row>
    <row r="323" spans="1:5" x14ac:dyDescent="0.3">
      <c r="A323" t="s">
        <v>6335</v>
      </c>
      <c r="B323" t="s">
        <v>730</v>
      </c>
      <c r="C323">
        <v>32</v>
      </c>
      <c r="D323" t="str">
        <f>VLOOKUP(B323,Products!$A:$E,2,FALSE)</f>
        <v>Product_361</v>
      </c>
      <c r="E323" t="str">
        <f>VLOOKUP(B323,Products!$A:$E,3,FALSE)</f>
        <v>Office Supplies</v>
      </c>
    </row>
    <row r="324" spans="1:5" x14ac:dyDescent="0.3">
      <c r="A324" t="s">
        <v>6336</v>
      </c>
      <c r="B324" t="s">
        <v>790</v>
      </c>
      <c r="C324">
        <v>26</v>
      </c>
      <c r="D324" t="str">
        <f>VLOOKUP(B324,Products!$A:$E,2,FALSE)</f>
        <v>Product_391</v>
      </c>
      <c r="E324" t="str">
        <f>VLOOKUP(B324,Products!$A:$E,3,FALSE)</f>
        <v>Accessories</v>
      </c>
    </row>
    <row r="325" spans="1:5" x14ac:dyDescent="0.3">
      <c r="A325" t="s">
        <v>6337</v>
      </c>
      <c r="B325" t="s">
        <v>560</v>
      </c>
      <c r="C325">
        <v>6</v>
      </c>
      <c r="D325" t="str">
        <f>VLOOKUP(B325,Products!$A:$E,2,FALSE)</f>
        <v>Product_276</v>
      </c>
      <c r="E325" t="str">
        <f>VLOOKUP(B325,Products!$A:$E,3,FALSE)</f>
        <v>Office Supplies</v>
      </c>
    </row>
    <row r="326" spans="1:5" x14ac:dyDescent="0.3">
      <c r="A326" t="s">
        <v>6338</v>
      </c>
      <c r="B326" t="s">
        <v>816</v>
      </c>
      <c r="C326">
        <v>42</v>
      </c>
      <c r="D326" t="str">
        <f>VLOOKUP(B326,Products!$A:$E,2,FALSE)</f>
        <v>Product_404</v>
      </c>
      <c r="E326" t="str">
        <f>VLOOKUP(B326,Products!$A:$E,3,FALSE)</f>
        <v>Storage</v>
      </c>
    </row>
    <row r="327" spans="1:5" x14ac:dyDescent="0.3">
      <c r="A327" t="s">
        <v>6339</v>
      </c>
      <c r="B327" t="s">
        <v>676</v>
      </c>
      <c r="C327">
        <v>5</v>
      </c>
      <c r="D327" t="str">
        <f>VLOOKUP(B327,Products!$A:$E,2,FALSE)</f>
        <v>Product_334</v>
      </c>
      <c r="E327" t="str">
        <f>VLOOKUP(B327,Products!$A:$E,3,FALSE)</f>
        <v>Accessories</v>
      </c>
    </row>
    <row r="328" spans="1:5" x14ac:dyDescent="0.3">
      <c r="A328" t="s">
        <v>6340</v>
      </c>
      <c r="B328" t="s">
        <v>560</v>
      </c>
      <c r="C328">
        <v>2</v>
      </c>
      <c r="D328" t="str">
        <f>VLOOKUP(B328,Products!$A:$E,2,FALSE)</f>
        <v>Product_276</v>
      </c>
      <c r="E328" t="str">
        <f>VLOOKUP(B328,Products!$A:$E,3,FALSE)</f>
        <v>Office Supplies</v>
      </c>
    </row>
    <row r="329" spans="1:5" x14ac:dyDescent="0.3">
      <c r="A329" t="s">
        <v>6341</v>
      </c>
      <c r="B329" t="s">
        <v>922</v>
      </c>
      <c r="C329">
        <v>43</v>
      </c>
      <c r="D329" t="str">
        <f>VLOOKUP(B329,Products!$A:$E,2,FALSE)</f>
        <v>Product_457</v>
      </c>
      <c r="E329" t="str">
        <f>VLOOKUP(B329,Products!$A:$E,3,FALSE)</f>
        <v>Networking</v>
      </c>
    </row>
    <row r="330" spans="1:5" x14ac:dyDescent="0.3">
      <c r="A330" t="s">
        <v>6342</v>
      </c>
      <c r="B330" t="s">
        <v>464</v>
      </c>
      <c r="C330">
        <v>44</v>
      </c>
      <c r="D330" t="str">
        <f>VLOOKUP(B330,Products!$A:$E,2,FALSE)</f>
        <v>Product_228</v>
      </c>
      <c r="E330" t="str">
        <f>VLOOKUP(B330,Products!$A:$E,3,FALSE)</f>
        <v>Storage</v>
      </c>
    </row>
    <row r="331" spans="1:5" x14ac:dyDescent="0.3">
      <c r="A331" t="s">
        <v>6343</v>
      </c>
      <c r="B331" t="s">
        <v>136</v>
      </c>
      <c r="C331">
        <v>23</v>
      </c>
      <c r="D331" t="str">
        <f>VLOOKUP(B331,Products!$A:$E,2,FALSE)</f>
        <v>Product_64</v>
      </c>
      <c r="E331" t="str">
        <f>VLOOKUP(B331,Products!$A:$E,3,FALSE)</f>
        <v>Storage</v>
      </c>
    </row>
    <row r="332" spans="1:5" x14ac:dyDescent="0.3">
      <c r="A332" t="s">
        <v>6344</v>
      </c>
      <c r="B332" t="s">
        <v>1004</v>
      </c>
      <c r="C332">
        <v>25</v>
      </c>
      <c r="D332" t="str">
        <f>VLOOKUP(B332,Products!$A:$E,2,FALSE)</f>
        <v>Product_498</v>
      </c>
      <c r="E332" t="str">
        <f>VLOOKUP(B332,Products!$A:$E,3,FALSE)</f>
        <v>Office Supplies</v>
      </c>
    </row>
    <row r="333" spans="1:5" x14ac:dyDescent="0.3">
      <c r="A333" t="s">
        <v>6345</v>
      </c>
      <c r="B333" t="s">
        <v>856</v>
      </c>
      <c r="C333">
        <v>39</v>
      </c>
      <c r="D333" t="str">
        <f>VLOOKUP(B333,Products!$A:$E,2,FALSE)</f>
        <v>Product_424</v>
      </c>
      <c r="E333" t="str">
        <f>VLOOKUP(B333,Products!$A:$E,3,FALSE)</f>
        <v>Networking</v>
      </c>
    </row>
    <row r="334" spans="1:5" x14ac:dyDescent="0.3">
      <c r="A334" t="s">
        <v>6346</v>
      </c>
      <c r="B334" t="s">
        <v>376</v>
      </c>
      <c r="C334">
        <v>25</v>
      </c>
      <c r="D334" t="str">
        <f>VLOOKUP(B334,Products!$A:$E,2,FALSE)</f>
        <v>Product_184</v>
      </c>
      <c r="E334" t="str">
        <f>VLOOKUP(B334,Products!$A:$E,3,FALSE)</f>
        <v>Electronics</v>
      </c>
    </row>
    <row r="335" spans="1:5" x14ac:dyDescent="0.3">
      <c r="A335" t="s">
        <v>6347</v>
      </c>
      <c r="B335" t="s">
        <v>190</v>
      </c>
      <c r="C335">
        <v>50</v>
      </c>
      <c r="D335" t="str">
        <f>VLOOKUP(B335,Products!$A:$E,2,FALSE)</f>
        <v>Product_91</v>
      </c>
      <c r="E335" t="str">
        <f>VLOOKUP(B335,Products!$A:$E,3,FALSE)</f>
        <v>Networking</v>
      </c>
    </row>
    <row r="336" spans="1:5" x14ac:dyDescent="0.3">
      <c r="A336" t="s">
        <v>6348</v>
      </c>
      <c r="B336" t="s">
        <v>840</v>
      </c>
      <c r="C336">
        <v>45</v>
      </c>
      <c r="D336" t="str">
        <f>VLOOKUP(B336,Products!$A:$E,2,FALSE)</f>
        <v>Product_416</v>
      </c>
      <c r="E336" t="str">
        <f>VLOOKUP(B336,Products!$A:$E,3,FALSE)</f>
        <v>Accessories</v>
      </c>
    </row>
    <row r="337" spans="1:5" x14ac:dyDescent="0.3">
      <c r="A337" t="s">
        <v>6349</v>
      </c>
      <c r="B337" t="s">
        <v>17</v>
      </c>
      <c r="C337">
        <v>8</v>
      </c>
      <c r="D337" t="str">
        <f>VLOOKUP(B337,Products!$A:$E,2,FALSE)</f>
        <v>Product_5</v>
      </c>
      <c r="E337" t="str">
        <f>VLOOKUP(B337,Products!$A:$E,3,FALSE)</f>
        <v>Networking</v>
      </c>
    </row>
    <row r="338" spans="1:5" x14ac:dyDescent="0.3">
      <c r="A338" t="s">
        <v>6350</v>
      </c>
      <c r="B338" t="s">
        <v>482</v>
      </c>
      <c r="C338">
        <v>24</v>
      </c>
      <c r="D338" t="str">
        <f>VLOOKUP(B338,Products!$A:$E,2,FALSE)</f>
        <v>Product_237</v>
      </c>
      <c r="E338" t="str">
        <f>VLOOKUP(B338,Products!$A:$E,3,FALSE)</f>
        <v>Networking</v>
      </c>
    </row>
    <row r="339" spans="1:5" x14ac:dyDescent="0.3">
      <c r="A339" t="s">
        <v>6351</v>
      </c>
      <c r="B339" t="s">
        <v>968</v>
      </c>
      <c r="C339">
        <v>13</v>
      </c>
      <c r="D339" t="str">
        <f>VLOOKUP(B339,Products!$A:$E,2,FALSE)</f>
        <v>Product_480</v>
      </c>
      <c r="E339" t="str">
        <f>VLOOKUP(B339,Products!$A:$E,3,FALSE)</f>
        <v>Accessories</v>
      </c>
    </row>
    <row r="340" spans="1:5" x14ac:dyDescent="0.3">
      <c r="A340" t="s">
        <v>6352</v>
      </c>
      <c r="B340" t="s">
        <v>464</v>
      </c>
      <c r="C340">
        <v>1</v>
      </c>
      <c r="D340" t="str">
        <f>VLOOKUP(B340,Products!$A:$E,2,FALSE)</f>
        <v>Product_228</v>
      </c>
      <c r="E340" t="str">
        <f>VLOOKUP(B340,Products!$A:$E,3,FALSE)</f>
        <v>Storage</v>
      </c>
    </row>
    <row r="341" spans="1:5" x14ac:dyDescent="0.3">
      <c r="A341" t="s">
        <v>6353</v>
      </c>
      <c r="B341" t="s">
        <v>236</v>
      </c>
      <c r="C341">
        <v>48</v>
      </c>
      <c r="D341" t="str">
        <f>VLOOKUP(B341,Products!$A:$E,2,FALSE)</f>
        <v>Product_114</v>
      </c>
      <c r="E341" t="str">
        <f>VLOOKUP(B341,Products!$A:$E,3,FALSE)</f>
        <v>Electronics</v>
      </c>
    </row>
    <row r="342" spans="1:5" x14ac:dyDescent="0.3">
      <c r="A342" t="s">
        <v>6354</v>
      </c>
      <c r="B342" t="s">
        <v>30</v>
      </c>
      <c r="C342">
        <v>49</v>
      </c>
      <c r="D342" t="str">
        <f>VLOOKUP(B342,Products!$A:$E,2,FALSE)</f>
        <v>Product_11</v>
      </c>
      <c r="E342" t="str">
        <f>VLOOKUP(B342,Products!$A:$E,3,FALSE)</f>
        <v>Electronics</v>
      </c>
    </row>
    <row r="343" spans="1:5" x14ac:dyDescent="0.3">
      <c r="A343" t="s">
        <v>6355</v>
      </c>
      <c r="B343" t="s">
        <v>296</v>
      </c>
      <c r="C343">
        <v>44</v>
      </c>
      <c r="D343" t="str">
        <f>VLOOKUP(B343,Products!$A:$E,2,FALSE)</f>
        <v>Product_144</v>
      </c>
      <c r="E343" t="str">
        <f>VLOOKUP(B343,Products!$A:$E,3,FALSE)</f>
        <v>Office Supplies</v>
      </c>
    </row>
    <row r="344" spans="1:5" x14ac:dyDescent="0.3">
      <c r="A344" t="s">
        <v>6356</v>
      </c>
      <c r="B344" t="s">
        <v>952</v>
      </c>
      <c r="C344">
        <v>46</v>
      </c>
      <c r="D344" t="str">
        <f>VLOOKUP(B344,Products!$A:$E,2,FALSE)</f>
        <v>Product_472</v>
      </c>
      <c r="E344" t="str">
        <f>VLOOKUP(B344,Products!$A:$E,3,FALSE)</f>
        <v>Electronics</v>
      </c>
    </row>
    <row r="345" spans="1:5" x14ac:dyDescent="0.3">
      <c r="A345" t="s">
        <v>6357</v>
      </c>
      <c r="B345" t="s">
        <v>376</v>
      </c>
      <c r="C345">
        <v>13</v>
      </c>
      <c r="D345" t="str">
        <f>VLOOKUP(B345,Products!$A:$E,2,FALSE)</f>
        <v>Product_184</v>
      </c>
      <c r="E345" t="str">
        <f>VLOOKUP(B345,Products!$A:$E,3,FALSE)</f>
        <v>Electronics</v>
      </c>
    </row>
    <row r="346" spans="1:5" x14ac:dyDescent="0.3">
      <c r="A346" t="s">
        <v>6358</v>
      </c>
      <c r="B346" t="s">
        <v>102</v>
      </c>
      <c r="C346">
        <v>40</v>
      </c>
      <c r="D346" t="str">
        <f>VLOOKUP(B346,Products!$A:$E,2,FALSE)</f>
        <v>Product_47</v>
      </c>
      <c r="E346" t="str">
        <f>VLOOKUP(B346,Products!$A:$E,3,FALSE)</f>
        <v>Electronics</v>
      </c>
    </row>
    <row r="347" spans="1:5" x14ac:dyDescent="0.3">
      <c r="A347" t="s">
        <v>6359</v>
      </c>
      <c r="B347" t="s">
        <v>650</v>
      </c>
      <c r="C347">
        <v>20</v>
      </c>
      <c r="D347" t="str">
        <f>VLOOKUP(B347,Products!$A:$E,2,FALSE)</f>
        <v>Product_321</v>
      </c>
      <c r="E347" t="str">
        <f>VLOOKUP(B347,Products!$A:$E,3,FALSE)</f>
        <v>Electronics</v>
      </c>
    </row>
    <row r="348" spans="1:5" x14ac:dyDescent="0.3">
      <c r="A348" t="s">
        <v>6360</v>
      </c>
      <c r="B348" t="s">
        <v>836</v>
      </c>
      <c r="C348">
        <v>46</v>
      </c>
      <c r="D348" t="str">
        <f>VLOOKUP(B348,Products!$A:$E,2,FALSE)</f>
        <v>Product_414</v>
      </c>
      <c r="E348" t="str">
        <f>VLOOKUP(B348,Products!$A:$E,3,FALSE)</f>
        <v>Office Supplies</v>
      </c>
    </row>
    <row r="349" spans="1:5" x14ac:dyDescent="0.3">
      <c r="A349" t="s">
        <v>6361</v>
      </c>
      <c r="B349" t="s">
        <v>236</v>
      </c>
      <c r="C349">
        <v>15</v>
      </c>
      <c r="D349" t="str">
        <f>VLOOKUP(B349,Products!$A:$E,2,FALSE)</f>
        <v>Product_114</v>
      </c>
      <c r="E349" t="str">
        <f>VLOOKUP(B349,Products!$A:$E,3,FALSE)</f>
        <v>Electronics</v>
      </c>
    </row>
    <row r="350" spans="1:5" x14ac:dyDescent="0.3">
      <c r="A350" t="s">
        <v>6362</v>
      </c>
      <c r="B350" t="s">
        <v>514</v>
      </c>
      <c r="C350">
        <v>24</v>
      </c>
      <c r="D350" t="str">
        <f>VLOOKUP(B350,Products!$A:$E,2,FALSE)</f>
        <v>Product_253</v>
      </c>
      <c r="E350" t="str">
        <f>VLOOKUP(B350,Products!$A:$E,3,FALSE)</f>
        <v>Networking</v>
      </c>
    </row>
    <row r="351" spans="1:5" x14ac:dyDescent="0.3">
      <c r="A351" t="s">
        <v>6363</v>
      </c>
      <c r="B351" t="s">
        <v>46</v>
      </c>
      <c r="C351">
        <v>18</v>
      </c>
      <c r="D351" t="str">
        <f>VLOOKUP(B351,Products!$A:$E,2,FALSE)</f>
        <v>Product_19</v>
      </c>
      <c r="E351" t="str">
        <f>VLOOKUP(B351,Products!$A:$E,3,FALSE)</f>
        <v>Networking</v>
      </c>
    </row>
    <row r="352" spans="1:5" x14ac:dyDescent="0.3">
      <c r="A352" t="s">
        <v>6364</v>
      </c>
      <c r="B352" t="s">
        <v>514</v>
      </c>
      <c r="C352">
        <v>46</v>
      </c>
      <c r="D352" t="str">
        <f>VLOOKUP(B352,Products!$A:$E,2,FALSE)</f>
        <v>Product_253</v>
      </c>
      <c r="E352" t="str">
        <f>VLOOKUP(B352,Products!$A:$E,3,FALSE)</f>
        <v>Networking</v>
      </c>
    </row>
    <row r="353" spans="1:5" x14ac:dyDescent="0.3">
      <c r="A353" t="s">
        <v>6365</v>
      </c>
      <c r="B353" t="s">
        <v>732</v>
      </c>
      <c r="C353">
        <v>39</v>
      </c>
      <c r="D353" t="str">
        <f>VLOOKUP(B353,Products!$A:$E,2,FALSE)</f>
        <v>Product_362</v>
      </c>
      <c r="E353" t="str">
        <f>VLOOKUP(B353,Products!$A:$E,3,FALSE)</f>
        <v>Networking</v>
      </c>
    </row>
    <row r="354" spans="1:5" x14ac:dyDescent="0.3">
      <c r="A354" t="s">
        <v>6366</v>
      </c>
      <c r="B354" t="s">
        <v>224</v>
      </c>
      <c r="C354">
        <v>1</v>
      </c>
      <c r="D354" t="str">
        <f>VLOOKUP(B354,Products!$A:$E,2,FALSE)</f>
        <v>Product_108</v>
      </c>
      <c r="E354" t="str">
        <f>VLOOKUP(B354,Products!$A:$E,3,FALSE)</f>
        <v>Networking</v>
      </c>
    </row>
    <row r="355" spans="1:5" x14ac:dyDescent="0.3">
      <c r="A355" t="s">
        <v>6367</v>
      </c>
      <c r="B355" t="s">
        <v>210</v>
      </c>
      <c r="C355">
        <v>41</v>
      </c>
      <c r="D355" t="str">
        <f>VLOOKUP(B355,Products!$A:$E,2,FALSE)</f>
        <v>Product_101</v>
      </c>
      <c r="E355" t="str">
        <f>VLOOKUP(B355,Products!$A:$E,3,FALSE)</f>
        <v>Storage</v>
      </c>
    </row>
    <row r="356" spans="1:5" x14ac:dyDescent="0.3">
      <c r="A356" t="s">
        <v>6368</v>
      </c>
      <c r="B356" t="s">
        <v>414</v>
      </c>
      <c r="C356">
        <v>8</v>
      </c>
      <c r="D356" t="str">
        <f>VLOOKUP(B356,Products!$A:$E,2,FALSE)</f>
        <v>Product_203</v>
      </c>
      <c r="E356" t="str">
        <f>VLOOKUP(B356,Products!$A:$E,3,FALSE)</f>
        <v>Accessories</v>
      </c>
    </row>
    <row r="357" spans="1:5" x14ac:dyDescent="0.3">
      <c r="A357" t="s">
        <v>6369</v>
      </c>
      <c r="B357" t="s">
        <v>900</v>
      </c>
      <c r="C357">
        <v>18</v>
      </c>
      <c r="D357" t="str">
        <f>VLOOKUP(B357,Products!$A:$E,2,FALSE)</f>
        <v>Product_446</v>
      </c>
      <c r="E357" t="str">
        <f>VLOOKUP(B357,Products!$A:$E,3,FALSE)</f>
        <v>Accessories</v>
      </c>
    </row>
    <row r="358" spans="1:5" x14ac:dyDescent="0.3">
      <c r="A358" t="s">
        <v>6370</v>
      </c>
      <c r="B358" t="s">
        <v>592</v>
      </c>
      <c r="C358">
        <v>33</v>
      </c>
      <c r="D358" t="str">
        <f>VLOOKUP(B358,Products!$A:$E,2,FALSE)</f>
        <v>Product_292</v>
      </c>
      <c r="E358" t="str">
        <f>VLOOKUP(B358,Products!$A:$E,3,FALSE)</f>
        <v>Networking</v>
      </c>
    </row>
    <row r="359" spans="1:5" x14ac:dyDescent="0.3">
      <c r="A359" t="s">
        <v>6371</v>
      </c>
      <c r="B359" t="s">
        <v>514</v>
      </c>
      <c r="C359">
        <v>11</v>
      </c>
      <c r="D359" t="str">
        <f>VLOOKUP(B359,Products!$A:$E,2,FALSE)</f>
        <v>Product_253</v>
      </c>
      <c r="E359" t="str">
        <f>VLOOKUP(B359,Products!$A:$E,3,FALSE)</f>
        <v>Networking</v>
      </c>
    </row>
    <row r="360" spans="1:5" x14ac:dyDescent="0.3">
      <c r="A360" t="s">
        <v>6372</v>
      </c>
      <c r="B360" t="s">
        <v>574</v>
      </c>
      <c r="C360">
        <v>13</v>
      </c>
      <c r="D360" t="str">
        <f>VLOOKUP(B360,Products!$A:$E,2,FALSE)</f>
        <v>Product_283</v>
      </c>
      <c r="E360" t="str">
        <f>VLOOKUP(B360,Products!$A:$E,3,FALSE)</f>
        <v>Networking</v>
      </c>
    </row>
    <row r="361" spans="1:5" x14ac:dyDescent="0.3">
      <c r="A361" t="s">
        <v>6373</v>
      </c>
      <c r="B361" t="s">
        <v>684</v>
      </c>
      <c r="C361">
        <v>48</v>
      </c>
      <c r="D361" t="str">
        <f>VLOOKUP(B361,Products!$A:$E,2,FALSE)</f>
        <v>Product_338</v>
      </c>
      <c r="E361" t="str">
        <f>VLOOKUP(B361,Products!$A:$E,3,FALSE)</f>
        <v>Networking</v>
      </c>
    </row>
    <row r="362" spans="1:5" x14ac:dyDescent="0.3">
      <c r="A362" t="s">
        <v>6374</v>
      </c>
      <c r="B362" t="s">
        <v>588</v>
      </c>
      <c r="C362">
        <v>44</v>
      </c>
      <c r="D362" t="str">
        <f>VLOOKUP(B362,Products!$A:$E,2,FALSE)</f>
        <v>Product_290</v>
      </c>
      <c r="E362" t="str">
        <f>VLOOKUP(B362,Products!$A:$E,3,FALSE)</f>
        <v>Accessories</v>
      </c>
    </row>
    <row r="363" spans="1:5" x14ac:dyDescent="0.3">
      <c r="A363" t="s">
        <v>6375</v>
      </c>
      <c r="B363" t="s">
        <v>708</v>
      </c>
      <c r="C363">
        <v>39</v>
      </c>
      <c r="D363" t="str">
        <f>VLOOKUP(B363,Products!$A:$E,2,FALSE)</f>
        <v>Product_350</v>
      </c>
      <c r="E363" t="str">
        <f>VLOOKUP(B363,Products!$A:$E,3,FALSE)</f>
        <v>Networking</v>
      </c>
    </row>
    <row r="364" spans="1:5" x14ac:dyDescent="0.3">
      <c r="A364" t="s">
        <v>6376</v>
      </c>
      <c r="B364" t="s">
        <v>588</v>
      </c>
      <c r="C364">
        <v>12</v>
      </c>
      <c r="D364" t="str">
        <f>VLOOKUP(B364,Products!$A:$E,2,FALSE)</f>
        <v>Product_290</v>
      </c>
      <c r="E364" t="str">
        <f>VLOOKUP(B364,Products!$A:$E,3,FALSE)</f>
        <v>Accessories</v>
      </c>
    </row>
    <row r="365" spans="1:5" x14ac:dyDescent="0.3">
      <c r="A365" t="s">
        <v>6377</v>
      </c>
      <c r="B365" t="s">
        <v>76</v>
      </c>
      <c r="C365">
        <v>38</v>
      </c>
      <c r="D365" t="str">
        <f>VLOOKUP(B365,Products!$A:$E,2,FALSE)</f>
        <v>Product_34</v>
      </c>
      <c r="E365" t="str">
        <f>VLOOKUP(B365,Products!$A:$E,3,FALSE)</f>
        <v>Office Supplies</v>
      </c>
    </row>
    <row r="366" spans="1:5" x14ac:dyDescent="0.3">
      <c r="A366" t="s">
        <v>6378</v>
      </c>
      <c r="B366" t="s">
        <v>140</v>
      </c>
      <c r="C366">
        <v>48</v>
      </c>
      <c r="D366" t="str">
        <f>VLOOKUP(B366,Products!$A:$E,2,FALSE)</f>
        <v>Product_66</v>
      </c>
      <c r="E366" t="str">
        <f>VLOOKUP(B366,Products!$A:$E,3,FALSE)</f>
        <v>Electronics</v>
      </c>
    </row>
    <row r="367" spans="1:5" x14ac:dyDescent="0.3">
      <c r="A367" t="s">
        <v>6379</v>
      </c>
      <c r="B367" t="s">
        <v>76</v>
      </c>
      <c r="C367">
        <v>9</v>
      </c>
      <c r="D367" t="str">
        <f>VLOOKUP(B367,Products!$A:$E,2,FALSE)</f>
        <v>Product_34</v>
      </c>
      <c r="E367" t="str">
        <f>VLOOKUP(B367,Products!$A:$E,3,FALSE)</f>
        <v>Office Supplies</v>
      </c>
    </row>
    <row r="368" spans="1:5" x14ac:dyDescent="0.3">
      <c r="A368" t="s">
        <v>6380</v>
      </c>
      <c r="B368" t="s">
        <v>274</v>
      </c>
      <c r="C368">
        <v>37</v>
      </c>
      <c r="D368" t="str">
        <f>VLOOKUP(B368,Products!$A:$E,2,FALSE)</f>
        <v>Product_133</v>
      </c>
      <c r="E368" t="str">
        <f>VLOOKUP(B368,Products!$A:$E,3,FALSE)</f>
        <v>Office Supplies</v>
      </c>
    </row>
    <row r="369" spans="1:5" x14ac:dyDescent="0.3">
      <c r="A369" t="s">
        <v>6381</v>
      </c>
      <c r="B369" t="s">
        <v>886</v>
      </c>
      <c r="C369">
        <v>15</v>
      </c>
      <c r="D369" t="str">
        <f>VLOOKUP(B369,Products!$A:$E,2,FALSE)</f>
        <v>Product_439</v>
      </c>
      <c r="E369" t="str">
        <f>VLOOKUP(B369,Products!$A:$E,3,FALSE)</f>
        <v>Networking</v>
      </c>
    </row>
    <row r="370" spans="1:5" x14ac:dyDescent="0.3">
      <c r="A370" t="s">
        <v>6382</v>
      </c>
      <c r="B370" t="s">
        <v>912</v>
      </c>
      <c r="C370">
        <v>34</v>
      </c>
      <c r="D370" t="str">
        <f>VLOOKUP(B370,Products!$A:$E,2,FALSE)</f>
        <v>Product_452</v>
      </c>
      <c r="E370" t="str">
        <f>VLOOKUP(B370,Products!$A:$E,3,FALSE)</f>
        <v>Office Supplies</v>
      </c>
    </row>
    <row r="371" spans="1:5" x14ac:dyDescent="0.3">
      <c r="A371" t="s">
        <v>6383</v>
      </c>
      <c r="B371" t="s">
        <v>756</v>
      </c>
      <c r="C371">
        <v>18</v>
      </c>
      <c r="D371" t="str">
        <f>VLOOKUP(B371,Products!$A:$E,2,FALSE)</f>
        <v>Product_374</v>
      </c>
      <c r="E371" t="str">
        <f>VLOOKUP(B371,Products!$A:$E,3,FALSE)</f>
        <v>Office Supplies</v>
      </c>
    </row>
    <row r="372" spans="1:5" x14ac:dyDescent="0.3">
      <c r="A372" t="s">
        <v>6384</v>
      </c>
      <c r="B372" t="s">
        <v>206</v>
      </c>
      <c r="C372">
        <v>44</v>
      </c>
      <c r="D372" t="str">
        <f>VLOOKUP(B372,Products!$A:$E,2,FALSE)</f>
        <v>Product_99</v>
      </c>
      <c r="E372" t="str">
        <f>VLOOKUP(B372,Products!$A:$E,3,FALSE)</f>
        <v>Accessories</v>
      </c>
    </row>
    <row r="373" spans="1:5" x14ac:dyDescent="0.3">
      <c r="A373" t="s">
        <v>6385</v>
      </c>
      <c r="B373" t="s">
        <v>32</v>
      </c>
      <c r="C373">
        <v>45</v>
      </c>
      <c r="D373" t="str">
        <f>VLOOKUP(B373,Products!$A:$E,2,FALSE)</f>
        <v>Product_12</v>
      </c>
      <c r="E373" t="str">
        <f>VLOOKUP(B373,Products!$A:$E,3,FALSE)</f>
        <v>Accessories</v>
      </c>
    </row>
    <row r="374" spans="1:5" x14ac:dyDescent="0.3">
      <c r="A374" t="s">
        <v>6386</v>
      </c>
      <c r="B374" t="s">
        <v>704</v>
      </c>
      <c r="C374">
        <v>35</v>
      </c>
      <c r="D374" t="str">
        <f>VLOOKUP(B374,Products!$A:$E,2,FALSE)</f>
        <v>Product_348</v>
      </c>
      <c r="E374" t="str">
        <f>VLOOKUP(B374,Products!$A:$E,3,FALSE)</f>
        <v>Electronics</v>
      </c>
    </row>
    <row r="375" spans="1:5" x14ac:dyDescent="0.3">
      <c r="A375" t="s">
        <v>6387</v>
      </c>
      <c r="B375" t="s">
        <v>638</v>
      </c>
      <c r="C375">
        <v>17</v>
      </c>
      <c r="D375" t="str">
        <f>VLOOKUP(B375,Products!$A:$E,2,FALSE)</f>
        <v>Product_315</v>
      </c>
      <c r="E375" t="str">
        <f>VLOOKUP(B375,Products!$A:$E,3,FALSE)</f>
        <v>Accessories</v>
      </c>
    </row>
    <row r="376" spans="1:5" x14ac:dyDescent="0.3">
      <c r="A376" t="s">
        <v>6388</v>
      </c>
      <c r="B376" t="s">
        <v>706</v>
      </c>
      <c r="C376">
        <v>36</v>
      </c>
      <c r="D376" t="str">
        <f>VLOOKUP(B376,Products!$A:$E,2,FALSE)</f>
        <v>Product_349</v>
      </c>
      <c r="E376" t="str">
        <f>VLOOKUP(B376,Products!$A:$E,3,FALSE)</f>
        <v>Office Supplies</v>
      </c>
    </row>
    <row r="377" spans="1:5" x14ac:dyDescent="0.3">
      <c r="A377" t="s">
        <v>6389</v>
      </c>
      <c r="B377" t="s">
        <v>914</v>
      </c>
      <c r="C377">
        <v>30</v>
      </c>
      <c r="D377" t="str">
        <f>VLOOKUP(B377,Products!$A:$E,2,FALSE)</f>
        <v>Product_453</v>
      </c>
      <c r="E377" t="str">
        <f>VLOOKUP(B377,Products!$A:$E,3,FALSE)</f>
        <v>Office Supplies</v>
      </c>
    </row>
    <row r="378" spans="1:5" x14ac:dyDescent="0.3">
      <c r="A378" t="s">
        <v>6390</v>
      </c>
      <c r="B378" t="s">
        <v>8</v>
      </c>
      <c r="C378">
        <v>28</v>
      </c>
      <c r="D378" t="str">
        <f>VLOOKUP(B378,Products!$A:$E,2,FALSE)</f>
        <v>Product_2</v>
      </c>
      <c r="E378" t="str">
        <f>VLOOKUP(B378,Products!$A:$E,3,FALSE)</f>
        <v>Office Supplies</v>
      </c>
    </row>
    <row r="379" spans="1:5" x14ac:dyDescent="0.3">
      <c r="A379" t="s">
        <v>6391</v>
      </c>
      <c r="B379" t="s">
        <v>666</v>
      </c>
      <c r="C379">
        <v>44</v>
      </c>
      <c r="D379" t="str">
        <f>VLOOKUP(B379,Products!$A:$E,2,FALSE)</f>
        <v>Product_329</v>
      </c>
      <c r="E379" t="str">
        <f>VLOOKUP(B379,Products!$A:$E,3,FALSE)</f>
        <v>Office Supplies</v>
      </c>
    </row>
    <row r="380" spans="1:5" x14ac:dyDescent="0.3">
      <c r="A380" t="s">
        <v>6392</v>
      </c>
      <c r="B380" t="s">
        <v>974</v>
      </c>
      <c r="C380">
        <v>42</v>
      </c>
      <c r="D380" t="str">
        <f>VLOOKUP(B380,Products!$A:$E,2,FALSE)</f>
        <v>Product_483</v>
      </c>
      <c r="E380" t="str">
        <f>VLOOKUP(B380,Products!$A:$E,3,FALSE)</f>
        <v>Electronics</v>
      </c>
    </row>
    <row r="381" spans="1:5" x14ac:dyDescent="0.3">
      <c r="A381" t="s">
        <v>6393</v>
      </c>
      <c r="B381" t="s">
        <v>62</v>
      </c>
      <c r="C381">
        <v>21</v>
      </c>
      <c r="D381" t="str">
        <f>VLOOKUP(B381,Products!$A:$E,2,FALSE)</f>
        <v>Product_27</v>
      </c>
      <c r="E381" t="str">
        <f>VLOOKUP(B381,Products!$A:$E,3,FALSE)</f>
        <v>Office Supplies</v>
      </c>
    </row>
    <row r="382" spans="1:5" x14ac:dyDescent="0.3">
      <c r="A382" t="s">
        <v>6394</v>
      </c>
      <c r="B382" t="s">
        <v>452</v>
      </c>
      <c r="C382">
        <v>27</v>
      </c>
      <c r="D382" t="str">
        <f>VLOOKUP(B382,Products!$A:$E,2,FALSE)</f>
        <v>Product_222</v>
      </c>
      <c r="E382" t="str">
        <f>VLOOKUP(B382,Products!$A:$E,3,FALSE)</f>
        <v>Networking</v>
      </c>
    </row>
    <row r="383" spans="1:5" x14ac:dyDescent="0.3">
      <c r="A383" t="s">
        <v>6395</v>
      </c>
      <c r="B383" t="s">
        <v>290</v>
      </c>
      <c r="C383">
        <v>8</v>
      </c>
      <c r="D383" t="str">
        <f>VLOOKUP(B383,Products!$A:$E,2,FALSE)</f>
        <v>Product_141</v>
      </c>
      <c r="E383" t="str">
        <f>VLOOKUP(B383,Products!$A:$E,3,FALSE)</f>
        <v>Electronics</v>
      </c>
    </row>
    <row r="384" spans="1:5" x14ac:dyDescent="0.3">
      <c r="A384" t="s">
        <v>6396</v>
      </c>
      <c r="B384" t="s">
        <v>706</v>
      </c>
      <c r="C384">
        <v>34</v>
      </c>
      <c r="D384" t="str">
        <f>VLOOKUP(B384,Products!$A:$E,2,FALSE)</f>
        <v>Product_349</v>
      </c>
      <c r="E384" t="str">
        <f>VLOOKUP(B384,Products!$A:$E,3,FALSE)</f>
        <v>Office Supplies</v>
      </c>
    </row>
    <row r="385" spans="1:5" x14ac:dyDescent="0.3">
      <c r="A385" t="s">
        <v>6397</v>
      </c>
      <c r="B385" t="s">
        <v>486</v>
      </c>
      <c r="C385">
        <v>32</v>
      </c>
      <c r="D385" t="str">
        <f>VLOOKUP(B385,Products!$A:$E,2,FALSE)</f>
        <v>Product_239</v>
      </c>
      <c r="E385" t="str">
        <f>VLOOKUP(B385,Products!$A:$E,3,FALSE)</f>
        <v>Storage</v>
      </c>
    </row>
    <row r="386" spans="1:5" x14ac:dyDescent="0.3">
      <c r="A386" t="s">
        <v>6398</v>
      </c>
      <c r="B386" t="s">
        <v>380</v>
      </c>
      <c r="C386">
        <v>34</v>
      </c>
      <c r="D386" t="str">
        <f>VLOOKUP(B386,Products!$A:$E,2,FALSE)</f>
        <v>Product_186</v>
      </c>
      <c r="E386" t="str">
        <f>VLOOKUP(B386,Products!$A:$E,3,FALSE)</f>
        <v>Accessories</v>
      </c>
    </row>
    <row r="387" spans="1:5" x14ac:dyDescent="0.3">
      <c r="A387" t="s">
        <v>6399</v>
      </c>
      <c r="B387" t="s">
        <v>786</v>
      </c>
      <c r="C387">
        <v>3</v>
      </c>
      <c r="D387" t="str">
        <f>VLOOKUP(B387,Products!$A:$E,2,FALSE)</f>
        <v>Product_389</v>
      </c>
      <c r="E387" t="str">
        <f>VLOOKUP(B387,Products!$A:$E,3,FALSE)</f>
        <v>Networking</v>
      </c>
    </row>
    <row r="388" spans="1:5" x14ac:dyDescent="0.3">
      <c r="A388" t="s">
        <v>6400</v>
      </c>
      <c r="B388" t="s">
        <v>914</v>
      </c>
      <c r="C388">
        <v>47</v>
      </c>
      <c r="D388" t="str">
        <f>VLOOKUP(B388,Products!$A:$E,2,FALSE)</f>
        <v>Product_453</v>
      </c>
      <c r="E388" t="str">
        <f>VLOOKUP(B388,Products!$A:$E,3,FALSE)</f>
        <v>Office Supplies</v>
      </c>
    </row>
    <row r="389" spans="1:5" x14ac:dyDescent="0.3">
      <c r="A389" t="s">
        <v>6401</v>
      </c>
      <c r="B389" t="s">
        <v>238</v>
      </c>
      <c r="C389">
        <v>4</v>
      </c>
      <c r="D389" t="str">
        <f>VLOOKUP(B389,Products!$A:$E,2,FALSE)</f>
        <v>Product_115</v>
      </c>
      <c r="E389" t="str">
        <f>VLOOKUP(B389,Products!$A:$E,3,FALSE)</f>
        <v>Networking</v>
      </c>
    </row>
    <row r="390" spans="1:5" x14ac:dyDescent="0.3">
      <c r="A390" t="s">
        <v>6402</v>
      </c>
      <c r="B390" t="s">
        <v>294</v>
      </c>
      <c r="C390">
        <v>27</v>
      </c>
      <c r="D390" t="str">
        <f>VLOOKUP(B390,Products!$A:$E,2,FALSE)</f>
        <v>Product_143</v>
      </c>
      <c r="E390" t="str">
        <f>VLOOKUP(B390,Products!$A:$E,3,FALSE)</f>
        <v>Office Supplies</v>
      </c>
    </row>
    <row r="391" spans="1:5" x14ac:dyDescent="0.3">
      <c r="A391" t="s">
        <v>6403</v>
      </c>
      <c r="B391" t="s">
        <v>554</v>
      </c>
      <c r="C391">
        <v>29</v>
      </c>
      <c r="D391" t="str">
        <f>VLOOKUP(B391,Products!$A:$E,2,FALSE)</f>
        <v>Product_273</v>
      </c>
      <c r="E391" t="str">
        <f>VLOOKUP(B391,Products!$A:$E,3,FALSE)</f>
        <v>Networking</v>
      </c>
    </row>
    <row r="392" spans="1:5" x14ac:dyDescent="0.3">
      <c r="A392" t="s">
        <v>6404</v>
      </c>
      <c r="B392" t="s">
        <v>332</v>
      </c>
      <c r="C392">
        <v>1</v>
      </c>
      <c r="D392" t="str">
        <f>VLOOKUP(B392,Products!$A:$E,2,FALSE)</f>
        <v>Product_162</v>
      </c>
      <c r="E392" t="str">
        <f>VLOOKUP(B392,Products!$A:$E,3,FALSE)</f>
        <v>Accessories</v>
      </c>
    </row>
    <row r="393" spans="1:5" x14ac:dyDescent="0.3">
      <c r="A393" t="s">
        <v>6405</v>
      </c>
      <c r="B393" t="s">
        <v>410</v>
      </c>
      <c r="C393">
        <v>13</v>
      </c>
      <c r="D393" t="str">
        <f>VLOOKUP(B393,Products!$A:$E,2,FALSE)</f>
        <v>Product_201</v>
      </c>
      <c r="E393" t="str">
        <f>VLOOKUP(B393,Products!$A:$E,3,FALSE)</f>
        <v>Networking</v>
      </c>
    </row>
    <row r="394" spans="1:5" x14ac:dyDescent="0.3">
      <c r="A394" t="s">
        <v>6406</v>
      </c>
      <c r="B394" t="s">
        <v>352</v>
      </c>
      <c r="C394">
        <v>6</v>
      </c>
      <c r="D394" t="str">
        <f>VLOOKUP(B394,Products!$A:$E,2,FALSE)</f>
        <v>Product_172</v>
      </c>
      <c r="E394" t="str">
        <f>VLOOKUP(B394,Products!$A:$E,3,FALSE)</f>
        <v>Networking</v>
      </c>
    </row>
    <row r="395" spans="1:5" x14ac:dyDescent="0.3">
      <c r="A395" t="s">
        <v>6407</v>
      </c>
      <c r="B395" t="s">
        <v>910</v>
      </c>
      <c r="C395">
        <v>37</v>
      </c>
      <c r="D395" t="str">
        <f>VLOOKUP(B395,Products!$A:$E,2,FALSE)</f>
        <v>Product_451</v>
      </c>
      <c r="E395" t="str">
        <f>VLOOKUP(B395,Products!$A:$E,3,FALSE)</f>
        <v>Accessories</v>
      </c>
    </row>
    <row r="396" spans="1:5" x14ac:dyDescent="0.3">
      <c r="A396" t="s">
        <v>6408</v>
      </c>
      <c r="B396" t="s">
        <v>836</v>
      </c>
      <c r="C396">
        <v>2</v>
      </c>
      <c r="D396" t="str">
        <f>VLOOKUP(B396,Products!$A:$E,2,FALSE)</f>
        <v>Product_414</v>
      </c>
      <c r="E396" t="str">
        <f>VLOOKUP(B396,Products!$A:$E,3,FALSE)</f>
        <v>Office Supplies</v>
      </c>
    </row>
    <row r="397" spans="1:5" x14ac:dyDescent="0.3">
      <c r="A397" t="s">
        <v>6409</v>
      </c>
      <c r="B397" t="s">
        <v>764</v>
      </c>
      <c r="C397">
        <v>15</v>
      </c>
      <c r="D397" t="str">
        <f>VLOOKUP(B397,Products!$A:$E,2,FALSE)</f>
        <v>Product_378</v>
      </c>
      <c r="E397" t="str">
        <f>VLOOKUP(B397,Products!$A:$E,3,FALSE)</f>
        <v>Electronics</v>
      </c>
    </row>
    <row r="398" spans="1:5" x14ac:dyDescent="0.3">
      <c r="A398" t="s">
        <v>6410</v>
      </c>
      <c r="B398" t="s">
        <v>716</v>
      </c>
      <c r="C398">
        <v>28</v>
      </c>
      <c r="D398" t="str">
        <f>VLOOKUP(B398,Products!$A:$E,2,FALSE)</f>
        <v>Product_354</v>
      </c>
      <c r="E398" t="str">
        <f>VLOOKUP(B398,Products!$A:$E,3,FALSE)</f>
        <v>Storage</v>
      </c>
    </row>
    <row r="399" spans="1:5" x14ac:dyDescent="0.3">
      <c r="A399" t="s">
        <v>6411</v>
      </c>
      <c r="B399" t="s">
        <v>990</v>
      </c>
      <c r="C399">
        <v>5</v>
      </c>
      <c r="D399" t="str">
        <f>VLOOKUP(B399,Products!$A:$E,2,FALSE)</f>
        <v>Product_491</v>
      </c>
      <c r="E399" t="str">
        <f>VLOOKUP(B399,Products!$A:$E,3,FALSE)</f>
        <v>Accessories</v>
      </c>
    </row>
    <row r="400" spans="1:5" x14ac:dyDescent="0.3">
      <c r="A400" t="s">
        <v>6412</v>
      </c>
      <c r="B400" t="s">
        <v>948</v>
      </c>
      <c r="C400">
        <v>16</v>
      </c>
      <c r="D400" t="str">
        <f>VLOOKUP(B400,Products!$A:$E,2,FALSE)</f>
        <v>Product_470</v>
      </c>
      <c r="E400" t="str">
        <f>VLOOKUP(B400,Products!$A:$E,3,FALSE)</f>
        <v>Networking</v>
      </c>
    </row>
    <row r="401" spans="1:5" x14ac:dyDescent="0.3">
      <c r="A401" t="s">
        <v>6413</v>
      </c>
      <c r="B401" t="s">
        <v>210</v>
      </c>
      <c r="C401">
        <v>11</v>
      </c>
      <c r="D401" t="str">
        <f>VLOOKUP(B401,Products!$A:$E,2,FALSE)</f>
        <v>Product_101</v>
      </c>
      <c r="E401" t="str">
        <f>VLOOKUP(B401,Products!$A:$E,3,FALSE)</f>
        <v>Storage</v>
      </c>
    </row>
    <row r="402" spans="1:5" x14ac:dyDescent="0.3">
      <c r="A402" t="s">
        <v>6414</v>
      </c>
      <c r="B402" t="s">
        <v>346</v>
      </c>
      <c r="C402">
        <v>20</v>
      </c>
      <c r="D402" t="str">
        <f>VLOOKUP(B402,Products!$A:$E,2,FALSE)</f>
        <v>Product_169</v>
      </c>
      <c r="E402" t="str">
        <f>VLOOKUP(B402,Products!$A:$E,3,FALSE)</f>
        <v>Accessories</v>
      </c>
    </row>
    <row r="403" spans="1:5" x14ac:dyDescent="0.3">
      <c r="A403" t="s">
        <v>6415</v>
      </c>
      <c r="B403" t="s">
        <v>74</v>
      </c>
      <c r="C403">
        <v>41</v>
      </c>
      <c r="D403" t="str">
        <f>VLOOKUP(B403,Products!$A:$E,2,FALSE)</f>
        <v>Product_33</v>
      </c>
      <c r="E403" t="str">
        <f>VLOOKUP(B403,Products!$A:$E,3,FALSE)</f>
        <v>Storage</v>
      </c>
    </row>
    <row r="404" spans="1:5" x14ac:dyDescent="0.3">
      <c r="A404" t="s">
        <v>6416</v>
      </c>
      <c r="B404" t="s">
        <v>650</v>
      </c>
      <c r="C404">
        <v>7</v>
      </c>
      <c r="D404" t="str">
        <f>VLOOKUP(B404,Products!$A:$E,2,FALSE)</f>
        <v>Product_321</v>
      </c>
      <c r="E404" t="str">
        <f>VLOOKUP(B404,Products!$A:$E,3,FALSE)</f>
        <v>Electronics</v>
      </c>
    </row>
    <row r="405" spans="1:5" x14ac:dyDescent="0.3">
      <c r="A405" t="s">
        <v>6417</v>
      </c>
      <c r="B405" t="s">
        <v>38</v>
      </c>
      <c r="C405">
        <v>31</v>
      </c>
      <c r="D405" t="str">
        <f>VLOOKUP(B405,Products!$A:$E,2,FALSE)</f>
        <v>Product_15</v>
      </c>
      <c r="E405" t="str">
        <f>VLOOKUP(B405,Products!$A:$E,3,FALSE)</f>
        <v>Electronics</v>
      </c>
    </row>
    <row r="406" spans="1:5" x14ac:dyDescent="0.3">
      <c r="A406" t="s">
        <v>6418</v>
      </c>
      <c r="B406" t="s">
        <v>452</v>
      </c>
      <c r="C406">
        <v>2</v>
      </c>
      <c r="D406" t="str">
        <f>VLOOKUP(B406,Products!$A:$E,2,FALSE)</f>
        <v>Product_222</v>
      </c>
      <c r="E406" t="str">
        <f>VLOOKUP(B406,Products!$A:$E,3,FALSE)</f>
        <v>Networking</v>
      </c>
    </row>
    <row r="407" spans="1:5" x14ac:dyDescent="0.3">
      <c r="A407" t="s">
        <v>6419</v>
      </c>
      <c r="B407" t="s">
        <v>616</v>
      </c>
      <c r="C407">
        <v>41</v>
      </c>
      <c r="D407" t="str">
        <f>VLOOKUP(B407,Products!$A:$E,2,FALSE)</f>
        <v>Product_304</v>
      </c>
      <c r="E407" t="str">
        <f>VLOOKUP(B407,Products!$A:$E,3,FALSE)</f>
        <v>Electronics</v>
      </c>
    </row>
    <row r="408" spans="1:5" x14ac:dyDescent="0.3">
      <c r="A408" t="s">
        <v>6420</v>
      </c>
      <c r="B408" t="s">
        <v>966</v>
      </c>
      <c r="C408">
        <v>22</v>
      </c>
      <c r="D408" t="str">
        <f>VLOOKUP(B408,Products!$A:$E,2,FALSE)</f>
        <v>Product_479</v>
      </c>
      <c r="E408" t="str">
        <f>VLOOKUP(B408,Products!$A:$E,3,FALSE)</f>
        <v>Office Supplies</v>
      </c>
    </row>
    <row r="409" spans="1:5" x14ac:dyDescent="0.3">
      <c r="A409" t="s">
        <v>6421</v>
      </c>
      <c r="B409" t="s">
        <v>870</v>
      </c>
      <c r="C409">
        <v>17</v>
      </c>
      <c r="D409" t="str">
        <f>VLOOKUP(B409,Products!$A:$E,2,FALSE)</f>
        <v>Product_431</v>
      </c>
      <c r="E409" t="str">
        <f>VLOOKUP(B409,Products!$A:$E,3,FALSE)</f>
        <v>Electronics</v>
      </c>
    </row>
    <row r="410" spans="1:5" x14ac:dyDescent="0.3">
      <c r="A410" t="s">
        <v>6422</v>
      </c>
      <c r="B410" t="s">
        <v>262</v>
      </c>
      <c r="C410">
        <v>7</v>
      </c>
      <c r="D410" t="str">
        <f>VLOOKUP(B410,Products!$A:$E,2,FALSE)</f>
        <v>Product_127</v>
      </c>
      <c r="E410" t="str">
        <f>VLOOKUP(B410,Products!$A:$E,3,FALSE)</f>
        <v>Networking</v>
      </c>
    </row>
    <row r="411" spans="1:5" x14ac:dyDescent="0.3">
      <c r="A411" t="s">
        <v>6423</v>
      </c>
      <c r="B411" t="s">
        <v>494</v>
      </c>
      <c r="C411">
        <v>16</v>
      </c>
      <c r="D411" t="str">
        <f>VLOOKUP(B411,Products!$A:$E,2,FALSE)</f>
        <v>Product_243</v>
      </c>
      <c r="E411" t="str">
        <f>VLOOKUP(B411,Products!$A:$E,3,FALSE)</f>
        <v>Storage</v>
      </c>
    </row>
    <row r="412" spans="1:5" x14ac:dyDescent="0.3">
      <c r="A412" t="s">
        <v>6424</v>
      </c>
      <c r="B412" t="s">
        <v>990</v>
      </c>
      <c r="C412">
        <v>22</v>
      </c>
      <c r="D412" t="str">
        <f>VLOOKUP(B412,Products!$A:$E,2,FALSE)</f>
        <v>Product_491</v>
      </c>
      <c r="E412" t="str">
        <f>VLOOKUP(B412,Products!$A:$E,3,FALSE)</f>
        <v>Accessories</v>
      </c>
    </row>
    <row r="413" spans="1:5" x14ac:dyDescent="0.3">
      <c r="A413" t="s">
        <v>6425</v>
      </c>
      <c r="B413" t="s">
        <v>862</v>
      </c>
      <c r="C413">
        <v>4</v>
      </c>
      <c r="D413" t="str">
        <f>VLOOKUP(B413,Products!$A:$E,2,FALSE)</f>
        <v>Product_427</v>
      </c>
      <c r="E413" t="str">
        <f>VLOOKUP(B413,Products!$A:$E,3,FALSE)</f>
        <v>Networking</v>
      </c>
    </row>
    <row r="414" spans="1:5" x14ac:dyDescent="0.3">
      <c r="A414" t="s">
        <v>6426</v>
      </c>
      <c r="B414" t="s">
        <v>850</v>
      </c>
      <c r="C414">
        <v>22</v>
      </c>
      <c r="D414" t="str">
        <f>VLOOKUP(B414,Products!$A:$E,2,FALSE)</f>
        <v>Product_421</v>
      </c>
      <c r="E414" t="str">
        <f>VLOOKUP(B414,Products!$A:$E,3,FALSE)</f>
        <v>Accessories</v>
      </c>
    </row>
    <row r="415" spans="1:5" x14ac:dyDescent="0.3">
      <c r="A415" t="s">
        <v>6427</v>
      </c>
      <c r="B415" t="s">
        <v>542</v>
      </c>
      <c r="C415">
        <v>16</v>
      </c>
      <c r="D415" t="str">
        <f>VLOOKUP(B415,Products!$A:$E,2,FALSE)</f>
        <v>Product_267</v>
      </c>
      <c r="E415" t="str">
        <f>VLOOKUP(B415,Products!$A:$E,3,FALSE)</f>
        <v>Networking</v>
      </c>
    </row>
    <row r="416" spans="1:5" x14ac:dyDescent="0.3">
      <c r="A416" t="s">
        <v>6428</v>
      </c>
      <c r="B416" t="s">
        <v>976</v>
      </c>
      <c r="C416">
        <v>5</v>
      </c>
      <c r="D416" t="str">
        <f>VLOOKUP(B416,Products!$A:$E,2,FALSE)</f>
        <v>Product_484</v>
      </c>
      <c r="E416" t="str">
        <f>VLOOKUP(B416,Products!$A:$E,3,FALSE)</f>
        <v>Networking</v>
      </c>
    </row>
    <row r="417" spans="1:5" x14ac:dyDescent="0.3">
      <c r="A417" t="s">
        <v>6429</v>
      </c>
      <c r="B417" t="s">
        <v>804</v>
      </c>
      <c r="C417">
        <v>39</v>
      </c>
      <c r="D417" t="str">
        <f>VLOOKUP(B417,Products!$A:$E,2,FALSE)</f>
        <v>Product_398</v>
      </c>
      <c r="E417" t="str">
        <f>VLOOKUP(B417,Products!$A:$E,3,FALSE)</f>
        <v>Networking</v>
      </c>
    </row>
    <row r="418" spans="1:5" x14ac:dyDescent="0.3">
      <c r="A418" t="s">
        <v>6430</v>
      </c>
      <c r="B418" t="s">
        <v>644</v>
      </c>
      <c r="C418">
        <v>29</v>
      </c>
      <c r="D418" t="str">
        <f>VLOOKUP(B418,Products!$A:$E,2,FALSE)</f>
        <v>Product_318</v>
      </c>
      <c r="E418" t="str">
        <f>VLOOKUP(B418,Products!$A:$E,3,FALSE)</f>
        <v>Storage</v>
      </c>
    </row>
    <row r="419" spans="1:5" x14ac:dyDescent="0.3">
      <c r="A419" t="s">
        <v>6431</v>
      </c>
      <c r="B419" t="s">
        <v>792</v>
      </c>
      <c r="C419">
        <v>7</v>
      </c>
      <c r="D419" t="str">
        <f>VLOOKUP(B419,Products!$A:$E,2,FALSE)</f>
        <v>Product_392</v>
      </c>
      <c r="E419" t="str">
        <f>VLOOKUP(B419,Products!$A:$E,3,FALSE)</f>
        <v>Electronics</v>
      </c>
    </row>
    <row r="420" spans="1:5" x14ac:dyDescent="0.3">
      <c r="A420" t="s">
        <v>6432</v>
      </c>
      <c r="B420" t="s">
        <v>650</v>
      </c>
      <c r="C420">
        <v>29</v>
      </c>
      <c r="D420" t="str">
        <f>VLOOKUP(B420,Products!$A:$E,2,FALSE)</f>
        <v>Product_321</v>
      </c>
      <c r="E420" t="str">
        <f>VLOOKUP(B420,Products!$A:$E,3,FALSE)</f>
        <v>Electronics</v>
      </c>
    </row>
    <row r="421" spans="1:5" x14ac:dyDescent="0.3">
      <c r="A421" t="s">
        <v>6433</v>
      </c>
      <c r="B421" t="s">
        <v>602</v>
      </c>
      <c r="C421">
        <v>8</v>
      </c>
      <c r="D421" t="str">
        <f>VLOOKUP(B421,Products!$A:$E,2,FALSE)</f>
        <v>Product_297</v>
      </c>
      <c r="E421" t="str">
        <f>VLOOKUP(B421,Products!$A:$E,3,FALSE)</f>
        <v>Storage</v>
      </c>
    </row>
    <row r="422" spans="1:5" x14ac:dyDescent="0.3">
      <c r="A422" t="s">
        <v>6434</v>
      </c>
      <c r="B422" t="s">
        <v>96</v>
      </c>
      <c r="C422">
        <v>4</v>
      </c>
      <c r="D422" t="str">
        <f>VLOOKUP(B422,Products!$A:$E,2,FALSE)</f>
        <v>Product_44</v>
      </c>
      <c r="E422" t="str">
        <f>VLOOKUP(B422,Products!$A:$E,3,FALSE)</f>
        <v>Storage</v>
      </c>
    </row>
    <row r="423" spans="1:5" x14ac:dyDescent="0.3">
      <c r="A423" t="s">
        <v>6435</v>
      </c>
      <c r="B423" t="s">
        <v>948</v>
      </c>
      <c r="C423">
        <v>3</v>
      </c>
      <c r="D423" t="str">
        <f>VLOOKUP(B423,Products!$A:$E,2,FALSE)</f>
        <v>Product_470</v>
      </c>
      <c r="E423" t="str">
        <f>VLOOKUP(B423,Products!$A:$E,3,FALSE)</f>
        <v>Networking</v>
      </c>
    </row>
    <row r="424" spans="1:5" x14ac:dyDescent="0.3">
      <c r="A424" t="s">
        <v>6436</v>
      </c>
      <c r="B424" t="s">
        <v>396</v>
      </c>
      <c r="C424">
        <v>21</v>
      </c>
      <c r="D424" t="str">
        <f>VLOOKUP(B424,Products!$A:$E,2,FALSE)</f>
        <v>Product_194</v>
      </c>
      <c r="E424" t="str">
        <f>VLOOKUP(B424,Products!$A:$E,3,FALSE)</f>
        <v>Networking</v>
      </c>
    </row>
    <row r="425" spans="1:5" x14ac:dyDescent="0.3">
      <c r="A425" t="s">
        <v>6437</v>
      </c>
      <c r="B425" t="s">
        <v>920</v>
      </c>
      <c r="C425">
        <v>45</v>
      </c>
      <c r="D425" t="str">
        <f>VLOOKUP(B425,Products!$A:$E,2,FALSE)</f>
        <v>Product_456</v>
      </c>
      <c r="E425" t="str">
        <f>VLOOKUP(B425,Products!$A:$E,3,FALSE)</f>
        <v>Electronics</v>
      </c>
    </row>
    <row r="426" spans="1:5" x14ac:dyDescent="0.3">
      <c r="A426" t="s">
        <v>6438</v>
      </c>
      <c r="B426" t="s">
        <v>76</v>
      </c>
      <c r="C426">
        <v>9</v>
      </c>
      <c r="D426" t="str">
        <f>VLOOKUP(B426,Products!$A:$E,2,FALSE)</f>
        <v>Product_34</v>
      </c>
      <c r="E426" t="str">
        <f>VLOOKUP(B426,Products!$A:$E,3,FALSE)</f>
        <v>Office Supplies</v>
      </c>
    </row>
    <row r="427" spans="1:5" x14ac:dyDescent="0.3">
      <c r="A427" t="s">
        <v>6439</v>
      </c>
      <c r="B427" t="s">
        <v>72</v>
      </c>
      <c r="C427">
        <v>29</v>
      </c>
      <c r="D427" t="str">
        <f>VLOOKUP(B427,Products!$A:$E,2,FALSE)</f>
        <v>Product_32</v>
      </c>
      <c r="E427" t="str">
        <f>VLOOKUP(B427,Products!$A:$E,3,FALSE)</f>
        <v>Networking</v>
      </c>
    </row>
    <row r="428" spans="1:5" x14ac:dyDescent="0.3">
      <c r="A428" t="s">
        <v>6440</v>
      </c>
      <c r="B428" t="s">
        <v>66</v>
      </c>
      <c r="C428">
        <v>20</v>
      </c>
      <c r="D428" t="str">
        <f>VLOOKUP(B428,Products!$A:$E,2,FALSE)</f>
        <v>Product_29</v>
      </c>
      <c r="E428" t="str">
        <f>VLOOKUP(B428,Products!$A:$E,3,FALSE)</f>
        <v>Electronics</v>
      </c>
    </row>
    <row r="429" spans="1:5" x14ac:dyDescent="0.3">
      <c r="A429" t="s">
        <v>6441</v>
      </c>
      <c r="B429" t="s">
        <v>634</v>
      </c>
      <c r="C429">
        <v>41</v>
      </c>
      <c r="D429" t="str">
        <f>VLOOKUP(B429,Products!$A:$E,2,FALSE)</f>
        <v>Product_313</v>
      </c>
      <c r="E429" t="str">
        <f>VLOOKUP(B429,Products!$A:$E,3,FALSE)</f>
        <v>Accessories</v>
      </c>
    </row>
    <row r="430" spans="1:5" x14ac:dyDescent="0.3">
      <c r="A430" t="s">
        <v>6442</v>
      </c>
      <c r="B430" t="s">
        <v>452</v>
      </c>
      <c r="C430">
        <v>5</v>
      </c>
      <c r="D430" t="str">
        <f>VLOOKUP(B430,Products!$A:$E,2,FALSE)</f>
        <v>Product_222</v>
      </c>
      <c r="E430" t="str">
        <f>VLOOKUP(B430,Products!$A:$E,3,FALSE)</f>
        <v>Networking</v>
      </c>
    </row>
    <row r="431" spans="1:5" x14ac:dyDescent="0.3">
      <c r="A431" t="s">
        <v>6443</v>
      </c>
      <c r="B431" t="s">
        <v>114</v>
      </c>
      <c r="C431">
        <v>44</v>
      </c>
      <c r="D431" t="str">
        <f>VLOOKUP(B431,Products!$A:$E,2,FALSE)</f>
        <v>Product_53</v>
      </c>
      <c r="E431" t="str">
        <f>VLOOKUP(B431,Products!$A:$E,3,FALSE)</f>
        <v>Electronics</v>
      </c>
    </row>
    <row r="432" spans="1:5" x14ac:dyDescent="0.3">
      <c r="A432" t="s">
        <v>6444</v>
      </c>
      <c r="B432" t="s">
        <v>66</v>
      </c>
      <c r="C432">
        <v>36</v>
      </c>
      <c r="D432" t="str">
        <f>VLOOKUP(B432,Products!$A:$E,2,FALSE)</f>
        <v>Product_29</v>
      </c>
      <c r="E432" t="str">
        <f>VLOOKUP(B432,Products!$A:$E,3,FALSE)</f>
        <v>Electronics</v>
      </c>
    </row>
    <row r="433" spans="1:5" x14ac:dyDescent="0.3">
      <c r="A433" t="s">
        <v>6445</v>
      </c>
      <c r="B433" t="s">
        <v>62</v>
      </c>
      <c r="C433">
        <v>19</v>
      </c>
      <c r="D433" t="str">
        <f>VLOOKUP(B433,Products!$A:$E,2,FALSE)</f>
        <v>Product_27</v>
      </c>
      <c r="E433" t="str">
        <f>VLOOKUP(B433,Products!$A:$E,3,FALSE)</f>
        <v>Office Supplies</v>
      </c>
    </row>
    <row r="434" spans="1:5" x14ac:dyDescent="0.3">
      <c r="A434" t="s">
        <v>6446</v>
      </c>
      <c r="B434" t="s">
        <v>880</v>
      </c>
      <c r="C434">
        <v>25</v>
      </c>
      <c r="D434" t="str">
        <f>VLOOKUP(B434,Products!$A:$E,2,FALSE)</f>
        <v>Product_436</v>
      </c>
      <c r="E434" t="str">
        <f>VLOOKUP(B434,Products!$A:$E,3,FALSE)</f>
        <v>Networking</v>
      </c>
    </row>
    <row r="435" spans="1:5" x14ac:dyDescent="0.3">
      <c r="A435" t="s">
        <v>6447</v>
      </c>
      <c r="B435" t="s">
        <v>420</v>
      </c>
      <c r="C435">
        <v>7</v>
      </c>
      <c r="D435" t="str">
        <f>VLOOKUP(B435,Products!$A:$E,2,FALSE)</f>
        <v>Product_206</v>
      </c>
      <c r="E435" t="str">
        <f>VLOOKUP(B435,Products!$A:$E,3,FALSE)</f>
        <v>Accessories</v>
      </c>
    </row>
    <row r="436" spans="1:5" x14ac:dyDescent="0.3">
      <c r="A436" t="s">
        <v>6448</v>
      </c>
      <c r="B436" t="s">
        <v>642</v>
      </c>
      <c r="C436">
        <v>49</v>
      </c>
      <c r="D436" t="str">
        <f>VLOOKUP(B436,Products!$A:$E,2,FALSE)</f>
        <v>Product_317</v>
      </c>
      <c r="E436" t="str">
        <f>VLOOKUP(B436,Products!$A:$E,3,FALSE)</f>
        <v>Storage</v>
      </c>
    </row>
    <row r="437" spans="1:5" x14ac:dyDescent="0.3">
      <c r="A437" t="s">
        <v>6449</v>
      </c>
      <c r="B437" t="s">
        <v>430</v>
      </c>
      <c r="C437">
        <v>15</v>
      </c>
      <c r="D437" t="str">
        <f>VLOOKUP(B437,Products!$A:$E,2,FALSE)</f>
        <v>Product_211</v>
      </c>
      <c r="E437" t="str">
        <f>VLOOKUP(B437,Products!$A:$E,3,FALSE)</f>
        <v>Storage</v>
      </c>
    </row>
    <row r="438" spans="1:5" x14ac:dyDescent="0.3">
      <c r="A438" t="s">
        <v>6450</v>
      </c>
      <c r="B438" t="s">
        <v>894</v>
      </c>
      <c r="C438">
        <v>39</v>
      </c>
      <c r="D438" t="str">
        <f>VLOOKUP(B438,Products!$A:$E,2,FALSE)</f>
        <v>Product_443</v>
      </c>
      <c r="E438" t="str">
        <f>VLOOKUP(B438,Products!$A:$E,3,FALSE)</f>
        <v>Networking</v>
      </c>
    </row>
    <row r="439" spans="1:5" x14ac:dyDescent="0.3">
      <c r="A439" t="s">
        <v>6451</v>
      </c>
      <c r="B439" t="s">
        <v>816</v>
      </c>
      <c r="C439">
        <v>43</v>
      </c>
      <c r="D439" t="str">
        <f>VLOOKUP(B439,Products!$A:$E,2,FALSE)</f>
        <v>Product_404</v>
      </c>
      <c r="E439" t="str">
        <f>VLOOKUP(B439,Products!$A:$E,3,FALSE)</f>
        <v>Storage</v>
      </c>
    </row>
    <row r="440" spans="1:5" x14ac:dyDescent="0.3">
      <c r="A440" t="s">
        <v>6452</v>
      </c>
      <c r="B440" t="s">
        <v>648</v>
      </c>
      <c r="C440">
        <v>1</v>
      </c>
      <c r="D440" t="str">
        <f>VLOOKUP(B440,Products!$A:$E,2,FALSE)</f>
        <v>Product_320</v>
      </c>
      <c r="E440" t="str">
        <f>VLOOKUP(B440,Products!$A:$E,3,FALSE)</f>
        <v>Office Supplies</v>
      </c>
    </row>
    <row r="441" spans="1:5" x14ac:dyDescent="0.3">
      <c r="A441" t="s">
        <v>6453</v>
      </c>
      <c r="B441" t="s">
        <v>474</v>
      </c>
      <c r="C441">
        <v>25</v>
      </c>
      <c r="D441" t="str">
        <f>VLOOKUP(B441,Products!$A:$E,2,FALSE)</f>
        <v>Product_233</v>
      </c>
      <c r="E441" t="str">
        <f>VLOOKUP(B441,Products!$A:$E,3,FALSE)</f>
        <v>Accessories</v>
      </c>
    </row>
    <row r="442" spans="1:5" x14ac:dyDescent="0.3">
      <c r="A442" t="s">
        <v>6454</v>
      </c>
      <c r="B442" t="s">
        <v>484</v>
      </c>
      <c r="C442">
        <v>28</v>
      </c>
      <c r="D442" t="str">
        <f>VLOOKUP(B442,Products!$A:$E,2,FALSE)</f>
        <v>Product_238</v>
      </c>
      <c r="E442" t="str">
        <f>VLOOKUP(B442,Products!$A:$E,3,FALSE)</f>
        <v>Accessories</v>
      </c>
    </row>
    <row r="443" spans="1:5" x14ac:dyDescent="0.3">
      <c r="A443" t="s">
        <v>6455</v>
      </c>
      <c r="B443" t="s">
        <v>910</v>
      </c>
      <c r="C443">
        <v>40</v>
      </c>
      <c r="D443" t="str">
        <f>VLOOKUP(B443,Products!$A:$E,2,FALSE)</f>
        <v>Product_451</v>
      </c>
      <c r="E443" t="str">
        <f>VLOOKUP(B443,Products!$A:$E,3,FALSE)</f>
        <v>Accessories</v>
      </c>
    </row>
    <row r="444" spans="1:5" x14ac:dyDescent="0.3">
      <c r="A444" t="s">
        <v>6456</v>
      </c>
      <c r="B444" t="s">
        <v>644</v>
      </c>
      <c r="C444">
        <v>7</v>
      </c>
      <c r="D444" t="str">
        <f>VLOOKUP(B444,Products!$A:$E,2,FALSE)</f>
        <v>Product_318</v>
      </c>
      <c r="E444" t="str">
        <f>VLOOKUP(B444,Products!$A:$E,3,FALSE)</f>
        <v>Storage</v>
      </c>
    </row>
    <row r="445" spans="1:5" x14ac:dyDescent="0.3">
      <c r="A445" t="s">
        <v>6457</v>
      </c>
      <c r="B445" t="s">
        <v>356</v>
      </c>
      <c r="C445">
        <v>42</v>
      </c>
      <c r="D445" t="str">
        <f>VLOOKUP(B445,Products!$A:$E,2,FALSE)</f>
        <v>Product_174</v>
      </c>
      <c r="E445" t="str">
        <f>VLOOKUP(B445,Products!$A:$E,3,FALSE)</f>
        <v>Storage</v>
      </c>
    </row>
    <row r="446" spans="1:5" x14ac:dyDescent="0.3">
      <c r="A446" t="s">
        <v>6458</v>
      </c>
      <c r="B446" t="s">
        <v>970</v>
      </c>
      <c r="C446">
        <v>44</v>
      </c>
      <c r="D446" t="str">
        <f>VLOOKUP(B446,Products!$A:$E,2,FALSE)</f>
        <v>Product_481</v>
      </c>
      <c r="E446" t="str">
        <f>VLOOKUP(B446,Products!$A:$E,3,FALSE)</f>
        <v>Storage</v>
      </c>
    </row>
    <row r="447" spans="1:5" x14ac:dyDescent="0.3">
      <c r="A447" t="s">
        <v>6459</v>
      </c>
      <c r="B447" t="s">
        <v>810</v>
      </c>
      <c r="C447">
        <v>2</v>
      </c>
      <c r="D447" t="str">
        <f>VLOOKUP(B447,Products!$A:$E,2,FALSE)</f>
        <v>Product_401</v>
      </c>
      <c r="E447" t="str">
        <f>VLOOKUP(B447,Products!$A:$E,3,FALSE)</f>
        <v>Storage</v>
      </c>
    </row>
    <row r="448" spans="1:5" x14ac:dyDescent="0.3">
      <c r="A448" t="s">
        <v>6460</v>
      </c>
      <c r="B448" t="s">
        <v>474</v>
      </c>
      <c r="C448">
        <v>34</v>
      </c>
      <c r="D448" t="str">
        <f>VLOOKUP(B448,Products!$A:$E,2,FALSE)</f>
        <v>Product_233</v>
      </c>
      <c r="E448" t="str">
        <f>VLOOKUP(B448,Products!$A:$E,3,FALSE)</f>
        <v>Accessories</v>
      </c>
    </row>
    <row r="449" spans="1:5" x14ac:dyDescent="0.3">
      <c r="A449" t="s">
        <v>6461</v>
      </c>
      <c r="B449" t="s">
        <v>346</v>
      </c>
      <c r="C449">
        <v>38</v>
      </c>
      <c r="D449" t="str">
        <f>VLOOKUP(B449,Products!$A:$E,2,FALSE)</f>
        <v>Product_169</v>
      </c>
      <c r="E449" t="str">
        <f>VLOOKUP(B449,Products!$A:$E,3,FALSE)</f>
        <v>Accessories</v>
      </c>
    </row>
    <row r="450" spans="1:5" x14ac:dyDescent="0.3">
      <c r="A450" t="s">
        <v>6462</v>
      </c>
      <c r="B450" t="s">
        <v>206</v>
      </c>
      <c r="C450">
        <v>7</v>
      </c>
      <c r="D450" t="str">
        <f>VLOOKUP(B450,Products!$A:$E,2,FALSE)</f>
        <v>Product_99</v>
      </c>
      <c r="E450" t="str">
        <f>VLOOKUP(B450,Products!$A:$E,3,FALSE)</f>
        <v>Accessories</v>
      </c>
    </row>
    <row r="451" spans="1:5" x14ac:dyDescent="0.3">
      <c r="A451" t="s">
        <v>6463</v>
      </c>
      <c r="B451" t="s">
        <v>114</v>
      </c>
      <c r="C451">
        <v>1</v>
      </c>
      <c r="D451" t="str">
        <f>VLOOKUP(B451,Products!$A:$E,2,FALSE)</f>
        <v>Product_53</v>
      </c>
      <c r="E451" t="str">
        <f>VLOOKUP(B451,Products!$A:$E,3,FALSE)</f>
        <v>Electronics</v>
      </c>
    </row>
    <row r="452" spans="1:5" x14ac:dyDescent="0.3">
      <c r="A452" t="s">
        <v>6464</v>
      </c>
      <c r="B452" t="s">
        <v>618</v>
      </c>
      <c r="C452">
        <v>46</v>
      </c>
      <c r="D452" t="str">
        <f>VLOOKUP(B452,Products!$A:$E,2,FALSE)</f>
        <v>Product_305</v>
      </c>
      <c r="E452" t="str">
        <f>VLOOKUP(B452,Products!$A:$E,3,FALSE)</f>
        <v>Accessories</v>
      </c>
    </row>
    <row r="453" spans="1:5" x14ac:dyDescent="0.3">
      <c r="A453" t="s">
        <v>6465</v>
      </c>
      <c r="B453" t="s">
        <v>78</v>
      </c>
      <c r="C453">
        <v>38</v>
      </c>
      <c r="D453" t="str">
        <f>VLOOKUP(B453,Products!$A:$E,2,FALSE)</f>
        <v>Product_35</v>
      </c>
      <c r="E453" t="str">
        <f>VLOOKUP(B453,Products!$A:$E,3,FALSE)</f>
        <v>Electronics</v>
      </c>
    </row>
    <row r="454" spans="1:5" x14ac:dyDescent="0.3">
      <c r="A454" t="s">
        <v>6466</v>
      </c>
      <c r="B454" t="s">
        <v>818</v>
      </c>
      <c r="C454">
        <v>13</v>
      </c>
      <c r="D454" t="str">
        <f>VLOOKUP(B454,Products!$A:$E,2,FALSE)</f>
        <v>Product_405</v>
      </c>
      <c r="E454" t="str">
        <f>VLOOKUP(B454,Products!$A:$E,3,FALSE)</f>
        <v>Electronics</v>
      </c>
    </row>
    <row r="455" spans="1:5" x14ac:dyDescent="0.3">
      <c r="A455" t="s">
        <v>6467</v>
      </c>
      <c r="B455" t="s">
        <v>936</v>
      </c>
      <c r="C455">
        <v>37</v>
      </c>
      <c r="D455" t="str">
        <f>VLOOKUP(B455,Products!$A:$E,2,FALSE)</f>
        <v>Product_464</v>
      </c>
      <c r="E455" t="str">
        <f>VLOOKUP(B455,Products!$A:$E,3,FALSE)</f>
        <v>Office Supplies</v>
      </c>
    </row>
    <row r="456" spans="1:5" x14ac:dyDescent="0.3">
      <c r="A456" t="s">
        <v>6468</v>
      </c>
      <c r="B456" t="s">
        <v>138</v>
      </c>
      <c r="C456">
        <v>41</v>
      </c>
      <c r="D456" t="str">
        <f>VLOOKUP(B456,Products!$A:$E,2,FALSE)</f>
        <v>Product_65</v>
      </c>
      <c r="E456" t="str">
        <f>VLOOKUP(B456,Products!$A:$E,3,FALSE)</f>
        <v>Office Supplies</v>
      </c>
    </row>
    <row r="457" spans="1:5" x14ac:dyDescent="0.3">
      <c r="A457" t="s">
        <v>6469</v>
      </c>
      <c r="B457" t="s">
        <v>530</v>
      </c>
      <c r="C457">
        <v>17</v>
      </c>
      <c r="D457" t="str">
        <f>VLOOKUP(B457,Products!$A:$E,2,FALSE)</f>
        <v>Product_261</v>
      </c>
      <c r="E457" t="str">
        <f>VLOOKUP(B457,Products!$A:$E,3,FALSE)</f>
        <v>Accessories</v>
      </c>
    </row>
    <row r="458" spans="1:5" x14ac:dyDescent="0.3">
      <c r="A458" t="s">
        <v>6470</v>
      </c>
      <c r="B458" t="s">
        <v>372</v>
      </c>
      <c r="C458">
        <v>27</v>
      </c>
      <c r="D458" t="str">
        <f>VLOOKUP(B458,Products!$A:$E,2,FALSE)</f>
        <v>Product_182</v>
      </c>
      <c r="E458" t="str">
        <f>VLOOKUP(B458,Products!$A:$E,3,FALSE)</f>
        <v>Storage</v>
      </c>
    </row>
    <row r="459" spans="1:5" x14ac:dyDescent="0.3">
      <c r="A459" t="s">
        <v>6471</v>
      </c>
      <c r="B459" t="s">
        <v>502</v>
      </c>
      <c r="C459">
        <v>47</v>
      </c>
      <c r="D459" t="str">
        <f>VLOOKUP(B459,Products!$A:$E,2,FALSE)</f>
        <v>Product_247</v>
      </c>
      <c r="E459" t="str">
        <f>VLOOKUP(B459,Products!$A:$E,3,FALSE)</f>
        <v>Networking</v>
      </c>
    </row>
    <row r="460" spans="1:5" x14ac:dyDescent="0.3">
      <c r="A460" t="s">
        <v>6472</v>
      </c>
      <c r="B460" t="s">
        <v>644</v>
      </c>
      <c r="C460">
        <v>29</v>
      </c>
      <c r="D460" t="str">
        <f>VLOOKUP(B460,Products!$A:$E,2,FALSE)</f>
        <v>Product_318</v>
      </c>
      <c r="E460" t="str">
        <f>VLOOKUP(B460,Products!$A:$E,3,FALSE)</f>
        <v>Storage</v>
      </c>
    </row>
    <row r="461" spans="1:5" x14ac:dyDescent="0.3">
      <c r="A461" t="s">
        <v>6473</v>
      </c>
      <c r="B461" t="s">
        <v>200</v>
      </c>
      <c r="C461">
        <v>16</v>
      </c>
      <c r="D461" t="str">
        <f>VLOOKUP(B461,Products!$A:$E,2,FALSE)</f>
        <v>Product_96</v>
      </c>
      <c r="E461" t="str">
        <f>VLOOKUP(B461,Products!$A:$E,3,FALSE)</f>
        <v>Office Supplies</v>
      </c>
    </row>
    <row r="462" spans="1:5" x14ac:dyDescent="0.3">
      <c r="A462" t="s">
        <v>6474</v>
      </c>
      <c r="B462" t="s">
        <v>150</v>
      </c>
      <c r="C462">
        <v>3</v>
      </c>
      <c r="D462" t="str">
        <f>VLOOKUP(B462,Products!$A:$E,2,FALSE)</f>
        <v>Product_71</v>
      </c>
      <c r="E462" t="str">
        <f>VLOOKUP(B462,Products!$A:$E,3,FALSE)</f>
        <v>Accessories</v>
      </c>
    </row>
    <row r="463" spans="1:5" x14ac:dyDescent="0.3">
      <c r="A463" t="s">
        <v>6475</v>
      </c>
      <c r="B463" t="s">
        <v>70</v>
      </c>
      <c r="C463">
        <v>9</v>
      </c>
      <c r="D463" t="str">
        <f>VLOOKUP(B463,Products!$A:$E,2,FALSE)</f>
        <v>Product_31</v>
      </c>
      <c r="E463" t="str">
        <f>VLOOKUP(B463,Products!$A:$E,3,FALSE)</f>
        <v>Accessories</v>
      </c>
    </row>
    <row r="464" spans="1:5" x14ac:dyDescent="0.3">
      <c r="A464" t="s">
        <v>6476</v>
      </c>
      <c r="B464" t="s">
        <v>328</v>
      </c>
      <c r="C464">
        <v>38</v>
      </c>
      <c r="D464" t="str">
        <f>VLOOKUP(B464,Products!$A:$E,2,FALSE)</f>
        <v>Product_160</v>
      </c>
      <c r="E464" t="str">
        <f>VLOOKUP(B464,Products!$A:$E,3,FALSE)</f>
        <v>Office Supplies</v>
      </c>
    </row>
    <row r="465" spans="1:5" x14ac:dyDescent="0.3">
      <c r="A465" t="s">
        <v>6477</v>
      </c>
      <c r="B465" t="s">
        <v>456</v>
      </c>
      <c r="C465">
        <v>33</v>
      </c>
      <c r="D465" t="str">
        <f>VLOOKUP(B465,Products!$A:$E,2,FALSE)</f>
        <v>Product_224</v>
      </c>
      <c r="E465" t="str">
        <f>VLOOKUP(B465,Products!$A:$E,3,FALSE)</f>
        <v>Storage</v>
      </c>
    </row>
    <row r="466" spans="1:5" x14ac:dyDescent="0.3">
      <c r="A466" t="s">
        <v>6478</v>
      </c>
      <c r="B466" t="s">
        <v>992</v>
      </c>
      <c r="C466">
        <v>42</v>
      </c>
      <c r="D466" t="str">
        <f>VLOOKUP(B466,Products!$A:$E,2,FALSE)</f>
        <v>Product_492</v>
      </c>
      <c r="E466" t="str">
        <f>VLOOKUP(B466,Products!$A:$E,3,FALSE)</f>
        <v>Electronics</v>
      </c>
    </row>
    <row r="467" spans="1:5" x14ac:dyDescent="0.3">
      <c r="A467" t="s">
        <v>6479</v>
      </c>
      <c r="B467" t="s">
        <v>782</v>
      </c>
      <c r="C467">
        <v>23</v>
      </c>
      <c r="D467" t="str">
        <f>VLOOKUP(B467,Products!$A:$E,2,FALSE)</f>
        <v>Product_387</v>
      </c>
      <c r="E467" t="str">
        <f>VLOOKUP(B467,Products!$A:$E,3,FALSE)</f>
        <v>Storage</v>
      </c>
    </row>
    <row r="468" spans="1:5" x14ac:dyDescent="0.3">
      <c r="A468" t="s">
        <v>6480</v>
      </c>
      <c r="B468" t="s">
        <v>328</v>
      </c>
      <c r="C468">
        <v>38</v>
      </c>
      <c r="D468" t="str">
        <f>VLOOKUP(B468,Products!$A:$E,2,FALSE)</f>
        <v>Product_160</v>
      </c>
      <c r="E468" t="str">
        <f>VLOOKUP(B468,Products!$A:$E,3,FALSE)</f>
        <v>Office Supplies</v>
      </c>
    </row>
    <row r="469" spans="1:5" x14ac:dyDescent="0.3">
      <c r="A469" t="s">
        <v>6481</v>
      </c>
      <c r="B469" t="s">
        <v>916</v>
      </c>
      <c r="C469">
        <v>35</v>
      </c>
      <c r="D469" t="str">
        <f>VLOOKUP(B469,Products!$A:$E,2,FALSE)</f>
        <v>Product_454</v>
      </c>
      <c r="E469" t="str">
        <f>VLOOKUP(B469,Products!$A:$E,3,FALSE)</f>
        <v>Networking</v>
      </c>
    </row>
    <row r="470" spans="1:5" x14ac:dyDescent="0.3">
      <c r="A470" t="s">
        <v>6482</v>
      </c>
      <c r="B470" t="s">
        <v>804</v>
      </c>
      <c r="C470">
        <v>10</v>
      </c>
      <c r="D470" t="str">
        <f>VLOOKUP(B470,Products!$A:$E,2,FALSE)</f>
        <v>Product_398</v>
      </c>
      <c r="E470" t="str">
        <f>VLOOKUP(B470,Products!$A:$E,3,FALSE)</f>
        <v>Networking</v>
      </c>
    </row>
    <row r="471" spans="1:5" x14ac:dyDescent="0.3">
      <c r="A471" t="s">
        <v>6483</v>
      </c>
      <c r="B471" t="s">
        <v>160</v>
      </c>
      <c r="C471">
        <v>31</v>
      </c>
      <c r="D471" t="str">
        <f>VLOOKUP(B471,Products!$A:$E,2,FALSE)</f>
        <v>Product_76</v>
      </c>
      <c r="E471" t="str">
        <f>VLOOKUP(B471,Products!$A:$E,3,FALSE)</f>
        <v>Accessories</v>
      </c>
    </row>
    <row r="472" spans="1:5" x14ac:dyDescent="0.3">
      <c r="A472" t="s">
        <v>6484</v>
      </c>
      <c r="B472" t="s">
        <v>326</v>
      </c>
      <c r="C472">
        <v>39</v>
      </c>
      <c r="D472" t="str">
        <f>VLOOKUP(B472,Products!$A:$E,2,FALSE)</f>
        <v>Product_159</v>
      </c>
      <c r="E472" t="str">
        <f>VLOOKUP(B472,Products!$A:$E,3,FALSE)</f>
        <v>Accessories</v>
      </c>
    </row>
    <row r="473" spans="1:5" x14ac:dyDescent="0.3">
      <c r="A473" t="s">
        <v>6485</v>
      </c>
      <c r="B473" t="s">
        <v>360</v>
      </c>
      <c r="C473">
        <v>19</v>
      </c>
      <c r="D473" t="str">
        <f>VLOOKUP(B473,Products!$A:$E,2,FALSE)</f>
        <v>Product_176</v>
      </c>
      <c r="E473" t="str">
        <f>VLOOKUP(B473,Products!$A:$E,3,FALSE)</f>
        <v>Electronics</v>
      </c>
    </row>
    <row r="474" spans="1:5" x14ac:dyDescent="0.3">
      <c r="A474" t="s">
        <v>6486</v>
      </c>
      <c r="B474" t="s">
        <v>386</v>
      </c>
      <c r="C474">
        <v>1</v>
      </c>
      <c r="D474" t="str">
        <f>VLOOKUP(B474,Products!$A:$E,2,FALSE)</f>
        <v>Product_189</v>
      </c>
      <c r="E474" t="str">
        <f>VLOOKUP(B474,Products!$A:$E,3,FALSE)</f>
        <v>Electronics</v>
      </c>
    </row>
    <row r="475" spans="1:5" x14ac:dyDescent="0.3">
      <c r="A475" t="s">
        <v>6487</v>
      </c>
      <c r="B475" t="s">
        <v>540</v>
      </c>
      <c r="C475">
        <v>38</v>
      </c>
      <c r="D475" t="str">
        <f>VLOOKUP(B475,Products!$A:$E,2,FALSE)</f>
        <v>Product_266</v>
      </c>
      <c r="E475" t="str">
        <f>VLOOKUP(B475,Products!$A:$E,3,FALSE)</f>
        <v>Electronics</v>
      </c>
    </row>
    <row r="476" spans="1:5" x14ac:dyDescent="0.3">
      <c r="A476" t="s">
        <v>6488</v>
      </c>
      <c r="B476" t="s">
        <v>682</v>
      </c>
      <c r="C476">
        <v>44</v>
      </c>
      <c r="D476" t="str">
        <f>VLOOKUP(B476,Products!$A:$E,2,FALSE)</f>
        <v>Product_337</v>
      </c>
      <c r="E476" t="str">
        <f>VLOOKUP(B476,Products!$A:$E,3,FALSE)</f>
        <v>Storage</v>
      </c>
    </row>
    <row r="477" spans="1:5" x14ac:dyDescent="0.3">
      <c r="A477" t="s">
        <v>6489</v>
      </c>
      <c r="B477" t="s">
        <v>158</v>
      </c>
      <c r="C477">
        <v>4</v>
      </c>
      <c r="D477" t="str">
        <f>VLOOKUP(B477,Products!$A:$E,2,FALSE)</f>
        <v>Product_75</v>
      </c>
      <c r="E477" t="str">
        <f>VLOOKUP(B477,Products!$A:$E,3,FALSE)</f>
        <v>Storage</v>
      </c>
    </row>
    <row r="478" spans="1:5" x14ac:dyDescent="0.3">
      <c r="A478" t="s">
        <v>6490</v>
      </c>
      <c r="B478" t="s">
        <v>252</v>
      </c>
      <c r="C478">
        <v>33</v>
      </c>
      <c r="D478" t="str">
        <f>VLOOKUP(B478,Products!$A:$E,2,FALSE)</f>
        <v>Product_122</v>
      </c>
      <c r="E478" t="str">
        <f>VLOOKUP(B478,Products!$A:$E,3,FALSE)</f>
        <v>Storage</v>
      </c>
    </row>
    <row r="479" spans="1:5" x14ac:dyDescent="0.3">
      <c r="A479" t="s">
        <v>6491</v>
      </c>
      <c r="B479" t="s">
        <v>848</v>
      </c>
      <c r="C479">
        <v>36</v>
      </c>
      <c r="D479" t="str">
        <f>VLOOKUP(B479,Products!$A:$E,2,FALSE)</f>
        <v>Product_420</v>
      </c>
      <c r="E479" t="str">
        <f>VLOOKUP(B479,Products!$A:$E,3,FALSE)</f>
        <v>Networking</v>
      </c>
    </row>
    <row r="480" spans="1:5" x14ac:dyDescent="0.3">
      <c r="A480" t="s">
        <v>6492</v>
      </c>
      <c r="B480" t="s">
        <v>888</v>
      </c>
      <c r="C480">
        <v>4</v>
      </c>
      <c r="D480" t="str">
        <f>VLOOKUP(B480,Products!$A:$E,2,FALSE)</f>
        <v>Product_440</v>
      </c>
      <c r="E480" t="str">
        <f>VLOOKUP(B480,Products!$A:$E,3,FALSE)</f>
        <v>Accessories</v>
      </c>
    </row>
    <row r="481" spans="1:5" x14ac:dyDescent="0.3">
      <c r="A481" t="s">
        <v>6493</v>
      </c>
      <c r="B481" t="s">
        <v>442</v>
      </c>
      <c r="C481">
        <v>23</v>
      </c>
      <c r="D481" t="str">
        <f>VLOOKUP(B481,Products!$A:$E,2,FALSE)</f>
        <v>Product_217</v>
      </c>
      <c r="E481" t="str">
        <f>VLOOKUP(B481,Products!$A:$E,3,FALSE)</f>
        <v>Networking</v>
      </c>
    </row>
    <row r="482" spans="1:5" x14ac:dyDescent="0.3">
      <c r="A482" t="s">
        <v>6494</v>
      </c>
      <c r="B482" t="s">
        <v>210</v>
      </c>
      <c r="C482">
        <v>13</v>
      </c>
      <c r="D482" t="str">
        <f>VLOOKUP(B482,Products!$A:$E,2,FALSE)</f>
        <v>Product_101</v>
      </c>
      <c r="E482" t="str">
        <f>VLOOKUP(B482,Products!$A:$E,3,FALSE)</f>
        <v>Storage</v>
      </c>
    </row>
    <row r="483" spans="1:5" x14ac:dyDescent="0.3">
      <c r="A483" t="s">
        <v>6495</v>
      </c>
      <c r="B483" t="s">
        <v>664</v>
      </c>
      <c r="C483">
        <v>13</v>
      </c>
      <c r="D483" t="str">
        <f>VLOOKUP(B483,Products!$A:$E,2,FALSE)</f>
        <v>Product_328</v>
      </c>
      <c r="E483" t="str">
        <f>VLOOKUP(B483,Products!$A:$E,3,FALSE)</f>
        <v>Office Supplies</v>
      </c>
    </row>
    <row r="484" spans="1:5" x14ac:dyDescent="0.3">
      <c r="A484" t="s">
        <v>6496</v>
      </c>
      <c r="B484" t="s">
        <v>814</v>
      </c>
      <c r="C484">
        <v>5</v>
      </c>
      <c r="D484" t="str">
        <f>VLOOKUP(B484,Products!$A:$E,2,FALSE)</f>
        <v>Product_403</v>
      </c>
      <c r="E484" t="str">
        <f>VLOOKUP(B484,Products!$A:$E,3,FALSE)</f>
        <v>Networking</v>
      </c>
    </row>
    <row r="485" spans="1:5" x14ac:dyDescent="0.3">
      <c r="A485" t="s">
        <v>6497</v>
      </c>
      <c r="B485" t="s">
        <v>358</v>
      </c>
      <c r="C485">
        <v>13</v>
      </c>
      <c r="D485" t="str">
        <f>VLOOKUP(B485,Products!$A:$E,2,FALSE)</f>
        <v>Product_175</v>
      </c>
      <c r="E485" t="str">
        <f>VLOOKUP(B485,Products!$A:$E,3,FALSE)</f>
        <v>Storage</v>
      </c>
    </row>
    <row r="486" spans="1:5" x14ac:dyDescent="0.3">
      <c r="A486" t="s">
        <v>6498</v>
      </c>
      <c r="B486" t="s">
        <v>692</v>
      </c>
      <c r="C486">
        <v>31</v>
      </c>
      <c r="D486" t="str">
        <f>VLOOKUP(B486,Products!$A:$E,2,FALSE)</f>
        <v>Product_342</v>
      </c>
      <c r="E486" t="str">
        <f>VLOOKUP(B486,Products!$A:$E,3,FALSE)</f>
        <v>Accessories</v>
      </c>
    </row>
    <row r="487" spans="1:5" x14ac:dyDescent="0.3">
      <c r="A487" t="s">
        <v>6499</v>
      </c>
      <c r="B487" t="s">
        <v>720</v>
      </c>
      <c r="C487">
        <v>45</v>
      </c>
      <c r="D487" t="str">
        <f>VLOOKUP(B487,Products!$A:$E,2,FALSE)</f>
        <v>Product_356</v>
      </c>
      <c r="E487" t="str">
        <f>VLOOKUP(B487,Products!$A:$E,3,FALSE)</f>
        <v>Accessories</v>
      </c>
    </row>
    <row r="488" spans="1:5" x14ac:dyDescent="0.3">
      <c r="A488" t="s">
        <v>6500</v>
      </c>
      <c r="B488" t="s">
        <v>488</v>
      </c>
      <c r="C488">
        <v>39</v>
      </c>
      <c r="D488" t="str">
        <f>VLOOKUP(B488,Products!$A:$E,2,FALSE)</f>
        <v>Product_240</v>
      </c>
      <c r="E488" t="str">
        <f>VLOOKUP(B488,Products!$A:$E,3,FALSE)</f>
        <v>Storage</v>
      </c>
    </row>
    <row r="489" spans="1:5" x14ac:dyDescent="0.3">
      <c r="A489" t="s">
        <v>6501</v>
      </c>
      <c r="B489" t="s">
        <v>718</v>
      </c>
      <c r="C489">
        <v>22</v>
      </c>
      <c r="D489" t="str">
        <f>VLOOKUP(B489,Products!$A:$E,2,FALSE)</f>
        <v>Product_355</v>
      </c>
      <c r="E489" t="str">
        <f>VLOOKUP(B489,Products!$A:$E,3,FALSE)</f>
        <v>Accessories</v>
      </c>
    </row>
    <row r="490" spans="1:5" x14ac:dyDescent="0.3">
      <c r="A490" t="s">
        <v>6502</v>
      </c>
      <c r="B490" t="s">
        <v>882</v>
      </c>
      <c r="C490">
        <v>38</v>
      </c>
      <c r="D490" t="str">
        <f>VLOOKUP(B490,Products!$A:$E,2,FALSE)</f>
        <v>Product_437</v>
      </c>
      <c r="E490" t="str">
        <f>VLOOKUP(B490,Products!$A:$E,3,FALSE)</f>
        <v>Accessories</v>
      </c>
    </row>
    <row r="491" spans="1:5" x14ac:dyDescent="0.3">
      <c r="A491" t="s">
        <v>6503</v>
      </c>
      <c r="B491" t="s">
        <v>588</v>
      </c>
      <c r="C491">
        <v>22</v>
      </c>
      <c r="D491" t="str">
        <f>VLOOKUP(B491,Products!$A:$E,2,FALSE)</f>
        <v>Product_290</v>
      </c>
      <c r="E491" t="str">
        <f>VLOOKUP(B491,Products!$A:$E,3,FALSE)</f>
        <v>Accessories</v>
      </c>
    </row>
    <row r="492" spans="1:5" x14ac:dyDescent="0.3">
      <c r="A492" t="s">
        <v>6504</v>
      </c>
      <c r="B492" t="s">
        <v>640</v>
      </c>
      <c r="C492">
        <v>20</v>
      </c>
      <c r="D492" t="str">
        <f>VLOOKUP(B492,Products!$A:$E,2,FALSE)</f>
        <v>Product_316</v>
      </c>
      <c r="E492" t="str">
        <f>VLOOKUP(B492,Products!$A:$E,3,FALSE)</f>
        <v>Networking</v>
      </c>
    </row>
    <row r="493" spans="1:5" x14ac:dyDescent="0.3">
      <c r="A493" t="s">
        <v>6505</v>
      </c>
      <c r="B493" t="s">
        <v>438</v>
      </c>
      <c r="C493">
        <v>22</v>
      </c>
      <c r="D493" t="str">
        <f>VLOOKUP(B493,Products!$A:$E,2,FALSE)</f>
        <v>Product_215</v>
      </c>
      <c r="E493" t="str">
        <f>VLOOKUP(B493,Products!$A:$E,3,FALSE)</f>
        <v>Electronics</v>
      </c>
    </row>
    <row r="494" spans="1:5" x14ac:dyDescent="0.3">
      <c r="A494" t="s">
        <v>6506</v>
      </c>
      <c r="B494" t="s">
        <v>176</v>
      </c>
      <c r="C494">
        <v>7</v>
      </c>
      <c r="D494" t="str">
        <f>VLOOKUP(B494,Products!$A:$E,2,FALSE)</f>
        <v>Product_84</v>
      </c>
      <c r="E494" t="str">
        <f>VLOOKUP(B494,Products!$A:$E,3,FALSE)</f>
        <v>Electronics</v>
      </c>
    </row>
    <row r="495" spans="1:5" x14ac:dyDescent="0.3">
      <c r="A495" t="s">
        <v>6507</v>
      </c>
      <c r="B495" t="s">
        <v>474</v>
      </c>
      <c r="C495">
        <v>3</v>
      </c>
      <c r="D495" t="str">
        <f>VLOOKUP(B495,Products!$A:$E,2,FALSE)</f>
        <v>Product_233</v>
      </c>
      <c r="E495" t="str">
        <f>VLOOKUP(B495,Products!$A:$E,3,FALSE)</f>
        <v>Accessories</v>
      </c>
    </row>
    <row r="496" spans="1:5" x14ac:dyDescent="0.3">
      <c r="A496" t="s">
        <v>6508</v>
      </c>
      <c r="B496" t="s">
        <v>516</v>
      </c>
      <c r="C496">
        <v>15</v>
      </c>
      <c r="D496" t="str">
        <f>VLOOKUP(B496,Products!$A:$E,2,FALSE)</f>
        <v>Product_254</v>
      </c>
      <c r="E496" t="str">
        <f>VLOOKUP(B496,Products!$A:$E,3,FALSE)</f>
        <v>Office Supplies</v>
      </c>
    </row>
    <row r="497" spans="1:5" x14ac:dyDescent="0.3">
      <c r="A497" t="s">
        <v>6509</v>
      </c>
      <c r="B497" t="s">
        <v>952</v>
      </c>
      <c r="C497">
        <v>1</v>
      </c>
      <c r="D497" t="str">
        <f>VLOOKUP(B497,Products!$A:$E,2,FALSE)</f>
        <v>Product_472</v>
      </c>
      <c r="E497" t="str">
        <f>VLOOKUP(B497,Products!$A:$E,3,FALSE)</f>
        <v>Electronics</v>
      </c>
    </row>
    <row r="498" spans="1:5" x14ac:dyDescent="0.3">
      <c r="A498" t="s">
        <v>6510</v>
      </c>
      <c r="B498" t="s">
        <v>664</v>
      </c>
      <c r="C498">
        <v>15</v>
      </c>
      <c r="D498" t="str">
        <f>VLOOKUP(B498,Products!$A:$E,2,FALSE)</f>
        <v>Product_328</v>
      </c>
      <c r="E498" t="str">
        <f>VLOOKUP(B498,Products!$A:$E,3,FALSE)</f>
        <v>Office Supplies</v>
      </c>
    </row>
    <row r="499" spans="1:5" x14ac:dyDescent="0.3">
      <c r="A499" t="s">
        <v>6511</v>
      </c>
      <c r="B499" t="s">
        <v>718</v>
      </c>
      <c r="C499">
        <v>15</v>
      </c>
      <c r="D499" t="str">
        <f>VLOOKUP(B499,Products!$A:$E,2,FALSE)</f>
        <v>Product_355</v>
      </c>
      <c r="E499" t="str">
        <f>VLOOKUP(B499,Products!$A:$E,3,FALSE)</f>
        <v>Accessories</v>
      </c>
    </row>
    <row r="500" spans="1:5" x14ac:dyDescent="0.3">
      <c r="A500" t="s">
        <v>6512</v>
      </c>
      <c r="B500" t="s">
        <v>486</v>
      </c>
      <c r="C500">
        <v>40</v>
      </c>
      <c r="D500" t="str">
        <f>VLOOKUP(B500,Products!$A:$E,2,FALSE)</f>
        <v>Product_239</v>
      </c>
      <c r="E500" t="str">
        <f>VLOOKUP(B500,Products!$A:$E,3,FALSE)</f>
        <v>Storage</v>
      </c>
    </row>
    <row r="501" spans="1:5" x14ac:dyDescent="0.3">
      <c r="A501" t="s">
        <v>6513</v>
      </c>
      <c r="B501" t="s">
        <v>228</v>
      </c>
      <c r="C501">
        <v>16</v>
      </c>
      <c r="D501" t="str">
        <f>VLOOKUP(B501,Products!$A:$E,2,FALSE)</f>
        <v>Product_110</v>
      </c>
      <c r="E501" t="str">
        <f>VLOOKUP(B501,Products!$A:$E,3,FALSE)</f>
        <v>Networking</v>
      </c>
    </row>
    <row r="502" spans="1:5" x14ac:dyDescent="0.3">
      <c r="A502" t="s">
        <v>6514</v>
      </c>
      <c r="B502" t="s">
        <v>502</v>
      </c>
      <c r="C502">
        <v>48</v>
      </c>
      <c r="D502" t="str">
        <f>VLOOKUP(B502,Products!$A:$E,2,FALSE)</f>
        <v>Product_247</v>
      </c>
      <c r="E502" t="str">
        <f>VLOOKUP(B502,Products!$A:$E,3,FALSE)</f>
        <v>Networking</v>
      </c>
    </row>
    <row r="503" spans="1:5" x14ac:dyDescent="0.3">
      <c r="A503" t="s">
        <v>6515</v>
      </c>
      <c r="B503" t="s">
        <v>796</v>
      </c>
      <c r="C503">
        <v>22</v>
      </c>
      <c r="D503" t="str">
        <f>VLOOKUP(B503,Products!$A:$E,2,FALSE)</f>
        <v>Product_394</v>
      </c>
      <c r="E503" t="str">
        <f>VLOOKUP(B503,Products!$A:$E,3,FALSE)</f>
        <v>Electronics</v>
      </c>
    </row>
    <row r="504" spans="1:5" x14ac:dyDescent="0.3">
      <c r="A504" t="s">
        <v>6516</v>
      </c>
      <c r="B504" t="s">
        <v>836</v>
      </c>
      <c r="C504">
        <v>48</v>
      </c>
      <c r="D504" t="str">
        <f>VLOOKUP(B504,Products!$A:$E,2,FALSE)</f>
        <v>Product_414</v>
      </c>
      <c r="E504" t="str">
        <f>VLOOKUP(B504,Products!$A:$E,3,FALSE)</f>
        <v>Office Supplies</v>
      </c>
    </row>
    <row r="505" spans="1:5" x14ac:dyDescent="0.3">
      <c r="A505" t="s">
        <v>6517</v>
      </c>
      <c r="B505" t="s">
        <v>394</v>
      </c>
      <c r="C505">
        <v>14</v>
      </c>
      <c r="D505" t="str">
        <f>VLOOKUP(B505,Products!$A:$E,2,FALSE)</f>
        <v>Product_193</v>
      </c>
      <c r="E505" t="str">
        <f>VLOOKUP(B505,Products!$A:$E,3,FALSE)</f>
        <v>Accessories</v>
      </c>
    </row>
    <row r="506" spans="1:5" x14ac:dyDescent="0.3">
      <c r="A506" t="s">
        <v>6518</v>
      </c>
      <c r="B506" t="s">
        <v>418</v>
      </c>
      <c r="C506">
        <v>12</v>
      </c>
      <c r="D506" t="str">
        <f>VLOOKUP(B506,Products!$A:$E,2,FALSE)</f>
        <v>Product_205</v>
      </c>
      <c r="E506" t="str">
        <f>VLOOKUP(B506,Products!$A:$E,3,FALSE)</f>
        <v>Storage</v>
      </c>
    </row>
    <row r="507" spans="1:5" x14ac:dyDescent="0.3">
      <c r="A507" t="s">
        <v>6519</v>
      </c>
      <c r="B507" t="s">
        <v>854</v>
      </c>
      <c r="C507">
        <v>1</v>
      </c>
      <c r="D507" t="str">
        <f>VLOOKUP(B507,Products!$A:$E,2,FALSE)</f>
        <v>Product_423</v>
      </c>
      <c r="E507" t="str">
        <f>VLOOKUP(B507,Products!$A:$E,3,FALSE)</f>
        <v>Office Supplies</v>
      </c>
    </row>
    <row r="508" spans="1:5" x14ac:dyDescent="0.3">
      <c r="A508" t="s">
        <v>6520</v>
      </c>
      <c r="B508" t="s">
        <v>380</v>
      </c>
      <c r="C508">
        <v>1</v>
      </c>
      <c r="D508" t="str">
        <f>VLOOKUP(B508,Products!$A:$E,2,FALSE)</f>
        <v>Product_186</v>
      </c>
      <c r="E508" t="str">
        <f>VLOOKUP(B508,Products!$A:$E,3,FALSE)</f>
        <v>Accessories</v>
      </c>
    </row>
    <row r="509" spans="1:5" x14ac:dyDescent="0.3">
      <c r="A509" t="s">
        <v>6521</v>
      </c>
      <c r="B509" t="s">
        <v>84</v>
      </c>
      <c r="C509">
        <v>23</v>
      </c>
      <c r="D509" t="str">
        <f>VLOOKUP(B509,Products!$A:$E,2,FALSE)</f>
        <v>Product_38</v>
      </c>
      <c r="E509" t="str">
        <f>VLOOKUP(B509,Products!$A:$E,3,FALSE)</f>
        <v>Accessories</v>
      </c>
    </row>
    <row r="510" spans="1:5" x14ac:dyDescent="0.3">
      <c r="A510" t="s">
        <v>6522</v>
      </c>
      <c r="B510" t="s">
        <v>40</v>
      </c>
      <c r="C510">
        <v>36</v>
      </c>
      <c r="D510" t="str">
        <f>VLOOKUP(B510,Products!$A:$E,2,FALSE)</f>
        <v>Product_16</v>
      </c>
      <c r="E510" t="str">
        <f>VLOOKUP(B510,Products!$A:$E,3,FALSE)</f>
        <v>Office Supplies</v>
      </c>
    </row>
    <row r="511" spans="1:5" x14ac:dyDescent="0.3">
      <c r="A511" t="s">
        <v>6523</v>
      </c>
      <c r="B511" t="s">
        <v>126</v>
      </c>
      <c r="C511">
        <v>10</v>
      </c>
      <c r="D511" t="str">
        <f>VLOOKUP(B511,Products!$A:$E,2,FALSE)</f>
        <v>Product_59</v>
      </c>
      <c r="E511" t="str">
        <f>VLOOKUP(B511,Products!$A:$E,3,FALSE)</f>
        <v>Accessories</v>
      </c>
    </row>
    <row r="512" spans="1:5" x14ac:dyDescent="0.3">
      <c r="A512" t="s">
        <v>6524</v>
      </c>
      <c r="B512" t="s">
        <v>306</v>
      </c>
      <c r="C512">
        <v>29</v>
      </c>
      <c r="D512" t="str">
        <f>VLOOKUP(B512,Products!$A:$E,2,FALSE)</f>
        <v>Product_149</v>
      </c>
      <c r="E512" t="str">
        <f>VLOOKUP(B512,Products!$A:$E,3,FALSE)</f>
        <v>Accessories</v>
      </c>
    </row>
    <row r="513" spans="1:5" x14ac:dyDescent="0.3">
      <c r="A513" t="s">
        <v>6525</v>
      </c>
      <c r="B513" t="s">
        <v>208</v>
      </c>
      <c r="C513">
        <v>41</v>
      </c>
      <c r="D513" t="str">
        <f>VLOOKUP(B513,Products!$A:$E,2,FALSE)</f>
        <v>Product_100</v>
      </c>
      <c r="E513" t="str">
        <f>VLOOKUP(B513,Products!$A:$E,3,FALSE)</f>
        <v>Accessories</v>
      </c>
    </row>
    <row r="514" spans="1:5" x14ac:dyDescent="0.3">
      <c r="A514" t="s">
        <v>6526</v>
      </c>
      <c r="B514" t="s">
        <v>608</v>
      </c>
      <c r="C514">
        <v>49</v>
      </c>
      <c r="D514" t="str">
        <f>VLOOKUP(B514,Products!$A:$E,2,FALSE)</f>
        <v>Product_300</v>
      </c>
      <c r="E514" t="str">
        <f>VLOOKUP(B514,Products!$A:$E,3,FALSE)</f>
        <v>Accessories</v>
      </c>
    </row>
    <row r="515" spans="1:5" x14ac:dyDescent="0.3">
      <c r="A515" t="s">
        <v>6527</v>
      </c>
      <c r="B515" t="s">
        <v>378</v>
      </c>
      <c r="C515">
        <v>3</v>
      </c>
      <c r="D515" t="str">
        <f>VLOOKUP(B515,Products!$A:$E,2,FALSE)</f>
        <v>Product_185</v>
      </c>
      <c r="E515" t="str">
        <f>VLOOKUP(B515,Products!$A:$E,3,FALSE)</f>
        <v>Storage</v>
      </c>
    </row>
    <row r="516" spans="1:5" x14ac:dyDescent="0.3">
      <c r="A516" t="s">
        <v>6528</v>
      </c>
      <c r="B516" t="s">
        <v>1008</v>
      </c>
      <c r="C516">
        <v>2</v>
      </c>
      <c r="D516" t="str">
        <f>VLOOKUP(B516,Products!$A:$E,2,FALSE)</f>
        <v>Product_500</v>
      </c>
      <c r="E516" t="str">
        <f>VLOOKUP(B516,Products!$A:$E,3,FALSE)</f>
        <v>Networking</v>
      </c>
    </row>
    <row r="517" spans="1:5" x14ac:dyDescent="0.3">
      <c r="A517" t="s">
        <v>6529</v>
      </c>
      <c r="B517" t="s">
        <v>212</v>
      </c>
      <c r="C517">
        <v>13</v>
      </c>
      <c r="D517" t="str">
        <f>VLOOKUP(B517,Products!$A:$E,2,FALSE)</f>
        <v>Product_102</v>
      </c>
      <c r="E517" t="str">
        <f>VLOOKUP(B517,Products!$A:$E,3,FALSE)</f>
        <v>Storage</v>
      </c>
    </row>
    <row r="518" spans="1:5" x14ac:dyDescent="0.3">
      <c r="A518" t="s">
        <v>6530</v>
      </c>
      <c r="B518" t="s">
        <v>300</v>
      </c>
      <c r="C518">
        <v>12</v>
      </c>
      <c r="D518" t="str">
        <f>VLOOKUP(B518,Products!$A:$E,2,FALSE)</f>
        <v>Product_146</v>
      </c>
      <c r="E518" t="str">
        <f>VLOOKUP(B518,Products!$A:$E,3,FALSE)</f>
        <v>Office Supplies</v>
      </c>
    </row>
    <row r="519" spans="1:5" x14ac:dyDescent="0.3">
      <c r="A519" t="s">
        <v>6531</v>
      </c>
      <c r="B519" t="s">
        <v>234</v>
      </c>
      <c r="C519">
        <v>17</v>
      </c>
      <c r="D519" t="str">
        <f>VLOOKUP(B519,Products!$A:$E,2,FALSE)</f>
        <v>Product_113</v>
      </c>
      <c r="E519" t="str">
        <f>VLOOKUP(B519,Products!$A:$E,3,FALSE)</f>
        <v>Electronics</v>
      </c>
    </row>
    <row r="520" spans="1:5" x14ac:dyDescent="0.3">
      <c r="A520" t="s">
        <v>6532</v>
      </c>
      <c r="B520" t="s">
        <v>746</v>
      </c>
      <c r="C520">
        <v>12</v>
      </c>
      <c r="D520" t="str">
        <f>VLOOKUP(B520,Products!$A:$E,2,FALSE)</f>
        <v>Product_369</v>
      </c>
      <c r="E520" t="str">
        <f>VLOOKUP(B520,Products!$A:$E,3,FALSE)</f>
        <v>Accessories</v>
      </c>
    </row>
    <row r="521" spans="1:5" x14ac:dyDescent="0.3">
      <c r="A521" t="s">
        <v>6533</v>
      </c>
      <c r="B521" t="s">
        <v>356</v>
      </c>
      <c r="C521">
        <v>36</v>
      </c>
      <c r="D521" t="str">
        <f>VLOOKUP(B521,Products!$A:$E,2,FALSE)</f>
        <v>Product_174</v>
      </c>
      <c r="E521" t="str">
        <f>VLOOKUP(B521,Products!$A:$E,3,FALSE)</f>
        <v>Storage</v>
      </c>
    </row>
    <row r="522" spans="1:5" x14ac:dyDescent="0.3">
      <c r="A522" t="s">
        <v>6534</v>
      </c>
      <c r="B522" t="s">
        <v>260</v>
      </c>
      <c r="C522">
        <v>12</v>
      </c>
      <c r="D522" t="str">
        <f>VLOOKUP(B522,Products!$A:$E,2,FALSE)</f>
        <v>Product_126</v>
      </c>
      <c r="E522" t="str">
        <f>VLOOKUP(B522,Products!$A:$E,3,FALSE)</f>
        <v>Office Supplies</v>
      </c>
    </row>
    <row r="523" spans="1:5" x14ac:dyDescent="0.3">
      <c r="A523" t="s">
        <v>6535</v>
      </c>
      <c r="B523" t="s">
        <v>210</v>
      </c>
      <c r="C523">
        <v>2</v>
      </c>
      <c r="D523" t="str">
        <f>VLOOKUP(B523,Products!$A:$E,2,FALSE)</f>
        <v>Product_101</v>
      </c>
      <c r="E523" t="str">
        <f>VLOOKUP(B523,Products!$A:$E,3,FALSE)</f>
        <v>Storage</v>
      </c>
    </row>
    <row r="524" spans="1:5" x14ac:dyDescent="0.3">
      <c r="A524" t="s">
        <v>6536</v>
      </c>
      <c r="B524" t="s">
        <v>190</v>
      </c>
      <c r="C524">
        <v>17</v>
      </c>
      <c r="D524" t="str">
        <f>VLOOKUP(B524,Products!$A:$E,2,FALSE)</f>
        <v>Product_91</v>
      </c>
      <c r="E524" t="str">
        <f>VLOOKUP(B524,Products!$A:$E,3,FALSE)</f>
        <v>Networking</v>
      </c>
    </row>
    <row r="525" spans="1:5" x14ac:dyDescent="0.3">
      <c r="A525" t="s">
        <v>6537</v>
      </c>
      <c r="B525" t="s">
        <v>942</v>
      </c>
      <c r="C525">
        <v>7</v>
      </c>
      <c r="D525" t="str">
        <f>VLOOKUP(B525,Products!$A:$E,2,FALSE)</f>
        <v>Product_467</v>
      </c>
      <c r="E525" t="str">
        <f>VLOOKUP(B525,Products!$A:$E,3,FALSE)</f>
        <v>Accessories</v>
      </c>
    </row>
    <row r="526" spans="1:5" x14ac:dyDescent="0.3">
      <c r="A526" t="s">
        <v>6538</v>
      </c>
      <c r="B526" t="s">
        <v>30</v>
      </c>
      <c r="C526">
        <v>44</v>
      </c>
      <c r="D526" t="str">
        <f>VLOOKUP(B526,Products!$A:$E,2,FALSE)</f>
        <v>Product_11</v>
      </c>
      <c r="E526" t="str">
        <f>VLOOKUP(B526,Products!$A:$E,3,FALSE)</f>
        <v>Electronics</v>
      </c>
    </row>
    <row r="527" spans="1:5" x14ac:dyDescent="0.3">
      <c r="A527" t="s">
        <v>6539</v>
      </c>
      <c r="B527" t="s">
        <v>150</v>
      </c>
      <c r="C527">
        <v>25</v>
      </c>
      <c r="D527" t="str">
        <f>VLOOKUP(B527,Products!$A:$E,2,FALSE)</f>
        <v>Product_71</v>
      </c>
      <c r="E527" t="str">
        <f>VLOOKUP(B527,Products!$A:$E,3,FALSE)</f>
        <v>Accessories</v>
      </c>
    </row>
    <row r="528" spans="1:5" x14ac:dyDescent="0.3">
      <c r="A528" t="s">
        <v>6540</v>
      </c>
      <c r="B528" t="s">
        <v>680</v>
      </c>
      <c r="C528">
        <v>8</v>
      </c>
      <c r="D528" t="str">
        <f>VLOOKUP(B528,Products!$A:$E,2,FALSE)</f>
        <v>Product_336</v>
      </c>
      <c r="E528" t="str">
        <f>VLOOKUP(B528,Products!$A:$E,3,FALSE)</f>
        <v>Storage</v>
      </c>
    </row>
    <row r="529" spans="1:5" x14ac:dyDescent="0.3">
      <c r="A529" t="s">
        <v>6541</v>
      </c>
      <c r="B529" t="s">
        <v>356</v>
      </c>
      <c r="C529">
        <v>14</v>
      </c>
      <c r="D529" t="str">
        <f>VLOOKUP(B529,Products!$A:$E,2,FALSE)</f>
        <v>Product_174</v>
      </c>
      <c r="E529" t="str">
        <f>VLOOKUP(B529,Products!$A:$E,3,FALSE)</f>
        <v>Storage</v>
      </c>
    </row>
    <row r="530" spans="1:5" x14ac:dyDescent="0.3">
      <c r="A530" t="s">
        <v>6542</v>
      </c>
      <c r="B530" t="s">
        <v>322</v>
      </c>
      <c r="C530">
        <v>30</v>
      </c>
      <c r="D530" t="str">
        <f>VLOOKUP(B530,Products!$A:$E,2,FALSE)</f>
        <v>Product_157</v>
      </c>
      <c r="E530" t="str">
        <f>VLOOKUP(B530,Products!$A:$E,3,FALSE)</f>
        <v>Electronics</v>
      </c>
    </row>
    <row r="531" spans="1:5" x14ac:dyDescent="0.3">
      <c r="A531" t="s">
        <v>6543</v>
      </c>
      <c r="B531" t="s">
        <v>254</v>
      </c>
      <c r="C531">
        <v>24</v>
      </c>
      <c r="D531" t="str">
        <f>VLOOKUP(B531,Products!$A:$E,2,FALSE)</f>
        <v>Product_123</v>
      </c>
      <c r="E531" t="str">
        <f>VLOOKUP(B531,Products!$A:$E,3,FALSE)</f>
        <v>Electronics</v>
      </c>
    </row>
    <row r="532" spans="1:5" x14ac:dyDescent="0.3">
      <c r="A532" t="s">
        <v>6544</v>
      </c>
      <c r="B532" t="s">
        <v>838</v>
      </c>
      <c r="C532">
        <v>24</v>
      </c>
      <c r="D532" t="str">
        <f>VLOOKUP(B532,Products!$A:$E,2,FALSE)</f>
        <v>Product_415</v>
      </c>
      <c r="E532" t="str">
        <f>VLOOKUP(B532,Products!$A:$E,3,FALSE)</f>
        <v>Networking</v>
      </c>
    </row>
    <row r="533" spans="1:5" x14ac:dyDescent="0.3">
      <c r="A533" t="s">
        <v>6545</v>
      </c>
      <c r="B533" t="s">
        <v>686</v>
      </c>
      <c r="C533">
        <v>11</v>
      </c>
      <c r="D533" t="str">
        <f>VLOOKUP(B533,Products!$A:$E,2,FALSE)</f>
        <v>Product_339</v>
      </c>
      <c r="E533" t="str">
        <f>VLOOKUP(B533,Products!$A:$E,3,FALSE)</f>
        <v>Storage</v>
      </c>
    </row>
    <row r="534" spans="1:5" x14ac:dyDescent="0.3">
      <c r="A534" t="s">
        <v>6546</v>
      </c>
      <c r="B534" t="s">
        <v>972</v>
      </c>
      <c r="C534">
        <v>34</v>
      </c>
      <c r="D534" t="str">
        <f>VLOOKUP(B534,Products!$A:$E,2,FALSE)</f>
        <v>Product_482</v>
      </c>
      <c r="E534" t="str">
        <f>VLOOKUP(B534,Products!$A:$E,3,FALSE)</f>
        <v>Storage</v>
      </c>
    </row>
    <row r="535" spans="1:5" x14ac:dyDescent="0.3">
      <c r="A535" t="s">
        <v>6547</v>
      </c>
      <c r="B535" t="s">
        <v>828</v>
      </c>
      <c r="C535">
        <v>40</v>
      </c>
      <c r="D535" t="str">
        <f>VLOOKUP(B535,Products!$A:$E,2,FALSE)</f>
        <v>Product_410</v>
      </c>
      <c r="E535" t="str">
        <f>VLOOKUP(B535,Products!$A:$E,3,FALSE)</f>
        <v>Storage</v>
      </c>
    </row>
    <row r="536" spans="1:5" x14ac:dyDescent="0.3">
      <c r="A536" t="s">
        <v>6548</v>
      </c>
      <c r="B536" t="s">
        <v>912</v>
      </c>
      <c r="C536">
        <v>28</v>
      </c>
      <c r="D536" t="str">
        <f>VLOOKUP(B536,Products!$A:$E,2,FALSE)</f>
        <v>Product_452</v>
      </c>
      <c r="E536" t="str">
        <f>VLOOKUP(B536,Products!$A:$E,3,FALSE)</f>
        <v>Office Supplies</v>
      </c>
    </row>
    <row r="537" spans="1:5" x14ac:dyDescent="0.3">
      <c r="A537" t="s">
        <v>6549</v>
      </c>
      <c r="B537" t="s">
        <v>908</v>
      </c>
      <c r="C537">
        <v>46</v>
      </c>
      <c r="D537" t="str">
        <f>VLOOKUP(B537,Products!$A:$E,2,FALSE)</f>
        <v>Product_450</v>
      </c>
      <c r="E537" t="str">
        <f>VLOOKUP(B537,Products!$A:$E,3,FALSE)</f>
        <v>Networking</v>
      </c>
    </row>
    <row r="538" spans="1:5" x14ac:dyDescent="0.3">
      <c r="A538" t="s">
        <v>6550</v>
      </c>
      <c r="B538" t="s">
        <v>76</v>
      </c>
      <c r="C538">
        <v>8</v>
      </c>
      <c r="D538" t="str">
        <f>VLOOKUP(B538,Products!$A:$E,2,FALSE)</f>
        <v>Product_34</v>
      </c>
      <c r="E538" t="str">
        <f>VLOOKUP(B538,Products!$A:$E,3,FALSE)</f>
        <v>Office Supplies</v>
      </c>
    </row>
    <row r="539" spans="1:5" x14ac:dyDescent="0.3">
      <c r="A539" t="s">
        <v>6551</v>
      </c>
      <c r="B539" t="s">
        <v>156</v>
      </c>
      <c r="C539">
        <v>9</v>
      </c>
      <c r="D539" t="str">
        <f>VLOOKUP(B539,Products!$A:$E,2,FALSE)</f>
        <v>Product_74</v>
      </c>
      <c r="E539" t="str">
        <f>VLOOKUP(B539,Products!$A:$E,3,FALSE)</f>
        <v>Storage</v>
      </c>
    </row>
    <row r="540" spans="1:5" x14ac:dyDescent="0.3">
      <c r="A540" t="s">
        <v>6552</v>
      </c>
      <c r="B540" t="s">
        <v>822</v>
      </c>
      <c r="C540">
        <v>13</v>
      </c>
      <c r="D540" t="str">
        <f>VLOOKUP(B540,Products!$A:$E,2,FALSE)</f>
        <v>Product_407</v>
      </c>
      <c r="E540" t="str">
        <f>VLOOKUP(B540,Products!$A:$E,3,FALSE)</f>
        <v>Networking</v>
      </c>
    </row>
    <row r="541" spans="1:5" x14ac:dyDescent="0.3">
      <c r="A541" t="s">
        <v>6553</v>
      </c>
      <c r="B541" t="s">
        <v>206</v>
      </c>
      <c r="C541">
        <v>35</v>
      </c>
      <c r="D541" t="str">
        <f>VLOOKUP(B541,Products!$A:$E,2,FALSE)</f>
        <v>Product_99</v>
      </c>
      <c r="E541" t="str">
        <f>VLOOKUP(B541,Products!$A:$E,3,FALSE)</f>
        <v>Accessories</v>
      </c>
    </row>
    <row r="542" spans="1:5" x14ac:dyDescent="0.3">
      <c r="A542" t="s">
        <v>6554</v>
      </c>
      <c r="B542" t="s">
        <v>396</v>
      </c>
      <c r="C542">
        <v>45</v>
      </c>
      <c r="D542" t="str">
        <f>VLOOKUP(B542,Products!$A:$E,2,FALSE)</f>
        <v>Product_194</v>
      </c>
      <c r="E542" t="str">
        <f>VLOOKUP(B542,Products!$A:$E,3,FALSE)</f>
        <v>Networking</v>
      </c>
    </row>
    <row r="543" spans="1:5" x14ac:dyDescent="0.3">
      <c r="A543" t="s">
        <v>6555</v>
      </c>
      <c r="B543" t="s">
        <v>392</v>
      </c>
      <c r="C543">
        <v>21</v>
      </c>
      <c r="D543" t="str">
        <f>VLOOKUP(B543,Products!$A:$E,2,FALSE)</f>
        <v>Product_192</v>
      </c>
      <c r="E543" t="str">
        <f>VLOOKUP(B543,Products!$A:$E,3,FALSE)</f>
        <v>Office Supplies</v>
      </c>
    </row>
    <row r="544" spans="1:5" x14ac:dyDescent="0.3">
      <c r="A544" t="s">
        <v>6556</v>
      </c>
      <c r="B544" t="s">
        <v>622</v>
      </c>
      <c r="C544">
        <v>28</v>
      </c>
      <c r="D544" t="str">
        <f>VLOOKUP(B544,Products!$A:$E,2,FALSE)</f>
        <v>Product_307</v>
      </c>
      <c r="E544" t="str">
        <f>VLOOKUP(B544,Products!$A:$E,3,FALSE)</f>
        <v>Storage</v>
      </c>
    </row>
    <row r="545" spans="1:5" x14ac:dyDescent="0.3">
      <c r="A545" t="s">
        <v>6557</v>
      </c>
      <c r="B545" t="s">
        <v>660</v>
      </c>
      <c r="C545">
        <v>16</v>
      </c>
      <c r="D545" t="str">
        <f>VLOOKUP(B545,Products!$A:$E,2,FALSE)</f>
        <v>Product_326</v>
      </c>
      <c r="E545" t="str">
        <f>VLOOKUP(B545,Products!$A:$E,3,FALSE)</f>
        <v>Electronics</v>
      </c>
    </row>
    <row r="546" spans="1:5" x14ac:dyDescent="0.3">
      <c r="A546" t="s">
        <v>6558</v>
      </c>
      <c r="B546" t="s">
        <v>952</v>
      </c>
      <c r="C546">
        <v>3</v>
      </c>
      <c r="D546" t="str">
        <f>VLOOKUP(B546,Products!$A:$E,2,FALSE)</f>
        <v>Product_472</v>
      </c>
      <c r="E546" t="str">
        <f>VLOOKUP(B546,Products!$A:$E,3,FALSE)</f>
        <v>Electronics</v>
      </c>
    </row>
    <row r="547" spans="1:5" x14ac:dyDescent="0.3">
      <c r="A547" t="s">
        <v>6559</v>
      </c>
      <c r="B547" t="s">
        <v>790</v>
      </c>
      <c r="C547">
        <v>40</v>
      </c>
      <c r="D547" t="str">
        <f>VLOOKUP(B547,Products!$A:$E,2,FALSE)</f>
        <v>Product_391</v>
      </c>
      <c r="E547" t="str">
        <f>VLOOKUP(B547,Products!$A:$E,3,FALSE)</f>
        <v>Accessories</v>
      </c>
    </row>
    <row r="548" spans="1:5" x14ac:dyDescent="0.3">
      <c r="A548" t="s">
        <v>6560</v>
      </c>
      <c r="B548" t="s">
        <v>610</v>
      </c>
      <c r="C548">
        <v>13</v>
      </c>
      <c r="D548" t="str">
        <f>VLOOKUP(B548,Products!$A:$E,2,FALSE)</f>
        <v>Product_301</v>
      </c>
      <c r="E548" t="str">
        <f>VLOOKUP(B548,Products!$A:$E,3,FALSE)</f>
        <v>Networking</v>
      </c>
    </row>
    <row r="549" spans="1:5" x14ac:dyDescent="0.3">
      <c r="A549" t="s">
        <v>6561</v>
      </c>
      <c r="B549" t="s">
        <v>884</v>
      </c>
      <c r="C549">
        <v>35</v>
      </c>
      <c r="D549" t="str">
        <f>VLOOKUP(B549,Products!$A:$E,2,FALSE)</f>
        <v>Product_438</v>
      </c>
      <c r="E549" t="str">
        <f>VLOOKUP(B549,Products!$A:$E,3,FALSE)</f>
        <v>Electronics</v>
      </c>
    </row>
    <row r="550" spans="1:5" x14ac:dyDescent="0.3">
      <c r="A550" t="s">
        <v>6562</v>
      </c>
      <c r="B550" t="s">
        <v>310</v>
      </c>
      <c r="C550">
        <v>10</v>
      </c>
      <c r="D550" t="str">
        <f>VLOOKUP(B550,Products!$A:$E,2,FALSE)</f>
        <v>Product_151</v>
      </c>
      <c r="E550" t="str">
        <f>VLOOKUP(B550,Products!$A:$E,3,FALSE)</f>
        <v>Storage</v>
      </c>
    </row>
    <row r="551" spans="1:5" x14ac:dyDescent="0.3">
      <c r="A551" t="s">
        <v>6563</v>
      </c>
      <c r="B551" t="s">
        <v>344</v>
      </c>
      <c r="C551">
        <v>16</v>
      </c>
      <c r="D551" t="str">
        <f>VLOOKUP(B551,Products!$A:$E,2,FALSE)</f>
        <v>Product_168</v>
      </c>
      <c r="E551" t="str">
        <f>VLOOKUP(B551,Products!$A:$E,3,FALSE)</f>
        <v>Electronics</v>
      </c>
    </row>
    <row r="552" spans="1:5" x14ac:dyDescent="0.3">
      <c r="A552" t="s">
        <v>6564</v>
      </c>
      <c r="B552" t="s">
        <v>64</v>
      </c>
      <c r="C552">
        <v>41</v>
      </c>
      <c r="D552" t="str">
        <f>VLOOKUP(B552,Products!$A:$E,2,FALSE)</f>
        <v>Product_28</v>
      </c>
      <c r="E552" t="str">
        <f>VLOOKUP(B552,Products!$A:$E,3,FALSE)</f>
        <v>Office Supplies</v>
      </c>
    </row>
    <row r="553" spans="1:5" x14ac:dyDescent="0.3">
      <c r="A553" t="s">
        <v>6565</v>
      </c>
      <c r="B553" t="s">
        <v>824</v>
      </c>
      <c r="C553">
        <v>18</v>
      </c>
      <c r="D553" t="str">
        <f>VLOOKUP(B553,Products!$A:$E,2,FALSE)</f>
        <v>Product_408</v>
      </c>
      <c r="E553" t="str">
        <f>VLOOKUP(B553,Products!$A:$E,3,FALSE)</f>
        <v>Storage</v>
      </c>
    </row>
    <row r="554" spans="1:5" x14ac:dyDescent="0.3">
      <c r="A554" t="s">
        <v>6566</v>
      </c>
      <c r="B554" t="s">
        <v>902</v>
      </c>
      <c r="C554">
        <v>9</v>
      </c>
      <c r="D554" t="str">
        <f>VLOOKUP(B554,Products!$A:$E,2,FALSE)</f>
        <v>Product_447</v>
      </c>
      <c r="E554" t="str">
        <f>VLOOKUP(B554,Products!$A:$E,3,FALSE)</f>
        <v>Office Supplies</v>
      </c>
    </row>
    <row r="555" spans="1:5" x14ac:dyDescent="0.3">
      <c r="A555" t="s">
        <v>6567</v>
      </c>
      <c r="B555" t="s">
        <v>880</v>
      </c>
      <c r="C555">
        <v>33</v>
      </c>
      <c r="D555" t="str">
        <f>VLOOKUP(B555,Products!$A:$E,2,FALSE)</f>
        <v>Product_436</v>
      </c>
      <c r="E555" t="str">
        <f>VLOOKUP(B555,Products!$A:$E,3,FALSE)</f>
        <v>Networking</v>
      </c>
    </row>
    <row r="556" spans="1:5" x14ac:dyDescent="0.3">
      <c r="A556" t="s">
        <v>6568</v>
      </c>
      <c r="B556" t="s">
        <v>1000</v>
      </c>
      <c r="C556">
        <v>38</v>
      </c>
      <c r="D556" t="str">
        <f>VLOOKUP(B556,Products!$A:$E,2,FALSE)</f>
        <v>Product_496</v>
      </c>
      <c r="E556" t="str">
        <f>VLOOKUP(B556,Products!$A:$E,3,FALSE)</f>
        <v>Office Supplies</v>
      </c>
    </row>
    <row r="557" spans="1:5" x14ac:dyDescent="0.3">
      <c r="A557" t="s">
        <v>6569</v>
      </c>
      <c r="B557" t="s">
        <v>916</v>
      </c>
      <c r="C557">
        <v>32</v>
      </c>
      <c r="D557" t="str">
        <f>VLOOKUP(B557,Products!$A:$E,2,FALSE)</f>
        <v>Product_454</v>
      </c>
      <c r="E557" t="str">
        <f>VLOOKUP(B557,Products!$A:$E,3,FALSE)</f>
        <v>Networking</v>
      </c>
    </row>
    <row r="558" spans="1:5" x14ac:dyDescent="0.3">
      <c r="A558" t="s">
        <v>6570</v>
      </c>
      <c r="B558" t="s">
        <v>224</v>
      </c>
      <c r="C558">
        <v>47</v>
      </c>
      <c r="D558" t="str">
        <f>VLOOKUP(B558,Products!$A:$E,2,FALSE)</f>
        <v>Product_108</v>
      </c>
      <c r="E558" t="str">
        <f>VLOOKUP(B558,Products!$A:$E,3,FALSE)</f>
        <v>Networking</v>
      </c>
    </row>
    <row r="559" spans="1:5" x14ac:dyDescent="0.3">
      <c r="A559" t="s">
        <v>6571</v>
      </c>
      <c r="B559" t="s">
        <v>92</v>
      </c>
      <c r="C559">
        <v>31</v>
      </c>
      <c r="D559" t="str">
        <f>VLOOKUP(B559,Products!$A:$E,2,FALSE)</f>
        <v>Product_42</v>
      </c>
      <c r="E559" t="str">
        <f>VLOOKUP(B559,Products!$A:$E,3,FALSE)</f>
        <v>Storage</v>
      </c>
    </row>
    <row r="560" spans="1:5" x14ac:dyDescent="0.3">
      <c r="A560" t="s">
        <v>6572</v>
      </c>
      <c r="B560" t="s">
        <v>818</v>
      </c>
      <c r="C560">
        <v>43</v>
      </c>
      <c r="D560" t="str">
        <f>VLOOKUP(B560,Products!$A:$E,2,FALSE)</f>
        <v>Product_405</v>
      </c>
      <c r="E560" t="str">
        <f>VLOOKUP(B560,Products!$A:$E,3,FALSE)</f>
        <v>Electronics</v>
      </c>
    </row>
    <row r="561" spans="1:5" x14ac:dyDescent="0.3">
      <c r="A561" t="s">
        <v>6573</v>
      </c>
      <c r="B561" t="s">
        <v>638</v>
      </c>
      <c r="C561">
        <v>5</v>
      </c>
      <c r="D561" t="str">
        <f>VLOOKUP(B561,Products!$A:$E,2,FALSE)</f>
        <v>Product_315</v>
      </c>
      <c r="E561" t="str">
        <f>VLOOKUP(B561,Products!$A:$E,3,FALSE)</f>
        <v>Accessories</v>
      </c>
    </row>
    <row r="562" spans="1:5" x14ac:dyDescent="0.3">
      <c r="A562" t="s">
        <v>6574</v>
      </c>
      <c r="B562" t="s">
        <v>180</v>
      </c>
      <c r="C562">
        <v>33</v>
      </c>
      <c r="D562" t="str">
        <f>VLOOKUP(B562,Products!$A:$E,2,FALSE)</f>
        <v>Product_86</v>
      </c>
      <c r="E562" t="str">
        <f>VLOOKUP(B562,Products!$A:$E,3,FALSE)</f>
        <v>Storage</v>
      </c>
    </row>
    <row r="563" spans="1:5" x14ac:dyDescent="0.3">
      <c r="A563" t="s">
        <v>6575</v>
      </c>
      <c r="B563" t="s">
        <v>406</v>
      </c>
      <c r="C563">
        <v>49</v>
      </c>
      <c r="D563" t="str">
        <f>VLOOKUP(B563,Products!$A:$E,2,FALSE)</f>
        <v>Product_199</v>
      </c>
      <c r="E563" t="str">
        <f>VLOOKUP(B563,Products!$A:$E,3,FALSE)</f>
        <v>Storage</v>
      </c>
    </row>
    <row r="564" spans="1:5" x14ac:dyDescent="0.3">
      <c r="A564" t="s">
        <v>6576</v>
      </c>
      <c r="B564" t="s">
        <v>912</v>
      </c>
      <c r="C564">
        <v>42</v>
      </c>
      <c r="D564" t="str">
        <f>VLOOKUP(B564,Products!$A:$E,2,FALSE)</f>
        <v>Product_452</v>
      </c>
      <c r="E564" t="str">
        <f>VLOOKUP(B564,Products!$A:$E,3,FALSE)</f>
        <v>Office Supplies</v>
      </c>
    </row>
    <row r="565" spans="1:5" x14ac:dyDescent="0.3">
      <c r="A565" t="s">
        <v>6577</v>
      </c>
      <c r="B565" t="s">
        <v>778</v>
      </c>
      <c r="C565">
        <v>33</v>
      </c>
      <c r="D565" t="str">
        <f>VLOOKUP(B565,Products!$A:$E,2,FALSE)</f>
        <v>Product_385</v>
      </c>
      <c r="E565" t="str">
        <f>VLOOKUP(B565,Products!$A:$E,3,FALSE)</f>
        <v>Networking</v>
      </c>
    </row>
    <row r="566" spans="1:5" x14ac:dyDescent="0.3">
      <c r="A566" t="s">
        <v>6578</v>
      </c>
      <c r="B566" t="s">
        <v>392</v>
      </c>
      <c r="C566">
        <v>32</v>
      </c>
      <c r="D566" t="str">
        <f>VLOOKUP(B566,Products!$A:$E,2,FALSE)</f>
        <v>Product_192</v>
      </c>
      <c r="E566" t="str">
        <f>VLOOKUP(B566,Products!$A:$E,3,FALSE)</f>
        <v>Office Supplies</v>
      </c>
    </row>
    <row r="567" spans="1:5" x14ac:dyDescent="0.3">
      <c r="A567" t="s">
        <v>6579</v>
      </c>
      <c r="B567" t="s">
        <v>540</v>
      </c>
      <c r="C567">
        <v>30</v>
      </c>
      <c r="D567" t="str">
        <f>VLOOKUP(B567,Products!$A:$E,2,FALSE)</f>
        <v>Product_266</v>
      </c>
      <c r="E567" t="str">
        <f>VLOOKUP(B567,Products!$A:$E,3,FALSE)</f>
        <v>Electronics</v>
      </c>
    </row>
    <row r="568" spans="1:5" x14ac:dyDescent="0.3">
      <c r="A568" t="s">
        <v>6580</v>
      </c>
      <c r="B568" t="s">
        <v>192</v>
      </c>
      <c r="C568">
        <v>21</v>
      </c>
      <c r="D568" t="str">
        <f>VLOOKUP(B568,Products!$A:$E,2,FALSE)</f>
        <v>Product_92</v>
      </c>
      <c r="E568" t="str">
        <f>VLOOKUP(B568,Products!$A:$E,3,FALSE)</f>
        <v>Electronics</v>
      </c>
    </row>
    <row r="569" spans="1:5" x14ac:dyDescent="0.3">
      <c r="A569" t="s">
        <v>6581</v>
      </c>
      <c r="B569" t="s">
        <v>738</v>
      </c>
      <c r="C569">
        <v>24</v>
      </c>
      <c r="D569" t="str">
        <f>VLOOKUP(B569,Products!$A:$E,2,FALSE)</f>
        <v>Product_365</v>
      </c>
      <c r="E569" t="str">
        <f>VLOOKUP(B569,Products!$A:$E,3,FALSE)</f>
        <v>Storage</v>
      </c>
    </row>
    <row r="570" spans="1:5" x14ac:dyDescent="0.3">
      <c r="A570" t="s">
        <v>6582</v>
      </c>
      <c r="B570" t="s">
        <v>548</v>
      </c>
      <c r="C570">
        <v>45</v>
      </c>
      <c r="D570" t="str">
        <f>VLOOKUP(B570,Products!$A:$E,2,FALSE)</f>
        <v>Product_270</v>
      </c>
      <c r="E570" t="str">
        <f>VLOOKUP(B570,Products!$A:$E,3,FALSE)</f>
        <v>Electronics</v>
      </c>
    </row>
    <row r="571" spans="1:5" x14ac:dyDescent="0.3">
      <c r="A571" t="s">
        <v>6583</v>
      </c>
      <c r="B571" t="s">
        <v>504</v>
      </c>
      <c r="C571">
        <v>46</v>
      </c>
      <c r="D571" t="str">
        <f>VLOOKUP(B571,Products!$A:$E,2,FALSE)</f>
        <v>Product_248</v>
      </c>
      <c r="E571" t="str">
        <f>VLOOKUP(B571,Products!$A:$E,3,FALSE)</f>
        <v>Networking</v>
      </c>
    </row>
    <row r="572" spans="1:5" x14ac:dyDescent="0.3">
      <c r="A572" t="s">
        <v>6584</v>
      </c>
      <c r="B572" t="s">
        <v>988</v>
      </c>
      <c r="C572">
        <v>32</v>
      </c>
      <c r="D572" t="str">
        <f>VLOOKUP(B572,Products!$A:$E,2,FALSE)</f>
        <v>Product_490</v>
      </c>
      <c r="E572" t="str">
        <f>VLOOKUP(B572,Products!$A:$E,3,FALSE)</f>
        <v>Storage</v>
      </c>
    </row>
    <row r="573" spans="1:5" x14ac:dyDescent="0.3">
      <c r="A573" t="s">
        <v>6585</v>
      </c>
      <c r="B573" t="s">
        <v>494</v>
      </c>
      <c r="C573">
        <v>18</v>
      </c>
      <c r="D573" t="str">
        <f>VLOOKUP(B573,Products!$A:$E,2,FALSE)</f>
        <v>Product_243</v>
      </c>
      <c r="E573" t="str">
        <f>VLOOKUP(B573,Products!$A:$E,3,FALSE)</f>
        <v>Storage</v>
      </c>
    </row>
    <row r="574" spans="1:5" x14ac:dyDescent="0.3">
      <c r="A574" t="s">
        <v>6586</v>
      </c>
      <c r="B574" t="s">
        <v>604</v>
      </c>
      <c r="C574">
        <v>26</v>
      </c>
      <c r="D574" t="str">
        <f>VLOOKUP(B574,Products!$A:$E,2,FALSE)</f>
        <v>Product_298</v>
      </c>
      <c r="E574" t="str">
        <f>VLOOKUP(B574,Products!$A:$E,3,FALSE)</f>
        <v>Office Supplies</v>
      </c>
    </row>
    <row r="575" spans="1:5" x14ac:dyDescent="0.3">
      <c r="A575" t="s">
        <v>6587</v>
      </c>
      <c r="B575" t="s">
        <v>662</v>
      </c>
      <c r="C575">
        <v>38</v>
      </c>
      <c r="D575" t="str">
        <f>VLOOKUP(B575,Products!$A:$E,2,FALSE)</f>
        <v>Product_327</v>
      </c>
      <c r="E575" t="str">
        <f>VLOOKUP(B575,Products!$A:$E,3,FALSE)</f>
        <v>Networking</v>
      </c>
    </row>
    <row r="576" spans="1:5" x14ac:dyDescent="0.3">
      <c r="A576" t="s">
        <v>6588</v>
      </c>
      <c r="B576" t="s">
        <v>674</v>
      </c>
      <c r="C576">
        <v>3</v>
      </c>
      <c r="D576" t="str">
        <f>VLOOKUP(B576,Products!$A:$E,2,FALSE)</f>
        <v>Product_333</v>
      </c>
      <c r="E576" t="str">
        <f>VLOOKUP(B576,Products!$A:$E,3,FALSE)</f>
        <v>Storage</v>
      </c>
    </row>
    <row r="577" spans="1:5" x14ac:dyDescent="0.3">
      <c r="A577" t="s">
        <v>6589</v>
      </c>
      <c r="B577" t="s">
        <v>222</v>
      </c>
      <c r="C577">
        <v>15</v>
      </c>
      <c r="D577" t="str">
        <f>VLOOKUP(B577,Products!$A:$E,2,FALSE)</f>
        <v>Product_107</v>
      </c>
      <c r="E577" t="str">
        <f>VLOOKUP(B577,Products!$A:$E,3,FALSE)</f>
        <v>Office Supplies</v>
      </c>
    </row>
    <row r="578" spans="1:5" x14ac:dyDescent="0.3">
      <c r="A578" t="s">
        <v>6590</v>
      </c>
      <c r="B578" t="s">
        <v>926</v>
      </c>
      <c r="C578">
        <v>13</v>
      </c>
      <c r="D578" t="str">
        <f>VLOOKUP(B578,Products!$A:$E,2,FALSE)</f>
        <v>Product_459</v>
      </c>
      <c r="E578" t="str">
        <f>VLOOKUP(B578,Products!$A:$E,3,FALSE)</f>
        <v>Office Supplies</v>
      </c>
    </row>
    <row r="579" spans="1:5" x14ac:dyDescent="0.3">
      <c r="A579" t="s">
        <v>6591</v>
      </c>
      <c r="B579" t="s">
        <v>472</v>
      </c>
      <c r="C579">
        <v>16</v>
      </c>
      <c r="D579" t="str">
        <f>VLOOKUP(B579,Products!$A:$E,2,FALSE)</f>
        <v>Product_232</v>
      </c>
      <c r="E579" t="str">
        <f>VLOOKUP(B579,Products!$A:$E,3,FALSE)</f>
        <v>Office Supplies</v>
      </c>
    </row>
    <row r="580" spans="1:5" x14ac:dyDescent="0.3">
      <c r="A580" t="s">
        <v>6592</v>
      </c>
      <c r="B580" t="s">
        <v>414</v>
      </c>
      <c r="C580">
        <v>14</v>
      </c>
      <c r="D580" t="str">
        <f>VLOOKUP(B580,Products!$A:$E,2,FALSE)</f>
        <v>Product_203</v>
      </c>
      <c r="E580" t="str">
        <f>VLOOKUP(B580,Products!$A:$E,3,FALSE)</f>
        <v>Accessories</v>
      </c>
    </row>
    <row r="581" spans="1:5" x14ac:dyDescent="0.3">
      <c r="A581" t="s">
        <v>6593</v>
      </c>
      <c r="B581" t="s">
        <v>322</v>
      </c>
      <c r="C581">
        <v>28</v>
      </c>
      <c r="D581" t="str">
        <f>VLOOKUP(B581,Products!$A:$E,2,FALSE)</f>
        <v>Product_157</v>
      </c>
      <c r="E581" t="str">
        <f>VLOOKUP(B581,Products!$A:$E,3,FALSE)</f>
        <v>Electronics</v>
      </c>
    </row>
    <row r="582" spans="1:5" x14ac:dyDescent="0.3">
      <c r="A582" t="s">
        <v>6594</v>
      </c>
      <c r="B582" t="s">
        <v>920</v>
      </c>
      <c r="C582">
        <v>25</v>
      </c>
      <c r="D582" t="str">
        <f>VLOOKUP(B582,Products!$A:$E,2,FALSE)</f>
        <v>Product_456</v>
      </c>
      <c r="E582" t="str">
        <f>VLOOKUP(B582,Products!$A:$E,3,FALSE)</f>
        <v>Electronics</v>
      </c>
    </row>
    <row r="583" spans="1:5" x14ac:dyDescent="0.3">
      <c r="A583" t="s">
        <v>6595</v>
      </c>
      <c r="B583" t="s">
        <v>594</v>
      </c>
      <c r="C583">
        <v>11</v>
      </c>
      <c r="D583" t="str">
        <f>VLOOKUP(B583,Products!$A:$E,2,FALSE)</f>
        <v>Product_293</v>
      </c>
      <c r="E583" t="str">
        <f>VLOOKUP(B583,Products!$A:$E,3,FALSE)</f>
        <v>Networking</v>
      </c>
    </row>
    <row r="584" spans="1:5" x14ac:dyDescent="0.3">
      <c r="A584" t="s">
        <v>6596</v>
      </c>
      <c r="B584" t="s">
        <v>966</v>
      </c>
      <c r="C584">
        <v>24</v>
      </c>
      <c r="D584" t="str">
        <f>VLOOKUP(B584,Products!$A:$E,2,FALSE)</f>
        <v>Product_479</v>
      </c>
      <c r="E584" t="str">
        <f>VLOOKUP(B584,Products!$A:$E,3,FALSE)</f>
        <v>Office Supplies</v>
      </c>
    </row>
    <row r="585" spans="1:5" x14ac:dyDescent="0.3">
      <c r="A585" t="s">
        <v>6597</v>
      </c>
      <c r="B585" t="s">
        <v>270</v>
      </c>
      <c r="C585">
        <v>36</v>
      </c>
      <c r="D585" t="str">
        <f>VLOOKUP(B585,Products!$A:$E,2,FALSE)</f>
        <v>Product_131</v>
      </c>
      <c r="E585" t="str">
        <f>VLOOKUP(B585,Products!$A:$E,3,FALSE)</f>
        <v>Electronics</v>
      </c>
    </row>
    <row r="586" spans="1:5" x14ac:dyDescent="0.3">
      <c r="A586" t="s">
        <v>6598</v>
      </c>
      <c r="B586" t="s">
        <v>96</v>
      </c>
      <c r="C586">
        <v>9</v>
      </c>
      <c r="D586" t="str">
        <f>VLOOKUP(B586,Products!$A:$E,2,FALSE)</f>
        <v>Product_44</v>
      </c>
      <c r="E586" t="str">
        <f>VLOOKUP(B586,Products!$A:$E,3,FALSE)</f>
        <v>Storage</v>
      </c>
    </row>
    <row r="587" spans="1:5" x14ac:dyDescent="0.3">
      <c r="A587" t="s">
        <v>6599</v>
      </c>
      <c r="B587" t="s">
        <v>778</v>
      </c>
      <c r="C587">
        <v>6</v>
      </c>
      <c r="D587" t="str">
        <f>VLOOKUP(B587,Products!$A:$E,2,FALSE)</f>
        <v>Product_385</v>
      </c>
      <c r="E587" t="str">
        <f>VLOOKUP(B587,Products!$A:$E,3,FALSE)</f>
        <v>Networking</v>
      </c>
    </row>
    <row r="588" spans="1:5" x14ac:dyDescent="0.3">
      <c r="A588" t="s">
        <v>6600</v>
      </c>
      <c r="B588" t="s">
        <v>312</v>
      </c>
      <c r="C588">
        <v>29</v>
      </c>
      <c r="D588" t="str">
        <f>VLOOKUP(B588,Products!$A:$E,2,FALSE)</f>
        <v>Product_152</v>
      </c>
      <c r="E588" t="str">
        <f>VLOOKUP(B588,Products!$A:$E,3,FALSE)</f>
        <v>Storage</v>
      </c>
    </row>
    <row r="589" spans="1:5" x14ac:dyDescent="0.3">
      <c r="A589" t="s">
        <v>6601</v>
      </c>
      <c r="B589" t="s">
        <v>540</v>
      </c>
      <c r="C589">
        <v>23</v>
      </c>
      <c r="D589" t="str">
        <f>VLOOKUP(B589,Products!$A:$E,2,FALSE)</f>
        <v>Product_266</v>
      </c>
      <c r="E589" t="str">
        <f>VLOOKUP(B589,Products!$A:$E,3,FALSE)</f>
        <v>Electronics</v>
      </c>
    </row>
    <row r="590" spans="1:5" x14ac:dyDescent="0.3">
      <c r="A590" t="s">
        <v>6602</v>
      </c>
      <c r="B590" t="s">
        <v>244</v>
      </c>
      <c r="C590">
        <v>38</v>
      </c>
      <c r="D590" t="str">
        <f>VLOOKUP(B590,Products!$A:$E,2,FALSE)</f>
        <v>Product_118</v>
      </c>
      <c r="E590" t="str">
        <f>VLOOKUP(B590,Products!$A:$E,3,FALSE)</f>
        <v>Accessories</v>
      </c>
    </row>
    <row r="591" spans="1:5" x14ac:dyDescent="0.3">
      <c r="A591" t="s">
        <v>6603</v>
      </c>
      <c r="B591" t="s">
        <v>52</v>
      </c>
      <c r="C591">
        <v>30</v>
      </c>
      <c r="D591" t="str">
        <f>VLOOKUP(B591,Products!$A:$E,2,FALSE)</f>
        <v>Product_22</v>
      </c>
      <c r="E591" t="str">
        <f>VLOOKUP(B591,Products!$A:$E,3,FALSE)</f>
        <v>Electronics</v>
      </c>
    </row>
    <row r="592" spans="1:5" x14ac:dyDescent="0.3">
      <c r="A592" t="s">
        <v>6604</v>
      </c>
      <c r="B592" t="s">
        <v>534</v>
      </c>
      <c r="C592">
        <v>40</v>
      </c>
      <c r="D592" t="str">
        <f>VLOOKUP(B592,Products!$A:$E,2,FALSE)</f>
        <v>Product_263</v>
      </c>
      <c r="E592" t="str">
        <f>VLOOKUP(B592,Products!$A:$E,3,FALSE)</f>
        <v>Accessories</v>
      </c>
    </row>
    <row r="593" spans="1:5" x14ac:dyDescent="0.3">
      <c r="A593" t="s">
        <v>6605</v>
      </c>
      <c r="B593" t="s">
        <v>354</v>
      </c>
      <c r="C593">
        <v>28</v>
      </c>
      <c r="D593" t="str">
        <f>VLOOKUP(B593,Products!$A:$E,2,FALSE)</f>
        <v>Product_173</v>
      </c>
      <c r="E593" t="str">
        <f>VLOOKUP(B593,Products!$A:$E,3,FALSE)</f>
        <v>Electronics</v>
      </c>
    </row>
    <row r="594" spans="1:5" x14ac:dyDescent="0.3">
      <c r="A594" t="s">
        <v>6606</v>
      </c>
      <c r="B594" t="s">
        <v>470</v>
      </c>
      <c r="C594">
        <v>30</v>
      </c>
      <c r="D594" t="str">
        <f>VLOOKUP(B594,Products!$A:$E,2,FALSE)</f>
        <v>Product_231</v>
      </c>
      <c r="E594" t="str">
        <f>VLOOKUP(B594,Products!$A:$E,3,FALSE)</f>
        <v>Accessories</v>
      </c>
    </row>
    <row r="595" spans="1:5" x14ac:dyDescent="0.3">
      <c r="A595" t="s">
        <v>6607</v>
      </c>
      <c r="B595" t="s">
        <v>452</v>
      </c>
      <c r="C595">
        <v>27</v>
      </c>
      <c r="D595" t="str">
        <f>VLOOKUP(B595,Products!$A:$E,2,FALSE)</f>
        <v>Product_222</v>
      </c>
      <c r="E595" t="str">
        <f>VLOOKUP(B595,Products!$A:$E,3,FALSE)</f>
        <v>Networking</v>
      </c>
    </row>
    <row r="596" spans="1:5" x14ac:dyDescent="0.3">
      <c r="A596" t="s">
        <v>6608</v>
      </c>
      <c r="B596" t="s">
        <v>386</v>
      </c>
      <c r="C596">
        <v>32</v>
      </c>
      <c r="D596" t="str">
        <f>VLOOKUP(B596,Products!$A:$E,2,FALSE)</f>
        <v>Product_189</v>
      </c>
      <c r="E596" t="str">
        <f>VLOOKUP(B596,Products!$A:$E,3,FALSE)</f>
        <v>Electronics</v>
      </c>
    </row>
    <row r="597" spans="1:5" x14ac:dyDescent="0.3">
      <c r="A597" t="s">
        <v>6609</v>
      </c>
      <c r="B597" t="s">
        <v>334</v>
      </c>
      <c r="C597">
        <v>18</v>
      </c>
      <c r="D597" t="str">
        <f>VLOOKUP(B597,Products!$A:$E,2,FALSE)</f>
        <v>Product_163</v>
      </c>
      <c r="E597" t="str">
        <f>VLOOKUP(B597,Products!$A:$E,3,FALSE)</f>
        <v>Accessories</v>
      </c>
    </row>
    <row r="598" spans="1:5" x14ac:dyDescent="0.3">
      <c r="A598" t="s">
        <v>6610</v>
      </c>
      <c r="B598" t="s">
        <v>400</v>
      </c>
      <c r="C598">
        <v>2</v>
      </c>
      <c r="D598" t="str">
        <f>VLOOKUP(B598,Products!$A:$E,2,FALSE)</f>
        <v>Product_196</v>
      </c>
      <c r="E598" t="str">
        <f>VLOOKUP(B598,Products!$A:$E,3,FALSE)</f>
        <v>Office Supplies</v>
      </c>
    </row>
    <row r="599" spans="1:5" x14ac:dyDescent="0.3">
      <c r="A599" t="s">
        <v>6611</v>
      </c>
      <c r="B599" t="s">
        <v>192</v>
      </c>
      <c r="C599">
        <v>29</v>
      </c>
      <c r="D599" t="str">
        <f>VLOOKUP(B599,Products!$A:$E,2,FALSE)</f>
        <v>Product_92</v>
      </c>
      <c r="E599" t="str">
        <f>VLOOKUP(B599,Products!$A:$E,3,FALSE)</f>
        <v>Electronics</v>
      </c>
    </row>
    <row r="600" spans="1:5" x14ac:dyDescent="0.3">
      <c r="A600" t="s">
        <v>6612</v>
      </c>
      <c r="B600" t="s">
        <v>248</v>
      </c>
      <c r="C600">
        <v>17</v>
      </c>
      <c r="D600" t="str">
        <f>VLOOKUP(B600,Products!$A:$E,2,FALSE)</f>
        <v>Product_120</v>
      </c>
      <c r="E600" t="str">
        <f>VLOOKUP(B600,Products!$A:$E,3,FALSE)</f>
        <v>Accessories</v>
      </c>
    </row>
    <row r="601" spans="1:5" x14ac:dyDescent="0.3">
      <c r="A601" t="s">
        <v>6613</v>
      </c>
      <c r="B601" t="s">
        <v>670</v>
      </c>
      <c r="C601">
        <v>5</v>
      </c>
      <c r="D601" t="str">
        <f>VLOOKUP(B601,Products!$A:$E,2,FALSE)</f>
        <v>Product_331</v>
      </c>
      <c r="E601" t="str">
        <f>VLOOKUP(B601,Products!$A:$E,3,FALSE)</f>
        <v>Electronics</v>
      </c>
    </row>
    <row r="602" spans="1:5" x14ac:dyDescent="0.3">
      <c r="A602" t="s">
        <v>6614</v>
      </c>
      <c r="B602" t="s">
        <v>376</v>
      </c>
      <c r="C602">
        <v>6</v>
      </c>
      <c r="D602" t="str">
        <f>VLOOKUP(B602,Products!$A:$E,2,FALSE)</f>
        <v>Product_184</v>
      </c>
      <c r="E602" t="str">
        <f>VLOOKUP(B602,Products!$A:$E,3,FALSE)</f>
        <v>Electronics</v>
      </c>
    </row>
    <row r="603" spans="1:5" x14ac:dyDescent="0.3">
      <c r="A603" t="s">
        <v>6615</v>
      </c>
      <c r="B603" t="s">
        <v>310</v>
      </c>
      <c r="C603">
        <v>33</v>
      </c>
      <c r="D603" t="str">
        <f>VLOOKUP(B603,Products!$A:$E,2,FALSE)</f>
        <v>Product_151</v>
      </c>
      <c r="E603" t="str">
        <f>VLOOKUP(B603,Products!$A:$E,3,FALSE)</f>
        <v>Storage</v>
      </c>
    </row>
    <row r="604" spans="1:5" x14ac:dyDescent="0.3">
      <c r="A604" t="s">
        <v>6616</v>
      </c>
      <c r="B604" t="s">
        <v>534</v>
      </c>
      <c r="C604">
        <v>35</v>
      </c>
      <c r="D604" t="str">
        <f>VLOOKUP(B604,Products!$A:$E,2,FALSE)</f>
        <v>Product_263</v>
      </c>
      <c r="E604" t="str">
        <f>VLOOKUP(B604,Products!$A:$E,3,FALSE)</f>
        <v>Accessories</v>
      </c>
    </row>
    <row r="605" spans="1:5" x14ac:dyDescent="0.3">
      <c r="A605" t="s">
        <v>6617</v>
      </c>
      <c r="B605" t="s">
        <v>668</v>
      </c>
      <c r="C605">
        <v>6</v>
      </c>
      <c r="D605" t="str">
        <f>VLOOKUP(B605,Products!$A:$E,2,FALSE)</f>
        <v>Product_330</v>
      </c>
      <c r="E605" t="str">
        <f>VLOOKUP(B605,Products!$A:$E,3,FALSE)</f>
        <v>Electronics</v>
      </c>
    </row>
    <row r="606" spans="1:5" x14ac:dyDescent="0.3">
      <c r="A606" t="s">
        <v>6618</v>
      </c>
      <c r="B606" t="s">
        <v>814</v>
      </c>
      <c r="C606">
        <v>18</v>
      </c>
      <c r="D606" t="str">
        <f>VLOOKUP(B606,Products!$A:$E,2,FALSE)</f>
        <v>Product_403</v>
      </c>
      <c r="E606" t="str">
        <f>VLOOKUP(B606,Products!$A:$E,3,FALSE)</f>
        <v>Networking</v>
      </c>
    </row>
    <row r="607" spans="1:5" x14ac:dyDescent="0.3">
      <c r="A607" t="s">
        <v>6619</v>
      </c>
      <c r="B607" t="s">
        <v>958</v>
      </c>
      <c r="C607">
        <v>15</v>
      </c>
      <c r="D607" t="str">
        <f>VLOOKUP(B607,Products!$A:$E,2,FALSE)</f>
        <v>Product_475</v>
      </c>
      <c r="E607" t="str">
        <f>VLOOKUP(B607,Products!$A:$E,3,FALSE)</f>
        <v>Electronics</v>
      </c>
    </row>
    <row r="608" spans="1:5" x14ac:dyDescent="0.3">
      <c r="A608" t="s">
        <v>6620</v>
      </c>
      <c r="B608" t="s">
        <v>110</v>
      </c>
      <c r="C608">
        <v>8</v>
      </c>
      <c r="D608" t="str">
        <f>VLOOKUP(B608,Products!$A:$E,2,FALSE)</f>
        <v>Product_51</v>
      </c>
      <c r="E608" t="str">
        <f>VLOOKUP(B608,Products!$A:$E,3,FALSE)</f>
        <v>Storage</v>
      </c>
    </row>
    <row r="609" spans="1:5" x14ac:dyDescent="0.3">
      <c r="A609" t="s">
        <v>6621</v>
      </c>
      <c r="B609" t="s">
        <v>82</v>
      </c>
      <c r="C609">
        <v>24</v>
      </c>
      <c r="D609" t="str">
        <f>VLOOKUP(B609,Products!$A:$E,2,FALSE)</f>
        <v>Product_37</v>
      </c>
      <c r="E609" t="str">
        <f>VLOOKUP(B609,Products!$A:$E,3,FALSE)</f>
        <v>Storage</v>
      </c>
    </row>
    <row r="610" spans="1:5" x14ac:dyDescent="0.3">
      <c r="A610" t="s">
        <v>6622</v>
      </c>
      <c r="B610" t="s">
        <v>48</v>
      </c>
      <c r="C610">
        <v>35</v>
      </c>
      <c r="D610" t="str">
        <f>VLOOKUP(B610,Products!$A:$E,2,FALSE)</f>
        <v>Product_20</v>
      </c>
      <c r="E610" t="str">
        <f>VLOOKUP(B610,Products!$A:$E,3,FALSE)</f>
        <v>Office Supplies</v>
      </c>
    </row>
    <row r="611" spans="1:5" x14ac:dyDescent="0.3">
      <c r="A611" t="s">
        <v>6623</v>
      </c>
      <c r="B611" t="s">
        <v>214</v>
      </c>
      <c r="C611">
        <v>22</v>
      </c>
      <c r="D611" t="str">
        <f>VLOOKUP(B611,Products!$A:$E,2,FALSE)</f>
        <v>Product_103</v>
      </c>
      <c r="E611" t="str">
        <f>VLOOKUP(B611,Products!$A:$E,3,FALSE)</f>
        <v>Accessories</v>
      </c>
    </row>
    <row r="612" spans="1:5" x14ac:dyDescent="0.3">
      <c r="A612" t="s">
        <v>6624</v>
      </c>
      <c r="B612" t="s">
        <v>210</v>
      </c>
      <c r="C612">
        <v>44</v>
      </c>
      <c r="D612" t="str">
        <f>VLOOKUP(B612,Products!$A:$E,2,FALSE)</f>
        <v>Product_101</v>
      </c>
      <c r="E612" t="str">
        <f>VLOOKUP(B612,Products!$A:$E,3,FALSE)</f>
        <v>Storage</v>
      </c>
    </row>
    <row r="613" spans="1:5" x14ac:dyDescent="0.3">
      <c r="A613" t="s">
        <v>6625</v>
      </c>
      <c r="B613" t="s">
        <v>346</v>
      </c>
      <c r="C613">
        <v>17</v>
      </c>
      <c r="D613" t="str">
        <f>VLOOKUP(B613,Products!$A:$E,2,FALSE)</f>
        <v>Product_169</v>
      </c>
      <c r="E613" t="str">
        <f>VLOOKUP(B613,Products!$A:$E,3,FALSE)</f>
        <v>Accessories</v>
      </c>
    </row>
    <row r="614" spans="1:5" x14ac:dyDescent="0.3">
      <c r="A614" t="s">
        <v>6626</v>
      </c>
      <c r="B614" t="s">
        <v>318</v>
      </c>
      <c r="C614">
        <v>48</v>
      </c>
      <c r="D614" t="str">
        <f>VLOOKUP(B614,Products!$A:$E,2,FALSE)</f>
        <v>Product_155</v>
      </c>
      <c r="E614" t="str">
        <f>VLOOKUP(B614,Products!$A:$E,3,FALSE)</f>
        <v>Office Supplies</v>
      </c>
    </row>
    <row r="615" spans="1:5" x14ac:dyDescent="0.3">
      <c r="A615" t="s">
        <v>6627</v>
      </c>
      <c r="B615" t="s">
        <v>844</v>
      </c>
      <c r="C615">
        <v>50</v>
      </c>
      <c r="D615" t="str">
        <f>VLOOKUP(B615,Products!$A:$E,2,FALSE)</f>
        <v>Product_418</v>
      </c>
      <c r="E615" t="str">
        <f>VLOOKUP(B615,Products!$A:$E,3,FALSE)</f>
        <v>Office Supplies</v>
      </c>
    </row>
    <row r="616" spans="1:5" x14ac:dyDescent="0.3">
      <c r="A616" t="s">
        <v>6628</v>
      </c>
      <c r="B616" t="s">
        <v>708</v>
      </c>
      <c r="C616">
        <v>18</v>
      </c>
      <c r="D616" t="str">
        <f>VLOOKUP(B616,Products!$A:$E,2,FALSE)</f>
        <v>Product_350</v>
      </c>
      <c r="E616" t="str">
        <f>VLOOKUP(B616,Products!$A:$E,3,FALSE)</f>
        <v>Networking</v>
      </c>
    </row>
    <row r="617" spans="1:5" x14ac:dyDescent="0.3">
      <c r="A617" t="s">
        <v>6629</v>
      </c>
      <c r="B617" t="s">
        <v>204</v>
      </c>
      <c r="C617">
        <v>46</v>
      </c>
      <c r="D617" t="str">
        <f>VLOOKUP(B617,Products!$A:$E,2,FALSE)</f>
        <v>Product_98</v>
      </c>
      <c r="E617" t="str">
        <f>VLOOKUP(B617,Products!$A:$E,3,FALSE)</f>
        <v>Networking</v>
      </c>
    </row>
    <row r="618" spans="1:5" x14ac:dyDescent="0.3">
      <c r="A618" t="s">
        <v>6630</v>
      </c>
      <c r="B618" t="s">
        <v>628</v>
      </c>
      <c r="C618">
        <v>9</v>
      </c>
      <c r="D618" t="str">
        <f>VLOOKUP(B618,Products!$A:$E,2,FALSE)</f>
        <v>Product_310</v>
      </c>
      <c r="E618" t="str">
        <f>VLOOKUP(B618,Products!$A:$E,3,FALSE)</f>
        <v>Office Supplies</v>
      </c>
    </row>
    <row r="619" spans="1:5" x14ac:dyDescent="0.3">
      <c r="A619" t="s">
        <v>6631</v>
      </c>
      <c r="B619" t="s">
        <v>884</v>
      </c>
      <c r="C619">
        <v>49</v>
      </c>
      <c r="D619" t="str">
        <f>VLOOKUP(B619,Products!$A:$E,2,FALSE)</f>
        <v>Product_438</v>
      </c>
      <c r="E619" t="str">
        <f>VLOOKUP(B619,Products!$A:$E,3,FALSE)</f>
        <v>Electronics</v>
      </c>
    </row>
    <row r="620" spans="1:5" x14ac:dyDescent="0.3">
      <c r="A620" t="s">
        <v>6632</v>
      </c>
      <c r="B620" t="s">
        <v>742</v>
      </c>
      <c r="C620">
        <v>48</v>
      </c>
      <c r="D620" t="str">
        <f>VLOOKUP(B620,Products!$A:$E,2,FALSE)</f>
        <v>Product_367</v>
      </c>
      <c r="E620" t="str">
        <f>VLOOKUP(B620,Products!$A:$E,3,FALSE)</f>
        <v>Storage</v>
      </c>
    </row>
    <row r="621" spans="1:5" x14ac:dyDescent="0.3">
      <c r="A621" t="s">
        <v>6633</v>
      </c>
      <c r="B621" t="s">
        <v>566</v>
      </c>
      <c r="C621">
        <v>17</v>
      </c>
      <c r="D621" t="str">
        <f>VLOOKUP(B621,Products!$A:$E,2,FALSE)</f>
        <v>Product_279</v>
      </c>
      <c r="E621" t="str">
        <f>VLOOKUP(B621,Products!$A:$E,3,FALSE)</f>
        <v>Networking</v>
      </c>
    </row>
    <row r="622" spans="1:5" x14ac:dyDescent="0.3">
      <c r="A622" t="s">
        <v>6634</v>
      </c>
      <c r="B622" t="s">
        <v>17</v>
      </c>
      <c r="C622">
        <v>50</v>
      </c>
      <c r="D622" t="str">
        <f>VLOOKUP(B622,Products!$A:$E,2,FALSE)</f>
        <v>Product_5</v>
      </c>
      <c r="E622" t="str">
        <f>VLOOKUP(B622,Products!$A:$E,3,FALSE)</f>
        <v>Networking</v>
      </c>
    </row>
    <row r="623" spans="1:5" x14ac:dyDescent="0.3">
      <c r="A623" t="s">
        <v>6635</v>
      </c>
      <c r="B623" t="s">
        <v>316</v>
      </c>
      <c r="C623">
        <v>19</v>
      </c>
      <c r="D623" t="str">
        <f>VLOOKUP(B623,Products!$A:$E,2,FALSE)</f>
        <v>Product_154</v>
      </c>
      <c r="E623" t="str">
        <f>VLOOKUP(B623,Products!$A:$E,3,FALSE)</f>
        <v>Accessories</v>
      </c>
    </row>
    <row r="624" spans="1:5" x14ac:dyDescent="0.3">
      <c r="A624" t="s">
        <v>6636</v>
      </c>
      <c r="B624" t="s">
        <v>852</v>
      </c>
      <c r="C624">
        <v>23</v>
      </c>
      <c r="D624" t="str">
        <f>VLOOKUP(B624,Products!$A:$E,2,FALSE)</f>
        <v>Product_422</v>
      </c>
      <c r="E624" t="str">
        <f>VLOOKUP(B624,Products!$A:$E,3,FALSE)</f>
        <v>Accessories</v>
      </c>
    </row>
    <row r="625" spans="1:5" x14ac:dyDescent="0.3">
      <c r="A625" t="s">
        <v>6637</v>
      </c>
      <c r="B625" t="s">
        <v>810</v>
      </c>
      <c r="C625">
        <v>26</v>
      </c>
      <c r="D625" t="str">
        <f>VLOOKUP(B625,Products!$A:$E,2,FALSE)</f>
        <v>Product_401</v>
      </c>
      <c r="E625" t="str">
        <f>VLOOKUP(B625,Products!$A:$E,3,FALSE)</f>
        <v>Storage</v>
      </c>
    </row>
    <row r="626" spans="1:5" x14ac:dyDescent="0.3">
      <c r="A626" t="s">
        <v>6638</v>
      </c>
      <c r="B626" t="s">
        <v>978</v>
      </c>
      <c r="C626">
        <v>26</v>
      </c>
      <c r="D626" t="str">
        <f>VLOOKUP(B626,Products!$A:$E,2,FALSE)</f>
        <v>Product_485</v>
      </c>
      <c r="E626" t="str">
        <f>VLOOKUP(B626,Products!$A:$E,3,FALSE)</f>
        <v>Networking</v>
      </c>
    </row>
    <row r="627" spans="1:5" x14ac:dyDescent="0.3">
      <c r="A627" t="s">
        <v>6639</v>
      </c>
      <c r="B627" t="s">
        <v>850</v>
      </c>
      <c r="C627">
        <v>38</v>
      </c>
      <c r="D627" t="str">
        <f>VLOOKUP(B627,Products!$A:$E,2,FALSE)</f>
        <v>Product_421</v>
      </c>
      <c r="E627" t="str">
        <f>VLOOKUP(B627,Products!$A:$E,3,FALSE)</f>
        <v>Accessories</v>
      </c>
    </row>
    <row r="628" spans="1:5" x14ac:dyDescent="0.3">
      <c r="A628" t="s">
        <v>6640</v>
      </c>
      <c r="B628" t="s">
        <v>784</v>
      </c>
      <c r="C628">
        <v>42</v>
      </c>
      <c r="D628" t="str">
        <f>VLOOKUP(B628,Products!$A:$E,2,FALSE)</f>
        <v>Product_388</v>
      </c>
      <c r="E628" t="str">
        <f>VLOOKUP(B628,Products!$A:$E,3,FALSE)</f>
        <v>Office Supplies</v>
      </c>
    </row>
    <row r="629" spans="1:5" x14ac:dyDescent="0.3">
      <c r="A629" t="s">
        <v>6641</v>
      </c>
      <c r="B629" t="s">
        <v>22</v>
      </c>
      <c r="C629">
        <v>31</v>
      </c>
      <c r="D629" t="str">
        <f>VLOOKUP(B629,Products!$A:$E,2,FALSE)</f>
        <v>Product_7</v>
      </c>
      <c r="E629" t="str">
        <f>VLOOKUP(B629,Products!$A:$E,3,FALSE)</f>
        <v>Storage</v>
      </c>
    </row>
    <row r="630" spans="1:5" x14ac:dyDescent="0.3">
      <c r="A630" t="s">
        <v>6642</v>
      </c>
      <c r="B630" t="s">
        <v>678</v>
      </c>
      <c r="C630">
        <v>33</v>
      </c>
      <c r="D630" t="str">
        <f>VLOOKUP(B630,Products!$A:$E,2,FALSE)</f>
        <v>Product_335</v>
      </c>
      <c r="E630" t="str">
        <f>VLOOKUP(B630,Products!$A:$E,3,FALSE)</f>
        <v>Networking</v>
      </c>
    </row>
    <row r="631" spans="1:5" x14ac:dyDescent="0.3">
      <c r="A631" t="s">
        <v>6643</v>
      </c>
      <c r="B631" t="s">
        <v>788</v>
      </c>
      <c r="C631">
        <v>10</v>
      </c>
      <c r="D631" t="str">
        <f>VLOOKUP(B631,Products!$A:$E,2,FALSE)</f>
        <v>Product_390</v>
      </c>
      <c r="E631" t="str">
        <f>VLOOKUP(B631,Products!$A:$E,3,FALSE)</f>
        <v>Storage</v>
      </c>
    </row>
    <row r="632" spans="1:5" x14ac:dyDescent="0.3">
      <c r="A632" t="s">
        <v>6644</v>
      </c>
      <c r="B632" t="s">
        <v>896</v>
      </c>
      <c r="C632">
        <v>26</v>
      </c>
      <c r="D632" t="str">
        <f>VLOOKUP(B632,Products!$A:$E,2,FALSE)</f>
        <v>Product_444</v>
      </c>
      <c r="E632" t="str">
        <f>VLOOKUP(B632,Products!$A:$E,3,FALSE)</f>
        <v>Electronics</v>
      </c>
    </row>
    <row r="633" spans="1:5" x14ac:dyDescent="0.3">
      <c r="A633" t="s">
        <v>6645</v>
      </c>
      <c r="B633" t="s">
        <v>242</v>
      </c>
      <c r="C633">
        <v>15</v>
      </c>
      <c r="D633" t="str">
        <f>VLOOKUP(B633,Products!$A:$E,2,FALSE)</f>
        <v>Product_117</v>
      </c>
      <c r="E633" t="str">
        <f>VLOOKUP(B633,Products!$A:$E,3,FALSE)</f>
        <v>Storage</v>
      </c>
    </row>
    <row r="634" spans="1:5" x14ac:dyDescent="0.3">
      <c r="A634" t="s">
        <v>6646</v>
      </c>
      <c r="B634" t="s">
        <v>750</v>
      </c>
      <c r="C634">
        <v>48</v>
      </c>
      <c r="D634" t="str">
        <f>VLOOKUP(B634,Products!$A:$E,2,FALSE)</f>
        <v>Product_371</v>
      </c>
      <c r="E634" t="str">
        <f>VLOOKUP(B634,Products!$A:$E,3,FALSE)</f>
        <v>Storage</v>
      </c>
    </row>
    <row r="635" spans="1:5" x14ac:dyDescent="0.3">
      <c r="A635" t="s">
        <v>6647</v>
      </c>
      <c r="B635" t="s">
        <v>224</v>
      </c>
      <c r="C635">
        <v>31</v>
      </c>
      <c r="D635" t="str">
        <f>VLOOKUP(B635,Products!$A:$E,2,FALSE)</f>
        <v>Product_108</v>
      </c>
      <c r="E635" t="str">
        <f>VLOOKUP(B635,Products!$A:$E,3,FALSE)</f>
        <v>Networking</v>
      </c>
    </row>
    <row r="636" spans="1:5" x14ac:dyDescent="0.3">
      <c r="A636" t="s">
        <v>6648</v>
      </c>
      <c r="B636" t="s">
        <v>248</v>
      </c>
      <c r="C636">
        <v>34</v>
      </c>
      <c r="D636" t="str">
        <f>VLOOKUP(B636,Products!$A:$E,2,FALSE)</f>
        <v>Product_120</v>
      </c>
      <c r="E636" t="str">
        <f>VLOOKUP(B636,Products!$A:$E,3,FALSE)</f>
        <v>Accessories</v>
      </c>
    </row>
    <row r="637" spans="1:5" x14ac:dyDescent="0.3">
      <c r="A637" t="s">
        <v>6649</v>
      </c>
      <c r="B637" t="s">
        <v>610</v>
      </c>
      <c r="C637">
        <v>36</v>
      </c>
      <c r="D637" t="str">
        <f>VLOOKUP(B637,Products!$A:$E,2,FALSE)</f>
        <v>Product_301</v>
      </c>
      <c r="E637" t="str">
        <f>VLOOKUP(B637,Products!$A:$E,3,FALSE)</f>
        <v>Networking</v>
      </c>
    </row>
    <row r="638" spans="1:5" x14ac:dyDescent="0.3">
      <c r="A638" t="s">
        <v>6650</v>
      </c>
      <c r="B638" t="s">
        <v>784</v>
      </c>
      <c r="C638">
        <v>30</v>
      </c>
      <c r="D638" t="str">
        <f>VLOOKUP(B638,Products!$A:$E,2,FALSE)</f>
        <v>Product_388</v>
      </c>
      <c r="E638" t="str">
        <f>VLOOKUP(B638,Products!$A:$E,3,FALSE)</f>
        <v>Office Supplies</v>
      </c>
    </row>
    <row r="639" spans="1:5" x14ac:dyDescent="0.3">
      <c r="A639" t="s">
        <v>6651</v>
      </c>
      <c r="B639" t="s">
        <v>748</v>
      </c>
      <c r="C639">
        <v>30</v>
      </c>
      <c r="D639" t="str">
        <f>VLOOKUP(B639,Products!$A:$E,2,FALSE)</f>
        <v>Product_370</v>
      </c>
      <c r="E639" t="str">
        <f>VLOOKUP(B639,Products!$A:$E,3,FALSE)</f>
        <v>Networking</v>
      </c>
    </row>
    <row r="640" spans="1:5" x14ac:dyDescent="0.3">
      <c r="A640" t="s">
        <v>6652</v>
      </c>
      <c r="B640" t="s">
        <v>358</v>
      </c>
      <c r="C640">
        <v>6</v>
      </c>
      <c r="D640" t="str">
        <f>VLOOKUP(B640,Products!$A:$E,2,FALSE)</f>
        <v>Product_175</v>
      </c>
      <c r="E640" t="str">
        <f>VLOOKUP(B640,Products!$A:$E,3,FALSE)</f>
        <v>Storage</v>
      </c>
    </row>
    <row r="641" spans="1:5" x14ac:dyDescent="0.3">
      <c r="A641" t="s">
        <v>6653</v>
      </c>
      <c r="B641" t="s">
        <v>330</v>
      </c>
      <c r="C641">
        <v>13</v>
      </c>
      <c r="D641" t="str">
        <f>VLOOKUP(B641,Products!$A:$E,2,FALSE)</f>
        <v>Product_161</v>
      </c>
      <c r="E641" t="str">
        <f>VLOOKUP(B641,Products!$A:$E,3,FALSE)</f>
        <v>Networking</v>
      </c>
    </row>
    <row r="642" spans="1:5" x14ac:dyDescent="0.3">
      <c r="A642" t="s">
        <v>6654</v>
      </c>
      <c r="B642" t="s">
        <v>448</v>
      </c>
      <c r="C642">
        <v>50</v>
      </c>
      <c r="D642" t="str">
        <f>VLOOKUP(B642,Products!$A:$E,2,FALSE)</f>
        <v>Product_220</v>
      </c>
      <c r="E642" t="str">
        <f>VLOOKUP(B642,Products!$A:$E,3,FALSE)</f>
        <v>Storage</v>
      </c>
    </row>
    <row r="643" spans="1:5" x14ac:dyDescent="0.3">
      <c r="A643" t="s">
        <v>6655</v>
      </c>
      <c r="B643" t="s">
        <v>974</v>
      </c>
      <c r="C643">
        <v>45</v>
      </c>
      <c r="D643" t="str">
        <f>VLOOKUP(B643,Products!$A:$E,2,FALSE)</f>
        <v>Product_483</v>
      </c>
      <c r="E643" t="str">
        <f>VLOOKUP(B643,Products!$A:$E,3,FALSE)</f>
        <v>Electronics</v>
      </c>
    </row>
    <row r="644" spans="1:5" x14ac:dyDescent="0.3">
      <c r="A644" t="s">
        <v>6656</v>
      </c>
      <c r="B644" t="s">
        <v>436</v>
      </c>
      <c r="C644">
        <v>14</v>
      </c>
      <c r="D644" t="str">
        <f>VLOOKUP(B644,Products!$A:$E,2,FALSE)</f>
        <v>Product_214</v>
      </c>
      <c r="E644" t="str">
        <f>VLOOKUP(B644,Products!$A:$E,3,FALSE)</f>
        <v>Electronics</v>
      </c>
    </row>
    <row r="645" spans="1:5" x14ac:dyDescent="0.3">
      <c r="A645" t="s">
        <v>6657</v>
      </c>
      <c r="B645" t="s">
        <v>458</v>
      </c>
      <c r="C645">
        <v>29</v>
      </c>
      <c r="D645" t="str">
        <f>VLOOKUP(B645,Products!$A:$E,2,FALSE)</f>
        <v>Product_225</v>
      </c>
      <c r="E645" t="str">
        <f>VLOOKUP(B645,Products!$A:$E,3,FALSE)</f>
        <v>Accessories</v>
      </c>
    </row>
    <row r="646" spans="1:5" x14ac:dyDescent="0.3">
      <c r="A646" t="s">
        <v>6658</v>
      </c>
      <c r="B646" t="s">
        <v>882</v>
      </c>
      <c r="C646">
        <v>36</v>
      </c>
      <c r="D646" t="str">
        <f>VLOOKUP(B646,Products!$A:$E,2,FALSE)</f>
        <v>Product_437</v>
      </c>
      <c r="E646" t="str">
        <f>VLOOKUP(B646,Products!$A:$E,3,FALSE)</f>
        <v>Accessories</v>
      </c>
    </row>
    <row r="647" spans="1:5" x14ac:dyDescent="0.3">
      <c r="A647" t="s">
        <v>6659</v>
      </c>
      <c r="B647" t="s">
        <v>40</v>
      </c>
      <c r="C647">
        <v>24</v>
      </c>
      <c r="D647" t="str">
        <f>VLOOKUP(B647,Products!$A:$E,2,FALSE)</f>
        <v>Product_16</v>
      </c>
      <c r="E647" t="str">
        <f>VLOOKUP(B647,Products!$A:$E,3,FALSE)</f>
        <v>Office Supplies</v>
      </c>
    </row>
    <row r="648" spans="1:5" x14ac:dyDescent="0.3">
      <c r="A648" t="s">
        <v>6660</v>
      </c>
      <c r="B648" t="s">
        <v>152</v>
      </c>
      <c r="C648">
        <v>37</v>
      </c>
      <c r="D648" t="str">
        <f>VLOOKUP(B648,Products!$A:$E,2,FALSE)</f>
        <v>Product_72</v>
      </c>
      <c r="E648" t="str">
        <f>VLOOKUP(B648,Products!$A:$E,3,FALSE)</f>
        <v>Networking</v>
      </c>
    </row>
    <row r="649" spans="1:5" x14ac:dyDescent="0.3">
      <c r="A649" t="s">
        <v>6661</v>
      </c>
      <c r="B649" t="s">
        <v>904</v>
      </c>
      <c r="C649">
        <v>9</v>
      </c>
      <c r="D649" t="str">
        <f>VLOOKUP(B649,Products!$A:$E,2,FALSE)</f>
        <v>Product_448</v>
      </c>
      <c r="E649" t="str">
        <f>VLOOKUP(B649,Products!$A:$E,3,FALSE)</f>
        <v>Networking</v>
      </c>
    </row>
    <row r="650" spans="1:5" x14ac:dyDescent="0.3">
      <c r="A650" t="s">
        <v>6662</v>
      </c>
      <c r="B650" t="s">
        <v>322</v>
      </c>
      <c r="C650">
        <v>48</v>
      </c>
      <c r="D650" t="str">
        <f>VLOOKUP(B650,Products!$A:$E,2,FALSE)</f>
        <v>Product_157</v>
      </c>
      <c r="E650" t="str">
        <f>VLOOKUP(B650,Products!$A:$E,3,FALSE)</f>
        <v>Electronics</v>
      </c>
    </row>
    <row r="651" spans="1:5" x14ac:dyDescent="0.3">
      <c r="A651" t="s">
        <v>6663</v>
      </c>
      <c r="B651" t="s">
        <v>17</v>
      </c>
      <c r="C651">
        <v>32</v>
      </c>
      <c r="D651" t="str">
        <f>VLOOKUP(B651,Products!$A:$E,2,FALSE)</f>
        <v>Product_5</v>
      </c>
      <c r="E651" t="str">
        <f>VLOOKUP(B651,Products!$A:$E,3,FALSE)</f>
        <v>Networking</v>
      </c>
    </row>
    <row r="652" spans="1:5" x14ac:dyDescent="0.3">
      <c r="A652" t="s">
        <v>6664</v>
      </c>
      <c r="B652" t="s">
        <v>838</v>
      </c>
      <c r="C652">
        <v>43</v>
      </c>
      <c r="D652" t="str">
        <f>VLOOKUP(B652,Products!$A:$E,2,FALSE)</f>
        <v>Product_415</v>
      </c>
      <c r="E652" t="str">
        <f>VLOOKUP(B652,Products!$A:$E,3,FALSE)</f>
        <v>Networking</v>
      </c>
    </row>
    <row r="653" spans="1:5" x14ac:dyDescent="0.3">
      <c r="A653" t="s">
        <v>6665</v>
      </c>
      <c r="B653" t="s">
        <v>864</v>
      </c>
      <c r="C653">
        <v>23</v>
      </c>
      <c r="D653" t="str">
        <f>VLOOKUP(B653,Products!$A:$E,2,FALSE)</f>
        <v>Product_428</v>
      </c>
      <c r="E653" t="str">
        <f>VLOOKUP(B653,Products!$A:$E,3,FALSE)</f>
        <v>Storage</v>
      </c>
    </row>
    <row r="654" spans="1:5" x14ac:dyDescent="0.3">
      <c r="A654" t="s">
        <v>6666</v>
      </c>
      <c r="B654" t="s">
        <v>356</v>
      </c>
      <c r="C654">
        <v>15</v>
      </c>
      <c r="D654" t="str">
        <f>VLOOKUP(B654,Products!$A:$E,2,FALSE)</f>
        <v>Product_174</v>
      </c>
      <c r="E654" t="str">
        <f>VLOOKUP(B654,Products!$A:$E,3,FALSE)</f>
        <v>Storage</v>
      </c>
    </row>
    <row r="655" spans="1:5" x14ac:dyDescent="0.3">
      <c r="A655" t="s">
        <v>6667</v>
      </c>
      <c r="B655" t="s">
        <v>438</v>
      </c>
      <c r="C655">
        <v>28</v>
      </c>
      <c r="D655" t="str">
        <f>VLOOKUP(B655,Products!$A:$E,2,FALSE)</f>
        <v>Product_215</v>
      </c>
      <c r="E655" t="str">
        <f>VLOOKUP(B655,Products!$A:$E,3,FALSE)</f>
        <v>Electronics</v>
      </c>
    </row>
    <row r="656" spans="1:5" x14ac:dyDescent="0.3">
      <c r="A656" t="s">
        <v>6668</v>
      </c>
      <c r="B656" t="s">
        <v>712</v>
      </c>
      <c r="C656">
        <v>49</v>
      </c>
      <c r="D656" t="str">
        <f>VLOOKUP(B656,Products!$A:$E,2,FALSE)</f>
        <v>Product_352</v>
      </c>
      <c r="E656" t="str">
        <f>VLOOKUP(B656,Products!$A:$E,3,FALSE)</f>
        <v>Storage</v>
      </c>
    </row>
    <row r="657" spans="1:5" x14ac:dyDescent="0.3">
      <c r="A657" t="s">
        <v>6669</v>
      </c>
      <c r="B657" t="s">
        <v>422</v>
      </c>
      <c r="C657">
        <v>49</v>
      </c>
      <c r="D657" t="str">
        <f>VLOOKUP(B657,Products!$A:$E,2,FALSE)</f>
        <v>Product_207</v>
      </c>
      <c r="E657" t="str">
        <f>VLOOKUP(B657,Products!$A:$E,3,FALSE)</f>
        <v>Accessories</v>
      </c>
    </row>
    <row r="658" spans="1:5" x14ac:dyDescent="0.3">
      <c r="A658" t="s">
        <v>6670</v>
      </c>
      <c r="B658" t="s">
        <v>806</v>
      </c>
      <c r="C658">
        <v>45</v>
      </c>
      <c r="D658" t="str">
        <f>VLOOKUP(B658,Products!$A:$E,2,FALSE)</f>
        <v>Product_399</v>
      </c>
      <c r="E658" t="str">
        <f>VLOOKUP(B658,Products!$A:$E,3,FALSE)</f>
        <v>Networking</v>
      </c>
    </row>
    <row r="659" spans="1:5" x14ac:dyDescent="0.3">
      <c r="A659" t="s">
        <v>6671</v>
      </c>
      <c r="B659" t="s">
        <v>560</v>
      </c>
      <c r="C659">
        <v>20</v>
      </c>
      <c r="D659" t="str">
        <f>VLOOKUP(B659,Products!$A:$E,2,FALSE)</f>
        <v>Product_276</v>
      </c>
      <c r="E659" t="str">
        <f>VLOOKUP(B659,Products!$A:$E,3,FALSE)</f>
        <v>Office Supplies</v>
      </c>
    </row>
    <row r="660" spans="1:5" x14ac:dyDescent="0.3">
      <c r="A660" t="s">
        <v>6672</v>
      </c>
      <c r="B660" t="s">
        <v>342</v>
      </c>
      <c r="C660">
        <v>38</v>
      </c>
      <c r="D660" t="str">
        <f>VLOOKUP(B660,Products!$A:$E,2,FALSE)</f>
        <v>Product_167</v>
      </c>
      <c r="E660" t="str">
        <f>VLOOKUP(B660,Products!$A:$E,3,FALSE)</f>
        <v>Electronics</v>
      </c>
    </row>
    <row r="661" spans="1:5" x14ac:dyDescent="0.3">
      <c r="A661" t="s">
        <v>6673</v>
      </c>
      <c r="B661" t="s">
        <v>32</v>
      </c>
      <c r="C661">
        <v>37</v>
      </c>
      <c r="D661" t="str">
        <f>VLOOKUP(B661,Products!$A:$E,2,FALSE)</f>
        <v>Product_12</v>
      </c>
      <c r="E661" t="str">
        <f>VLOOKUP(B661,Products!$A:$E,3,FALSE)</f>
        <v>Accessories</v>
      </c>
    </row>
    <row r="662" spans="1:5" x14ac:dyDescent="0.3">
      <c r="A662" t="s">
        <v>6674</v>
      </c>
      <c r="B662" t="s">
        <v>814</v>
      </c>
      <c r="C662">
        <v>3</v>
      </c>
      <c r="D662" t="str">
        <f>VLOOKUP(B662,Products!$A:$E,2,FALSE)</f>
        <v>Product_403</v>
      </c>
      <c r="E662" t="str">
        <f>VLOOKUP(B662,Products!$A:$E,3,FALSE)</f>
        <v>Networking</v>
      </c>
    </row>
    <row r="663" spans="1:5" x14ac:dyDescent="0.3">
      <c r="A663" t="s">
        <v>6675</v>
      </c>
      <c r="B663" t="s">
        <v>954</v>
      </c>
      <c r="C663">
        <v>9</v>
      </c>
      <c r="D663" t="str">
        <f>VLOOKUP(B663,Products!$A:$E,2,FALSE)</f>
        <v>Product_473</v>
      </c>
      <c r="E663" t="str">
        <f>VLOOKUP(B663,Products!$A:$E,3,FALSE)</f>
        <v>Accessories</v>
      </c>
    </row>
    <row r="664" spans="1:5" x14ac:dyDescent="0.3">
      <c r="A664" t="s">
        <v>6676</v>
      </c>
      <c r="B664" t="s">
        <v>166</v>
      </c>
      <c r="C664">
        <v>22</v>
      </c>
      <c r="D664" t="str">
        <f>VLOOKUP(B664,Products!$A:$E,2,FALSE)</f>
        <v>Product_79</v>
      </c>
      <c r="E664" t="str">
        <f>VLOOKUP(B664,Products!$A:$E,3,FALSE)</f>
        <v>Storage</v>
      </c>
    </row>
    <row r="665" spans="1:5" x14ac:dyDescent="0.3">
      <c r="A665" t="s">
        <v>6677</v>
      </c>
      <c r="B665" t="s">
        <v>590</v>
      </c>
      <c r="C665">
        <v>41</v>
      </c>
      <c r="D665" t="str">
        <f>VLOOKUP(B665,Products!$A:$E,2,FALSE)</f>
        <v>Product_291</v>
      </c>
      <c r="E665" t="str">
        <f>VLOOKUP(B665,Products!$A:$E,3,FALSE)</f>
        <v>Networking</v>
      </c>
    </row>
    <row r="666" spans="1:5" x14ac:dyDescent="0.3">
      <c r="A666" t="s">
        <v>6678</v>
      </c>
      <c r="B666" t="s">
        <v>828</v>
      </c>
      <c r="C666">
        <v>39</v>
      </c>
      <c r="D666" t="str">
        <f>VLOOKUP(B666,Products!$A:$E,2,FALSE)</f>
        <v>Product_410</v>
      </c>
      <c r="E666" t="str">
        <f>VLOOKUP(B666,Products!$A:$E,3,FALSE)</f>
        <v>Storage</v>
      </c>
    </row>
    <row r="667" spans="1:5" x14ac:dyDescent="0.3">
      <c r="A667" t="s">
        <v>6679</v>
      </c>
      <c r="B667" t="s">
        <v>944</v>
      </c>
      <c r="C667">
        <v>39</v>
      </c>
      <c r="D667" t="str">
        <f>VLOOKUP(B667,Products!$A:$E,2,FALSE)</f>
        <v>Product_468</v>
      </c>
      <c r="E667" t="str">
        <f>VLOOKUP(B667,Products!$A:$E,3,FALSE)</f>
        <v>Office Supplies</v>
      </c>
    </row>
    <row r="668" spans="1:5" x14ac:dyDescent="0.3">
      <c r="A668" t="s">
        <v>6680</v>
      </c>
      <c r="B668" t="s">
        <v>596</v>
      </c>
      <c r="C668">
        <v>26</v>
      </c>
      <c r="D668" t="str">
        <f>VLOOKUP(B668,Products!$A:$E,2,FALSE)</f>
        <v>Product_294</v>
      </c>
      <c r="E668" t="str">
        <f>VLOOKUP(B668,Products!$A:$E,3,FALSE)</f>
        <v>Networking</v>
      </c>
    </row>
    <row r="669" spans="1:5" x14ac:dyDescent="0.3">
      <c r="A669" t="s">
        <v>6681</v>
      </c>
      <c r="B669" t="s">
        <v>400</v>
      </c>
      <c r="C669">
        <v>14</v>
      </c>
      <c r="D669" t="str">
        <f>VLOOKUP(B669,Products!$A:$E,2,FALSE)</f>
        <v>Product_196</v>
      </c>
      <c r="E669" t="str">
        <f>VLOOKUP(B669,Products!$A:$E,3,FALSE)</f>
        <v>Office Supplies</v>
      </c>
    </row>
    <row r="670" spans="1:5" x14ac:dyDescent="0.3">
      <c r="A670" t="s">
        <v>6682</v>
      </c>
      <c r="B670" t="s">
        <v>980</v>
      </c>
      <c r="C670">
        <v>26</v>
      </c>
      <c r="D670" t="str">
        <f>VLOOKUP(B670,Products!$A:$E,2,FALSE)</f>
        <v>Product_486</v>
      </c>
      <c r="E670" t="str">
        <f>VLOOKUP(B670,Products!$A:$E,3,FALSE)</f>
        <v>Electronics</v>
      </c>
    </row>
    <row r="671" spans="1:5" x14ac:dyDescent="0.3">
      <c r="A671" t="s">
        <v>6683</v>
      </c>
      <c r="B671" t="s">
        <v>74</v>
      </c>
      <c r="C671">
        <v>35</v>
      </c>
      <c r="D671" t="str">
        <f>VLOOKUP(B671,Products!$A:$E,2,FALSE)</f>
        <v>Product_33</v>
      </c>
      <c r="E671" t="str">
        <f>VLOOKUP(B671,Products!$A:$E,3,FALSE)</f>
        <v>Storage</v>
      </c>
    </row>
    <row r="672" spans="1:5" x14ac:dyDescent="0.3">
      <c r="A672" t="s">
        <v>6684</v>
      </c>
      <c r="B672" t="s">
        <v>404</v>
      </c>
      <c r="C672">
        <v>13</v>
      </c>
      <c r="D672" t="str">
        <f>VLOOKUP(B672,Products!$A:$E,2,FALSE)</f>
        <v>Product_198</v>
      </c>
      <c r="E672" t="str">
        <f>VLOOKUP(B672,Products!$A:$E,3,FALSE)</f>
        <v>Accessories</v>
      </c>
    </row>
    <row r="673" spans="1:5" x14ac:dyDescent="0.3">
      <c r="A673" t="s">
        <v>6685</v>
      </c>
      <c r="B673" t="s">
        <v>496</v>
      </c>
      <c r="C673">
        <v>7</v>
      </c>
      <c r="D673" t="str">
        <f>VLOOKUP(B673,Products!$A:$E,2,FALSE)</f>
        <v>Product_244</v>
      </c>
      <c r="E673" t="str">
        <f>VLOOKUP(B673,Products!$A:$E,3,FALSE)</f>
        <v>Accessories</v>
      </c>
    </row>
    <row r="674" spans="1:5" x14ac:dyDescent="0.3">
      <c r="A674" t="s">
        <v>6686</v>
      </c>
      <c r="B674" t="s">
        <v>346</v>
      </c>
      <c r="C674">
        <v>37</v>
      </c>
      <c r="D674" t="str">
        <f>VLOOKUP(B674,Products!$A:$E,2,FALSE)</f>
        <v>Product_169</v>
      </c>
      <c r="E674" t="str">
        <f>VLOOKUP(B674,Products!$A:$E,3,FALSE)</f>
        <v>Accessories</v>
      </c>
    </row>
    <row r="675" spans="1:5" x14ac:dyDescent="0.3">
      <c r="A675" t="s">
        <v>6687</v>
      </c>
      <c r="B675" t="s">
        <v>994</v>
      </c>
      <c r="C675">
        <v>29</v>
      </c>
      <c r="D675" t="str">
        <f>VLOOKUP(B675,Products!$A:$E,2,FALSE)</f>
        <v>Product_493</v>
      </c>
      <c r="E675" t="str">
        <f>VLOOKUP(B675,Products!$A:$E,3,FALSE)</f>
        <v>Networking</v>
      </c>
    </row>
    <row r="676" spans="1:5" x14ac:dyDescent="0.3">
      <c r="A676" t="s">
        <v>6688</v>
      </c>
      <c r="B676" t="s">
        <v>664</v>
      </c>
      <c r="C676">
        <v>20</v>
      </c>
      <c r="D676" t="str">
        <f>VLOOKUP(B676,Products!$A:$E,2,FALSE)</f>
        <v>Product_328</v>
      </c>
      <c r="E676" t="str">
        <f>VLOOKUP(B676,Products!$A:$E,3,FALSE)</f>
        <v>Office Supplies</v>
      </c>
    </row>
    <row r="677" spans="1:5" x14ac:dyDescent="0.3">
      <c r="A677" t="s">
        <v>6689</v>
      </c>
      <c r="B677" t="s">
        <v>104</v>
      </c>
      <c r="C677">
        <v>11</v>
      </c>
      <c r="D677" t="str">
        <f>VLOOKUP(B677,Products!$A:$E,2,FALSE)</f>
        <v>Product_48</v>
      </c>
      <c r="E677" t="str">
        <f>VLOOKUP(B677,Products!$A:$E,3,FALSE)</f>
        <v>Accessories</v>
      </c>
    </row>
    <row r="678" spans="1:5" x14ac:dyDescent="0.3">
      <c r="A678" t="s">
        <v>6690</v>
      </c>
      <c r="B678" t="s">
        <v>116</v>
      </c>
      <c r="C678">
        <v>44</v>
      </c>
      <c r="D678" t="str">
        <f>VLOOKUP(B678,Products!$A:$E,2,FALSE)</f>
        <v>Product_54</v>
      </c>
      <c r="E678" t="str">
        <f>VLOOKUP(B678,Products!$A:$E,3,FALSE)</f>
        <v>Storage</v>
      </c>
    </row>
    <row r="679" spans="1:5" x14ac:dyDescent="0.3">
      <c r="A679" t="s">
        <v>6691</v>
      </c>
      <c r="B679" t="s">
        <v>576</v>
      </c>
      <c r="C679">
        <v>12</v>
      </c>
      <c r="D679" t="str">
        <f>VLOOKUP(B679,Products!$A:$E,2,FALSE)</f>
        <v>Product_284</v>
      </c>
      <c r="E679" t="str">
        <f>VLOOKUP(B679,Products!$A:$E,3,FALSE)</f>
        <v>Networking</v>
      </c>
    </row>
    <row r="680" spans="1:5" x14ac:dyDescent="0.3">
      <c r="A680" t="s">
        <v>6692</v>
      </c>
      <c r="B680" t="s">
        <v>42</v>
      </c>
      <c r="C680">
        <v>45</v>
      </c>
      <c r="D680" t="str">
        <f>VLOOKUP(B680,Products!$A:$E,2,FALSE)</f>
        <v>Product_17</v>
      </c>
      <c r="E680" t="str">
        <f>VLOOKUP(B680,Products!$A:$E,3,FALSE)</f>
        <v>Office Supplies</v>
      </c>
    </row>
    <row r="681" spans="1:5" x14ac:dyDescent="0.3">
      <c r="A681" t="s">
        <v>6693</v>
      </c>
      <c r="B681" t="s">
        <v>626</v>
      </c>
      <c r="C681">
        <v>32</v>
      </c>
      <c r="D681" t="str">
        <f>VLOOKUP(B681,Products!$A:$E,2,FALSE)</f>
        <v>Product_309</v>
      </c>
      <c r="E681" t="str">
        <f>VLOOKUP(B681,Products!$A:$E,3,FALSE)</f>
        <v>Networking</v>
      </c>
    </row>
    <row r="682" spans="1:5" x14ac:dyDescent="0.3">
      <c r="A682" t="s">
        <v>6694</v>
      </c>
      <c r="B682" t="s">
        <v>36</v>
      </c>
      <c r="C682">
        <v>12</v>
      </c>
      <c r="D682" t="str">
        <f>VLOOKUP(B682,Products!$A:$E,2,FALSE)</f>
        <v>Product_14</v>
      </c>
      <c r="E682" t="str">
        <f>VLOOKUP(B682,Products!$A:$E,3,FALSE)</f>
        <v>Accessories</v>
      </c>
    </row>
    <row r="683" spans="1:5" x14ac:dyDescent="0.3">
      <c r="A683" t="s">
        <v>6695</v>
      </c>
      <c r="B683" t="s">
        <v>212</v>
      </c>
      <c r="C683">
        <v>5</v>
      </c>
      <c r="D683" t="str">
        <f>VLOOKUP(B683,Products!$A:$E,2,FALSE)</f>
        <v>Product_102</v>
      </c>
      <c r="E683" t="str">
        <f>VLOOKUP(B683,Products!$A:$E,3,FALSE)</f>
        <v>Storage</v>
      </c>
    </row>
    <row r="684" spans="1:5" x14ac:dyDescent="0.3">
      <c r="A684" t="s">
        <v>6696</v>
      </c>
      <c r="B684" t="s">
        <v>942</v>
      </c>
      <c r="C684">
        <v>25</v>
      </c>
      <c r="D684" t="str">
        <f>VLOOKUP(B684,Products!$A:$E,2,FALSE)</f>
        <v>Product_467</v>
      </c>
      <c r="E684" t="str">
        <f>VLOOKUP(B684,Products!$A:$E,3,FALSE)</f>
        <v>Accessories</v>
      </c>
    </row>
    <row r="685" spans="1:5" x14ac:dyDescent="0.3">
      <c r="A685" t="s">
        <v>6697</v>
      </c>
      <c r="B685" t="s">
        <v>300</v>
      </c>
      <c r="C685">
        <v>14</v>
      </c>
      <c r="D685" t="str">
        <f>VLOOKUP(B685,Products!$A:$E,2,FALSE)</f>
        <v>Product_146</v>
      </c>
      <c r="E685" t="str">
        <f>VLOOKUP(B685,Products!$A:$E,3,FALSE)</f>
        <v>Office Supplies</v>
      </c>
    </row>
    <row r="686" spans="1:5" x14ac:dyDescent="0.3">
      <c r="A686" t="s">
        <v>6698</v>
      </c>
      <c r="B686" t="s">
        <v>248</v>
      </c>
      <c r="C686">
        <v>19</v>
      </c>
      <c r="D686" t="str">
        <f>VLOOKUP(B686,Products!$A:$E,2,FALSE)</f>
        <v>Product_120</v>
      </c>
      <c r="E686" t="str">
        <f>VLOOKUP(B686,Products!$A:$E,3,FALSE)</f>
        <v>Accessories</v>
      </c>
    </row>
    <row r="687" spans="1:5" x14ac:dyDescent="0.3">
      <c r="A687" t="s">
        <v>6699</v>
      </c>
      <c r="B687" t="s">
        <v>684</v>
      </c>
      <c r="C687">
        <v>34</v>
      </c>
      <c r="D687" t="str">
        <f>VLOOKUP(B687,Products!$A:$E,2,FALSE)</f>
        <v>Product_338</v>
      </c>
      <c r="E687" t="str">
        <f>VLOOKUP(B687,Products!$A:$E,3,FALSE)</f>
        <v>Networking</v>
      </c>
    </row>
    <row r="688" spans="1:5" x14ac:dyDescent="0.3">
      <c r="A688" t="s">
        <v>6700</v>
      </c>
      <c r="B688" t="s">
        <v>80</v>
      </c>
      <c r="C688">
        <v>30</v>
      </c>
      <c r="D688" t="str">
        <f>VLOOKUP(B688,Products!$A:$E,2,FALSE)</f>
        <v>Product_36</v>
      </c>
      <c r="E688" t="str">
        <f>VLOOKUP(B688,Products!$A:$E,3,FALSE)</f>
        <v>Office Supplies</v>
      </c>
    </row>
    <row r="689" spans="1:5" x14ac:dyDescent="0.3">
      <c r="A689" t="s">
        <v>6701</v>
      </c>
      <c r="B689" t="s">
        <v>68</v>
      </c>
      <c r="C689">
        <v>24</v>
      </c>
      <c r="D689" t="str">
        <f>VLOOKUP(B689,Products!$A:$E,2,FALSE)</f>
        <v>Product_30</v>
      </c>
      <c r="E689" t="str">
        <f>VLOOKUP(B689,Products!$A:$E,3,FALSE)</f>
        <v>Accessories</v>
      </c>
    </row>
    <row r="690" spans="1:5" x14ac:dyDescent="0.3">
      <c r="A690" t="s">
        <v>6702</v>
      </c>
      <c r="B690" t="s">
        <v>540</v>
      </c>
      <c r="C690">
        <v>1</v>
      </c>
      <c r="D690" t="str">
        <f>VLOOKUP(B690,Products!$A:$E,2,FALSE)</f>
        <v>Product_266</v>
      </c>
      <c r="E690" t="str">
        <f>VLOOKUP(B690,Products!$A:$E,3,FALSE)</f>
        <v>Electronics</v>
      </c>
    </row>
    <row r="691" spans="1:5" x14ac:dyDescent="0.3">
      <c r="A691" t="s">
        <v>6703</v>
      </c>
      <c r="B691" t="s">
        <v>184</v>
      </c>
      <c r="C691">
        <v>21</v>
      </c>
      <c r="D691" t="str">
        <f>VLOOKUP(B691,Products!$A:$E,2,FALSE)</f>
        <v>Product_88</v>
      </c>
      <c r="E691" t="str">
        <f>VLOOKUP(B691,Products!$A:$E,3,FALSE)</f>
        <v>Accessories</v>
      </c>
    </row>
    <row r="692" spans="1:5" x14ac:dyDescent="0.3">
      <c r="A692" t="s">
        <v>6704</v>
      </c>
      <c r="B692" t="s">
        <v>890</v>
      </c>
      <c r="C692">
        <v>27</v>
      </c>
      <c r="D692" t="str">
        <f>VLOOKUP(B692,Products!$A:$E,2,FALSE)</f>
        <v>Product_441</v>
      </c>
      <c r="E692" t="str">
        <f>VLOOKUP(B692,Products!$A:$E,3,FALSE)</f>
        <v>Storage</v>
      </c>
    </row>
    <row r="693" spans="1:5" x14ac:dyDescent="0.3">
      <c r="A693" t="s">
        <v>6705</v>
      </c>
      <c r="B693" t="s">
        <v>410</v>
      </c>
      <c r="C693">
        <v>11</v>
      </c>
      <c r="D693" t="str">
        <f>VLOOKUP(B693,Products!$A:$E,2,FALSE)</f>
        <v>Product_201</v>
      </c>
      <c r="E693" t="str">
        <f>VLOOKUP(B693,Products!$A:$E,3,FALSE)</f>
        <v>Networking</v>
      </c>
    </row>
    <row r="694" spans="1:5" x14ac:dyDescent="0.3">
      <c r="A694" t="s">
        <v>6706</v>
      </c>
      <c r="B694" t="s">
        <v>122</v>
      </c>
      <c r="C694">
        <v>9</v>
      </c>
      <c r="D694" t="str">
        <f>VLOOKUP(B694,Products!$A:$E,2,FALSE)</f>
        <v>Product_57</v>
      </c>
      <c r="E694" t="str">
        <f>VLOOKUP(B694,Products!$A:$E,3,FALSE)</f>
        <v>Electronics</v>
      </c>
    </row>
    <row r="695" spans="1:5" x14ac:dyDescent="0.3">
      <c r="A695" t="s">
        <v>6707</v>
      </c>
      <c r="B695" t="s">
        <v>558</v>
      </c>
      <c r="C695">
        <v>27</v>
      </c>
      <c r="D695" t="str">
        <f>VLOOKUP(B695,Products!$A:$E,2,FALSE)</f>
        <v>Product_275</v>
      </c>
      <c r="E695" t="str">
        <f>VLOOKUP(B695,Products!$A:$E,3,FALSE)</f>
        <v>Accessories</v>
      </c>
    </row>
    <row r="696" spans="1:5" x14ac:dyDescent="0.3">
      <c r="A696" t="s">
        <v>6708</v>
      </c>
      <c r="B696" t="s">
        <v>498</v>
      </c>
      <c r="C696">
        <v>48</v>
      </c>
      <c r="D696" t="str">
        <f>VLOOKUP(B696,Products!$A:$E,2,FALSE)</f>
        <v>Product_245</v>
      </c>
      <c r="E696" t="str">
        <f>VLOOKUP(B696,Products!$A:$E,3,FALSE)</f>
        <v>Office Supplies</v>
      </c>
    </row>
    <row r="697" spans="1:5" x14ac:dyDescent="0.3">
      <c r="A697" t="s">
        <v>6709</v>
      </c>
      <c r="B697" t="s">
        <v>80</v>
      </c>
      <c r="C697">
        <v>25</v>
      </c>
      <c r="D697" t="str">
        <f>VLOOKUP(B697,Products!$A:$E,2,FALSE)</f>
        <v>Product_36</v>
      </c>
      <c r="E697" t="str">
        <f>VLOOKUP(B697,Products!$A:$E,3,FALSE)</f>
        <v>Office Supplies</v>
      </c>
    </row>
    <row r="698" spans="1:5" x14ac:dyDescent="0.3">
      <c r="A698" t="s">
        <v>6710</v>
      </c>
      <c r="B698" t="s">
        <v>988</v>
      </c>
      <c r="C698">
        <v>14</v>
      </c>
      <c r="D698" t="str">
        <f>VLOOKUP(B698,Products!$A:$E,2,FALSE)</f>
        <v>Product_490</v>
      </c>
      <c r="E698" t="str">
        <f>VLOOKUP(B698,Products!$A:$E,3,FALSE)</f>
        <v>Storage</v>
      </c>
    </row>
    <row r="699" spans="1:5" x14ac:dyDescent="0.3">
      <c r="A699" t="s">
        <v>6711</v>
      </c>
      <c r="B699" t="s">
        <v>142</v>
      </c>
      <c r="C699">
        <v>14</v>
      </c>
      <c r="D699" t="str">
        <f>VLOOKUP(B699,Products!$A:$E,2,FALSE)</f>
        <v>Product_67</v>
      </c>
      <c r="E699" t="str">
        <f>VLOOKUP(B699,Products!$A:$E,3,FALSE)</f>
        <v>Office Supplies</v>
      </c>
    </row>
    <row r="700" spans="1:5" x14ac:dyDescent="0.3">
      <c r="A700" t="s">
        <v>6712</v>
      </c>
      <c r="B700" t="s">
        <v>326</v>
      </c>
      <c r="C700">
        <v>28</v>
      </c>
      <c r="D700" t="str">
        <f>VLOOKUP(B700,Products!$A:$E,2,FALSE)</f>
        <v>Product_159</v>
      </c>
      <c r="E700" t="str">
        <f>VLOOKUP(B700,Products!$A:$E,3,FALSE)</f>
        <v>Accessories</v>
      </c>
    </row>
    <row r="701" spans="1:5" x14ac:dyDescent="0.3">
      <c r="A701" t="s">
        <v>6713</v>
      </c>
      <c r="B701" t="s">
        <v>846</v>
      </c>
      <c r="C701">
        <v>46</v>
      </c>
      <c r="D701" t="str">
        <f>VLOOKUP(B701,Products!$A:$E,2,FALSE)</f>
        <v>Product_419</v>
      </c>
      <c r="E701" t="str">
        <f>VLOOKUP(B701,Products!$A:$E,3,FALSE)</f>
        <v>Networking</v>
      </c>
    </row>
    <row r="702" spans="1:5" x14ac:dyDescent="0.3">
      <c r="A702" t="s">
        <v>6714</v>
      </c>
      <c r="B702" t="s">
        <v>690</v>
      </c>
      <c r="C702">
        <v>31</v>
      </c>
      <c r="D702" t="str">
        <f>VLOOKUP(B702,Products!$A:$E,2,FALSE)</f>
        <v>Product_341</v>
      </c>
      <c r="E702" t="str">
        <f>VLOOKUP(B702,Products!$A:$E,3,FALSE)</f>
        <v>Storage</v>
      </c>
    </row>
    <row r="703" spans="1:5" x14ac:dyDescent="0.3">
      <c r="A703" t="s">
        <v>6715</v>
      </c>
      <c r="B703" t="s">
        <v>172</v>
      </c>
      <c r="C703">
        <v>39</v>
      </c>
      <c r="D703" t="str">
        <f>VLOOKUP(B703,Products!$A:$E,2,FALSE)</f>
        <v>Product_82</v>
      </c>
      <c r="E703" t="str">
        <f>VLOOKUP(B703,Products!$A:$E,3,FALSE)</f>
        <v>Storage</v>
      </c>
    </row>
    <row r="704" spans="1:5" x14ac:dyDescent="0.3">
      <c r="A704" t="s">
        <v>6716</v>
      </c>
      <c r="B704" t="s">
        <v>598</v>
      </c>
      <c r="C704">
        <v>20</v>
      </c>
      <c r="D704" t="str">
        <f>VLOOKUP(B704,Products!$A:$E,2,FALSE)</f>
        <v>Product_295</v>
      </c>
      <c r="E704" t="str">
        <f>VLOOKUP(B704,Products!$A:$E,3,FALSE)</f>
        <v>Networking</v>
      </c>
    </row>
    <row r="705" spans="1:5" x14ac:dyDescent="0.3">
      <c r="A705" t="s">
        <v>6717</v>
      </c>
      <c r="B705" t="s">
        <v>610</v>
      </c>
      <c r="C705">
        <v>13</v>
      </c>
      <c r="D705" t="str">
        <f>VLOOKUP(B705,Products!$A:$E,2,FALSE)</f>
        <v>Product_301</v>
      </c>
      <c r="E705" t="str">
        <f>VLOOKUP(B705,Products!$A:$E,3,FALSE)</f>
        <v>Networking</v>
      </c>
    </row>
    <row r="706" spans="1:5" x14ac:dyDescent="0.3">
      <c r="A706" t="s">
        <v>6718</v>
      </c>
      <c r="B706" t="s">
        <v>524</v>
      </c>
      <c r="C706">
        <v>46</v>
      </c>
      <c r="D706" t="str">
        <f>VLOOKUP(B706,Products!$A:$E,2,FALSE)</f>
        <v>Product_258</v>
      </c>
      <c r="E706" t="str">
        <f>VLOOKUP(B706,Products!$A:$E,3,FALSE)</f>
        <v>Networking</v>
      </c>
    </row>
    <row r="707" spans="1:5" x14ac:dyDescent="0.3">
      <c r="A707" t="s">
        <v>6719</v>
      </c>
      <c r="B707" t="s">
        <v>710</v>
      </c>
      <c r="C707">
        <v>30</v>
      </c>
      <c r="D707" t="str">
        <f>VLOOKUP(B707,Products!$A:$E,2,FALSE)</f>
        <v>Product_351</v>
      </c>
      <c r="E707" t="str">
        <f>VLOOKUP(B707,Products!$A:$E,3,FALSE)</f>
        <v>Accessories</v>
      </c>
    </row>
    <row r="708" spans="1:5" x14ac:dyDescent="0.3">
      <c r="A708" t="s">
        <v>6720</v>
      </c>
      <c r="B708" t="s">
        <v>292</v>
      </c>
      <c r="C708">
        <v>13</v>
      </c>
      <c r="D708" t="str">
        <f>VLOOKUP(B708,Products!$A:$E,2,FALSE)</f>
        <v>Product_142</v>
      </c>
      <c r="E708" t="str">
        <f>VLOOKUP(B708,Products!$A:$E,3,FALSE)</f>
        <v>Storage</v>
      </c>
    </row>
    <row r="709" spans="1:5" x14ac:dyDescent="0.3">
      <c r="A709" t="s">
        <v>6721</v>
      </c>
      <c r="B709" t="s">
        <v>14</v>
      </c>
      <c r="C709">
        <v>10</v>
      </c>
      <c r="D709" t="str">
        <f>VLOOKUP(B709,Products!$A:$E,2,FALSE)</f>
        <v>Product_4</v>
      </c>
      <c r="E709" t="str">
        <f>VLOOKUP(B709,Products!$A:$E,3,FALSE)</f>
        <v>Storage</v>
      </c>
    </row>
    <row r="710" spans="1:5" x14ac:dyDescent="0.3">
      <c r="A710" t="s">
        <v>6722</v>
      </c>
      <c r="B710" t="s">
        <v>466</v>
      </c>
      <c r="C710">
        <v>5</v>
      </c>
      <c r="D710" t="str">
        <f>VLOOKUP(B710,Products!$A:$E,2,FALSE)</f>
        <v>Product_229</v>
      </c>
      <c r="E710" t="str">
        <f>VLOOKUP(B710,Products!$A:$E,3,FALSE)</f>
        <v>Accessories</v>
      </c>
    </row>
    <row r="711" spans="1:5" x14ac:dyDescent="0.3">
      <c r="A711" t="s">
        <v>6723</v>
      </c>
      <c r="B711" t="s">
        <v>854</v>
      </c>
      <c r="C711">
        <v>26</v>
      </c>
      <c r="D711" t="str">
        <f>VLOOKUP(B711,Products!$A:$E,2,FALSE)</f>
        <v>Product_423</v>
      </c>
      <c r="E711" t="str">
        <f>VLOOKUP(B711,Products!$A:$E,3,FALSE)</f>
        <v>Office Supplies</v>
      </c>
    </row>
    <row r="712" spans="1:5" x14ac:dyDescent="0.3">
      <c r="A712" t="s">
        <v>6724</v>
      </c>
      <c r="B712" t="s">
        <v>628</v>
      </c>
      <c r="C712">
        <v>16</v>
      </c>
      <c r="D712" t="str">
        <f>VLOOKUP(B712,Products!$A:$E,2,FALSE)</f>
        <v>Product_310</v>
      </c>
      <c r="E712" t="str">
        <f>VLOOKUP(B712,Products!$A:$E,3,FALSE)</f>
        <v>Office Supplies</v>
      </c>
    </row>
    <row r="713" spans="1:5" x14ac:dyDescent="0.3">
      <c r="A713" t="s">
        <v>6725</v>
      </c>
      <c r="B713" t="s">
        <v>548</v>
      </c>
      <c r="C713">
        <v>22</v>
      </c>
      <c r="D713" t="str">
        <f>VLOOKUP(B713,Products!$A:$E,2,FALSE)</f>
        <v>Product_270</v>
      </c>
      <c r="E713" t="str">
        <f>VLOOKUP(B713,Products!$A:$E,3,FALSE)</f>
        <v>Electronics</v>
      </c>
    </row>
    <row r="714" spans="1:5" x14ac:dyDescent="0.3">
      <c r="A714" t="s">
        <v>6726</v>
      </c>
      <c r="B714" t="s">
        <v>942</v>
      </c>
      <c r="C714">
        <v>37</v>
      </c>
      <c r="D714" t="str">
        <f>VLOOKUP(B714,Products!$A:$E,2,FALSE)</f>
        <v>Product_467</v>
      </c>
      <c r="E714" t="str">
        <f>VLOOKUP(B714,Products!$A:$E,3,FALSE)</f>
        <v>Accessories</v>
      </c>
    </row>
    <row r="715" spans="1:5" x14ac:dyDescent="0.3">
      <c r="A715" t="s">
        <v>6727</v>
      </c>
      <c r="B715" t="s">
        <v>910</v>
      </c>
      <c r="C715">
        <v>32</v>
      </c>
      <c r="D715" t="str">
        <f>VLOOKUP(B715,Products!$A:$E,2,FALSE)</f>
        <v>Product_451</v>
      </c>
      <c r="E715" t="str">
        <f>VLOOKUP(B715,Products!$A:$E,3,FALSE)</f>
        <v>Accessories</v>
      </c>
    </row>
    <row r="716" spans="1:5" x14ac:dyDescent="0.3">
      <c r="A716" t="s">
        <v>6728</v>
      </c>
      <c r="B716" t="s">
        <v>480</v>
      </c>
      <c r="C716">
        <v>30</v>
      </c>
      <c r="D716" t="str">
        <f>VLOOKUP(B716,Products!$A:$E,2,FALSE)</f>
        <v>Product_236</v>
      </c>
      <c r="E716" t="str">
        <f>VLOOKUP(B716,Products!$A:$E,3,FALSE)</f>
        <v>Networking</v>
      </c>
    </row>
    <row r="717" spans="1:5" x14ac:dyDescent="0.3">
      <c r="A717" t="s">
        <v>6729</v>
      </c>
      <c r="B717" t="s">
        <v>598</v>
      </c>
      <c r="C717">
        <v>3</v>
      </c>
      <c r="D717" t="str">
        <f>VLOOKUP(B717,Products!$A:$E,2,FALSE)</f>
        <v>Product_295</v>
      </c>
      <c r="E717" t="str">
        <f>VLOOKUP(B717,Products!$A:$E,3,FALSE)</f>
        <v>Networking</v>
      </c>
    </row>
    <row r="718" spans="1:5" x14ac:dyDescent="0.3">
      <c r="A718" t="s">
        <v>6730</v>
      </c>
      <c r="B718" t="s">
        <v>764</v>
      </c>
      <c r="C718">
        <v>6</v>
      </c>
      <c r="D718" t="str">
        <f>VLOOKUP(B718,Products!$A:$E,2,FALSE)</f>
        <v>Product_378</v>
      </c>
      <c r="E718" t="str">
        <f>VLOOKUP(B718,Products!$A:$E,3,FALSE)</f>
        <v>Electronics</v>
      </c>
    </row>
    <row r="719" spans="1:5" x14ac:dyDescent="0.3">
      <c r="A719" t="s">
        <v>6731</v>
      </c>
      <c r="B719" t="s">
        <v>304</v>
      </c>
      <c r="C719">
        <v>42</v>
      </c>
      <c r="D719" t="str">
        <f>VLOOKUP(B719,Products!$A:$E,2,FALSE)</f>
        <v>Product_148</v>
      </c>
      <c r="E719" t="str">
        <f>VLOOKUP(B719,Products!$A:$E,3,FALSE)</f>
        <v>Electronics</v>
      </c>
    </row>
    <row r="720" spans="1:5" x14ac:dyDescent="0.3">
      <c r="A720" t="s">
        <v>6732</v>
      </c>
      <c r="B720" t="s">
        <v>912</v>
      </c>
      <c r="C720">
        <v>30</v>
      </c>
      <c r="D720" t="str">
        <f>VLOOKUP(B720,Products!$A:$E,2,FALSE)</f>
        <v>Product_452</v>
      </c>
      <c r="E720" t="str">
        <f>VLOOKUP(B720,Products!$A:$E,3,FALSE)</f>
        <v>Office Supplies</v>
      </c>
    </row>
    <row r="721" spans="1:5" x14ac:dyDescent="0.3">
      <c r="A721" t="s">
        <v>6733</v>
      </c>
      <c r="B721" t="s">
        <v>364</v>
      </c>
      <c r="C721">
        <v>45</v>
      </c>
      <c r="D721" t="str">
        <f>VLOOKUP(B721,Products!$A:$E,2,FALSE)</f>
        <v>Product_178</v>
      </c>
      <c r="E721" t="str">
        <f>VLOOKUP(B721,Products!$A:$E,3,FALSE)</f>
        <v>Office Supplies</v>
      </c>
    </row>
    <row r="722" spans="1:5" x14ac:dyDescent="0.3">
      <c r="A722" t="s">
        <v>6734</v>
      </c>
      <c r="B722" t="s">
        <v>872</v>
      </c>
      <c r="C722">
        <v>46</v>
      </c>
      <c r="D722" t="str">
        <f>VLOOKUP(B722,Products!$A:$E,2,FALSE)</f>
        <v>Product_432</v>
      </c>
      <c r="E722" t="str">
        <f>VLOOKUP(B722,Products!$A:$E,3,FALSE)</f>
        <v>Office Supplies</v>
      </c>
    </row>
    <row r="723" spans="1:5" x14ac:dyDescent="0.3">
      <c r="A723" t="s">
        <v>6735</v>
      </c>
      <c r="B723" t="s">
        <v>820</v>
      </c>
      <c r="C723">
        <v>20</v>
      </c>
      <c r="D723" t="str">
        <f>VLOOKUP(B723,Products!$A:$E,2,FALSE)</f>
        <v>Product_406</v>
      </c>
      <c r="E723" t="str">
        <f>VLOOKUP(B723,Products!$A:$E,3,FALSE)</f>
        <v>Office Supplies</v>
      </c>
    </row>
    <row r="724" spans="1:5" x14ac:dyDescent="0.3">
      <c r="A724" t="s">
        <v>6736</v>
      </c>
      <c r="B724" t="s">
        <v>410</v>
      </c>
      <c r="C724">
        <v>40</v>
      </c>
      <c r="D724" t="str">
        <f>VLOOKUP(B724,Products!$A:$E,2,FALSE)</f>
        <v>Product_201</v>
      </c>
      <c r="E724" t="str">
        <f>VLOOKUP(B724,Products!$A:$E,3,FALSE)</f>
        <v>Networking</v>
      </c>
    </row>
    <row r="725" spans="1:5" x14ac:dyDescent="0.3">
      <c r="A725" t="s">
        <v>6737</v>
      </c>
      <c r="B725" t="s">
        <v>852</v>
      </c>
      <c r="C725">
        <v>12</v>
      </c>
      <c r="D725" t="str">
        <f>VLOOKUP(B725,Products!$A:$E,2,FALSE)</f>
        <v>Product_422</v>
      </c>
      <c r="E725" t="str">
        <f>VLOOKUP(B725,Products!$A:$E,3,FALSE)</f>
        <v>Accessories</v>
      </c>
    </row>
    <row r="726" spans="1:5" x14ac:dyDescent="0.3">
      <c r="A726" t="s">
        <v>6738</v>
      </c>
      <c r="B726" t="s">
        <v>434</v>
      </c>
      <c r="C726">
        <v>16</v>
      </c>
      <c r="D726" t="str">
        <f>VLOOKUP(B726,Products!$A:$E,2,FALSE)</f>
        <v>Product_213</v>
      </c>
      <c r="E726" t="str">
        <f>VLOOKUP(B726,Products!$A:$E,3,FALSE)</f>
        <v>Accessories</v>
      </c>
    </row>
    <row r="727" spans="1:5" x14ac:dyDescent="0.3">
      <c r="A727" t="s">
        <v>6739</v>
      </c>
      <c r="B727" t="s">
        <v>192</v>
      </c>
      <c r="C727">
        <v>40</v>
      </c>
      <c r="D727" t="str">
        <f>VLOOKUP(B727,Products!$A:$E,2,FALSE)</f>
        <v>Product_92</v>
      </c>
      <c r="E727" t="str">
        <f>VLOOKUP(B727,Products!$A:$E,3,FALSE)</f>
        <v>Electronics</v>
      </c>
    </row>
    <row r="728" spans="1:5" x14ac:dyDescent="0.3">
      <c r="A728" t="s">
        <v>6740</v>
      </c>
      <c r="B728" t="s">
        <v>760</v>
      </c>
      <c r="C728">
        <v>28</v>
      </c>
      <c r="D728" t="str">
        <f>VLOOKUP(B728,Products!$A:$E,2,FALSE)</f>
        <v>Product_376</v>
      </c>
      <c r="E728" t="str">
        <f>VLOOKUP(B728,Products!$A:$E,3,FALSE)</f>
        <v>Networking</v>
      </c>
    </row>
    <row r="729" spans="1:5" x14ac:dyDescent="0.3">
      <c r="A729" t="s">
        <v>6741</v>
      </c>
      <c r="B729" t="s">
        <v>478</v>
      </c>
      <c r="C729">
        <v>25</v>
      </c>
      <c r="D729" t="str">
        <f>VLOOKUP(B729,Products!$A:$E,2,FALSE)</f>
        <v>Product_235</v>
      </c>
      <c r="E729" t="str">
        <f>VLOOKUP(B729,Products!$A:$E,3,FALSE)</f>
        <v>Accessories</v>
      </c>
    </row>
    <row r="730" spans="1:5" x14ac:dyDescent="0.3">
      <c r="A730" t="s">
        <v>6742</v>
      </c>
      <c r="B730" t="s">
        <v>942</v>
      </c>
      <c r="C730">
        <v>43</v>
      </c>
      <c r="D730" t="str">
        <f>VLOOKUP(B730,Products!$A:$E,2,FALSE)</f>
        <v>Product_467</v>
      </c>
      <c r="E730" t="str">
        <f>VLOOKUP(B730,Products!$A:$E,3,FALSE)</f>
        <v>Accessories</v>
      </c>
    </row>
    <row r="731" spans="1:5" x14ac:dyDescent="0.3">
      <c r="A731" t="s">
        <v>6743</v>
      </c>
      <c r="B731" t="s">
        <v>196</v>
      </c>
      <c r="C731">
        <v>45</v>
      </c>
      <c r="D731" t="str">
        <f>VLOOKUP(B731,Products!$A:$E,2,FALSE)</f>
        <v>Product_94</v>
      </c>
      <c r="E731" t="str">
        <f>VLOOKUP(B731,Products!$A:$E,3,FALSE)</f>
        <v>Networking</v>
      </c>
    </row>
    <row r="732" spans="1:5" x14ac:dyDescent="0.3">
      <c r="A732" t="s">
        <v>6744</v>
      </c>
      <c r="B732" t="s">
        <v>592</v>
      </c>
      <c r="C732">
        <v>7</v>
      </c>
      <c r="D732" t="str">
        <f>VLOOKUP(B732,Products!$A:$E,2,FALSE)</f>
        <v>Product_292</v>
      </c>
      <c r="E732" t="str">
        <f>VLOOKUP(B732,Products!$A:$E,3,FALSE)</f>
        <v>Networking</v>
      </c>
    </row>
    <row r="733" spans="1:5" x14ac:dyDescent="0.3">
      <c r="A733" t="s">
        <v>6745</v>
      </c>
      <c r="B733" t="s">
        <v>412</v>
      </c>
      <c r="C733">
        <v>45</v>
      </c>
      <c r="D733" t="str">
        <f>VLOOKUP(B733,Products!$A:$E,2,FALSE)</f>
        <v>Product_202</v>
      </c>
      <c r="E733" t="str">
        <f>VLOOKUP(B733,Products!$A:$E,3,FALSE)</f>
        <v>Storage</v>
      </c>
    </row>
    <row r="734" spans="1:5" x14ac:dyDescent="0.3">
      <c r="A734" t="s">
        <v>6746</v>
      </c>
      <c r="B734" t="s">
        <v>978</v>
      </c>
      <c r="C734">
        <v>3</v>
      </c>
      <c r="D734" t="str">
        <f>VLOOKUP(B734,Products!$A:$E,2,FALSE)</f>
        <v>Product_485</v>
      </c>
      <c r="E734" t="str">
        <f>VLOOKUP(B734,Products!$A:$E,3,FALSE)</f>
        <v>Networking</v>
      </c>
    </row>
    <row r="735" spans="1:5" x14ac:dyDescent="0.3">
      <c r="A735" t="s">
        <v>6747</v>
      </c>
      <c r="B735" t="s">
        <v>254</v>
      </c>
      <c r="C735">
        <v>11</v>
      </c>
      <c r="D735" t="str">
        <f>VLOOKUP(B735,Products!$A:$E,2,FALSE)</f>
        <v>Product_123</v>
      </c>
      <c r="E735" t="str">
        <f>VLOOKUP(B735,Products!$A:$E,3,FALSE)</f>
        <v>Electronics</v>
      </c>
    </row>
    <row r="736" spans="1:5" x14ac:dyDescent="0.3">
      <c r="A736" t="s">
        <v>6748</v>
      </c>
      <c r="B736" t="s">
        <v>290</v>
      </c>
      <c r="C736">
        <v>41</v>
      </c>
      <c r="D736" t="str">
        <f>VLOOKUP(B736,Products!$A:$E,2,FALSE)</f>
        <v>Product_141</v>
      </c>
      <c r="E736" t="str">
        <f>VLOOKUP(B736,Products!$A:$E,3,FALSE)</f>
        <v>Electronics</v>
      </c>
    </row>
    <row r="737" spans="1:5" x14ac:dyDescent="0.3">
      <c r="A737" t="s">
        <v>6749</v>
      </c>
      <c r="B737" t="s">
        <v>560</v>
      </c>
      <c r="C737">
        <v>19</v>
      </c>
      <c r="D737" t="str">
        <f>VLOOKUP(B737,Products!$A:$E,2,FALSE)</f>
        <v>Product_276</v>
      </c>
      <c r="E737" t="str">
        <f>VLOOKUP(B737,Products!$A:$E,3,FALSE)</f>
        <v>Office Supplies</v>
      </c>
    </row>
    <row r="738" spans="1:5" x14ac:dyDescent="0.3">
      <c r="A738" t="s">
        <v>6750</v>
      </c>
      <c r="B738" t="s">
        <v>692</v>
      </c>
      <c r="C738">
        <v>5</v>
      </c>
      <c r="D738" t="str">
        <f>VLOOKUP(B738,Products!$A:$E,2,FALSE)</f>
        <v>Product_342</v>
      </c>
      <c r="E738" t="str">
        <f>VLOOKUP(B738,Products!$A:$E,3,FALSE)</f>
        <v>Accessories</v>
      </c>
    </row>
    <row r="739" spans="1:5" x14ac:dyDescent="0.3">
      <c r="A739" t="s">
        <v>6751</v>
      </c>
      <c r="B739" t="s">
        <v>724</v>
      </c>
      <c r="C739">
        <v>47</v>
      </c>
      <c r="D739" t="str">
        <f>VLOOKUP(B739,Products!$A:$E,2,FALSE)</f>
        <v>Product_358</v>
      </c>
      <c r="E739" t="str">
        <f>VLOOKUP(B739,Products!$A:$E,3,FALSE)</f>
        <v>Storage</v>
      </c>
    </row>
    <row r="740" spans="1:5" x14ac:dyDescent="0.3">
      <c r="A740" t="s">
        <v>6752</v>
      </c>
      <c r="B740" t="s">
        <v>748</v>
      </c>
      <c r="C740">
        <v>14</v>
      </c>
      <c r="D740" t="str">
        <f>VLOOKUP(B740,Products!$A:$E,2,FALSE)</f>
        <v>Product_370</v>
      </c>
      <c r="E740" t="str">
        <f>VLOOKUP(B740,Products!$A:$E,3,FALSE)</f>
        <v>Networking</v>
      </c>
    </row>
    <row r="741" spans="1:5" x14ac:dyDescent="0.3">
      <c r="A741" t="s">
        <v>6753</v>
      </c>
      <c r="B741" t="s">
        <v>940</v>
      </c>
      <c r="C741">
        <v>32</v>
      </c>
      <c r="D741" t="str">
        <f>VLOOKUP(B741,Products!$A:$E,2,FALSE)</f>
        <v>Product_466</v>
      </c>
      <c r="E741" t="str">
        <f>VLOOKUP(B741,Products!$A:$E,3,FALSE)</f>
        <v>Networking</v>
      </c>
    </row>
    <row r="742" spans="1:5" x14ac:dyDescent="0.3">
      <c r="A742" t="s">
        <v>6754</v>
      </c>
      <c r="B742" t="s">
        <v>430</v>
      </c>
      <c r="C742">
        <v>49</v>
      </c>
      <c r="D742" t="str">
        <f>VLOOKUP(B742,Products!$A:$E,2,FALSE)</f>
        <v>Product_211</v>
      </c>
      <c r="E742" t="str">
        <f>VLOOKUP(B742,Products!$A:$E,3,FALSE)</f>
        <v>Storage</v>
      </c>
    </row>
    <row r="743" spans="1:5" x14ac:dyDescent="0.3">
      <c r="A743" t="s">
        <v>6755</v>
      </c>
      <c r="B743" t="s">
        <v>576</v>
      </c>
      <c r="C743">
        <v>8</v>
      </c>
      <c r="D743" t="str">
        <f>VLOOKUP(B743,Products!$A:$E,2,FALSE)</f>
        <v>Product_284</v>
      </c>
      <c r="E743" t="str">
        <f>VLOOKUP(B743,Products!$A:$E,3,FALSE)</f>
        <v>Networking</v>
      </c>
    </row>
    <row r="744" spans="1:5" x14ac:dyDescent="0.3">
      <c r="A744" t="s">
        <v>6756</v>
      </c>
      <c r="B744" t="s">
        <v>386</v>
      </c>
      <c r="C744">
        <v>5</v>
      </c>
      <c r="D744" t="str">
        <f>VLOOKUP(B744,Products!$A:$E,2,FALSE)</f>
        <v>Product_189</v>
      </c>
      <c r="E744" t="str">
        <f>VLOOKUP(B744,Products!$A:$E,3,FALSE)</f>
        <v>Electronics</v>
      </c>
    </row>
    <row r="745" spans="1:5" x14ac:dyDescent="0.3">
      <c r="A745" t="s">
        <v>6757</v>
      </c>
      <c r="B745" t="s">
        <v>782</v>
      </c>
      <c r="C745">
        <v>7</v>
      </c>
      <c r="D745" t="str">
        <f>VLOOKUP(B745,Products!$A:$E,2,FALSE)</f>
        <v>Product_387</v>
      </c>
      <c r="E745" t="str">
        <f>VLOOKUP(B745,Products!$A:$E,3,FALSE)</f>
        <v>Storage</v>
      </c>
    </row>
    <row r="746" spans="1:5" x14ac:dyDescent="0.3">
      <c r="A746" t="s">
        <v>6758</v>
      </c>
      <c r="B746" t="s">
        <v>526</v>
      </c>
      <c r="C746">
        <v>50</v>
      </c>
      <c r="D746" t="str">
        <f>VLOOKUP(B746,Products!$A:$E,2,FALSE)</f>
        <v>Product_259</v>
      </c>
      <c r="E746" t="str">
        <f>VLOOKUP(B746,Products!$A:$E,3,FALSE)</f>
        <v>Electronics</v>
      </c>
    </row>
    <row r="747" spans="1:5" x14ac:dyDescent="0.3">
      <c r="A747" t="s">
        <v>6759</v>
      </c>
      <c r="B747" t="s">
        <v>808</v>
      </c>
      <c r="C747">
        <v>21</v>
      </c>
      <c r="D747" t="str">
        <f>VLOOKUP(B747,Products!$A:$E,2,FALSE)</f>
        <v>Product_400</v>
      </c>
      <c r="E747" t="str">
        <f>VLOOKUP(B747,Products!$A:$E,3,FALSE)</f>
        <v>Networking</v>
      </c>
    </row>
    <row r="748" spans="1:5" x14ac:dyDescent="0.3">
      <c r="A748" t="s">
        <v>6760</v>
      </c>
      <c r="B748" t="s">
        <v>428</v>
      </c>
      <c r="C748">
        <v>29</v>
      </c>
      <c r="D748" t="str">
        <f>VLOOKUP(B748,Products!$A:$E,2,FALSE)</f>
        <v>Product_210</v>
      </c>
      <c r="E748" t="str">
        <f>VLOOKUP(B748,Products!$A:$E,3,FALSE)</f>
        <v>Electronics</v>
      </c>
    </row>
    <row r="749" spans="1:5" x14ac:dyDescent="0.3">
      <c r="A749" t="s">
        <v>6761</v>
      </c>
      <c r="B749" t="s">
        <v>178</v>
      </c>
      <c r="C749">
        <v>17</v>
      </c>
      <c r="D749" t="str">
        <f>VLOOKUP(B749,Products!$A:$E,2,FALSE)</f>
        <v>Product_85</v>
      </c>
      <c r="E749" t="str">
        <f>VLOOKUP(B749,Products!$A:$E,3,FALSE)</f>
        <v>Electronics</v>
      </c>
    </row>
    <row r="750" spans="1:5" x14ac:dyDescent="0.3">
      <c r="A750" t="s">
        <v>6762</v>
      </c>
      <c r="B750" t="s">
        <v>222</v>
      </c>
      <c r="C750">
        <v>33</v>
      </c>
      <c r="D750" t="str">
        <f>VLOOKUP(B750,Products!$A:$E,2,FALSE)</f>
        <v>Product_107</v>
      </c>
      <c r="E750" t="str">
        <f>VLOOKUP(B750,Products!$A:$E,3,FALSE)</f>
        <v>Office Supplies</v>
      </c>
    </row>
    <row r="751" spans="1:5" x14ac:dyDescent="0.3">
      <c r="A751" t="s">
        <v>6763</v>
      </c>
      <c r="B751" t="s">
        <v>54</v>
      </c>
      <c r="C751">
        <v>30</v>
      </c>
      <c r="D751" t="str">
        <f>VLOOKUP(B751,Products!$A:$E,2,FALSE)</f>
        <v>Product_23</v>
      </c>
      <c r="E751" t="str">
        <f>VLOOKUP(B751,Products!$A:$E,3,FALSE)</f>
        <v>Accessories</v>
      </c>
    </row>
    <row r="752" spans="1:5" x14ac:dyDescent="0.3">
      <c r="A752" t="s">
        <v>6764</v>
      </c>
      <c r="B752" t="s">
        <v>36</v>
      </c>
      <c r="C752">
        <v>5</v>
      </c>
      <c r="D752" t="str">
        <f>VLOOKUP(B752,Products!$A:$E,2,FALSE)</f>
        <v>Product_14</v>
      </c>
      <c r="E752" t="str">
        <f>VLOOKUP(B752,Products!$A:$E,3,FALSE)</f>
        <v>Accessories</v>
      </c>
    </row>
    <row r="753" spans="1:5" x14ac:dyDescent="0.3">
      <c r="A753" t="s">
        <v>6765</v>
      </c>
      <c r="B753" t="s">
        <v>664</v>
      </c>
      <c r="C753">
        <v>45</v>
      </c>
      <c r="D753" t="str">
        <f>VLOOKUP(B753,Products!$A:$E,2,FALSE)</f>
        <v>Product_328</v>
      </c>
      <c r="E753" t="str">
        <f>VLOOKUP(B753,Products!$A:$E,3,FALSE)</f>
        <v>Office Supplies</v>
      </c>
    </row>
    <row r="754" spans="1:5" x14ac:dyDescent="0.3">
      <c r="A754" t="s">
        <v>6766</v>
      </c>
      <c r="B754" t="s">
        <v>700</v>
      </c>
      <c r="C754">
        <v>48</v>
      </c>
      <c r="D754" t="str">
        <f>VLOOKUP(B754,Products!$A:$E,2,FALSE)</f>
        <v>Product_346</v>
      </c>
      <c r="E754" t="str">
        <f>VLOOKUP(B754,Products!$A:$E,3,FALSE)</f>
        <v>Electronics</v>
      </c>
    </row>
    <row r="755" spans="1:5" x14ac:dyDescent="0.3">
      <c r="A755" t="s">
        <v>6767</v>
      </c>
      <c r="B755" t="s">
        <v>482</v>
      </c>
      <c r="C755">
        <v>25</v>
      </c>
      <c r="D755" t="str">
        <f>VLOOKUP(B755,Products!$A:$E,2,FALSE)</f>
        <v>Product_237</v>
      </c>
      <c r="E755" t="str">
        <f>VLOOKUP(B755,Products!$A:$E,3,FALSE)</f>
        <v>Networking</v>
      </c>
    </row>
    <row r="756" spans="1:5" x14ac:dyDescent="0.3">
      <c r="A756" t="s">
        <v>6768</v>
      </c>
      <c r="B756" t="s">
        <v>360</v>
      </c>
      <c r="C756">
        <v>48</v>
      </c>
      <c r="D756" t="str">
        <f>VLOOKUP(B756,Products!$A:$E,2,FALSE)</f>
        <v>Product_176</v>
      </c>
      <c r="E756" t="str">
        <f>VLOOKUP(B756,Products!$A:$E,3,FALSE)</f>
        <v>Electronics</v>
      </c>
    </row>
    <row r="757" spans="1:5" x14ac:dyDescent="0.3">
      <c r="A757" t="s">
        <v>6769</v>
      </c>
      <c r="B757" t="s">
        <v>418</v>
      </c>
      <c r="C757">
        <v>13</v>
      </c>
      <c r="D757" t="str">
        <f>VLOOKUP(B757,Products!$A:$E,2,FALSE)</f>
        <v>Product_205</v>
      </c>
      <c r="E757" t="str">
        <f>VLOOKUP(B757,Products!$A:$E,3,FALSE)</f>
        <v>Storage</v>
      </c>
    </row>
    <row r="758" spans="1:5" x14ac:dyDescent="0.3">
      <c r="A758" t="s">
        <v>6770</v>
      </c>
      <c r="B758" t="s">
        <v>416</v>
      </c>
      <c r="C758">
        <v>3</v>
      </c>
      <c r="D758" t="str">
        <f>VLOOKUP(B758,Products!$A:$E,2,FALSE)</f>
        <v>Product_204</v>
      </c>
      <c r="E758" t="str">
        <f>VLOOKUP(B758,Products!$A:$E,3,FALSE)</f>
        <v>Office Supplies</v>
      </c>
    </row>
    <row r="759" spans="1:5" x14ac:dyDescent="0.3">
      <c r="A759" t="s">
        <v>6771</v>
      </c>
      <c r="B759" t="s">
        <v>20</v>
      </c>
      <c r="C759">
        <v>17</v>
      </c>
      <c r="D759" t="str">
        <f>VLOOKUP(B759,Products!$A:$E,2,FALSE)</f>
        <v>Product_6</v>
      </c>
      <c r="E759" t="str">
        <f>VLOOKUP(B759,Products!$A:$E,3,FALSE)</f>
        <v>Electronics</v>
      </c>
    </row>
    <row r="760" spans="1:5" x14ac:dyDescent="0.3">
      <c r="A760" t="s">
        <v>6772</v>
      </c>
      <c r="B760" t="s">
        <v>126</v>
      </c>
      <c r="C760">
        <v>46</v>
      </c>
      <c r="D760" t="str">
        <f>VLOOKUP(B760,Products!$A:$E,2,FALSE)</f>
        <v>Product_59</v>
      </c>
      <c r="E760" t="str">
        <f>VLOOKUP(B760,Products!$A:$E,3,FALSE)</f>
        <v>Accessories</v>
      </c>
    </row>
    <row r="761" spans="1:5" x14ac:dyDescent="0.3">
      <c r="A761" t="s">
        <v>6773</v>
      </c>
      <c r="B761" t="s">
        <v>948</v>
      </c>
      <c r="C761">
        <v>9</v>
      </c>
      <c r="D761" t="str">
        <f>VLOOKUP(B761,Products!$A:$E,2,FALSE)</f>
        <v>Product_470</v>
      </c>
      <c r="E761" t="str">
        <f>VLOOKUP(B761,Products!$A:$E,3,FALSE)</f>
        <v>Networking</v>
      </c>
    </row>
    <row r="762" spans="1:5" x14ac:dyDescent="0.3">
      <c r="A762" t="s">
        <v>6774</v>
      </c>
      <c r="B762" t="s">
        <v>344</v>
      </c>
      <c r="C762">
        <v>43</v>
      </c>
      <c r="D762" t="str">
        <f>VLOOKUP(B762,Products!$A:$E,2,FALSE)</f>
        <v>Product_168</v>
      </c>
      <c r="E762" t="str">
        <f>VLOOKUP(B762,Products!$A:$E,3,FALSE)</f>
        <v>Electronics</v>
      </c>
    </row>
    <row r="763" spans="1:5" x14ac:dyDescent="0.3">
      <c r="A763" t="s">
        <v>6775</v>
      </c>
      <c r="B763" t="s">
        <v>776</v>
      </c>
      <c r="C763">
        <v>30</v>
      </c>
      <c r="D763" t="str">
        <f>VLOOKUP(B763,Products!$A:$E,2,FALSE)</f>
        <v>Product_384</v>
      </c>
      <c r="E763" t="str">
        <f>VLOOKUP(B763,Products!$A:$E,3,FALSE)</f>
        <v>Office Supplies</v>
      </c>
    </row>
    <row r="764" spans="1:5" x14ac:dyDescent="0.3">
      <c r="A764" t="s">
        <v>6776</v>
      </c>
      <c r="B764" t="s">
        <v>506</v>
      </c>
      <c r="C764">
        <v>30</v>
      </c>
      <c r="D764" t="str">
        <f>VLOOKUP(B764,Products!$A:$E,2,FALSE)</f>
        <v>Product_249</v>
      </c>
      <c r="E764" t="str">
        <f>VLOOKUP(B764,Products!$A:$E,3,FALSE)</f>
        <v>Storage</v>
      </c>
    </row>
    <row r="765" spans="1:5" x14ac:dyDescent="0.3">
      <c r="A765" t="s">
        <v>6777</v>
      </c>
      <c r="B765" t="s">
        <v>78</v>
      </c>
      <c r="C765">
        <v>6</v>
      </c>
      <c r="D765" t="str">
        <f>VLOOKUP(B765,Products!$A:$E,2,FALSE)</f>
        <v>Product_35</v>
      </c>
      <c r="E765" t="str">
        <f>VLOOKUP(B765,Products!$A:$E,3,FALSE)</f>
        <v>Electronics</v>
      </c>
    </row>
    <row r="766" spans="1:5" x14ac:dyDescent="0.3">
      <c r="A766" t="s">
        <v>6778</v>
      </c>
      <c r="B766" t="s">
        <v>570</v>
      </c>
      <c r="C766">
        <v>43</v>
      </c>
      <c r="D766" t="str">
        <f>VLOOKUP(B766,Products!$A:$E,2,FALSE)</f>
        <v>Product_281</v>
      </c>
      <c r="E766" t="str">
        <f>VLOOKUP(B766,Products!$A:$E,3,FALSE)</f>
        <v>Office Supplies</v>
      </c>
    </row>
    <row r="767" spans="1:5" x14ac:dyDescent="0.3">
      <c r="A767" t="s">
        <v>6779</v>
      </c>
      <c r="B767" t="s">
        <v>258</v>
      </c>
      <c r="C767">
        <v>46</v>
      </c>
      <c r="D767" t="str">
        <f>VLOOKUP(B767,Products!$A:$E,2,FALSE)</f>
        <v>Product_125</v>
      </c>
      <c r="E767" t="str">
        <f>VLOOKUP(B767,Products!$A:$E,3,FALSE)</f>
        <v>Office Supplies</v>
      </c>
    </row>
    <row r="768" spans="1:5" x14ac:dyDescent="0.3">
      <c r="A768" t="s">
        <v>6780</v>
      </c>
      <c r="B768" t="s">
        <v>982</v>
      </c>
      <c r="C768">
        <v>29</v>
      </c>
      <c r="D768" t="str">
        <f>VLOOKUP(B768,Products!$A:$E,2,FALSE)</f>
        <v>Product_487</v>
      </c>
      <c r="E768" t="str">
        <f>VLOOKUP(B768,Products!$A:$E,3,FALSE)</f>
        <v>Networking</v>
      </c>
    </row>
    <row r="769" spans="1:5" x14ac:dyDescent="0.3">
      <c r="A769" t="s">
        <v>6781</v>
      </c>
      <c r="B769" t="s">
        <v>152</v>
      </c>
      <c r="C769">
        <v>31</v>
      </c>
      <c r="D769" t="str">
        <f>VLOOKUP(B769,Products!$A:$E,2,FALSE)</f>
        <v>Product_72</v>
      </c>
      <c r="E769" t="str">
        <f>VLOOKUP(B769,Products!$A:$E,3,FALSE)</f>
        <v>Networking</v>
      </c>
    </row>
    <row r="770" spans="1:5" x14ac:dyDescent="0.3">
      <c r="A770" t="s">
        <v>6782</v>
      </c>
      <c r="B770" t="s">
        <v>850</v>
      </c>
      <c r="C770">
        <v>18</v>
      </c>
      <c r="D770" t="str">
        <f>VLOOKUP(B770,Products!$A:$E,2,FALSE)</f>
        <v>Product_421</v>
      </c>
      <c r="E770" t="str">
        <f>VLOOKUP(B770,Products!$A:$E,3,FALSE)</f>
        <v>Accessories</v>
      </c>
    </row>
    <row r="771" spans="1:5" x14ac:dyDescent="0.3">
      <c r="A771" t="s">
        <v>6783</v>
      </c>
      <c r="B771" t="s">
        <v>870</v>
      </c>
      <c r="C771">
        <v>11</v>
      </c>
      <c r="D771" t="str">
        <f>VLOOKUP(B771,Products!$A:$E,2,FALSE)</f>
        <v>Product_431</v>
      </c>
      <c r="E771" t="str">
        <f>VLOOKUP(B771,Products!$A:$E,3,FALSE)</f>
        <v>Electronics</v>
      </c>
    </row>
    <row r="772" spans="1:5" x14ac:dyDescent="0.3">
      <c r="A772" t="s">
        <v>6784</v>
      </c>
      <c r="B772" t="s">
        <v>184</v>
      </c>
      <c r="C772">
        <v>2</v>
      </c>
      <c r="D772" t="str">
        <f>VLOOKUP(B772,Products!$A:$E,2,FALSE)</f>
        <v>Product_88</v>
      </c>
      <c r="E772" t="str">
        <f>VLOOKUP(B772,Products!$A:$E,3,FALSE)</f>
        <v>Accessories</v>
      </c>
    </row>
    <row r="773" spans="1:5" x14ac:dyDescent="0.3">
      <c r="A773" t="s">
        <v>6785</v>
      </c>
      <c r="B773" t="s">
        <v>630</v>
      </c>
      <c r="C773">
        <v>7</v>
      </c>
      <c r="D773" t="str">
        <f>VLOOKUP(B773,Products!$A:$E,2,FALSE)</f>
        <v>Product_311</v>
      </c>
      <c r="E773" t="str">
        <f>VLOOKUP(B773,Products!$A:$E,3,FALSE)</f>
        <v>Networking</v>
      </c>
    </row>
    <row r="774" spans="1:5" x14ac:dyDescent="0.3">
      <c r="A774" t="s">
        <v>6786</v>
      </c>
      <c r="B774" t="s">
        <v>190</v>
      </c>
      <c r="C774">
        <v>19</v>
      </c>
      <c r="D774" t="str">
        <f>VLOOKUP(B774,Products!$A:$E,2,FALSE)</f>
        <v>Product_91</v>
      </c>
      <c r="E774" t="str">
        <f>VLOOKUP(B774,Products!$A:$E,3,FALSE)</f>
        <v>Networking</v>
      </c>
    </row>
    <row r="775" spans="1:5" x14ac:dyDescent="0.3">
      <c r="A775" t="s">
        <v>6787</v>
      </c>
      <c r="B775" t="s">
        <v>136</v>
      </c>
      <c r="C775">
        <v>35</v>
      </c>
      <c r="D775" t="str">
        <f>VLOOKUP(B775,Products!$A:$E,2,FALSE)</f>
        <v>Product_64</v>
      </c>
      <c r="E775" t="str">
        <f>VLOOKUP(B775,Products!$A:$E,3,FALSE)</f>
        <v>Storage</v>
      </c>
    </row>
    <row r="776" spans="1:5" x14ac:dyDescent="0.3">
      <c r="A776" t="s">
        <v>6788</v>
      </c>
      <c r="B776" t="s">
        <v>768</v>
      </c>
      <c r="C776">
        <v>26</v>
      </c>
      <c r="D776" t="str">
        <f>VLOOKUP(B776,Products!$A:$E,2,FALSE)</f>
        <v>Product_380</v>
      </c>
      <c r="E776" t="str">
        <f>VLOOKUP(B776,Products!$A:$E,3,FALSE)</f>
        <v>Electronics</v>
      </c>
    </row>
    <row r="777" spans="1:5" x14ac:dyDescent="0.3">
      <c r="A777" t="s">
        <v>6789</v>
      </c>
      <c r="B777" t="s">
        <v>182</v>
      </c>
      <c r="C777">
        <v>5</v>
      </c>
      <c r="D777" t="str">
        <f>VLOOKUP(B777,Products!$A:$E,2,FALSE)</f>
        <v>Product_87</v>
      </c>
      <c r="E777" t="str">
        <f>VLOOKUP(B777,Products!$A:$E,3,FALSE)</f>
        <v>Networking</v>
      </c>
    </row>
    <row r="778" spans="1:5" x14ac:dyDescent="0.3">
      <c r="A778" t="s">
        <v>6790</v>
      </c>
      <c r="B778" t="s">
        <v>696</v>
      </c>
      <c r="C778">
        <v>49</v>
      </c>
      <c r="D778" t="str">
        <f>VLOOKUP(B778,Products!$A:$E,2,FALSE)</f>
        <v>Product_344</v>
      </c>
      <c r="E778" t="str">
        <f>VLOOKUP(B778,Products!$A:$E,3,FALSE)</f>
        <v>Accessories</v>
      </c>
    </row>
    <row r="779" spans="1:5" x14ac:dyDescent="0.3">
      <c r="A779" t="s">
        <v>6791</v>
      </c>
      <c r="B779" t="s">
        <v>20</v>
      </c>
      <c r="C779">
        <v>44</v>
      </c>
      <c r="D779" t="str">
        <f>VLOOKUP(B779,Products!$A:$E,2,FALSE)</f>
        <v>Product_6</v>
      </c>
      <c r="E779" t="str">
        <f>VLOOKUP(B779,Products!$A:$E,3,FALSE)</f>
        <v>Electronics</v>
      </c>
    </row>
    <row r="780" spans="1:5" x14ac:dyDescent="0.3">
      <c r="A780" t="s">
        <v>6792</v>
      </c>
      <c r="B780" t="s">
        <v>288</v>
      </c>
      <c r="C780">
        <v>10</v>
      </c>
      <c r="D780" t="str">
        <f>VLOOKUP(B780,Products!$A:$E,2,FALSE)</f>
        <v>Product_140</v>
      </c>
      <c r="E780" t="str">
        <f>VLOOKUP(B780,Products!$A:$E,3,FALSE)</f>
        <v>Electronics</v>
      </c>
    </row>
    <row r="781" spans="1:5" x14ac:dyDescent="0.3">
      <c r="A781" t="s">
        <v>6793</v>
      </c>
      <c r="B781" t="s">
        <v>460</v>
      </c>
      <c r="C781">
        <v>23</v>
      </c>
      <c r="D781" t="str">
        <f>VLOOKUP(B781,Products!$A:$E,2,FALSE)</f>
        <v>Product_226</v>
      </c>
      <c r="E781" t="str">
        <f>VLOOKUP(B781,Products!$A:$E,3,FALSE)</f>
        <v>Networking</v>
      </c>
    </row>
    <row r="782" spans="1:5" x14ac:dyDescent="0.3">
      <c r="A782" t="s">
        <v>6794</v>
      </c>
      <c r="B782" t="s">
        <v>192</v>
      </c>
      <c r="C782">
        <v>14</v>
      </c>
      <c r="D782" t="str">
        <f>VLOOKUP(B782,Products!$A:$E,2,FALSE)</f>
        <v>Product_92</v>
      </c>
      <c r="E782" t="str">
        <f>VLOOKUP(B782,Products!$A:$E,3,FALSE)</f>
        <v>Electronics</v>
      </c>
    </row>
    <row r="783" spans="1:5" x14ac:dyDescent="0.3">
      <c r="A783" t="s">
        <v>6795</v>
      </c>
      <c r="B783" t="s">
        <v>740</v>
      </c>
      <c r="C783">
        <v>3</v>
      </c>
      <c r="D783" t="str">
        <f>VLOOKUP(B783,Products!$A:$E,2,FALSE)</f>
        <v>Product_366</v>
      </c>
      <c r="E783" t="str">
        <f>VLOOKUP(B783,Products!$A:$E,3,FALSE)</f>
        <v>Electronics</v>
      </c>
    </row>
    <row r="784" spans="1:5" x14ac:dyDescent="0.3">
      <c r="A784" t="s">
        <v>6796</v>
      </c>
      <c r="B784" t="s">
        <v>924</v>
      </c>
      <c r="C784">
        <v>44</v>
      </c>
      <c r="D784" t="str">
        <f>VLOOKUP(B784,Products!$A:$E,2,FALSE)</f>
        <v>Product_458</v>
      </c>
      <c r="E784" t="str">
        <f>VLOOKUP(B784,Products!$A:$E,3,FALSE)</f>
        <v>Accessories</v>
      </c>
    </row>
    <row r="785" spans="1:5" x14ac:dyDescent="0.3">
      <c r="A785" t="s">
        <v>6797</v>
      </c>
      <c r="B785" t="s">
        <v>554</v>
      </c>
      <c r="C785">
        <v>14</v>
      </c>
      <c r="D785" t="str">
        <f>VLOOKUP(B785,Products!$A:$E,2,FALSE)</f>
        <v>Product_273</v>
      </c>
      <c r="E785" t="str">
        <f>VLOOKUP(B785,Products!$A:$E,3,FALSE)</f>
        <v>Networking</v>
      </c>
    </row>
    <row r="786" spans="1:5" x14ac:dyDescent="0.3">
      <c r="A786" t="s">
        <v>6798</v>
      </c>
      <c r="B786" t="s">
        <v>462</v>
      </c>
      <c r="C786">
        <v>45</v>
      </c>
      <c r="D786" t="str">
        <f>VLOOKUP(B786,Products!$A:$E,2,FALSE)</f>
        <v>Product_227</v>
      </c>
      <c r="E786" t="str">
        <f>VLOOKUP(B786,Products!$A:$E,3,FALSE)</f>
        <v>Accessories</v>
      </c>
    </row>
    <row r="787" spans="1:5" x14ac:dyDescent="0.3">
      <c r="A787" t="s">
        <v>6799</v>
      </c>
      <c r="B787" t="s">
        <v>58</v>
      </c>
      <c r="C787">
        <v>41</v>
      </c>
      <c r="D787" t="str">
        <f>VLOOKUP(B787,Products!$A:$E,2,FALSE)</f>
        <v>Product_25</v>
      </c>
      <c r="E787" t="str">
        <f>VLOOKUP(B787,Products!$A:$E,3,FALSE)</f>
        <v>Office Supplies</v>
      </c>
    </row>
    <row r="788" spans="1:5" x14ac:dyDescent="0.3">
      <c r="A788" t="s">
        <v>6800</v>
      </c>
      <c r="B788" t="s">
        <v>840</v>
      </c>
      <c r="C788">
        <v>34</v>
      </c>
      <c r="D788" t="str">
        <f>VLOOKUP(B788,Products!$A:$E,2,FALSE)</f>
        <v>Product_416</v>
      </c>
      <c r="E788" t="str">
        <f>VLOOKUP(B788,Products!$A:$E,3,FALSE)</f>
        <v>Accessories</v>
      </c>
    </row>
    <row r="789" spans="1:5" x14ac:dyDescent="0.3">
      <c r="A789" t="s">
        <v>6801</v>
      </c>
      <c r="B789" t="s">
        <v>666</v>
      </c>
      <c r="C789">
        <v>43</v>
      </c>
      <c r="D789" t="str">
        <f>VLOOKUP(B789,Products!$A:$E,2,FALSE)</f>
        <v>Product_329</v>
      </c>
      <c r="E789" t="str">
        <f>VLOOKUP(B789,Products!$A:$E,3,FALSE)</f>
        <v>Office Supplies</v>
      </c>
    </row>
    <row r="790" spans="1:5" x14ac:dyDescent="0.3">
      <c r="A790" t="s">
        <v>6802</v>
      </c>
      <c r="B790" t="s">
        <v>742</v>
      </c>
      <c r="C790">
        <v>43</v>
      </c>
      <c r="D790" t="str">
        <f>VLOOKUP(B790,Products!$A:$E,2,FALSE)</f>
        <v>Product_367</v>
      </c>
      <c r="E790" t="str">
        <f>VLOOKUP(B790,Products!$A:$E,3,FALSE)</f>
        <v>Storage</v>
      </c>
    </row>
    <row r="791" spans="1:5" x14ac:dyDescent="0.3">
      <c r="A791" t="s">
        <v>6803</v>
      </c>
      <c r="B791" t="s">
        <v>928</v>
      </c>
      <c r="C791">
        <v>7</v>
      </c>
      <c r="D791" t="str">
        <f>VLOOKUP(B791,Products!$A:$E,2,FALSE)</f>
        <v>Product_460</v>
      </c>
      <c r="E791" t="str">
        <f>VLOOKUP(B791,Products!$A:$E,3,FALSE)</f>
        <v>Accessories</v>
      </c>
    </row>
    <row r="792" spans="1:5" x14ac:dyDescent="0.3">
      <c r="A792" t="s">
        <v>6804</v>
      </c>
      <c r="B792" t="s">
        <v>408</v>
      </c>
      <c r="C792">
        <v>45</v>
      </c>
      <c r="D792" t="str">
        <f>VLOOKUP(B792,Products!$A:$E,2,FALSE)</f>
        <v>Product_200</v>
      </c>
      <c r="E792" t="str">
        <f>VLOOKUP(B792,Products!$A:$E,3,FALSE)</f>
        <v>Office Supplies</v>
      </c>
    </row>
    <row r="793" spans="1:5" x14ac:dyDescent="0.3">
      <c r="A793" t="s">
        <v>6805</v>
      </c>
      <c r="B793" t="s">
        <v>324</v>
      </c>
      <c r="C793">
        <v>29</v>
      </c>
      <c r="D793" t="str">
        <f>VLOOKUP(B793,Products!$A:$E,2,FALSE)</f>
        <v>Product_158</v>
      </c>
      <c r="E793" t="str">
        <f>VLOOKUP(B793,Products!$A:$E,3,FALSE)</f>
        <v>Electronics</v>
      </c>
    </row>
    <row r="794" spans="1:5" x14ac:dyDescent="0.3">
      <c r="A794" t="s">
        <v>6806</v>
      </c>
      <c r="B794" t="s">
        <v>62</v>
      </c>
      <c r="C794">
        <v>39</v>
      </c>
      <c r="D794" t="str">
        <f>VLOOKUP(B794,Products!$A:$E,2,FALSE)</f>
        <v>Product_27</v>
      </c>
      <c r="E794" t="str">
        <f>VLOOKUP(B794,Products!$A:$E,3,FALSE)</f>
        <v>Office Supplies</v>
      </c>
    </row>
    <row r="795" spans="1:5" x14ac:dyDescent="0.3">
      <c r="A795" t="s">
        <v>6807</v>
      </c>
      <c r="B795" t="s">
        <v>11</v>
      </c>
      <c r="C795">
        <v>4</v>
      </c>
      <c r="D795" t="str">
        <f>VLOOKUP(B795,Products!$A:$E,2,FALSE)</f>
        <v>Product_3</v>
      </c>
      <c r="E795" t="str">
        <f>VLOOKUP(B795,Products!$A:$E,3,FALSE)</f>
        <v>Accessories</v>
      </c>
    </row>
    <row r="796" spans="1:5" x14ac:dyDescent="0.3">
      <c r="A796" t="s">
        <v>6808</v>
      </c>
      <c r="B796" t="s">
        <v>800</v>
      </c>
      <c r="C796">
        <v>25</v>
      </c>
      <c r="D796" t="str">
        <f>VLOOKUP(B796,Products!$A:$E,2,FALSE)</f>
        <v>Product_396</v>
      </c>
      <c r="E796" t="str">
        <f>VLOOKUP(B796,Products!$A:$E,3,FALSE)</f>
        <v>Office Supplies</v>
      </c>
    </row>
    <row r="797" spans="1:5" x14ac:dyDescent="0.3">
      <c r="A797" t="s">
        <v>6809</v>
      </c>
      <c r="B797" t="s">
        <v>794</v>
      </c>
      <c r="C797">
        <v>13</v>
      </c>
      <c r="D797" t="str">
        <f>VLOOKUP(B797,Products!$A:$E,2,FALSE)</f>
        <v>Product_393</v>
      </c>
      <c r="E797" t="str">
        <f>VLOOKUP(B797,Products!$A:$E,3,FALSE)</f>
        <v>Electronics</v>
      </c>
    </row>
    <row r="798" spans="1:5" x14ac:dyDescent="0.3">
      <c r="A798" t="s">
        <v>6810</v>
      </c>
      <c r="B798" t="s">
        <v>960</v>
      </c>
      <c r="C798">
        <v>16</v>
      </c>
      <c r="D798" t="str">
        <f>VLOOKUP(B798,Products!$A:$E,2,FALSE)</f>
        <v>Product_476</v>
      </c>
      <c r="E798" t="str">
        <f>VLOOKUP(B798,Products!$A:$E,3,FALSE)</f>
        <v>Office Supplies</v>
      </c>
    </row>
    <row r="799" spans="1:5" x14ac:dyDescent="0.3">
      <c r="A799" t="s">
        <v>6811</v>
      </c>
      <c r="B799" t="s">
        <v>392</v>
      </c>
      <c r="C799">
        <v>16</v>
      </c>
      <c r="D799" t="str">
        <f>VLOOKUP(B799,Products!$A:$E,2,FALSE)</f>
        <v>Product_192</v>
      </c>
      <c r="E799" t="str">
        <f>VLOOKUP(B799,Products!$A:$E,3,FALSE)</f>
        <v>Office Supplies</v>
      </c>
    </row>
    <row r="800" spans="1:5" x14ac:dyDescent="0.3">
      <c r="A800" t="s">
        <v>6812</v>
      </c>
      <c r="B800" t="s">
        <v>214</v>
      </c>
      <c r="C800">
        <v>6</v>
      </c>
      <c r="D800" t="str">
        <f>VLOOKUP(B800,Products!$A:$E,2,FALSE)</f>
        <v>Product_103</v>
      </c>
      <c r="E800" t="str">
        <f>VLOOKUP(B800,Products!$A:$E,3,FALSE)</f>
        <v>Accessories</v>
      </c>
    </row>
    <row r="801" spans="1:5" x14ac:dyDescent="0.3">
      <c r="A801" t="s">
        <v>6813</v>
      </c>
      <c r="B801" t="s">
        <v>26</v>
      </c>
      <c r="C801">
        <v>27</v>
      </c>
      <c r="D801" t="str">
        <f>VLOOKUP(B801,Products!$A:$E,2,FALSE)</f>
        <v>Product_9</v>
      </c>
      <c r="E801" t="str">
        <f>VLOOKUP(B801,Products!$A:$E,3,FALSE)</f>
        <v>Storage</v>
      </c>
    </row>
    <row r="802" spans="1:5" x14ac:dyDescent="0.3">
      <c r="A802" t="s">
        <v>6814</v>
      </c>
      <c r="B802" t="s">
        <v>38</v>
      </c>
      <c r="C802">
        <v>1</v>
      </c>
      <c r="D802" t="str">
        <f>VLOOKUP(B802,Products!$A:$E,2,FALSE)</f>
        <v>Product_15</v>
      </c>
      <c r="E802" t="str">
        <f>VLOOKUP(B802,Products!$A:$E,3,FALSE)</f>
        <v>Electronics</v>
      </c>
    </row>
    <row r="803" spans="1:5" x14ac:dyDescent="0.3">
      <c r="A803" t="s">
        <v>6815</v>
      </c>
      <c r="B803" t="s">
        <v>354</v>
      </c>
      <c r="C803">
        <v>13</v>
      </c>
      <c r="D803" t="str">
        <f>VLOOKUP(B803,Products!$A:$E,2,FALSE)</f>
        <v>Product_173</v>
      </c>
      <c r="E803" t="str">
        <f>VLOOKUP(B803,Products!$A:$E,3,FALSE)</f>
        <v>Electronics</v>
      </c>
    </row>
    <row r="804" spans="1:5" x14ac:dyDescent="0.3">
      <c r="A804" t="s">
        <v>6816</v>
      </c>
      <c r="B804" t="s">
        <v>706</v>
      </c>
      <c r="C804">
        <v>43</v>
      </c>
      <c r="D804" t="str">
        <f>VLOOKUP(B804,Products!$A:$E,2,FALSE)</f>
        <v>Product_349</v>
      </c>
      <c r="E804" t="str">
        <f>VLOOKUP(B804,Products!$A:$E,3,FALSE)</f>
        <v>Office Supplies</v>
      </c>
    </row>
    <row r="805" spans="1:5" x14ac:dyDescent="0.3">
      <c r="A805" t="s">
        <v>6817</v>
      </c>
      <c r="B805" t="s">
        <v>74</v>
      </c>
      <c r="C805">
        <v>15</v>
      </c>
      <c r="D805" t="str">
        <f>VLOOKUP(B805,Products!$A:$E,2,FALSE)</f>
        <v>Product_33</v>
      </c>
      <c r="E805" t="str">
        <f>VLOOKUP(B805,Products!$A:$E,3,FALSE)</f>
        <v>Storage</v>
      </c>
    </row>
    <row r="806" spans="1:5" x14ac:dyDescent="0.3">
      <c r="A806" t="s">
        <v>6818</v>
      </c>
      <c r="B806" t="s">
        <v>990</v>
      </c>
      <c r="C806">
        <v>7</v>
      </c>
      <c r="D806" t="str">
        <f>VLOOKUP(B806,Products!$A:$E,2,FALSE)</f>
        <v>Product_491</v>
      </c>
      <c r="E806" t="str">
        <f>VLOOKUP(B806,Products!$A:$E,3,FALSE)</f>
        <v>Accessories</v>
      </c>
    </row>
    <row r="807" spans="1:5" x14ac:dyDescent="0.3">
      <c r="A807" t="s">
        <v>6819</v>
      </c>
      <c r="B807" t="s">
        <v>826</v>
      </c>
      <c r="C807">
        <v>43</v>
      </c>
      <c r="D807" t="str">
        <f>VLOOKUP(B807,Products!$A:$E,2,FALSE)</f>
        <v>Product_409</v>
      </c>
      <c r="E807" t="str">
        <f>VLOOKUP(B807,Products!$A:$E,3,FALSE)</f>
        <v>Office Supplies</v>
      </c>
    </row>
    <row r="808" spans="1:5" x14ac:dyDescent="0.3">
      <c r="A808" t="s">
        <v>6820</v>
      </c>
      <c r="B808" t="s">
        <v>180</v>
      </c>
      <c r="C808">
        <v>47</v>
      </c>
      <c r="D808" t="str">
        <f>VLOOKUP(B808,Products!$A:$E,2,FALSE)</f>
        <v>Product_86</v>
      </c>
      <c r="E808" t="str">
        <f>VLOOKUP(B808,Products!$A:$E,3,FALSE)</f>
        <v>Storage</v>
      </c>
    </row>
    <row r="809" spans="1:5" x14ac:dyDescent="0.3">
      <c r="A809" t="s">
        <v>6821</v>
      </c>
      <c r="B809" t="s">
        <v>180</v>
      </c>
      <c r="C809">
        <v>3</v>
      </c>
      <c r="D809" t="str">
        <f>VLOOKUP(B809,Products!$A:$E,2,FALSE)</f>
        <v>Product_86</v>
      </c>
      <c r="E809" t="str">
        <f>VLOOKUP(B809,Products!$A:$E,3,FALSE)</f>
        <v>Storage</v>
      </c>
    </row>
    <row r="810" spans="1:5" x14ac:dyDescent="0.3">
      <c r="A810" t="s">
        <v>6822</v>
      </c>
      <c r="B810" t="s">
        <v>434</v>
      </c>
      <c r="C810">
        <v>33</v>
      </c>
      <c r="D810" t="str">
        <f>VLOOKUP(B810,Products!$A:$E,2,FALSE)</f>
        <v>Product_213</v>
      </c>
      <c r="E810" t="str">
        <f>VLOOKUP(B810,Products!$A:$E,3,FALSE)</f>
        <v>Accessories</v>
      </c>
    </row>
    <row r="811" spans="1:5" x14ac:dyDescent="0.3">
      <c r="A811" t="s">
        <v>6823</v>
      </c>
      <c r="B811" t="s">
        <v>120</v>
      </c>
      <c r="C811">
        <v>21</v>
      </c>
      <c r="D811" t="str">
        <f>VLOOKUP(B811,Products!$A:$E,2,FALSE)</f>
        <v>Product_56</v>
      </c>
      <c r="E811" t="str">
        <f>VLOOKUP(B811,Products!$A:$E,3,FALSE)</f>
        <v>Networking</v>
      </c>
    </row>
    <row r="812" spans="1:5" x14ac:dyDescent="0.3">
      <c r="A812" t="s">
        <v>6824</v>
      </c>
      <c r="B812" t="s">
        <v>340</v>
      </c>
      <c r="C812">
        <v>36</v>
      </c>
      <c r="D812" t="str">
        <f>VLOOKUP(B812,Products!$A:$E,2,FALSE)</f>
        <v>Product_166</v>
      </c>
      <c r="E812" t="str">
        <f>VLOOKUP(B812,Products!$A:$E,3,FALSE)</f>
        <v>Accessories</v>
      </c>
    </row>
    <row r="813" spans="1:5" x14ac:dyDescent="0.3">
      <c r="A813" t="s">
        <v>6825</v>
      </c>
      <c r="B813" t="s">
        <v>650</v>
      </c>
      <c r="C813">
        <v>13</v>
      </c>
      <c r="D813" t="str">
        <f>VLOOKUP(B813,Products!$A:$E,2,FALSE)</f>
        <v>Product_321</v>
      </c>
      <c r="E813" t="str">
        <f>VLOOKUP(B813,Products!$A:$E,3,FALSE)</f>
        <v>Electronics</v>
      </c>
    </row>
    <row r="814" spans="1:5" x14ac:dyDescent="0.3">
      <c r="A814" t="s">
        <v>6826</v>
      </c>
      <c r="B814" t="s">
        <v>648</v>
      </c>
      <c r="C814">
        <v>14</v>
      </c>
      <c r="D814" t="str">
        <f>VLOOKUP(B814,Products!$A:$E,2,FALSE)</f>
        <v>Product_320</v>
      </c>
      <c r="E814" t="str">
        <f>VLOOKUP(B814,Products!$A:$E,3,FALSE)</f>
        <v>Office Supplies</v>
      </c>
    </row>
    <row r="815" spans="1:5" x14ac:dyDescent="0.3">
      <c r="A815" t="s">
        <v>6827</v>
      </c>
      <c r="B815" t="s">
        <v>966</v>
      </c>
      <c r="C815">
        <v>35</v>
      </c>
      <c r="D815" t="str">
        <f>VLOOKUP(B815,Products!$A:$E,2,FALSE)</f>
        <v>Product_479</v>
      </c>
      <c r="E815" t="str">
        <f>VLOOKUP(B815,Products!$A:$E,3,FALSE)</f>
        <v>Office Supplies</v>
      </c>
    </row>
    <row r="816" spans="1:5" x14ac:dyDescent="0.3">
      <c r="A816" t="s">
        <v>6828</v>
      </c>
      <c r="B816" t="s">
        <v>414</v>
      </c>
      <c r="C816">
        <v>28</v>
      </c>
      <c r="D816" t="str">
        <f>VLOOKUP(B816,Products!$A:$E,2,FALSE)</f>
        <v>Product_203</v>
      </c>
      <c r="E816" t="str">
        <f>VLOOKUP(B816,Products!$A:$E,3,FALSE)</f>
        <v>Accessories</v>
      </c>
    </row>
    <row r="817" spans="1:5" x14ac:dyDescent="0.3">
      <c r="A817" t="s">
        <v>6829</v>
      </c>
      <c r="B817" t="s">
        <v>132</v>
      </c>
      <c r="C817">
        <v>15</v>
      </c>
      <c r="D817" t="str">
        <f>VLOOKUP(B817,Products!$A:$E,2,FALSE)</f>
        <v>Product_62</v>
      </c>
      <c r="E817" t="str">
        <f>VLOOKUP(B817,Products!$A:$E,3,FALSE)</f>
        <v>Accessories</v>
      </c>
    </row>
    <row r="818" spans="1:5" x14ac:dyDescent="0.3">
      <c r="A818" t="s">
        <v>6830</v>
      </c>
      <c r="B818" t="s">
        <v>228</v>
      </c>
      <c r="C818">
        <v>7</v>
      </c>
      <c r="D818" t="str">
        <f>VLOOKUP(B818,Products!$A:$E,2,FALSE)</f>
        <v>Product_110</v>
      </c>
      <c r="E818" t="str">
        <f>VLOOKUP(B818,Products!$A:$E,3,FALSE)</f>
        <v>Networking</v>
      </c>
    </row>
    <row r="819" spans="1:5" x14ac:dyDescent="0.3">
      <c r="A819" t="s">
        <v>6831</v>
      </c>
      <c r="B819" t="s">
        <v>374</v>
      </c>
      <c r="C819">
        <v>21</v>
      </c>
      <c r="D819" t="str">
        <f>VLOOKUP(B819,Products!$A:$E,2,FALSE)</f>
        <v>Product_183</v>
      </c>
      <c r="E819" t="str">
        <f>VLOOKUP(B819,Products!$A:$E,3,FALSE)</f>
        <v>Electronics</v>
      </c>
    </row>
    <row r="820" spans="1:5" x14ac:dyDescent="0.3">
      <c r="A820" t="s">
        <v>6832</v>
      </c>
      <c r="B820" t="s">
        <v>186</v>
      </c>
      <c r="C820">
        <v>1</v>
      </c>
      <c r="D820" t="str">
        <f>VLOOKUP(B820,Products!$A:$E,2,FALSE)</f>
        <v>Product_89</v>
      </c>
      <c r="E820" t="str">
        <f>VLOOKUP(B820,Products!$A:$E,3,FALSE)</f>
        <v>Storage</v>
      </c>
    </row>
    <row r="821" spans="1:5" x14ac:dyDescent="0.3">
      <c r="A821" t="s">
        <v>6833</v>
      </c>
      <c r="B821" t="s">
        <v>420</v>
      </c>
      <c r="C821">
        <v>42</v>
      </c>
      <c r="D821" t="str">
        <f>VLOOKUP(B821,Products!$A:$E,2,FALSE)</f>
        <v>Product_206</v>
      </c>
      <c r="E821" t="str">
        <f>VLOOKUP(B821,Products!$A:$E,3,FALSE)</f>
        <v>Accessories</v>
      </c>
    </row>
    <row r="822" spans="1:5" x14ac:dyDescent="0.3">
      <c r="A822" t="s">
        <v>6834</v>
      </c>
      <c r="B822" t="s">
        <v>332</v>
      </c>
      <c r="C822">
        <v>1</v>
      </c>
      <c r="D822" t="str">
        <f>VLOOKUP(B822,Products!$A:$E,2,FALSE)</f>
        <v>Product_162</v>
      </c>
      <c r="E822" t="str">
        <f>VLOOKUP(B822,Products!$A:$E,3,FALSE)</f>
        <v>Accessories</v>
      </c>
    </row>
    <row r="823" spans="1:5" x14ac:dyDescent="0.3">
      <c r="A823" t="s">
        <v>6835</v>
      </c>
      <c r="B823" t="s">
        <v>408</v>
      </c>
      <c r="C823">
        <v>14</v>
      </c>
      <c r="D823" t="str">
        <f>VLOOKUP(B823,Products!$A:$E,2,FALSE)</f>
        <v>Product_200</v>
      </c>
      <c r="E823" t="str">
        <f>VLOOKUP(B823,Products!$A:$E,3,FALSE)</f>
        <v>Office Supplies</v>
      </c>
    </row>
    <row r="824" spans="1:5" x14ac:dyDescent="0.3">
      <c r="A824" t="s">
        <v>6836</v>
      </c>
      <c r="B824" t="s">
        <v>478</v>
      </c>
      <c r="C824">
        <v>15</v>
      </c>
      <c r="D824" t="str">
        <f>VLOOKUP(B824,Products!$A:$E,2,FALSE)</f>
        <v>Product_235</v>
      </c>
      <c r="E824" t="str">
        <f>VLOOKUP(B824,Products!$A:$E,3,FALSE)</f>
        <v>Accessories</v>
      </c>
    </row>
    <row r="825" spans="1:5" x14ac:dyDescent="0.3">
      <c r="A825" t="s">
        <v>6837</v>
      </c>
      <c r="B825" t="s">
        <v>76</v>
      </c>
      <c r="C825">
        <v>43</v>
      </c>
      <c r="D825" t="str">
        <f>VLOOKUP(B825,Products!$A:$E,2,FALSE)</f>
        <v>Product_34</v>
      </c>
      <c r="E825" t="str">
        <f>VLOOKUP(B825,Products!$A:$E,3,FALSE)</f>
        <v>Office Supplies</v>
      </c>
    </row>
    <row r="826" spans="1:5" x14ac:dyDescent="0.3">
      <c r="A826" t="s">
        <v>6838</v>
      </c>
      <c r="B826" t="s">
        <v>844</v>
      </c>
      <c r="C826">
        <v>18</v>
      </c>
      <c r="D826" t="str">
        <f>VLOOKUP(B826,Products!$A:$E,2,FALSE)</f>
        <v>Product_418</v>
      </c>
      <c r="E826" t="str">
        <f>VLOOKUP(B826,Products!$A:$E,3,FALSE)</f>
        <v>Office Supplies</v>
      </c>
    </row>
    <row r="827" spans="1:5" x14ac:dyDescent="0.3">
      <c r="A827" t="s">
        <v>6839</v>
      </c>
      <c r="B827" t="s">
        <v>674</v>
      </c>
      <c r="C827">
        <v>40</v>
      </c>
      <c r="D827" t="str">
        <f>VLOOKUP(B827,Products!$A:$E,2,FALSE)</f>
        <v>Product_333</v>
      </c>
      <c r="E827" t="str">
        <f>VLOOKUP(B827,Products!$A:$E,3,FALSE)</f>
        <v>Storage</v>
      </c>
    </row>
    <row r="828" spans="1:5" x14ac:dyDescent="0.3">
      <c r="A828" t="s">
        <v>6840</v>
      </c>
      <c r="B828" t="s">
        <v>386</v>
      </c>
      <c r="C828">
        <v>3</v>
      </c>
      <c r="D828" t="str">
        <f>VLOOKUP(B828,Products!$A:$E,2,FALSE)</f>
        <v>Product_189</v>
      </c>
      <c r="E828" t="str">
        <f>VLOOKUP(B828,Products!$A:$E,3,FALSE)</f>
        <v>Electronics</v>
      </c>
    </row>
    <row r="829" spans="1:5" x14ac:dyDescent="0.3">
      <c r="A829" t="s">
        <v>6841</v>
      </c>
      <c r="B829" t="s">
        <v>78</v>
      </c>
      <c r="C829">
        <v>14</v>
      </c>
      <c r="D829" t="str">
        <f>VLOOKUP(B829,Products!$A:$E,2,FALSE)</f>
        <v>Product_35</v>
      </c>
      <c r="E829" t="str">
        <f>VLOOKUP(B829,Products!$A:$E,3,FALSE)</f>
        <v>Electronics</v>
      </c>
    </row>
    <row r="830" spans="1:5" x14ac:dyDescent="0.3">
      <c r="A830" t="s">
        <v>6842</v>
      </c>
      <c r="B830" t="s">
        <v>430</v>
      </c>
      <c r="C830">
        <v>20</v>
      </c>
      <c r="D830" t="str">
        <f>VLOOKUP(B830,Products!$A:$E,2,FALSE)</f>
        <v>Product_211</v>
      </c>
      <c r="E830" t="str">
        <f>VLOOKUP(B830,Products!$A:$E,3,FALSE)</f>
        <v>Storage</v>
      </c>
    </row>
    <row r="831" spans="1:5" x14ac:dyDescent="0.3">
      <c r="A831" t="s">
        <v>6843</v>
      </c>
      <c r="B831" t="s">
        <v>794</v>
      </c>
      <c r="C831">
        <v>39</v>
      </c>
      <c r="D831" t="str">
        <f>VLOOKUP(B831,Products!$A:$E,2,FALSE)</f>
        <v>Product_393</v>
      </c>
      <c r="E831" t="str">
        <f>VLOOKUP(B831,Products!$A:$E,3,FALSE)</f>
        <v>Electronics</v>
      </c>
    </row>
    <row r="832" spans="1:5" x14ac:dyDescent="0.3">
      <c r="A832" t="s">
        <v>6844</v>
      </c>
      <c r="B832" t="s">
        <v>520</v>
      </c>
      <c r="C832">
        <v>7</v>
      </c>
      <c r="D832" t="str">
        <f>VLOOKUP(B832,Products!$A:$E,2,FALSE)</f>
        <v>Product_256</v>
      </c>
      <c r="E832" t="str">
        <f>VLOOKUP(B832,Products!$A:$E,3,FALSE)</f>
        <v>Office Supplies</v>
      </c>
    </row>
    <row r="833" spans="1:5" x14ac:dyDescent="0.3">
      <c r="A833" t="s">
        <v>6845</v>
      </c>
      <c r="B833" t="s">
        <v>738</v>
      </c>
      <c r="C833">
        <v>35</v>
      </c>
      <c r="D833" t="str">
        <f>VLOOKUP(B833,Products!$A:$E,2,FALSE)</f>
        <v>Product_365</v>
      </c>
      <c r="E833" t="str">
        <f>VLOOKUP(B833,Products!$A:$E,3,FALSE)</f>
        <v>Storage</v>
      </c>
    </row>
    <row r="834" spans="1:5" x14ac:dyDescent="0.3">
      <c r="A834" t="s">
        <v>6846</v>
      </c>
      <c r="B834" t="s">
        <v>820</v>
      </c>
      <c r="C834">
        <v>37</v>
      </c>
      <c r="D834" t="str">
        <f>VLOOKUP(B834,Products!$A:$E,2,FALSE)</f>
        <v>Product_406</v>
      </c>
      <c r="E834" t="str">
        <f>VLOOKUP(B834,Products!$A:$E,3,FALSE)</f>
        <v>Office Supplies</v>
      </c>
    </row>
    <row r="835" spans="1:5" x14ac:dyDescent="0.3">
      <c r="A835" t="s">
        <v>6847</v>
      </c>
      <c r="B835" t="s">
        <v>184</v>
      </c>
      <c r="C835">
        <v>17</v>
      </c>
      <c r="D835" t="str">
        <f>VLOOKUP(B835,Products!$A:$E,2,FALSE)</f>
        <v>Product_88</v>
      </c>
      <c r="E835" t="str">
        <f>VLOOKUP(B835,Products!$A:$E,3,FALSE)</f>
        <v>Accessories</v>
      </c>
    </row>
    <row r="836" spans="1:5" x14ac:dyDescent="0.3">
      <c r="A836" t="s">
        <v>6848</v>
      </c>
      <c r="B836" t="s">
        <v>992</v>
      </c>
      <c r="C836">
        <v>7</v>
      </c>
      <c r="D836" t="str">
        <f>VLOOKUP(B836,Products!$A:$E,2,FALSE)</f>
        <v>Product_492</v>
      </c>
      <c r="E836" t="str">
        <f>VLOOKUP(B836,Products!$A:$E,3,FALSE)</f>
        <v>Electronics</v>
      </c>
    </row>
    <row r="837" spans="1:5" x14ac:dyDescent="0.3">
      <c r="A837" t="s">
        <v>6849</v>
      </c>
      <c r="B837" t="s">
        <v>624</v>
      </c>
      <c r="C837">
        <v>21</v>
      </c>
      <c r="D837" t="str">
        <f>VLOOKUP(B837,Products!$A:$E,2,FALSE)</f>
        <v>Product_308</v>
      </c>
      <c r="E837" t="str">
        <f>VLOOKUP(B837,Products!$A:$E,3,FALSE)</f>
        <v>Storage</v>
      </c>
    </row>
    <row r="838" spans="1:5" x14ac:dyDescent="0.3">
      <c r="A838" t="s">
        <v>6850</v>
      </c>
      <c r="B838" t="s">
        <v>656</v>
      </c>
      <c r="C838">
        <v>45</v>
      </c>
      <c r="D838" t="str">
        <f>VLOOKUP(B838,Products!$A:$E,2,FALSE)</f>
        <v>Product_324</v>
      </c>
      <c r="E838" t="str">
        <f>VLOOKUP(B838,Products!$A:$E,3,FALSE)</f>
        <v>Accessories</v>
      </c>
    </row>
    <row r="839" spans="1:5" x14ac:dyDescent="0.3">
      <c r="A839" t="s">
        <v>6851</v>
      </c>
      <c r="B839" t="s">
        <v>406</v>
      </c>
      <c r="C839">
        <v>44</v>
      </c>
      <c r="D839" t="str">
        <f>VLOOKUP(B839,Products!$A:$E,2,FALSE)</f>
        <v>Product_199</v>
      </c>
      <c r="E839" t="str">
        <f>VLOOKUP(B839,Products!$A:$E,3,FALSE)</f>
        <v>Storage</v>
      </c>
    </row>
    <row r="840" spans="1:5" x14ac:dyDescent="0.3">
      <c r="A840" t="s">
        <v>6852</v>
      </c>
      <c r="B840" t="s">
        <v>956</v>
      </c>
      <c r="C840">
        <v>50</v>
      </c>
      <c r="D840" t="str">
        <f>VLOOKUP(B840,Products!$A:$E,2,FALSE)</f>
        <v>Product_474</v>
      </c>
      <c r="E840" t="str">
        <f>VLOOKUP(B840,Products!$A:$E,3,FALSE)</f>
        <v>Networking</v>
      </c>
    </row>
    <row r="841" spans="1:5" x14ac:dyDescent="0.3">
      <c r="A841" t="s">
        <v>6853</v>
      </c>
      <c r="B841" t="s">
        <v>720</v>
      </c>
      <c r="C841">
        <v>9</v>
      </c>
      <c r="D841" t="str">
        <f>VLOOKUP(B841,Products!$A:$E,2,FALSE)</f>
        <v>Product_356</v>
      </c>
      <c r="E841" t="str">
        <f>VLOOKUP(B841,Products!$A:$E,3,FALSE)</f>
        <v>Accessories</v>
      </c>
    </row>
    <row r="842" spans="1:5" x14ac:dyDescent="0.3">
      <c r="A842" t="s">
        <v>6854</v>
      </c>
      <c r="B842" t="s">
        <v>350</v>
      </c>
      <c r="C842">
        <v>12</v>
      </c>
      <c r="D842" t="str">
        <f>VLOOKUP(B842,Products!$A:$E,2,FALSE)</f>
        <v>Product_171</v>
      </c>
      <c r="E842" t="str">
        <f>VLOOKUP(B842,Products!$A:$E,3,FALSE)</f>
        <v>Electronics</v>
      </c>
    </row>
    <row r="843" spans="1:5" x14ac:dyDescent="0.3">
      <c r="A843" t="s">
        <v>6855</v>
      </c>
      <c r="B843" t="s">
        <v>660</v>
      </c>
      <c r="C843">
        <v>49</v>
      </c>
      <c r="D843" t="str">
        <f>VLOOKUP(B843,Products!$A:$E,2,FALSE)</f>
        <v>Product_326</v>
      </c>
      <c r="E843" t="str">
        <f>VLOOKUP(B843,Products!$A:$E,3,FALSE)</f>
        <v>Electronics</v>
      </c>
    </row>
    <row r="844" spans="1:5" x14ac:dyDescent="0.3">
      <c r="A844" t="s">
        <v>6856</v>
      </c>
      <c r="B844" t="s">
        <v>914</v>
      </c>
      <c r="C844">
        <v>45</v>
      </c>
      <c r="D844" t="str">
        <f>VLOOKUP(B844,Products!$A:$E,2,FALSE)</f>
        <v>Product_453</v>
      </c>
      <c r="E844" t="str">
        <f>VLOOKUP(B844,Products!$A:$E,3,FALSE)</f>
        <v>Office Supplies</v>
      </c>
    </row>
    <row r="845" spans="1:5" x14ac:dyDescent="0.3">
      <c r="A845" t="s">
        <v>6857</v>
      </c>
      <c r="B845" t="s">
        <v>334</v>
      </c>
      <c r="C845">
        <v>43</v>
      </c>
      <c r="D845" t="str">
        <f>VLOOKUP(B845,Products!$A:$E,2,FALSE)</f>
        <v>Product_163</v>
      </c>
      <c r="E845" t="str">
        <f>VLOOKUP(B845,Products!$A:$E,3,FALSE)</f>
        <v>Accessories</v>
      </c>
    </row>
    <row r="846" spans="1:5" x14ac:dyDescent="0.3">
      <c r="A846" t="s">
        <v>6858</v>
      </c>
      <c r="B846" t="s">
        <v>502</v>
      </c>
      <c r="C846">
        <v>5</v>
      </c>
      <c r="D846" t="str">
        <f>VLOOKUP(B846,Products!$A:$E,2,FALSE)</f>
        <v>Product_247</v>
      </c>
      <c r="E846" t="str">
        <f>VLOOKUP(B846,Products!$A:$E,3,FALSE)</f>
        <v>Networking</v>
      </c>
    </row>
    <row r="847" spans="1:5" x14ac:dyDescent="0.3">
      <c r="A847" t="s">
        <v>6859</v>
      </c>
      <c r="B847" t="s">
        <v>352</v>
      </c>
      <c r="C847">
        <v>2</v>
      </c>
      <c r="D847" t="str">
        <f>VLOOKUP(B847,Products!$A:$E,2,FALSE)</f>
        <v>Product_172</v>
      </c>
      <c r="E847" t="str">
        <f>VLOOKUP(B847,Products!$A:$E,3,FALSE)</f>
        <v>Networking</v>
      </c>
    </row>
    <row r="848" spans="1:5" x14ac:dyDescent="0.3">
      <c r="A848" t="s">
        <v>6860</v>
      </c>
      <c r="B848" t="s">
        <v>632</v>
      </c>
      <c r="C848">
        <v>38</v>
      </c>
      <c r="D848" t="str">
        <f>VLOOKUP(B848,Products!$A:$E,2,FALSE)</f>
        <v>Product_312</v>
      </c>
      <c r="E848" t="str">
        <f>VLOOKUP(B848,Products!$A:$E,3,FALSE)</f>
        <v>Office Supplies</v>
      </c>
    </row>
    <row r="849" spans="1:5" x14ac:dyDescent="0.3">
      <c r="A849" t="s">
        <v>6861</v>
      </c>
      <c r="B849" t="s">
        <v>468</v>
      </c>
      <c r="C849">
        <v>25</v>
      </c>
      <c r="D849" t="str">
        <f>VLOOKUP(B849,Products!$A:$E,2,FALSE)</f>
        <v>Product_230</v>
      </c>
      <c r="E849" t="str">
        <f>VLOOKUP(B849,Products!$A:$E,3,FALSE)</f>
        <v>Electronics</v>
      </c>
    </row>
    <row r="850" spans="1:5" x14ac:dyDescent="0.3">
      <c r="A850" t="s">
        <v>6862</v>
      </c>
      <c r="B850" t="s">
        <v>532</v>
      </c>
      <c r="C850">
        <v>41</v>
      </c>
      <c r="D850" t="str">
        <f>VLOOKUP(B850,Products!$A:$E,2,FALSE)</f>
        <v>Product_262</v>
      </c>
      <c r="E850" t="str">
        <f>VLOOKUP(B850,Products!$A:$E,3,FALSE)</f>
        <v>Electronics</v>
      </c>
    </row>
    <row r="851" spans="1:5" x14ac:dyDescent="0.3">
      <c r="A851" t="s">
        <v>6863</v>
      </c>
      <c r="B851" t="s">
        <v>768</v>
      </c>
      <c r="C851">
        <v>15</v>
      </c>
      <c r="D851" t="str">
        <f>VLOOKUP(B851,Products!$A:$E,2,FALSE)</f>
        <v>Product_380</v>
      </c>
      <c r="E851" t="str">
        <f>VLOOKUP(B851,Products!$A:$E,3,FALSE)</f>
        <v>Electronics</v>
      </c>
    </row>
    <row r="852" spans="1:5" x14ac:dyDescent="0.3">
      <c r="A852" t="s">
        <v>6864</v>
      </c>
      <c r="B852" t="s">
        <v>524</v>
      </c>
      <c r="C852">
        <v>38</v>
      </c>
      <c r="D852" t="str">
        <f>VLOOKUP(B852,Products!$A:$E,2,FALSE)</f>
        <v>Product_258</v>
      </c>
      <c r="E852" t="str">
        <f>VLOOKUP(B852,Products!$A:$E,3,FALSE)</f>
        <v>Networking</v>
      </c>
    </row>
    <row r="853" spans="1:5" x14ac:dyDescent="0.3">
      <c r="A853" t="s">
        <v>6865</v>
      </c>
      <c r="B853" t="s">
        <v>730</v>
      </c>
      <c r="C853">
        <v>1</v>
      </c>
      <c r="D853" t="str">
        <f>VLOOKUP(B853,Products!$A:$E,2,FALSE)</f>
        <v>Product_361</v>
      </c>
      <c r="E853" t="str">
        <f>VLOOKUP(B853,Products!$A:$E,3,FALSE)</f>
        <v>Office Supplies</v>
      </c>
    </row>
    <row r="854" spans="1:5" x14ac:dyDescent="0.3">
      <c r="A854" t="s">
        <v>6866</v>
      </c>
      <c r="B854" t="s">
        <v>248</v>
      </c>
      <c r="C854">
        <v>2</v>
      </c>
      <c r="D854" t="str">
        <f>VLOOKUP(B854,Products!$A:$E,2,FALSE)</f>
        <v>Product_120</v>
      </c>
      <c r="E854" t="str">
        <f>VLOOKUP(B854,Products!$A:$E,3,FALSE)</f>
        <v>Accessories</v>
      </c>
    </row>
    <row r="855" spans="1:5" x14ac:dyDescent="0.3">
      <c r="A855" t="s">
        <v>6867</v>
      </c>
      <c r="B855" t="s">
        <v>640</v>
      </c>
      <c r="C855">
        <v>49</v>
      </c>
      <c r="D855" t="str">
        <f>VLOOKUP(B855,Products!$A:$E,2,FALSE)</f>
        <v>Product_316</v>
      </c>
      <c r="E855" t="str">
        <f>VLOOKUP(B855,Products!$A:$E,3,FALSE)</f>
        <v>Networking</v>
      </c>
    </row>
    <row r="856" spans="1:5" x14ac:dyDescent="0.3">
      <c r="A856" t="s">
        <v>6868</v>
      </c>
      <c r="B856" t="s">
        <v>928</v>
      </c>
      <c r="C856">
        <v>8</v>
      </c>
      <c r="D856" t="str">
        <f>VLOOKUP(B856,Products!$A:$E,2,FALSE)</f>
        <v>Product_460</v>
      </c>
      <c r="E856" t="str">
        <f>VLOOKUP(B856,Products!$A:$E,3,FALSE)</f>
        <v>Accessories</v>
      </c>
    </row>
    <row r="857" spans="1:5" x14ac:dyDescent="0.3">
      <c r="A857" t="s">
        <v>6869</v>
      </c>
      <c r="B857" t="s">
        <v>326</v>
      </c>
      <c r="C857">
        <v>16</v>
      </c>
      <c r="D857" t="str">
        <f>VLOOKUP(B857,Products!$A:$E,2,FALSE)</f>
        <v>Product_159</v>
      </c>
      <c r="E857" t="str">
        <f>VLOOKUP(B857,Products!$A:$E,3,FALSE)</f>
        <v>Accessories</v>
      </c>
    </row>
    <row r="858" spans="1:5" x14ac:dyDescent="0.3">
      <c r="A858" t="s">
        <v>6870</v>
      </c>
      <c r="B858" t="s">
        <v>764</v>
      </c>
      <c r="C858">
        <v>28</v>
      </c>
      <c r="D858" t="str">
        <f>VLOOKUP(B858,Products!$A:$E,2,FALSE)</f>
        <v>Product_378</v>
      </c>
      <c r="E858" t="str">
        <f>VLOOKUP(B858,Products!$A:$E,3,FALSE)</f>
        <v>Electronics</v>
      </c>
    </row>
    <row r="859" spans="1:5" x14ac:dyDescent="0.3">
      <c r="A859" t="s">
        <v>6871</v>
      </c>
      <c r="B859" t="s">
        <v>784</v>
      </c>
      <c r="C859">
        <v>16</v>
      </c>
      <c r="D859" t="str">
        <f>VLOOKUP(B859,Products!$A:$E,2,FALSE)</f>
        <v>Product_388</v>
      </c>
      <c r="E859" t="str">
        <f>VLOOKUP(B859,Products!$A:$E,3,FALSE)</f>
        <v>Office Supplies</v>
      </c>
    </row>
    <row r="860" spans="1:5" x14ac:dyDescent="0.3">
      <c r="A860" t="s">
        <v>6872</v>
      </c>
      <c r="B860" t="s">
        <v>644</v>
      </c>
      <c r="C860">
        <v>6</v>
      </c>
      <c r="D860" t="str">
        <f>VLOOKUP(B860,Products!$A:$E,2,FALSE)</f>
        <v>Product_318</v>
      </c>
      <c r="E860" t="str">
        <f>VLOOKUP(B860,Products!$A:$E,3,FALSE)</f>
        <v>Storage</v>
      </c>
    </row>
    <row r="861" spans="1:5" x14ac:dyDescent="0.3">
      <c r="A861" t="s">
        <v>6873</v>
      </c>
      <c r="B861" t="s">
        <v>70</v>
      </c>
      <c r="C861">
        <v>9</v>
      </c>
      <c r="D861" t="str">
        <f>VLOOKUP(B861,Products!$A:$E,2,FALSE)</f>
        <v>Product_31</v>
      </c>
      <c r="E861" t="str">
        <f>VLOOKUP(B861,Products!$A:$E,3,FALSE)</f>
        <v>Accessories</v>
      </c>
    </row>
    <row r="862" spans="1:5" x14ac:dyDescent="0.3">
      <c r="A862" t="s">
        <v>6874</v>
      </c>
      <c r="B862" t="s">
        <v>392</v>
      </c>
      <c r="C862">
        <v>32</v>
      </c>
      <c r="D862" t="str">
        <f>VLOOKUP(B862,Products!$A:$E,2,FALSE)</f>
        <v>Product_192</v>
      </c>
      <c r="E862" t="str">
        <f>VLOOKUP(B862,Products!$A:$E,3,FALSE)</f>
        <v>Office Supplies</v>
      </c>
    </row>
    <row r="863" spans="1:5" x14ac:dyDescent="0.3">
      <c r="A863" t="s">
        <v>6875</v>
      </c>
      <c r="B863" t="s">
        <v>312</v>
      </c>
      <c r="C863">
        <v>13</v>
      </c>
      <c r="D863" t="str">
        <f>VLOOKUP(B863,Products!$A:$E,2,FALSE)</f>
        <v>Product_152</v>
      </c>
      <c r="E863" t="str">
        <f>VLOOKUP(B863,Products!$A:$E,3,FALSE)</f>
        <v>Storage</v>
      </c>
    </row>
    <row r="864" spans="1:5" x14ac:dyDescent="0.3">
      <c r="A864" t="s">
        <v>6876</v>
      </c>
      <c r="B864" t="s">
        <v>164</v>
      </c>
      <c r="C864">
        <v>25</v>
      </c>
      <c r="D864" t="str">
        <f>VLOOKUP(B864,Products!$A:$E,2,FALSE)</f>
        <v>Product_78</v>
      </c>
      <c r="E864" t="str">
        <f>VLOOKUP(B864,Products!$A:$E,3,FALSE)</f>
        <v>Office Supplies</v>
      </c>
    </row>
    <row r="865" spans="1:5" x14ac:dyDescent="0.3">
      <c r="A865" t="s">
        <v>6877</v>
      </c>
      <c r="B865" t="s">
        <v>218</v>
      </c>
      <c r="C865">
        <v>42</v>
      </c>
      <c r="D865" t="str">
        <f>VLOOKUP(B865,Products!$A:$E,2,FALSE)</f>
        <v>Product_105</v>
      </c>
      <c r="E865" t="str">
        <f>VLOOKUP(B865,Products!$A:$E,3,FALSE)</f>
        <v>Networking</v>
      </c>
    </row>
    <row r="866" spans="1:5" x14ac:dyDescent="0.3">
      <c r="A866" t="s">
        <v>6878</v>
      </c>
      <c r="B866" t="s">
        <v>48</v>
      </c>
      <c r="C866">
        <v>16</v>
      </c>
      <c r="D866" t="str">
        <f>VLOOKUP(B866,Products!$A:$E,2,FALSE)</f>
        <v>Product_20</v>
      </c>
      <c r="E866" t="str">
        <f>VLOOKUP(B866,Products!$A:$E,3,FALSE)</f>
        <v>Office Supplies</v>
      </c>
    </row>
    <row r="867" spans="1:5" x14ac:dyDescent="0.3">
      <c r="A867" t="s">
        <v>6879</v>
      </c>
      <c r="B867" t="s">
        <v>954</v>
      </c>
      <c r="C867">
        <v>47</v>
      </c>
      <c r="D867" t="str">
        <f>VLOOKUP(B867,Products!$A:$E,2,FALSE)</f>
        <v>Product_473</v>
      </c>
      <c r="E867" t="str">
        <f>VLOOKUP(B867,Products!$A:$E,3,FALSE)</f>
        <v>Accessories</v>
      </c>
    </row>
    <row r="868" spans="1:5" x14ac:dyDescent="0.3">
      <c r="A868" t="s">
        <v>6880</v>
      </c>
      <c r="B868" t="s">
        <v>622</v>
      </c>
      <c r="C868">
        <v>29</v>
      </c>
      <c r="D868" t="str">
        <f>VLOOKUP(B868,Products!$A:$E,2,FALSE)</f>
        <v>Product_307</v>
      </c>
      <c r="E868" t="str">
        <f>VLOOKUP(B868,Products!$A:$E,3,FALSE)</f>
        <v>Storage</v>
      </c>
    </row>
    <row r="869" spans="1:5" x14ac:dyDescent="0.3">
      <c r="A869" t="s">
        <v>6881</v>
      </c>
      <c r="B869" t="s">
        <v>766</v>
      </c>
      <c r="C869">
        <v>22</v>
      </c>
      <c r="D869" t="str">
        <f>VLOOKUP(B869,Products!$A:$E,2,FALSE)</f>
        <v>Product_379</v>
      </c>
      <c r="E869" t="str">
        <f>VLOOKUP(B869,Products!$A:$E,3,FALSE)</f>
        <v>Office Supplies</v>
      </c>
    </row>
    <row r="870" spans="1:5" x14ac:dyDescent="0.3">
      <c r="A870" t="s">
        <v>6882</v>
      </c>
      <c r="B870" t="s">
        <v>146</v>
      </c>
      <c r="C870">
        <v>18</v>
      </c>
      <c r="D870" t="str">
        <f>VLOOKUP(B870,Products!$A:$E,2,FALSE)</f>
        <v>Product_69</v>
      </c>
      <c r="E870" t="str">
        <f>VLOOKUP(B870,Products!$A:$E,3,FALSE)</f>
        <v>Electronics</v>
      </c>
    </row>
    <row r="871" spans="1:5" x14ac:dyDescent="0.3">
      <c r="A871" t="s">
        <v>6883</v>
      </c>
      <c r="B871" t="s">
        <v>334</v>
      </c>
      <c r="C871">
        <v>42</v>
      </c>
      <c r="D871" t="str">
        <f>VLOOKUP(B871,Products!$A:$E,2,FALSE)</f>
        <v>Product_163</v>
      </c>
      <c r="E871" t="str">
        <f>VLOOKUP(B871,Products!$A:$E,3,FALSE)</f>
        <v>Accessories</v>
      </c>
    </row>
    <row r="872" spans="1:5" x14ac:dyDescent="0.3">
      <c r="A872" t="s">
        <v>6884</v>
      </c>
      <c r="B872" t="s">
        <v>814</v>
      </c>
      <c r="C872">
        <v>49</v>
      </c>
      <c r="D872" t="str">
        <f>VLOOKUP(B872,Products!$A:$E,2,FALSE)</f>
        <v>Product_403</v>
      </c>
      <c r="E872" t="str">
        <f>VLOOKUP(B872,Products!$A:$E,3,FALSE)</f>
        <v>Networking</v>
      </c>
    </row>
    <row r="873" spans="1:5" x14ac:dyDescent="0.3">
      <c r="A873" t="s">
        <v>6885</v>
      </c>
      <c r="B873" t="s">
        <v>50</v>
      </c>
      <c r="C873">
        <v>34</v>
      </c>
      <c r="D873" t="str">
        <f>VLOOKUP(B873,Products!$A:$E,2,FALSE)</f>
        <v>Product_21</v>
      </c>
      <c r="E873" t="str">
        <f>VLOOKUP(B873,Products!$A:$E,3,FALSE)</f>
        <v>Office Supplies</v>
      </c>
    </row>
    <row r="874" spans="1:5" x14ac:dyDescent="0.3">
      <c r="A874" t="s">
        <v>6886</v>
      </c>
      <c r="B874" t="s">
        <v>820</v>
      </c>
      <c r="C874">
        <v>27</v>
      </c>
      <c r="D874" t="str">
        <f>VLOOKUP(B874,Products!$A:$E,2,FALSE)</f>
        <v>Product_406</v>
      </c>
      <c r="E874" t="str">
        <f>VLOOKUP(B874,Products!$A:$E,3,FALSE)</f>
        <v>Office Supplies</v>
      </c>
    </row>
    <row r="875" spans="1:5" x14ac:dyDescent="0.3">
      <c r="A875" t="s">
        <v>6887</v>
      </c>
      <c r="B875" t="s">
        <v>672</v>
      </c>
      <c r="C875">
        <v>19</v>
      </c>
      <c r="D875" t="str">
        <f>VLOOKUP(B875,Products!$A:$E,2,FALSE)</f>
        <v>Product_332</v>
      </c>
      <c r="E875" t="str">
        <f>VLOOKUP(B875,Products!$A:$E,3,FALSE)</f>
        <v>Electronics</v>
      </c>
    </row>
    <row r="876" spans="1:5" x14ac:dyDescent="0.3">
      <c r="A876" t="s">
        <v>6888</v>
      </c>
      <c r="B876" t="s">
        <v>778</v>
      </c>
      <c r="C876">
        <v>2</v>
      </c>
      <c r="D876" t="str">
        <f>VLOOKUP(B876,Products!$A:$E,2,FALSE)</f>
        <v>Product_385</v>
      </c>
      <c r="E876" t="str">
        <f>VLOOKUP(B876,Products!$A:$E,3,FALSE)</f>
        <v>Networking</v>
      </c>
    </row>
    <row r="877" spans="1:5" x14ac:dyDescent="0.3">
      <c r="A877" t="s">
        <v>6889</v>
      </c>
      <c r="B877" t="s">
        <v>244</v>
      </c>
      <c r="C877">
        <v>47</v>
      </c>
      <c r="D877" t="str">
        <f>VLOOKUP(B877,Products!$A:$E,2,FALSE)</f>
        <v>Product_118</v>
      </c>
      <c r="E877" t="str">
        <f>VLOOKUP(B877,Products!$A:$E,3,FALSE)</f>
        <v>Accessories</v>
      </c>
    </row>
    <row r="878" spans="1:5" x14ac:dyDescent="0.3">
      <c r="A878" t="s">
        <v>6890</v>
      </c>
      <c r="B878" t="s">
        <v>348</v>
      </c>
      <c r="C878">
        <v>22</v>
      </c>
      <c r="D878" t="str">
        <f>VLOOKUP(B878,Products!$A:$E,2,FALSE)</f>
        <v>Product_170</v>
      </c>
      <c r="E878" t="str">
        <f>VLOOKUP(B878,Products!$A:$E,3,FALSE)</f>
        <v>Office Supplies</v>
      </c>
    </row>
    <row r="879" spans="1:5" x14ac:dyDescent="0.3">
      <c r="A879" t="s">
        <v>6891</v>
      </c>
      <c r="B879" t="s">
        <v>258</v>
      </c>
      <c r="C879">
        <v>14</v>
      </c>
      <c r="D879" t="str">
        <f>VLOOKUP(B879,Products!$A:$E,2,FALSE)</f>
        <v>Product_125</v>
      </c>
      <c r="E879" t="str">
        <f>VLOOKUP(B879,Products!$A:$E,3,FALSE)</f>
        <v>Office Supplies</v>
      </c>
    </row>
    <row r="880" spans="1:5" x14ac:dyDescent="0.3">
      <c r="A880" t="s">
        <v>6892</v>
      </c>
      <c r="B880" t="s">
        <v>562</v>
      </c>
      <c r="C880">
        <v>4</v>
      </c>
      <c r="D880" t="str">
        <f>VLOOKUP(B880,Products!$A:$E,2,FALSE)</f>
        <v>Product_277</v>
      </c>
      <c r="E880" t="str">
        <f>VLOOKUP(B880,Products!$A:$E,3,FALSE)</f>
        <v>Electronics</v>
      </c>
    </row>
    <row r="881" spans="1:5" x14ac:dyDescent="0.3">
      <c r="A881" t="s">
        <v>6893</v>
      </c>
      <c r="B881" t="s">
        <v>938</v>
      </c>
      <c r="C881">
        <v>43</v>
      </c>
      <c r="D881" t="str">
        <f>VLOOKUP(B881,Products!$A:$E,2,FALSE)</f>
        <v>Product_465</v>
      </c>
      <c r="E881" t="str">
        <f>VLOOKUP(B881,Products!$A:$E,3,FALSE)</f>
        <v>Electronics</v>
      </c>
    </row>
    <row r="882" spans="1:5" x14ac:dyDescent="0.3">
      <c r="A882" t="s">
        <v>6894</v>
      </c>
      <c r="B882" t="s">
        <v>264</v>
      </c>
      <c r="C882">
        <v>44</v>
      </c>
      <c r="D882" t="str">
        <f>VLOOKUP(B882,Products!$A:$E,2,FALSE)</f>
        <v>Product_128</v>
      </c>
      <c r="E882" t="str">
        <f>VLOOKUP(B882,Products!$A:$E,3,FALSE)</f>
        <v>Office Supplies</v>
      </c>
    </row>
    <row r="883" spans="1:5" x14ac:dyDescent="0.3">
      <c r="A883" t="s">
        <v>6895</v>
      </c>
      <c r="B883" t="s">
        <v>722</v>
      </c>
      <c r="C883">
        <v>47</v>
      </c>
      <c r="D883" t="str">
        <f>VLOOKUP(B883,Products!$A:$E,2,FALSE)</f>
        <v>Product_357</v>
      </c>
      <c r="E883" t="str">
        <f>VLOOKUP(B883,Products!$A:$E,3,FALSE)</f>
        <v>Accessories</v>
      </c>
    </row>
    <row r="884" spans="1:5" x14ac:dyDescent="0.3">
      <c r="A884" t="s">
        <v>6896</v>
      </c>
      <c r="B884" t="s">
        <v>236</v>
      </c>
      <c r="C884">
        <v>39</v>
      </c>
      <c r="D884" t="str">
        <f>VLOOKUP(B884,Products!$A:$E,2,FALSE)</f>
        <v>Product_114</v>
      </c>
      <c r="E884" t="str">
        <f>VLOOKUP(B884,Products!$A:$E,3,FALSE)</f>
        <v>Electronics</v>
      </c>
    </row>
    <row r="885" spans="1:5" x14ac:dyDescent="0.3">
      <c r="A885" t="s">
        <v>6897</v>
      </c>
      <c r="B885" t="s">
        <v>902</v>
      </c>
      <c r="C885">
        <v>25</v>
      </c>
      <c r="D885" t="str">
        <f>VLOOKUP(B885,Products!$A:$E,2,FALSE)</f>
        <v>Product_447</v>
      </c>
      <c r="E885" t="str">
        <f>VLOOKUP(B885,Products!$A:$E,3,FALSE)</f>
        <v>Office Supplies</v>
      </c>
    </row>
    <row r="886" spans="1:5" x14ac:dyDescent="0.3">
      <c r="A886" t="s">
        <v>6898</v>
      </c>
      <c r="B886" t="s">
        <v>542</v>
      </c>
      <c r="C886">
        <v>21</v>
      </c>
      <c r="D886" t="str">
        <f>VLOOKUP(B886,Products!$A:$E,2,FALSE)</f>
        <v>Product_267</v>
      </c>
      <c r="E886" t="str">
        <f>VLOOKUP(B886,Products!$A:$E,3,FALSE)</f>
        <v>Networking</v>
      </c>
    </row>
    <row r="887" spans="1:5" x14ac:dyDescent="0.3">
      <c r="A887" t="s">
        <v>6899</v>
      </c>
      <c r="B887" t="s">
        <v>196</v>
      </c>
      <c r="C887">
        <v>29</v>
      </c>
      <c r="D887" t="str">
        <f>VLOOKUP(B887,Products!$A:$E,2,FALSE)</f>
        <v>Product_94</v>
      </c>
      <c r="E887" t="str">
        <f>VLOOKUP(B887,Products!$A:$E,3,FALSE)</f>
        <v>Networking</v>
      </c>
    </row>
    <row r="888" spans="1:5" x14ac:dyDescent="0.3">
      <c r="A888" t="s">
        <v>6900</v>
      </c>
      <c r="B888" t="s">
        <v>654</v>
      </c>
      <c r="C888">
        <v>1</v>
      </c>
      <c r="D888" t="str">
        <f>VLOOKUP(B888,Products!$A:$E,2,FALSE)</f>
        <v>Product_323</v>
      </c>
      <c r="E888" t="str">
        <f>VLOOKUP(B888,Products!$A:$E,3,FALSE)</f>
        <v>Electronics</v>
      </c>
    </row>
    <row r="889" spans="1:5" x14ac:dyDescent="0.3">
      <c r="A889" t="s">
        <v>6901</v>
      </c>
      <c r="B889" t="s">
        <v>76</v>
      </c>
      <c r="C889">
        <v>32</v>
      </c>
      <c r="D889" t="str">
        <f>VLOOKUP(B889,Products!$A:$E,2,FALSE)</f>
        <v>Product_34</v>
      </c>
      <c r="E889" t="str">
        <f>VLOOKUP(B889,Products!$A:$E,3,FALSE)</f>
        <v>Office Supplies</v>
      </c>
    </row>
    <row r="890" spans="1:5" x14ac:dyDescent="0.3">
      <c r="A890" t="s">
        <v>6902</v>
      </c>
      <c r="B890" t="s">
        <v>80</v>
      </c>
      <c r="C890">
        <v>13</v>
      </c>
      <c r="D890" t="str">
        <f>VLOOKUP(B890,Products!$A:$E,2,FALSE)</f>
        <v>Product_36</v>
      </c>
      <c r="E890" t="str">
        <f>VLOOKUP(B890,Products!$A:$E,3,FALSE)</f>
        <v>Office Supplies</v>
      </c>
    </row>
    <row r="891" spans="1:5" x14ac:dyDescent="0.3">
      <c r="A891" t="s">
        <v>6903</v>
      </c>
      <c r="B891" t="s">
        <v>62</v>
      </c>
      <c r="C891">
        <v>41</v>
      </c>
      <c r="D891" t="str">
        <f>VLOOKUP(B891,Products!$A:$E,2,FALSE)</f>
        <v>Product_27</v>
      </c>
      <c r="E891" t="str">
        <f>VLOOKUP(B891,Products!$A:$E,3,FALSE)</f>
        <v>Office Supplies</v>
      </c>
    </row>
    <row r="892" spans="1:5" x14ac:dyDescent="0.3">
      <c r="A892" t="s">
        <v>6904</v>
      </c>
      <c r="B892" t="s">
        <v>154</v>
      </c>
      <c r="C892">
        <v>14</v>
      </c>
      <c r="D892" t="str">
        <f>VLOOKUP(B892,Products!$A:$E,2,FALSE)</f>
        <v>Product_73</v>
      </c>
      <c r="E892" t="str">
        <f>VLOOKUP(B892,Products!$A:$E,3,FALSE)</f>
        <v>Office Supplies</v>
      </c>
    </row>
    <row r="893" spans="1:5" x14ac:dyDescent="0.3">
      <c r="A893" t="s">
        <v>6905</v>
      </c>
      <c r="B893" t="s">
        <v>138</v>
      </c>
      <c r="C893">
        <v>6</v>
      </c>
      <c r="D893" t="str">
        <f>VLOOKUP(B893,Products!$A:$E,2,FALSE)</f>
        <v>Product_65</v>
      </c>
      <c r="E893" t="str">
        <f>VLOOKUP(B893,Products!$A:$E,3,FALSE)</f>
        <v>Office Supplies</v>
      </c>
    </row>
    <row r="894" spans="1:5" x14ac:dyDescent="0.3">
      <c r="A894" t="s">
        <v>6906</v>
      </c>
      <c r="B894" t="s">
        <v>186</v>
      </c>
      <c r="C894">
        <v>38</v>
      </c>
      <c r="D894" t="str">
        <f>VLOOKUP(B894,Products!$A:$E,2,FALSE)</f>
        <v>Product_89</v>
      </c>
      <c r="E894" t="str">
        <f>VLOOKUP(B894,Products!$A:$E,3,FALSE)</f>
        <v>Storage</v>
      </c>
    </row>
    <row r="895" spans="1:5" x14ac:dyDescent="0.3">
      <c r="A895" t="s">
        <v>6907</v>
      </c>
      <c r="B895" t="s">
        <v>572</v>
      </c>
      <c r="C895">
        <v>14</v>
      </c>
      <c r="D895" t="str">
        <f>VLOOKUP(B895,Products!$A:$E,2,FALSE)</f>
        <v>Product_282</v>
      </c>
      <c r="E895" t="str">
        <f>VLOOKUP(B895,Products!$A:$E,3,FALSE)</f>
        <v>Networking</v>
      </c>
    </row>
    <row r="896" spans="1:5" x14ac:dyDescent="0.3">
      <c r="A896" t="s">
        <v>6908</v>
      </c>
      <c r="B896" t="s">
        <v>250</v>
      </c>
      <c r="C896">
        <v>33</v>
      </c>
      <c r="D896" t="str">
        <f>VLOOKUP(B896,Products!$A:$E,2,FALSE)</f>
        <v>Product_121</v>
      </c>
      <c r="E896" t="str">
        <f>VLOOKUP(B896,Products!$A:$E,3,FALSE)</f>
        <v>Storage</v>
      </c>
    </row>
    <row r="897" spans="1:5" x14ac:dyDescent="0.3">
      <c r="A897" t="s">
        <v>6909</v>
      </c>
      <c r="B897" t="s">
        <v>90</v>
      </c>
      <c r="C897">
        <v>28</v>
      </c>
      <c r="D897" t="str">
        <f>VLOOKUP(B897,Products!$A:$E,2,FALSE)</f>
        <v>Product_41</v>
      </c>
      <c r="E897" t="str">
        <f>VLOOKUP(B897,Products!$A:$E,3,FALSE)</f>
        <v>Accessories</v>
      </c>
    </row>
    <row r="898" spans="1:5" x14ac:dyDescent="0.3">
      <c r="A898" t="s">
        <v>6910</v>
      </c>
      <c r="B898" t="s">
        <v>752</v>
      </c>
      <c r="C898">
        <v>30</v>
      </c>
      <c r="D898" t="str">
        <f>VLOOKUP(B898,Products!$A:$E,2,FALSE)</f>
        <v>Product_372</v>
      </c>
      <c r="E898" t="str">
        <f>VLOOKUP(B898,Products!$A:$E,3,FALSE)</f>
        <v>Networking</v>
      </c>
    </row>
    <row r="899" spans="1:5" x14ac:dyDescent="0.3">
      <c r="A899" t="s">
        <v>6911</v>
      </c>
      <c r="B899" t="s">
        <v>328</v>
      </c>
      <c r="C899">
        <v>11</v>
      </c>
      <c r="D899" t="str">
        <f>VLOOKUP(B899,Products!$A:$E,2,FALSE)</f>
        <v>Product_160</v>
      </c>
      <c r="E899" t="str">
        <f>VLOOKUP(B899,Products!$A:$E,3,FALSE)</f>
        <v>Office Supplies</v>
      </c>
    </row>
    <row r="900" spans="1:5" x14ac:dyDescent="0.3">
      <c r="A900" t="s">
        <v>6912</v>
      </c>
      <c r="B900" t="s">
        <v>748</v>
      </c>
      <c r="C900">
        <v>13</v>
      </c>
      <c r="D900" t="str">
        <f>VLOOKUP(B900,Products!$A:$E,2,FALSE)</f>
        <v>Product_370</v>
      </c>
      <c r="E900" t="str">
        <f>VLOOKUP(B900,Products!$A:$E,3,FALSE)</f>
        <v>Networking</v>
      </c>
    </row>
    <row r="901" spans="1:5" x14ac:dyDescent="0.3">
      <c r="A901" t="s">
        <v>6913</v>
      </c>
      <c r="B901" t="s">
        <v>260</v>
      </c>
      <c r="C901">
        <v>28</v>
      </c>
      <c r="D901" t="str">
        <f>VLOOKUP(B901,Products!$A:$E,2,FALSE)</f>
        <v>Product_126</v>
      </c>
      <c r="E901" t="str">
        <f>VLOOKUP(B901,Products!$A:$E,3,FALSE)</f>
        <v>Office Supplies</v>
      </c>
    </row>
    <row r="902" spans="1:5" x14ac:dyDescent="0.3">
      <c r="A902" t="s">
        <v>6914</v>
      </c>
      <c r="B902" t="s">
        <v>190</v>
      </c>
      <c r="C902">
        <v>39</v>
      </c>
      <c r="D902" t="str">
        <f>VLOOKUP(B902,Products!$A:$E,2,FALSE)</f>
        <v>Product_91</v>
      </c>
      <c r="E902" t="str">
        <f>VLOOKUP(B902,Products!$A:$E,3,FALSE)</f>
        <v>Networking</v>
      </c>
    </row>
    <row r="903" spans="1:5" x14ac:dyDescent="0.3">
      <c r="A903" t="s">
        <v>6915</v>
      </c>
      <c r="B903" t="s">
        <v>264</v>
      </c>
      <c r="C903">
        <v>20</v>
      </c>
      <c r="D903" t="str">
        <f>VLOOKUP(B903,Products!$A:$E,2,FALSE)</f>
        <v>Product_128</v>
      </c>
      <c r="E903" t="str">
        <f>VLOOKUP(B903,Products!$A:$E,3,FALSE)</f>
        <v>Office Supplies</v>
      </c>
    </row>
    <row r="904" spans="1:5" x14ac:dyDescent="0.3">
      <c r="A904" t="s">
        <v>6916</v>
      </c>
      <c r="B904" t="s">
        <v>302</v>
      </c>
      <c r="C904">
        <v>37</v>
      </c>
      <c r="D904" t="str">
        <f>VLOOKUP(B904,Products!$A:$E,2,FALSE)</f>
        <v>Product_147</v>
      </c>
      <c r="E904" t="str">
        <f>VLOOKUP(B904,Products!$A:$E,3,FALSE)</f>
        <v>Networking</v>
      </c>
    </row>
    <row r="905" spans="1:5" x14ac:dyDescent="0.3">
      <c r="A905" t="s">
        <v>6917</v>
      </c>
      <c r="B905" t="s">
        <v>468</v>
      </c>
      <c r="C905">
        <v>41</v>
      </c>
      <c r="D905" t="str">
        <f>VLOOKUP(B905,Products!$A:$E,2,FALSE)</f>
        <v>Product_230</v>
      </c>
      <c r="E905" t="str">
        <f>VLOOKUP(B905,Products!$A:$E,3,FALSE)</f>
        <v>Electronics</v>
      </c>
    </row>
    <row r="906" spans="1:5" x14ac:dyDescent="0.3">
      <c r="A906" t="s">
        <v>6918</v>
      </c>
      <c r="B906" t="s">
        <v>216</v>
      </c>
      <c r="C906">
        <v>18</v>
      </c>
      <c r="D906" t="str">
        <f>VLOOKUP(B906,Products!$A:$E,2,FALSE)</f>
        <v>Product_104</v>
      </c>
      <c r="E906" t="str">
        <f>VLOOKUP(B906,Products!$A:$E,3,FALSE)</f>
        <v>Networking</v>
      </c>
    </row>
    <row r="907" spans="1:5" x14ac:dyDescent="0.3">
      <c r="A907" t="s">
        <v>6919</v>
      </c>
      <c r="B907" t="s">
        <v>892</v>
      </c>
      <c r="C907">
        <v>31</v>
      </c>
      <c r="D907" t="str">
        <f>VLOOKUP(B907,Products!$A:$E,2,FALSE)</f>
        <v>Product_442</v>
      </c>
      <c r="E907" t="str">
        <f>VLOOKUP(B907,Products!$A:$E,3,FALSE)</f>
        <v>Networking</v>
      </c>
    </row>
    <row r="908" spans="1:5" x14ac:dyDescent="0.3">
      <c r="A908" t="s">
        <v>6920</v>
      </c>
      <c r="B908" t="s">
        <v>90</v>
      </c>
      <c r="C908">
        <v>24</v>
      </c>
      <c r="D908" t="str">
        <f>VLOOKUP(B908,Products!$A:$E,2,FALSE)</f>
        <v>Product_41</v>
      </c>
      <c r="E908" t="str">
        <f>VLOOKUP(B908,Products!$A:$E,3,FALSE)</f>
        <v>Accessories</v>
      </c>
    </row>
    <row r="909" spans="1:5" x14ac:dyDescent="0.3">
      <c r="A909" t="s">
        <v>6921</v>
      </c>
      <c r="B909" t="s">
        <v>416</v>
      </c>
      <c r="C909">
        <v>25</v>
      </c>
      <c r="D909" t="str">
        <f>VLOOKUP(B909,Products!$A:$E,2,FALSE)</f>
        <v>Product_204</v>
      </c>
      <c r="E909" t="str">
        <f>VLOOKUP(B909,Products!$A:$E,3,FALSE)</f>
        <v>Office Supplies</v>
      </c>
    </row>
    <row r="910" spans="1:5" x14ac:dyDescent="0.3">
      <c r="A910" t="s">
        <v>6922</v>
      </c>
      <c r="B910" t="s">
        <v>180</v>
      </c>
      <c r="C910">
        <v>31</v>
      </c>
      <c r="D910" t="str">
        <f>VLOOKUP(B910,Products!$A:$E,2,FALSE)</f>
        <v>Product_86</v>
      </c>
      <c r="E910" t="str">
        <f>VLOOKUP(B910,Products!$A:$E,3,FALSE)</f>
        <v>Storage</v>
      </c>
    </row>
    <row r="911" spans="1:5" x14ac:dyDescent="0.3">
      <c r="A911" t="s">
        <v>6923</v>
      </c>
      <c r="B911" t="s">
        <v>460</v>
      </c>
      <c r="C911">
        <v>28</v>
      </c>
      <c r="D911" t="str">
        <f>VLOOKUP(B911,Products!$A:$E,2,FALSE)</f>
        <v>Product_226</v>
      </c>
      <c r="E911" t="str">
        <f>VLOOKUP(B911,Products!$A:$E,3,FALSE)</f>
        <v>Networking</v>
      </c>
    </row>
    <row r="912" spans="1:5" x14ac:dyDescent="0.3">
      <c r="A912" t="s">
        <v>6924</v>
      </c>
      <c r="B912" t="s">
        <v>526</v>
      </c>
      <c r="C912">
        <v>40</v>
      </c>
      <c r="D912" t="str">
        <f>VLOOKUP(B912,Products!$A:$E,2,FALSE)</f>
        <v>Product_259</v>
      </c>
      <c r="E912" t="str">
        <f>VLOOKUP(B912,Products!$A:$E,3,FALSE)</f>
        <v>Electronics</v>
      </c>
    </row>
    <row r="913" spans="1:5" x14ac:dyDescent="0.3">
      <c r="A913" t="s">
        <v>6925</v>
      </c>
      <c r="B913" t="s">
        <v>762</v>
      </c>
      <c r="C913">
        <v>28</v>
      </c>
      <c r="D913" t="str">
        <f>VLOOKUP(B913,Products!$A:$E,2,FALSE)</f>
        <v>Product_377</v>
      </c>
      <c r="E913" t="str">
        <f>VLOOKUP(B913,Products!$A:$E,3,FALSE)</f>
        <v>Networking</v>
      </c>
    </row>
    <row r="914" spans="1:5" x14ac:dyDescent="0.3">
      <c r="A914" t="s">
        <v>6926</v>
      </c>
      <c r="B914" t="s">
        <v>788</v>
      </c>
      <c r="C914">
        <v>10</v>
      </c>
      <c r="D914" t="str">
        <f>VLOOKUP(B914,Products!$A:$E,2,FALSE)</f>
        <v>Product_390</v>
      </c>
      <c r="E914" t="str">
        <f>VLOOKUP(B914,Products!$A:$E,3,FALSE)</f>
        <v>Storage</v>
      </c>
    </row>
    <row r="915" spans="1:5" x14ac:dyDescent="0.3">
      <c r="A915" t="s">
        <v>6927</v>
      </c>
      <c r="B915" t="s">
        <v>848</v>
      </c>
      <c r="C915">
        <v>31</v>
      </c>
      <c r="D915" t="str">
        <f>VLOOKUP(B915,Products!$A:$E,2,FALSE)</f>
        <v>Product_420</v>
      </c>
      <c r="E915" t="str">
        <f>VLOOKUP(B915,Products!$A:$E,3,FALSE)</f>
        <v>Networking</v>
      </c>
    </row>
    <row r="916" spans="1:5" x14ac:dyDescent="0.3">
      <c r="A916" t="s">
        <v>6928</v>
      </c>
      <c r="B916" t="s">
        <v>30</v>
      </c>
      <c r="C916">
        <v>49</v>
      </c>
      <c r="D916" t="str">
        <f>VLOOKUP(B916,Products!$A:$E,2,FALSE)</f>
        <v>Product_11</v>
      </c>
      <c r="E916" t="str">
        <f>VLOOKUP(B916,Products!$A:$E,3,FALSE)</f>
        <v>Electronics</v>
      </c>
    </row>
    <row r="917" spans="1:5" x14ac:dyDescent="0.3">
      <c r="A917" t="s">
        <v>6929</v>
      </c>
      <c r="B917" t="s">
        <v>400</v>
      </c>
      <c r="C917">
        <v>28</v>
      </c>
      <c r="D917" t="str">
        <f>VLOOKUP(B917,Products!$A:$E,2,FALSE)</f>
        <v>Product_196</v>
      </c>
      <c r="E917" t="str">
        <f>VLOOKUP(B917,Products!$A:$E,3,FALSE)</f>
        <v>Office Supplies</v>
      </c>
    </row>
    <row r="918" spans="1:5" x14ac:dyDescent="0.3">
      <c r="A918" t="s">
        <v>6930</v>
      </c>
      <c r="B918" t="s">
        <v>884</v>
      </c>
      <c r="C918">
        <v>6</v>
      </c>
      <c r="D918" t="str">
        <f>VLOOKUP(B918,Products!$A:$E,2,FALSE)</f>
        <v>Product_438</v>
      </c>
      <c r="E918" t="str">
        <f>VLOOKUP(B918,Products!$A:$E,3,FALSE)</f>
        <v>Electronics</v>
      </c>
    </row>
    <row r="919" spans="1:5" x14ac:dyDescent="0.3">
      <c r="A919" t="s">
        <v>6931</v>
      </c>
      <c r="B919" t="s">
        <v>786</v>
      </c>
      <c r="C919">
        <v>20</v>
      </c>
      <c r="D919" t="str">
        <f>VLOOKUP(B919,Products!$A:$E,2,FALSE)</f>
        <v>Product_389</v>
      </c>
      <c r="E919" t="str">
        <f>VLOOKUP(B919,Products!$A:$E,3,FALSE)</f>
        <v>Networking</v>
      </c>
    </row>
    <row r="920" spans="1:5" x14ac:dyDescent="0.3">
      <c r="A920" t="s">
        <v>6932</v>
      </c>
      <c r="B920" t="s">
        <v>618</v>
      </c>
      <c r="C920">
        <v>35</v>
      </c>
      <c r="D920" t="str">
        <f>VLOOKUP(B920,Products!$A:$E,2,FALSE)</f>
        <v>Product_305</v>
      </c>
      <c r="E920" t="str">
        <f>VLOOKUP(B920,Products!$A:$E,3,FALSE)</f>
        <v>Accessories</v>
      </c>
    </row>
    <row r="921" spans="1:5" x14ac:dyDescent="0.3">
      <c r="A921" t="s">
        <v>6933</v>
      </c>
      <c r="B921" t="s">
        <v>166</v>
      </c>
      <c r="C921">
        <v>36</v>
      </c>
      <c r="D921" t="str">
        <f>VLOOKUP(B921,Products!$A:$E,2,FALSE)</f>
        <v>Product_79</v>
      </c>
      <c r="E921" t="str">
        <f>VLOOKUP(B921,Products!$A:$E,3,FALSE)</f>
        <v>Storage</v>
      </c>
    </row>
    <row r="922" spans="1:5" x14ac:dyDescent="0.3">
      <c r="A922" t="s">
        <v>6934</v>
      </c>
      <c r="B922" t="s">
        <v>754</v>
      </c>
      <c r="C922">
        <v>12</v>
      </c>
      <c r="D922" t="str">
        <f>VLOOKUP(B922,Products!$A:$E,2,FALSE)</f>
        <v>Product_373</v>
      </c>
      <c r="E922" t="str">
        <f>VLOOKUP(B922,Products!$A:$E,3,FALSE)</f>
        <v>Office Supplies</v>
      </c>
    </row>
    <row r="923" spans="1:5" x14ac:dyDescent="0.3">
      <c r="A923" t="s">
        <v>6935</v>
      </c>
      <c r="B923" t="s">
        <v>272</v>
      </c>
      <c r="C923">
        <v>25</v>
      </c>
      <c r="D923" t="str">
        <f>VLOOKUP(B923,Products!$A:$E,2,FALSE)</f>
        <v>Product_132</v>
      </c>
      <c r="E923" t="str">
        <f>VLOOKUP(B923,Products!$A:$E,3,FALSE)</f>
        <v>Storage</v>
      </c>
    </row>
    <row r="924" spans="1:5" x14ac:dyDescent="0.3">
      <c r="A924" t="s">
        <v>6936</v>
      </c>
      <c r="B924" t="s">
        <v>484</v>
      </c>
      <c r="C924">
        <v>20</v>
      </c>
      <c r="D924" t="str">
        <f>VLOOKUP(B924,Products!$A:$E,2,FALSE)</f>
        <v>Product_238</v>
      </c>
      <c r="E924" t="str">
        <f>VLOOKUP(B924,Products!$A:$E,3,FALSE)</f>
        <v>Accessories</v>
      </c>
    </row>
    <row r="925" spans="1:5" x14ac:dyDescent="0.3">
      <c r="A925" t="s">
        <v>6937</v>
      </c>
      <c r="B925" t="s">
        <v>474</v>
      </c>
      <c r="C925">
        <v>19</v>
      </c>
      <c r="D925" t="str">
        <f>VLOOKUP(B925,Products!$A:$E,2,FALSE)</f>
        <v>Product_233</v>
      </c>
      <c r="E925" t="str">
        <f>VLOOKUP(B925,Products!$A:$E,3,FALSE)</f>
        <v>Accessories</v>
      </c>
    </row>
    <row r="926" spans="1:5" x14ac:dyDescent="0.3">
      <c r="A926" t="s">
        <v>6938</v>
      </c>
      <c r="B926" t="s">
        <v>394</v>
      </c>
      <c r="C926">
        <v>36</v>
      </c>
      <c r="D926" t="str">
        <f>VLOOKUP(B926,Products!$A:$E,2,FALSE)</f>
        <v>Product_193</v>
      </c>
      <c r="E926" t="str">
        <f>VLOOKUP(B926,Products!$A:$E,3,FALSE)</f>
        <v>Accessories</v>
      </c>
    </row>
    <row r="927" spans="1:5" x14ac:dyDescent="0.3">
      <c r="A927" t="s">
        <v>6939</v>
      </c>
      <c r="B927" t="s">
        <v>630</v>
      </c>
      <c r="C927">
        <v>31</v>
      </c>
      <c r="D927" t="str">
        <f>VLOOKUP(B927,Products!$A:$E,2,FALSE)</f>
        <v>Product_311</v>
      </c>
      <c r="E927" t="str">
        <f>VLOOKUP(B927,Products!$A:$E,3,FALSE)</f>
        <v>Networking</v>
      </c>
    </row>
    <row r="928" spans="1:5" x14ac:dyDescent="0.3">
      <c r="A928" t="s">
        <v>6940</v>
      </c>
      <c r="B928" t="s">
        <v>82</v>
      </c>
      <c r="C928">
        <v>22</v>
      </c>
      <c r="D928" t="str">
        <f>VLOOKUP(B928,Products!$A:$E,2,FALSE)</f>
        <v>Product_37</v>
      </c>
      <c r="E928" t="str">
        <f>VLOOKUP(B928,Products!$A:$E,3,FALSE)</f>
        <v>Storage</v>
      </c>
    </row>
    <row r="929" spans="1:5" x14ac:dyDescent="0.3">
      <c r="A929" t="s">
        <v>6941</v>
      </c>
      <c r="B929" t="s">
        <v>148</v>
      </c>
      <c r="C929">
        <v>46</v>
      </c>
      <c r="D929" t="str">
        <f>VLOOKUP(B929,Products!$A:$E,2,FALSE)</f>
        <v>Product_70</v>
      </c>
      <c r="E929" t="str">
        <f>VLOOKUP(B929,Products!$A:$E,3,FALSE)</f>
        <v>Electronics</v>
      </c>
    </row>
    <row r="930" spans="1:5" x14ac:dyDescent="0.3">
      <c r="A930" t="s">
        <v>6942</v>
      </c>
      <c r="B930" t="s">
        <v>490</v>
      </c>
      <c r="C930">
        <v>13</v>
      </c>
      <c r="D930" t="str">
        <f>VLOOKUP(B930,Products!$A:$E,2,FALSE)</f>
        <v>Product_241</v>
      </c>
      <c r="E930" t="str">
        <f>VLOOKUP(B930,Products!$A:$E,3,FALSE)</f>
        <v>Electronics</v>
      </c>
    </row>
    <row r="931" spans="1:5" x14ac:dyDescent="0.3">
      <c r="A931" t="s">
        <v>6943</v>
      </c>
      <c r="B931" t="s">
        <v>168</v>
      </c>
      <c r="C931">
        <v>13</v>
      </c>
      <c r="D931" t="str">
        <f>VLOOKUP(B931,Products!$A:$E,2,FALSE)</f>
        <v>Product_80</v>
      </c>
      <c r="E931" t="str">
        <f>VLOOKUP(B931,Products!$A:$E,3,FALSE)</f>
        <v>Accessories</v>
      </c>
    </row>
    <row r="932" spans="1:5" x14ac:dyDescent="0.3">
      <c r="A932" t="s">
        <v>6944</v>
      </c>
      <c r="B932" t="s">
        <v>11</v>
      </c>
      <c r="C932">
        <v>1</v>
      </c>
      <c r="D932" t="str">
        <f>VLOOKUP(B932,Products!$A:$E,2,FALSE)</f>
        <v>Product_3</v>
      </c>
      <c r="E932" t="str">
        <f>VLOOKUP(B932,Products!$A:$E,3,FALSE)</f>
        <v>Accessories</v>
      </c>
    </row>
    <row r="933" spans="1:5" x14ac:dyDescent="0.3">
      <c r="A933" t="s">
        <v>6945</v>
      </c>
      <c r="B933" t="s">
        <v>892</v>
      </c>
      <c r="C933">
        <v>33</v>
      </c>
      <c r="D933" t="str">
        <f>VLOOKUP(B933,Products!$A:$E,2,FALSE)</f>
        <v>Product_442</v>
      </c>
      <c r="E933" t="str">
        <f>VLOOKUP(B933,Products!$A:$E,3,FALSE)</f>
        <v>Networking</v>
      </c>
    </row>
    <row r="934" spans="1:5" x14ac:dyDescent="0.3">
      <c r="A934" t="s">
        <v>6946</v>
      </c>
      <c r="B934" t="s">
        <v>756</v>
      </c>
      <c r="C934">
        <v>47</v>
      </c>
      <c r="D934" t="str">
        <f>VLOOKUP(B934,Products!$A:$E,2,FALSE)</f>
        <v>Product_374</v>
      </c>
      <c r="E934" t="str">
        <f>VLOOKUP(B934,Products!$A:$E,3,FALSE)</f>
        <v>Office Supplies</v>
      </c>
    </row>
    <row r="935" spans="1:5" x14ac:dyDescent="0.3">
      <c r="A935" t="s">
        <v>6947</v>
      </c>
      <c r="B935" t="s">
        <v>392</v>
      </c>
      <c r="C935">
        <v>32</v>
      </c>
      <c r="D935" t="str">
        <f>VLOOKUP(B935,Products!$A:$E,2,FALSE)</f>
        <v>Product_192</v>
      </c>
      <c r="E935" t="str">
        <f>VLOOKUP(B935,Products!$A:$E,3,FALSE)</f>
        <v>Office Supplies</v>
      </c>
    </row>
    <row r="936" spans="1:5" x14ac:dyDescent="0.3">
      <c r="A936" t="s">
        <v>6948</v>
      </c>
      <c r="B936" t="s">
        <v>424</v>
      </c>
      <c r="C936">
        <v>27</v>
      </c>
      <c r="D936" t="str">
        <f>VLOOKUP(B936,Products!$A:$E,2,FALSE)</f>
        <v>Product_208</v>
      </c>
      <c r="E936" t="str">
        <f>VLOOKUP(B936,Products!$A:$E,3,FALSE)</f>
        <v>Electronics</v>
      </c>
    </row>
    <row r="937" spans="1:5" x14ac:dyDescent="0.3">
      <c r="A937" t="s">
        <v>6949</v>
      </c>
      <c r="B937" t="s">
        <v>972</v>
      </c>
      <c r="C937">
        <v>26</v>
      </c>
      <c r="D937" t="str">
        <f>VLOOKUP(B937,Products!$A:$E,2,FALSE)</f>
        <v>Product_482</v>
      </c>
      <c r="E937" t="str">
        <f>VLOOKUP(B937,Products!$A:$E,3,FALSE)</f>
        <v>Storage</v>
      </c>
    </row>
    <row r="938" spans="1:5" x14ac:dyDescent="0.3">
      <c r="A938" t="s">
        <v>6950</v>
      </c>
      <c r="B938" t="s">
        <v>1002</v>
      </c>
      <c r="C938">
        <v>48</v>
      </c>
      <c r="D938" t="str">
        <f>VLOOKUP(B938,Products!$A:$E,2,FALSE)</f>
        <v>Product_497</v>
      </c>
      <c r="E938" t="str">
        <f>VLOOKUP(B938,Products!$A:$E,3,FALSE)</f>
        <v>Office Supplies</v>
      </c>
    </row>
    <row r="939" spans="1:5" x14ac:dyDescent="0.3">
      <c r="A939" t="s">
        <v>6951</v>
      </c>
      <c r="B939" t="s">
        <v>392</v>
      </c>
      <c r="C939">
        <v>25</v>
      </c>
      <c r="D939" t="str">
        <f>VLOOKUP(B939,Products!$A:$E,2,FALSE)</f>
        <v>Product_192</v>
      </c>
      <c r="E939" t="str">
        <f>VLOOKUP(B939,Products!$A:$E,3,FALSE)</f>
        <v>Office Supplies</v>
      </c>
    </row>
    <row r="940" spans="1:5" x14ac:dyDescent="0.3">
      <c r="A940" t="s">
        <v>6952</v>
      </c>
      <c r="B940" t="s">
        <v>510</v>
      </c>
      <c r="C940">
        <v>20</v>
      </c>
      <c r="D940" t="str">
        <f>VLOOKUP(B940,Products!$A:$E,2,FALSE)</f>
        <v>Product_251</v>
      </c>
      <c r="E940" t="str">
        <f>VLOOKUP(B940,Products!$A:$E,3,FALSE)</f>
        <v>Electronics</v>
      </c>
    </row>
    <row r="941" spans="1:5" x14ac:dyDescent="0.3">
      <c r="A941" t="s">
        <v>6953</v>
      </c>
      <c r="B941" t="s">
        <v>666</v>
      </c>
      <c r="C941">
        <v>38</v>
      </c>
      <c r="D941" t="str">
        <f>VLOOKUP(B941,Products!$A:$E,2,FALSE)</f>
        <v>Product_329</v>
      </c>
      <c r="E941" t="str">
        <f>VLOOKUP(B941,Products!$A:$E,3,FALSE)</f>
        <v>Office Supplies</v>
      </c>
    </row>
    <row r="942" spans="1:5" x14ac:dyDescent="0.3">
      <c r="A942" t="s">
        <v>6954</v>
      </c>
      <c r="B942" t="s">
        <v>82</v>
      </c>
      <c r="C942">
        <v>27</v>
      </c>
      <c r="D942" t="str">
        <f>VLOOKUP(B942,Products!$A:$E,2,FALSE)</f>
        <v>Product_37</v>
      </c>
      <c r="E942" t="str">
        <f>VLOOKUP(B942,Products!$A:$E,3,FALSE)</f>
        <v>Storage</v>
      </c>
    </row>
    <row r="943" spans="1:5" x14ac:dyDescent="0.3">
      <c r="A943" t="s">
        <v>6955</v>
      </c>
      <c r="B943" t="s">
        <v>916</v>
      </c>
      <c r="C943">
        <v>3</v>
      </c>
      <c r="D943" t="str">
        <f>VLOOKUP(B943,Products!$A:$E,2,FALSE)</f>
        <v>Product_454</v>
      </c>
      <c r="E943" t="str">
        <f>VLOOKUP(B943,Products!$A:$E,3,FALSE)</f>
        <v>Networking</v>
      </c>
    </row>
    <row r="944" spans="1:5" x14ac:dyDescent="0.3">
      <c r="A944" t="s">
        <v>6956</v>
      </c>
      <c r="B944" t="s">
        <v>952</v>
      </c>
      <c r="C944">
        <v>8</v>
      </c>
      <c r="D944" t="str">
        <f>VLOOKUP(B944,Products!$A:$E,2,FALSE)</f>
        <v>Product_472</v>
      </c>
      <c r="E944" t="str">
        <f>VLOOKUP(B944,Products!$A:$E,3,FALSE)</f>
        <v>Electronics</v>
      </c>
    </row>
    <row r="945" spans="1:5" x14ac:dyDescent="0.3">
      <c r="A945" t="s">
        <v>6957</v>
      </c>
      <c r="B945" t="s">
        <v>404</v>
      </c>
      <c r="C945">
        <v>37</v>
      </c>
      <c r="D945" t="str">
        <f>VLOOKUP(B945,Products!$A:$E,2,FALSE)</f>
        <v>Product_198</v>
      </c>
      <c r="E945" t="str">
        <f>VLOOKUP(B945,Products!$A:$E,3,FALSE)</f>
        <v>Accessories</v>
      </c>
    </row>
    <row r="946" spans="1:5" x14ac:dyDescent="0.3">
      <c r="A946" t="s">
        <v>6958</v>
      </c>
      <c r="B946" t="s">
        <v>176</v>
      </c>
      <c r="C946">
        <v>13</v>
      </c>
      <c r="D946" t="str">
        <f>VLOOKUP(B946,Products!$A:$E,2,FALSE)</f>
        <v>Product_84</v>
      </c>
      <c r="E946" t="str">
        <f>VLOOKUP(B946,Products!$A:$E,3,FALSE)</f>
        <v>Electronics</v>
      </c>
    </row>
    <row r="947" spans="1:5" x14ac:dyDescent="0.3">
      <c r="A947" t="s">
        <v>6959</v>
      </c>
      <c r="B947" t="s">
        <v>790</v>
      </c>
      <c r="C947">
        <v>28</v>
      </c>
      <c r="D947" t="str">
        <f>VLOOKUP(B947,Products!$A:$E,2,FALSE)</f>
        <v>Product_391</v>
      </c>
      <c r="E947" t="str">
        <f>VLOOKUP(B947,Products!$A:$E,3,FALSE)</f>
        <v>Accessories</v>
      </c>
    </row>
    <row r="948" spans="1:5" x14ac:dyDescent="0.3">
      <c r="A948" t="s">
        <v>6960</v>
      </c>
      <c r="B948" t="s">
        <v>990</v>
      </c>
      <c r="C948">
        <v>17</v>
      </c>
      <c r="D948" t="str">
        <f>VLOOKUP(B948,Products!$A:$E,2,FALSE)</f>
        <v>Product_491</v>
      </c>
      <c r="E948" t="str">
        <f>VLOOKUP(B948,Products!$A:$E,3,FALSE)</f>
        <v>Accessories</v>
      </c>
    </row>
    <row r="949" spans="1:5" x14ac:dyDescent="0.3">
      <c r="A949" t="s">
        <v>6961</v>
      </c>
      <c r="B949" t="s">
        <v>798</v>
      </c>
      <c r="C949">
        <v>49</v>
      </c>
      <c r="D949" t="str">
        <f>VLOOKUP(B949,Products!$A:$E,2,FALSE)</f>
        <v>Product_395</v>
      </c>
      <c r="E949" t="str">
        <f>VLOOKUP(B949,Products!$A:$E,3,FALSE)</f>
        <v>Accessories</v>
      </c>
    </row>
    <row r="950" spans="1:5" x14ac:dyDescent="0.3">
      <c r="A950" t="s">
        <v>6962</v>
      </c>
      <c r="B950" t="s">
        <v>748</v>
      </c>
      <c r="C950">
        <v>23</v>
      </c>
      <c r="D950" t="str">
        <f>VLOOKUP(B950,Products!$A:$E,2,FALSE)</f>
        <v>Product_370</v>
      </c>
      <c r="E950" t="str">
        <f>VLOOKUP(B950,Products!$A:$E,3,FALSE)</f>
        <v>Networking</v>
      </c>
    </row>
    <row r="951" spans="1:5" x14ac:dyDescent="0.3">
      <c r="A951" t="s">
        <v>6963</v>
      </c>
      <c r="B951" t="s">
        <v>530</v>
      </c>
      <c r="C951">
        <v>46</v>
      </c>
      <c r="D951" t="str">
        <f>VLOOKUP(B951,Products!$A:$E,2,FALSE)</f>
        <v>Product_261</v>
      </c>
      <c r="E951" t="str">
        <f>VLOOKUP(B951,Products!$A:$E,3,FALSE)</f>
        <v>Accessories</v>
      </c>
    </row>
    <row r="952" spans="1:5" x14ac:dyDescent="0.3">
      <c r="A952" t="s">
        <v>6964</v>
      </c>
      <c r="B952" t="s">
        <v>510</v>
      </c>
      <c r="C952">
        <v>41</v>
      </c>
      <c r="D952" t="str">
        <f>VLOOKUP(B952,Products!$A:$E,2,FALSE)</f>
        <v>Product_251</v>
      </c>
      <c r="E952" t="str">
        <f>VLOOKUP(B952,Products!$A:$E,3,FALSE)</f>
        <v>Electronics</v>
      </c>
    </row>
    <row r="953" spans="1:5" x14ac:dyDescent="0.3">
      <c r="A953" t="s">
        <v>6965</v>
      </c>
      <c r="B953" t="s">
        <v>714</v>
      </c>
      <c r="C953">
        <v>24</v>
      </c>
      <c r="D953" t="str">
        <f>VLOOKUP(B953,Products!$A:$E,2,FALSE)</f>
        <v>Product_353</v>
      </c>
      <c r="E953" t="str">
        <f>VLOOKUP(B953,Products!$A:$E,3,FALSE)</f>
        <v>Accessories</v>
      </c>
    </row>
    <row r="954" spans="1:5" x14ac:dyDescent="0.3">
      <c r="A954" t="s">
        <v>6966</v>
      </c>
      <c r="B954" t="s">
        <v>722</v>
      </c>
      <c r="C954">
        <v>4</v>
      </c>
      <c r="D954" t="str">
        <f>VLOOKUP(B954,Products!$A:$E,2,FALSE)</f>
        <v>Product_357</v>
      </c>
      <c r="E954" t="str">
        <f>VLOOKUP(B954,Products!$A:$E,3,FALSE)</f>
        <v>Accessories</v>
      </c>
    </row>
    <row r="955" spans="1:5" x14ac:dyDescent="0.3">
      <c r="A955" t="s">
        <v>6967</v>
      </c>
      <c r="B955" t="s">
        <v>676</v>
      </c>
      <c r="C955">
        <v>25</v>
      </c>
      <c r="D955" t="str">
        <f>VLOOKUP(B955,Products!$A:$E,2,FALSE)</f>
        <v>Product_334</v>
      </c>
      <c r="E955" t="str">
        <f>VLOOKUP(B955,Products!$A:$E,3,FALSE)</f>
        <v>Accessories</v>
      </c>
    </row>
    <row r="956" spans="1:5" x14ac:dyDescent="0.3">
      <c r="A956" t="s">
        <v>6968</v>
      </c>
      <c r="B956" t="s">
        <v>958</v>
      </c>
      <c r="C956">
        <v>28</v>
      </c>
      <c r="D956" t="str">
        <f>VLOOKUP(B956,Products!$A:$E,2,FALSE)</f>
        <v>Product_475</v>
      </c>
      <c r="E956" t="str">
        <f>VLOOKUP(B956,Products!$A:$E,3,FALSE)</f>
        <v>Electronics</v>
      </c>
    </row>
    <row r="957" spans="1:5" x14ac:dyDescent="0.3">
      <c r="A957" t="s">
        <v>6969</v>
      </c>
      <c r="B957" t="s">
        <v>762</v>
      </c>
      <c r="C957">
        <v>16</v>
      </c>
      <c r="D957" t="str">
        <f>VLOOKUP(B957,Products!$A:$E,2,FALSE)</f>
        <v>Product_377</v>
      </c>
      <c r="E957" t="str">
        <f>VLOOKUP(B957,Products!$A:$E,3,FALSE)</f>
        <v>Networking</v>
      </c>
    </row>
    <row r="958" spans="1:5" x14ac:dyDescent="0.3">
      <c r="A958" t="s">
        <v>6970</v>
      </c>
      <c r="B958" t="s">
        <v>258</v>
      </c>
      <c r="C958">
        <v>31</v>
      </c>
      <c r="D958" t="str">
        <f>VLOOKUP(B958,Products!$A:$E,2,FALSE)</f>
        <v>Product_125</v>
      </c>
      <c r="E958" t="str">
        <f>VLOOKUP(B958,Products!$A:$E,3,FALSE)</f>
        <v>Office Supplies</v>
      </c>
    </row>
    <row r="959" spans="1:5" x14ac:dyDescent="0.3">
      <c r="A959" t="s">
        <v>6971</v>
      </c>
      <c r="B959" t="s">
        <v>44</v>
      </c>
      <c r="C959">
        <v>24</v>
      </c>
      <c r="D959" t="str">
        <f>VLOOKUP(B959,Products!$A:$E,2,FALSE)</f>
        <v>Product_18</v>
      </c>
      <c r="E959" t="str">
        <f>VLOOKUP(B959,Products!$A:$E,3,FALSE)</f>
        <v>Networking</v>
      </c>
    </row>
    <row r="960" spans="1:5" x14ac:dyDescent="0.3">
      <c r="A960" t="s">
        <v>6972</v>
      </c>
      <c r="B960" t="s">
        <v>656</v>
      </c>
      <c r="C960">
        <v>46</v>
      </c>
      <c r="D960" t="str">
        <f>VLOOKUP(B960,Products!$A:$E,2,FALSE)</f>
        <v>Product_324</v>
      </c>
      <c r="E960" t="str">
        <f>VLOOKUP(B960,Products!$A:$E,3,FALSE)</f>
        <v>Accessories</v>
      </c>
    </row>
    <row r="961" spans="1:5" x14ac:dyDescent="0.3">
      <c r="A961" t="s">
        <v>6973</v>
      </c>
      <c r="B961" t="s">
        <v>702</v>
      </c>
      <c r="C961">
        <v>2</v>
      </c>
      <c r="D961" t="str">
        <f>VLOOKUP(B961,Products!$A:$E,2,FALSE)</f>
        <v>Product_347</v>
      </c>
      <c r="E961" t="str">
        <f>VLOOKUP(B961,Products!$A:$E,3,FALSE)</f>
        <v>Storage</v>
      </c>
    </row>
    <row r="962" spans="1:5" x14ac:dyDescent="0.3">
      <c r="A962" t="s">
        <v>6974</v>
      </c>
      <c r="B962" t="s">
        <v>724</v>
      </c>
      <c r="C962">
        <v>43</v>
      </c>
      <c r="D962" t="str">
        <f>VLOOKUP(B962,Products!$A:$E,2,FALSE)</f>
        <v>Product_358</v>
      </c>
      <c r="E962" t="str">
        <f>VLOOKUP(B962,Products!$A:$E,3,FALSE)</f>
        <v>Storage</v>
      </c>
    </row>
    <row r="963" spans="1:5" x14ac:dyDescent="0.3">
      <c r="A963" t="s">
        <v>6975</v>
      </c>
      <c r="B963" t="s">
        <v>670</v>
      </c>
      <c r="C963">
        <v>10</v>
      </c>
      <c r="D963" t="str">
        <f>VLOOKUP(B963,Products!$A:$E,2,FALSE)</f>
        <v>Product_331</v>
      </c>
      <c r="E963" t="str">
        <f>VLOOKUP(B963,Products!$A:$E,3,FALSE)</f>
        <v>Electronics</v>
      </c>
    </row>
    <row r="964" spans="1:5" x14ac:dyDescent="0.3">
      <c r="A964" t="s">
        <v>6976</v>
      </c>
      <c r="B964" t="s">
        <v>276</v>
      </c>
      <c r="C964">
        <v>39</v>
      </c>
      <c r="D964" t="str">
        <f>VLOOKUP(B964,Products!$A:$E,2,FALSE)</f>
        <v>Product_134</v>
      </c>
      <c r="E964" t="str">
        <f>VLOOKUP(B964,Products!$A:$E,3,FALSE)</f>
        <v>Accessories</v>
      </c>
    </row>
    <row r="965" spans="1:5" x14ac:dyDescent="0.3">
      <c r="A965" t="s">
        <v>6977</v>
      </c>
      <c r="B965" t="s">
        <v>476</v>
      </c>
      <c r="C965">
        <v>44</v>
      </c>
      <c r="D965" t="str">
        <f>VLOOKUP(B965,Products!$A:$E,2,FALSE)</f>
        <v>Product_234</v>
      </c>
      <c r="E965" t="str">
        <f>VLOOKUP(B965,Products!$A:$E,3,FALSE)</f>
        <v>Networking</v>
      </c>
    </row>
    <row r="966" spans="1:5" x14ac:dyDescent="0.3">
      <c r="A966" t="s">
        <v>6978</v>
      </c>
      <c r="B966" t="s">
        <v>160</v>
      </c>
      <c r="C966">
        <v>17</v>
      </c>
      <c r="D966" t="str">
        <f>VLOOKUP(B966,Products!$A:$E,2,FALSE)</f>
        <v>Product_76</v>
      </c>
      <c r="E966" t="str">
        <f>VLOOKUP(B966,Products!$A:$E,3,FALSE)</f>
        <v>Accessories</v>
      </c>
    </row>
    <row r="967" spans="1:5" x14ac:dyDescent="0.3">
      <c r="A967" t="s">
        <v>6979</v>
      </c>
      <c r="B967" t="s">
        <v>262</v>
      </c>
      <c r="C967">
        <v>39</v>
      </c>
      <c r="D967" t="str">
        <f>VLOOKUP(B967,Products!$A:$E,2,FALSE)</f>
        <v>Product_127</v>
      </c>
      <c r="E967" t="str">
        <f>VLOOKUP(B967,Products!$A:$E,3,FALSE)</f>
        <v>Networking</v>
      </c>
    </row>
    <row r="968" spans="1:5" x14ac:dyDescent="0.3">
      <c r="A968" t="s">
        <v>6980</v>
      </c>
      <c r="B968" t="s">
        <v>602</v>
      </c>
      <c r="C968">
        <v>43</v>
      </c>
      <c r="D968" t="str">
        <f>VLOOKUP(B968,Products!$A:$E,2,FALSE)</f>
        <v>Product_297</v>
      </c>
      <c r="E968" t="str">
        <f>VLOOKUP(B968,Products!$A:$E,3,FALSE)</f>
        <v>Storage</v>
      </c>
    </row>
    <row r="969" spans="1:5" x14ac:dyDescent="0.3">
      <c r="A969" t="s">
        <v>6981</v>
      </c>
      <c r="B969" t="s">
        <v>870</v>
      </c>
      <c r="C969">
        <v>11</v>
      </c>
      <c r="D969" t="str">
        <f>VLOOKUP(B969,Products!$A:$E,2,FALSE)</f>
        <v>Product_431</v>
      </c>
      <c r="E969" t="str">
        <f>VLOOKUP(B969,Products!$A:$E,3,FALSE)</f>
        <v>Electronics</v>
      </c>
    </row>
    <row r="970" spans="1:5" x14ac:dyDescent="0.3">
      <c r="A970" t="s">
        <v>6982</v>
      </c>
      <c r="B970" t="s">
        <v>22</v>
      </c>
      <c r="C970">
        <v>8</v>
      </c>
      <c r="D970" t="str">
        <f>VLOOKUP(B970,Products!$A:$E,2,FALSE)</f>
        <v>Product_7</v>
      </c>
      <c r="E970" t="str">
        <f>VLOOKUP(B970,Products!$A:$E,3,FALSE)</f>
        <v>Storage</v>
      </c>
    </row>
    <row r="971" spans="1:5" x14ac:dyDescent="0.3">
      <c r="A971" t="s">
        <v>6983</v>
      </c>
      <c r="B971" t="s">
        <v>798</v>
      </c>
      <c r="C971">
        <v>6</v>
      </c>
      <c r="D971" t="str">
        <f>VLOOKUP(B971,Products!$A:$E,2,FALSE)</f>
        <v>Product_395</v>
      </c>
      <c r="E971" t="str">
        <f>VLOOKUP(B971,Products!$A:$E,3,FALSE)</f>
        <v>Accessories</v>
      </c>
    </row>
    <row r="972" spans="1:5" x14ac:dyDescent="0.3">
      <c r="A972" t="s">
        <v>6984</v>
      </c>
      <c r="B972" t="s">
        <v>668</v>
      </c>
      <c r="C972">
        <v>46</v>
      </c>
      <c r="D972" t="str">
        <f>VLOOKUP(B972,Products!$A:$E,2,FALSE)</f>
        <v>Product_330</v>
      </c>
      <c r="E972" t="str">
        <f>VLOOKUP(B972,Products!$A:$E,3,FALSE)</f>
        <v>Electronics</v>
      </c>
    </row>
    <row r="973" spans="1:5" x14ac:dyDescent="0.3">
      <c r="A973" t="s">
        <v>6985</v>
      </c>
      <c r="B973" t="s">
        <v>948</v>
      </c>
      <c r="C973">
        <v>25</v>
      </c>
      <c r="D973" t="str">
        <f>VLOOKUP(B973,Products!$A:$E,2,FALSE)</f>
        <v>Product_470</v>
      </c>
      <c r="E973" t="str">
        <f>VLOOKUP(B973,Products!$A:$E,3,FALSE)</f>
        <v>Networking</v>
      </c>
    </row>
    <row r="974" spans="1:5" x14ac:dyDescent="0.3">
      <c r="A974" t="s">
        <v>6986</v>
      </c>
      <c r="B974" t="s">
        <v>416</v>
      </c>
      <c r="C974">
        <v>46</v>
      </c>
      <c r="D974" t="str">
        <f>VLOOKUP(B974,Products!$A:$E,2,FALSE)</f>
        <v>Product_204</v>
      </c>
      <c r="E974" t="str">
        <f>VLOOKUP(B974,Products!$A:$E,3,FALSE)</f>
        <v>Office Supplies</v>
      </c>
    </row>
    <row r="975" spans="1:5" x14ac:dyDescent="0.3">
      <c r="A975" t="s">
        <v>6987</v>
      </c>
      <c r="B975" t="s">
        <v>610</v>
      </c>
      <c r="C975">
        <v>6</v>
      </c>
      <c r="D975" t="str">
        <f>VLOOKUP(B975,Products!$A:$E,2,FALSE)</f>
        <v>Product_301</v>
      </c>
      <c r="E975" t="str">
        <f>VLOOKUP(B975,Products!$A:$E,3,FALSE)</f>
        <v>Networking</v>
      </c>
    </row>
    <row r="976" spans="1:5" x14ac:dyDescent="0.3">
      <c r="A976" t="s">
        <v>6988</v>
      </c>
      <c r="B976" t="s">
        <v>540</v>
      </c>
      <c r="C976">
        <v>13</v>
      </c>
      <c r="D976" t="str">
        <f>VLOOKUP(B976,Products!$A:$E,2,FALSE)</f>
        <v>Product_266</v>
      </c>
      <c r="E976" t="str">
        <f>VLOOKUP(B976,Products!$A:$E,3,FALSE)</f>
        <v>Electronics</v>
      </c>
    </row>
    <row r="977" spans="1:5" x14ac:dyDescent="0.3">
      <c r="A977" t="s">
        <v>6989</v>
      </c>
      <c r="B977" t="s">
        <v>906</v>
      </c>
      <c r="C977">
        <v>28</v>
      </c>
      <c r="D977" t="str">
        <f>VLOOKUP(B977,Products!$A:$E,2,FALSE)</f>
        <v>Product_449</v>
      </c>
      <c r="E977" t="str">
        <f>VLOOKUP(B977,Products!$A:$E,3,FALSE)</f>
        <v>Networking</v>
      </c>
    </row>
    <row r="978" spans="1:5" x14ac:dyDescent="0.3">
      <c r="A978" t="s">
        <v>6990</v>
      </c>
      <c r="B978" t="s">
        <v>178</v>
      </c>
      <c r="C978">
        <v>28</v>
      </c>
      <c r="D978" t="str">
        <f>VLOOKUP(B978,Products!$A:$E,2,FALSE)</f>
        <v>Product_85</v>
      </c>
      <c r="E978" t="str">
        <f>VLOOKUP(B978,Products!$A:$E,3,FALSE)</f>
        <v>Electronics</v>
      </c>
    </row>
    <row r="979" spans="1:5" x14ac:dyDescent="0.3">
      <c r="A979" t="s">
        <v>6991</v>
      </c>
      <c r="B979" t="s">
        <v>268</v>
      </c>
      <c r="C979">
        <v>45</v>
      </c>
      <c r="D979" t="str">
        <f>VLOOKUP(B979,Products!$A:$E,2,FALSE)</f>
        <v>Product_130</v>
      </c>
      <c r="E979" t="str">
        <f>VLOOKUP(B979,Products!$A:$E,3,FALSE)</f>
        <v>Storage</v>
      </c>
    </row>
    <row r="980" spans="1:5" x14ac:dyDescent="0.3">
      <c r="A980" t="s">
        <v>6992</v>
      </c>
      <c r="B980" t="s">
        <v>318</v>
      </c>
      <c r="C980">
        <v>33</v>
      </c>
      <c r="D980" t="str">
        <f>VLOOKUP(B980,Products!$A:$E,2,FALSE)</f>
        <v>Product_155</v>
      </c>
      <c r="E980" t="str">
        <f>VLOOKUP(B980,Products!$A:$E,3,FALSE)</f>
        <v>Office Supplies</v>
      </c>
    </row>
    <row r="981" spans="1:5" x14ac:dyDescent="0.3">
      <c r="A981" t="s">
        <v>6993</v>
      </c>
      <c r="B981" t="s">
        <v>1000</v>
      </c>
      <c r="C981">
        <v>35</v>
      </c>
      <c r="D981" t="str">
        <f>VLOOKUP(B981,Products!$A:$E,2,FALSE)</f>
        <v>Product_496</v>
      </c>
      <c r="E981" t="str">
        <f>VLOOKUP(B981,Products!$A:$E,3,FALSE)</f>
        <v>Office Supplies</v>
      </c>
    </row>
    <row r="982" spans="1:5" x14ac:dyDescent="0.3">
      <c r="A982" t="s">
        <v>6994</v>
      </c>
      <c r="B982" t="s">
        <v>684</v>
      </c>
      <c r="C982">
        <v>25</v>
      </c>
      <c r="D982" t="str">
        <f>VLOOKUP(B982,Products!$A:$E,2,FALSE)</f>
        <v>Product_338</v>
      </c>
      <c r="E982" t="str">
        <f>VLOOKUP(B982,Products!$A:$E,3,FALSE)</f>
        <v>Networking</v>
      </c>
    </row>
    <row r="983" spans="1:5" x14ac:dyDescent="0.3">
      <c r="A983" t="s">
        <v>6995</v>
      </c>
      <c r="B983" t="s">
        <v>610</v>
      </c>
      <c r="C983">
        <v>20</v>
      </c>
      <c r="D983" t="str">
        <f>VLOOKUP(B983,Products!$A:$E,2,FALSE)</f>
        <v>Product_301</v>
      </c>
      <c r="E983" t="str">
        <f>VLOOKUP(B983,Products!$A:$E,3,FALSE)</f>
        <v>Networking</v>
      </c>
    </row>
    <row r="984" spans="1:5" x14ac:dyDescent="0.3">
      <c r="A984" t="s">
        <v>6996</v>
      </c>
      <c r="B984" t="s">
        <v>760</v>
      </c>
      <c r="C984">
        <v>27</v>
      </c>
      <c r="D984" t="str">
        <f>VLOOKUP(B984,Products!$A:$E,2,FALSE)</f>
        <v>Product_376</v>
      </c>
      <c r="E984" t="str">
        <f>VLOOKUP(B984,Products!$A:$E,3,FALSE)</f>
        <v>Networking</v>
      </c>
    </row>
    <row r="985" spans="1:5" x14ac:dyDescent="0.3">
      <c r="A985" t="s">
        <v>6997</v>
      </c>
      <c r="B985" t="s">
        <v>780</v>
      </c>
      <c r="C985">
        <v>47</v>
      </c>
      <c r="D985" t="str">
        <f>VLOOKUP(B985,Products!$A:$E,2,FALSE)</f>
        <v>Product_386</v>
      </c>
      <c r="E985" t="str">
        <f>VLOOKUP(B985,Products!$A:$E,3,FALSE)</f>
        <v>Electronics</v>
      </c>
    </row>
    <row r="986" spans="1:5" x14ac:dyDescent="0.3">
      <c r="A986" t="s">
        <v>6998</v>
      </c>
      <c r="B986" t="s">
        <v>900</v>
      </c>
      <c r="C986">
        <v>6</v>
      </c>
      <c r="D986" t="str">
        <f>VLOOKUP(B986,Products!$A:$E,2,FALSE)</f>
        <v>Product_446</v>
      </c>
      <c r="E986" t="str">
        <f>VLOOKUP(B986,Products!$A:$E,3,FALSE)</f>
        <v>Accessories</v>
      </c>
    </row>
    <row r="987" spans="1:5" x14ac:dyDescent="0.3">
      <c r="A987" t="s">
        <v>6999</v>
      </c>
      <c r="B987" t="s">
        <v>120</v>
      </c>
      <c r="C987">
        <v>41</v>
      </c>
      <c r="D987" t="str">
        <f>VLOOKUP(B987,Products!$A:$E,2,FALSE)</f>
        <v>Product_56</v>
      </c>
      <c r="E987" t="str">
        <f>VLOOKUP(B987,Products!$A:$E,3,FALSE)</f>
        <v>Networking</v>
      </c>
    </row>
    <row r="988" spans="1:5" x14ac:dyDescent="0.3">
      <c r="A988" t="s">
        <v>7000</v>
      </c>
      <c r="B988" t="s">
        <v>596</v>
      </c>
      <c r="C988">
        <v>50</v>
      </c>
      <c r="D988" t="str">
        <f>VLOOKUP(B988,Products!$A:$E,2,FALSE)</f>
        <v>Product_294</v>
      </c>
      <c r="E988" t="str">
        <f>VLOOKUP(B988,Products!$A:$E,3,FALSE)</f>
        <v>Networking</v>
      </c>
    </row>
    <row r="989" spans="1:5" x14ac:dyDescent="0.3">
      <c r="A989" t="s">
        <v>7001</v>
      </c>
      <c r="B989" t="s">
        <v>826</v>
      </c>
      <c r="C989">
        <v>23</v>
      </c>
      <c r="D989" t="str">
        <f>VLOOKUP(B989,Products!$A:$E,2,FALSE)</f>
        <v>Product_409</v>
      </c>
      <c r="E989" t="str">
        <f>VLOOKUP(B989,Products!$A:$E,3,FALSE)</f>
        <v>Office Supplies</v>
      </c>
    </row>
    <row r="990" spans="1:5" x14ac:dyDescent="0.3">
      <c r="A990" t="s">
        <v>7002</v>
      </c>
      <c r="B990" t="s">
        <v>842</v>
      </c>
      <c r="C990">
        <v>10</v>
      </c>
      <c r="D990" t="str">
        <f>VLOOKUP(B990,Products!$A:$E,2,FALSE)</f>
        <v>Product_417</v>
      </c>
      <c r="E990" t="str">
        <f>VLOOKUP(B990,Products!$A:$E,3,FALSE)</f>
        <v>Accessories</v>
      </c>
    </row>
    <row r="991" spans="1:5" x14ac:dyDescent="0.3">
      <c r="A991" t="s">
        <v>7003</v>
      </c>
      <c r="B991" t="s">
        <v>284</v>
      </c>
      <c r="C991">
        <v>48</v>
      </c>
      <c r="D991" t="str">
        <f>VLOOKUP(B991,Products!$A:$E,2,FALSE)</f>
        <v>Product_138</v>
      </c>
      <c r="E991" t="str">
        <f>VLOOKUP(B991,Products!$A:$E,3,FALSE)</f>
        <v>Electronics</v>
      </c>
    </row>
    <row r="992" spans="1:5" x14ac:dyDescent="0.3">
      <c r="A992" t="s">
        <v>7004</v>
      </c>
      <c r="B992" t="s">
        <v>224</v>
      </c>
      <c r="C992">
        <v>48</v>
      </c>
      <c r="D992" t="str">
        <f>VLOOKUP(B992,Products!$A:$E,2,FALSE)</f>
        <v>Product_108</v>
      </c>
      <c r="E992" t="str">
        <f>VLOOKUP(B992,Products!$A:$E,3,FALSE)</f>
        <v>Networking</v>
      </c>
    </row>
    <row r="993" spans="1:5" x14ac:dyDescent="0.3">
      <c r="A993" t="s">
        <v>7005</v>
      </c>
      <c r="B993" t="s">
        <v>416</v>
      </c>
      <c r="C993">
        <v>45</v>
      </c>
      <c r="D993" t="str">
        <f>VLOOKUP(B993,Products!$A:$E,2,FALSE)</f>
        <v>Product_204</v>
      </c>
      <c r="E993" t="str">
        <f>VLOOKUP(B993,Products!$A:$E,3,FALSE)</f>
        <v>Office Supplies</v>
      </c>
    </row>
    <row r="994" spans="1:5" x14ac:dyDescent="0.3">
      <c r="A994" t="s">
        <v>7006</v>
      </c>
      <c r="B994" t="s">
        <v>324</v>
      </c>
      <c r="C994">
        <v>1</v>
      </c>
      <c r="D994" t="str">
        <f>VLOOKUP(B994,Products!$A:$E,2,FALSE)</f>
        <v>Product_158</v>
      </c>
      <c r="E994" t="str">
        <f>VLOOKUP(B994,Products!$A:$E,3,FALSE)</f>
        <v>Electronics</v>
      </c>
    </row>
    <row r="995" spans="1:5" x14ac:dyDescent="0.3">
      <c r="A995" t="s">
        <v>7007</v>
      </c>
      <c r="B995" t="s">
        <v>182</v>
      </c>
      <c r="C995">
        <v>32</v>
      </c>
      <c r="D995" t="str">
        <f>VLOOKUP(B995,Products!$A:$E,2,FALSE)</f>
        <v>Product_87</v>
      </c>
      <c r="E995" t="str">
        <f>VLOOKUP(B995,Products!$A:$E,3,FALSE)</f>
        <v>Networking</v>
      </c>
    </row>
    <row r="996" spans="1:5" x14ac:dyDescent="0.3">
      <c r="A996" t="s">
        <v>7008</v>
      </c>
      <c r="B996" t="s">
        <v>5</v>
      </c>
      <c r="C996">
        <v>7</v>
      </c>
      <c r="D996" t="str">
        <f>VLOOKUP(B996,Products!$A:$E,2,FALSE)</f>
        <v>Product_1</v>
      </c>
      <c r="E996" t="str">
        <f>VLOOKUP(B996,Products!$A:$E,3,FALSE)</f>
        <v>Electronics</v>
      </c>
    </row>
    <row r="997" spans="1:5" x14ac:dyDescent="0.3">
      <c r="A997" t="s">
        <v>7009</v>
      </c>
      <c r="B997" t="s">
        <v>80</v>
      </c>
      <c r="C997">
        <v>50</v>
      </c>
      <c r="D997" t="str">
        <f>VLOOKUP(B997,Products!$A:$E,2,FALSE)</f>
        <v>Product_36</v>
      </c>
      <c r="E997" t="str">
        <f>VLOOKUP(B997,Products!$A:$E,3,FALSE)</f>
        <v>Office Supplies</v>
      </c>
    </row>
    <row r="998" spans="1:5" x14ac:dyDescent="0.3">
      <c r="A998" t="s">
        <v>7010</v>
      </c>
      <c r="B998" t="s">
        <v>722</v>
      </c>
      <c r="C998">
        <v>27</v>
      </c>
      <c r="D998" t="str">
        <f>VLOOKUP(B998,Products!$A:$E,2,FALSE)</f>
        <v>Product_357</v>
      </c>
      <c r="E998" t="str">
        <f>VLOOKUP(B998,Products!$A:$E,3,FALSE)</f>
        <v>Accessories</v>
      </c>
    </row>
    <row r="999" spans="1:5" x14ac:dyDescent="0.3">
      <c r="A999" t="s">
        <v>7011</v>
      </c>
      <c r="B999" t="s">
        <v>546</v>
      </c>
      <c r="C999">
        <v>27</v>
      </c>
      <c r="D999" t="str">
        <f>VLOOKUP(B999,Products!$A:$E,2,FALSE)</f>
        <v>Product_269</v>
      </c>
      <c r="E999" t="str">
        <f>VLOOKUP(B999,Products!$A:$E,3,FALSE)</f>
        <v>Storage</v>
      </c>
    </row>
    <row r="1000" spans="1:5" x14ac:dyDescent="0.3">
      <c r="A1000" t="s">
        <v>7012</v>
      </c>
      <c r="B1000" t="s">
        <v>680</v>
      </c>
      <c r="C1000">
        <v>19</v>
      </c>
      <c r="D1000" t="str">
        <f>VLOOKUP(B1000,Products!$A:$E,2,FALSE)</f>
        <v>Product_336</v>
      </c>
      <c r="E1000" t="str">
        <f>VLOOKUP(B1000,Products!$A:$E,3,FALSE)</f>
        <v>Storage</v>
      </c>
    </row>
    <row r="1001" spans="1:5" x14ac:dyDescent="0.3">
      <c r="A1001" t="s">
        <v>7013</v>
      </c>
      <c r="B1001" t="s">
        <v>760</v>
      </c>
      <c r="C1001">
        <v>28</v>
      </c>
      <c r="D1001" t="str">
        <f>VLOOKUP(B1001,Products!$A:$E,2,FALSE)</f>
        <v>Product_376</v>
      </c>
      <c r="E1001" t="str">
        <f>VLOOKUP(B1001,Products!$A:$E,3,FALSE)</f>
        <v>Networking</v>
      </c>
    </row>
    <row r="1002" spans="1:5" x14ac:dyDescent="0.3">
      <c r="A1002" t="s">
        <v>7014</v>
      </c>
      <c r="B1002" t="s">
        <v>184</v>
      </c>
      <c r="C1002">
        <v>12</v>
      </c>
      <c r="D1002" t="str">
        <f>VLOOKUP(B1002,Products!$A:$E,2,FALSE)</f>
        <v>Product_88</v>
      </c>
      <c r="E1002" t="str">
        <f>VLOOKUP(B1002,Products!$A:$E,3,FALSE)</f>
        <v>Accessories</v>
      </c>
    </row>
    <row r="1003" spans="1:5" x14ac:dyDescent="0.3">
      <c r="A1003" t="s">
        <v>7015</v>
      </c>
      <c r="B1003" t="s">
        <v>392</v>
      </c>
      <c r="C1003">
        <v>12</v>
      </c>
      <c r="D1003" t="str">
        <f>VLOOKUP(B1003,Products!$A:$E,2,FALSE)</f>
        <v>Product_192</v>
      </c>
      <c r="E1003" t="str">
        <f>VLOOKUP(B1003,Products!$A:$E,3,FALSE)</f>
        <v>Office Supplies</v>
      </c>
    </row>
    <row r="1004" spans="1:5" x14ac:dyDescent="0.3">
      <c r="A1004" t="s">
        <v>7016</v>
      </c>
      <c r="B1004" t="s">
        <v>730</v>
      </c>
      <c r="C1004">
        <v>9</v>
      </c>
      <c r="D1004" t="str">
        <f>VLOOKUP(B1004,Products!$A:$E,2,FALSE)</f>
        <v>Product_361</v>
      </c>
      <c r="E1004" t="str">
        <f>VLOOKUP(B1004,Products!$A:$E,3,FALSE)</f>
        <v>Office Supplies</v>
      </c>
    </row>
    <row r="1005" spans="1:5" x14ac:dyDescent="0.3">
      <c r="A1005" t="s">
        <v>7017</v>
      </c>
      <c r="B1005" t="s">
        <v>212</v>
      </c>
      <c r="C1005">
        <v>32</v>
      </c>
      <c r="D1005" t="str">
        <f>VLOOKUP(B1005,Products!$A:$E,2,FALSE)</f>
        <v>Product_102</v>
      </c>
      <c r="E1005" t="str">
        <f>VLOOKUP(B1005,Products!$A:$E,3,FALSE)</f>
        <v>Storage</v>
      </c>
    </row>
    <row r="1006" spans="1:5" x14ac:dyDescent="0.3">
      <c r="A1006" t="s">
        <v>7018</v>
      </c>
      <c r="B1006" t="s">
        <v>196</v>
      </c>
      <c r="C1006">
        <v>33</v>
      </c>
      <c r="D1006" t="str">
        <f>VLOOKUP(B1006,Products!$A:$E,2,FALSE)</f>
        <v>Product_94</v>
      </c>
      <c r="E1006" t="str">
        <f>VLOOKUP(B1006,Products!$A:$E,3,FALSE)</f>
        <v>Networking</v>
      </c>
    </row>
    <row r="1007" spans="1:5" x14ac:dyDescent="0.3">
      <c r="A1007" t="s">
        <v>7019</v>
      </c>
      <c r="B1007" t="s">
        <v>980</v>
      </c>
      <c r="C1007">
        <v>8</v>
      </c>
      <c r="D1007" t="str">
        <f>VLOOKUP(B1007,Products!$A:$E,2,FALSE)</f>
        <v>Product_486</v>
      </c>
      <c r="E1007" t="str">
        <f>VLOOKUP(B1007,Products!$A:$E,3,FALSE)</f>
        <v>Electronics</v>
      </c>
    </row>
    <row r="1008" spans="1:5" x14ac:dyDescent="0.3">
      <c r="A1008" t="s">
        <v>7020</v>
      </c>
      <c r="B1008" t="s">
        <v>470</v>
      </c>
      <c r="C1008">
        <v>37</v>
      </c>
      <c r="D1008" t="str">
        <f>VLOOKUP(B1008,Products!$A:$E,2,FALSE)</f>
        <v>Product_231</v>
      </c>
      <c r="E1008" t="str">
        <f>VLOOKUP(B1008,Products!$A:$E,3,FALSE)</f>
        <v>Accessories</v>
      </c>
    </row>
    <row r="1009" spans="1:5" x14ac:dyDescent="0.3">
      <c r="A1009" t="s">
        <v>7021</v>
      </c>
      <c r="B1009" t="s">
        <v>842</v>
      </c>
      <c r="C1009">
        <v>14</v>
      </c>
      <c r="D1009" t="str">
        <f>VLOOKUP(B1009,Products!$A:$E,2,FALSE)</f>
        <v>Product_417</v>
      </c>
      <c r="E1009" t="str">
        <f>VLOOKUP(B1009,Products!$A:$E,3,FALSE)</f>
        <v>Accessories</v>
      </c>
    </row>
    <row r="1010" spans="1:5" x14ac:dyDescent="0.3">
      <c r="A1010" t="s">
        <v>7022</v>
      </c>
      <c r="B1010" t="s">
        <v>200</v>
      </c>
      <c r="C1010">
        <v>13</v>
      </c>
      <c r="D1010" t="str">
        <f>VLOOKUP(B1010,Products!$A:$E,2,FALSE)</f>
        <v>Product_96</v>
      </c>
      <c r="E1010" t="str">
        <f>VLOOKUP(B1010,Products!$A:$E,3,FALSE)</f>
        <v>Office Supplies</v>
      </c>
    </row>
    <row r="1011" spans="1:5" x14ac:dyDescent="0.3">
      <c r="A1011" t="s">
        <v>7023</v>
      </c>
      <c r="B1011" t="s">
        <v>70</v>
      </c>
      <c r="C1011">
        <v>48</v>
      </c>
      <c r="D1011" t="str">
        <f>VLOOKUP(B1011,Products!$A:$E,2,FALSE)</f>
        <v>Product_31</v>
      </c>
      <c r="E1011" t="str">
        <f>VLOOKUP(B1011,Products!$A:$E,3,FALSE)</f>
        <v>Accessories</v>
      </c>
    </row>
    <row r="1012" spans="1:5" x14ac:dyDescent="0.3">
      <c r="A1012" t="s">
        <v>7024</v>
      </c>
      <c r="B1012" t="s">
        <v>196</v>
      </c>
      <c r="C1012">
        <v>49</v>
      </c>
      <c r="D1012" t="str">
        <f>VLOOKUP(B1012,Products!$A:$E,2,FALSE)</f>
        <v>Product_94</v>
      </c>
      <c r="E1012" t="str">
        <f>VLOOKUP(B1012,Products!$A:$E,3,FALSE)</f>
        <v>Networking</v>
      </c>
    </row>
    <row r="1013" spans="1:5" x14ac:dyDescent="0.3">
      <c r="A1013" t="s">
        <v>7025</v>
      </c>
      <c r="B1013" t="s">
        <v>206</v>
      </c>
      <c r="C1013">
        <v>17</v>
      </c>
      <c r="D1013" t="str">
        <f>VLOOKUP(B1013,Products!$A:$E,2,FALSE)</f>
        <v>Product_99</v>
      </c>
      <c r="E1013" t="str">
        <f>VLOOKUP(B1013,Products!$A:$E,3,FALSE)</f>
        <v>Accessories</v>
      </c>
    </row>
    <row r="1014" spans="1:5" x14ac:dyDescent="0.3">
      <c r="A1014" t="s">
        <v>7026</v>
      </c>
      <c r="B1014" t="s">
        <v>932</v>
      </c>
      <c r="C1014">
        <v>27</v>
      </c>
      <c r="D1014" t="str">
        <f>VLOOKUP(B1014,Products!$A:$E,2,FALSE)</f>
        <v>Product_462</v>
      </c>
      <c r="E1014" t="str">
        <f>VLOOKUP(B1014,Products!$A:$E,3,FALSE)</f>
        <v>Electronics</v>
      </c>
    </row>
    <row r="1015" spans="1:5" x14ac:dyDescent="0.3">
      <c r="A1015" t="s">
        <v>7027</v>
      </c>
      <c r="B1015" t="s">
        <v>460</v>
      </c>
      <c r="C1015">
        <v>41</v>
      </c>
      <c r="D1015" t="str">
        <f>VLOOKUP(B1015,Products!$A:$E,2,FALSE)</f>
        <v>Product_226</v>
      </c>
      <c r="E1015" t="str">
        <f>VLOOKUP(B1015,Products!$A:$E,3,FALSE)</f>
        <v>Networking</v>
      </c>
    </row>
    <row r="1016" spans="1:5" x14ac:dyDescent="0.3">
      <c r="A1016" t="s">
        <v>7028</v>
      </c>
      <c r="B1016" t="s">
        <v>944</v>
      </c>
      <c r="C1016">
        <v>40</v>
      </c>
      <c r="D1016" t="str">
        <f>VLOOKUP(B1016,Products!$A:$E,2,FALSE)</f>
        <v>Product_468</v>
      </c>
      <c r="E1016" t="str">
        <f>VLOOKUP(B1016,Products!$A:$E,3,FALSE)</f>
        <v>Office Supplies</v>
      </c>
    </row>
    <row r="1017" spans="1:5" x14ac:dyDescent="0.3">
      <c r="A1017" t="s">
        <v>7029</v>
      </c>
      <c r="B1017" t="s">
        <v>120</v>
      </c>
      <c r="C1017">
        <v>41</v>
      </c>
      <c r="D1017" t="str">
        <f>VLOOKUP(B1017,Products!$A:$E,2,FALSE)</f>
        <v>Product_56</v>
      </c>
      <c r="E1017" t="str">
        <f>VLOOKUP(B1017,Products!$A:$E,3,FALSE)</f>
        <v>Networking</v>
      </c>
    </row>
    <row r="1018" spans="1:5" x14ac:dyDescent="0.3">
      <c r="A1018" t="s">
        <v>7030</v>
      </c>
      <c r="B1018" t="s">
        <v>180</v>
      </c>
      <c r="C1018">
        <v>6</v>
      </c>
      <c r="D1018" t="str">
        <f>VLOOKUP(B1018,Products!$A:$E,2,FALSE)</f>
        <v>Product_86</v>
      </c>
      <c r="E1018" t="str">
        <f>VLOOKUP(B1018,Products!$A:$E,3,FALSE)</f>
        <v>Storage</v>
      </c>
    </row>
    <row r="1019" spans="1:5" x14ac:dyDescent="0.3">
      <c r="A1019" t="s">
        <v>7031</v>
      </c>
      <c r="B1019" t="s">
        <v>310</v>
      </c>
      <c r="C1019">
        <v>6</v>
      </c>
      <c r="D1019" t="str">
        <f>VLOOKUP(B1019,Products!$A:$E,2,FALSE)</f>
        <v>Product_151</v>
      </c>
      <c r="E1019" t="str">
        <f>VLOOKUP(B1019,Products!$A:$E,3,FALSE)</f>
        <v>Storage</v>
      </c>
    </row>
    <row r="1020" spans="1:5" x14ac:dyDescent="0.3">
      <c r="A1020" t="s">
        <v>7032</v>
      </c>
      <c r="B1020" t="s">
        <v>396</v>
      </c>
      <c r="C1020">
        <v>8</v>
      </c>
      <c r="D1020" t="str">
        <f>VLOOKUP(B1020,Products!$A:$E,2,FALSE)</f>
        <v>Product_194</v>
      </c>
      <c r="E1020" t="str">
        <f>VLOOKUP(B1020,Products!$A:$E,3,FALSE)</f>
        <v>Networking</v>
      </c>
    </row>
    <row r="1021" spans="1:5" x14ac:dyDescent="0.3">
      <c r="A1021" t="s">
        <v>7033</v>
      </c>
      <c r="B1021" t="s">
        <v>292</v>
      </c>
      <c r="C1021">
        <v>5</v>
      </c>
      <c r="D1021" t="str">
        <f>VLOOKUP(B1021,Products!$A:$E,2,FALSE)</f>
        <v>Product_142</v>
      </c>
      <c r="E1021" t="str">
        <f>VLOOKUP(B1021,Products!$A:$E,3,FALSE)</f>
        <v>Storage</v>
      </c>
    </row>
    <row r="1022" spans="1:5" x14ac:dyDescent="0.3">
      <c r="A1022" t="s">
        <v>7034</v>
      </c>
      <c r="B1022" t="s">
        <v>360</v>
      </c>
      <c r="C1022">
        <v>2</v>
      </c>
      <c r="D1022" t="str">
        <f>VLOOKUP(B1022,Products!$A:$E,2,FALSE)</f>
        <v>Product_176</v>
      </c>
      <c r="E1022" t="str">
        <f>VLOOKUP(B1022,Products!$A:$E,3,FALSE)</f>
        <v>Electronics</v>
      </c>
    </row>
    <row r="1023" spans="1:5" x14ac:dyDescent="0.3">
      <c r="A1023" t="s">
        <v>7035</v>
      </c>
      <c r="B1023" t="s">
        <v>608</v>
      </c>
      <c r="C1023">
        <v>16</v>
      </c>
      <c r="D1023" t="str">
        <f>VLOOKUP(B1023,Products!$A:$E,2,FALSE)</f>
        <v>Product_300</v>
      </c>
      <c r="E1023" t="str">
        <f>VLOOKUP(B1023,Products!$A:$E,3,FALSE)</f>
        <v>Accessories</v>
      </c>
    </row>
    <row r="1024" spans="1:5" x14ac:dyDescent="0.3">
      <c r="A1024" t="s">
        <v>7036</v>
      </c>
      <c r="B1024" t="s">
        <v>498</v>
      </c>
      <c r="C1024">
        <v>32</v>
      </c>
      <c r="D1024" t="str">
        <f>VLOOKUP(B1024,Products!$A:$E,2,FALSE)</f>
        <v>Product_245</v>
      </c>
      <c r="E1024" t="str">
        <f>VLOOKUP(B1024,Products!$A:$E,3,FALSE)</f>
        <v>Office Supplies</v>
      </c>
    </row>
    <row r="1025" spans="1:5" x14ac:dyDescent="0.3">
      <c r="A1025" t="s">
        <v>7037</v>
      </c>
      <c r="B1025" t="s">
        <v>698</v>
      </c>
      <c r="C1025">
        <v>49</v>
      </c>
      <c r="D1025" t="str">
        <f>VLOOKUP(B1025,Products!$A:$E,2,FALSE)</f>
        <v>Product_345</v>
      </c>
      <c r="E1025" t="str">
        <f>VLOOKUP(B1025,Products!$A:$E,3,FALSE)</f>
        <v>Storage</v>
      </c>
    </row>
    <row r="1026" spans="1:5" x14ac:dyDescent="0.3">
      <c r="A1026" t="s">
        <v>7038</v>
      </c>
      <c r="B1026" t="s">
        <v>112</v>
      </c>
      <c r="C1026">
        <v>1</v>
      </c>
      <c r="D1026" t="str">
        <f>VLOOKUP(B1026,Products!$A:$E,2,FALSE)</f>
        <v>Product_52</v>
      </c>
      <c r="E1026" t="str">
        <f>VLOOKUP(B1026,Products!$A:$E,3,FALSE)</f>
        <v>Electronics</v>
      </c>
    </row>
    <row r="1027" spans="1:5" x14ac:dyDescent="0.3">
      <c r="A1027" t="s">
        <v>7039</v>
      </c>
      <c r="B1027" t="s">
        <v>72</v>
      </c>
      <c r="C1027">
        <v>18</v>
      </c>
      <c r="D1027" t="str">
        <f>VLOOKUP(B1027,Products!$A:$E,2,FALSE)</f>
        <v>Product_32</v>
      </c>
      <c r="E1027" t="str">
        <f>VLOOKUP(B1027,Products!$A:$E,3,FALSE)</f>
        <v>Networking</v>
      </c>
    </row>
    <row r="1028" spans="1:5" x14ac:dyDescent="0.3">
      <c r="A1028" t="s">
        <v>7040</v>
      </c>
      <c r="B1028" t="s">
        <v>778</v>
      </c>
      <c r="C1028">
        <v>1</v>
      </c>
      <c r="D1028" t="str">
        <f>VLOOKUP(B1028,Products!$A:$E,2,FALSE)</f>
        <v>Product_385</v>
      </c>
      <c r="E1028" t="str">
        <f>VLOOKUP(B1028,Products!$A:$E,3,FALSE)</f>
        <v>Networking</v>
      </c>
    </row>
    <row r="1029" spans="1:5" x14ac:dyDescent="0.3">
      <c r="A1029" t="s">
        <v>7041</v>
      </c>
      <c r="B1029" t="s">
        <v>690</v>
      </c>
      <c r="C1029">
        <v>38</v>
      </c>
      <c r="D1029" t="str">
        <f>VLOOKUP(B1029,Products!$A:$E,2,FALSE)</f>
        <v>Product_341</v>
      </c>
      <c r="E1029" t="str">
        <f>VLOOKUP(B1029,Products!$A:$E,3,FALSE)</f>
        <v>Storage</v>
      </c>
    </row>
    <row r="1030" spans="1:5" x14ac:dyDescent="0.3">
      <c r="A1030" t="s">
        <v>7042</v>
      </c>
      <c r="B1030" t="s">
        <v>818</v>
      </c>
      <c r="C1030">
        <v>3</v>
      </c>
      <c r="D1030" t="str">
        <f>VLOOKUP(B1030,Products!$A:$E,2,FALSE)</f>
        <v>Product_405</v>
      </c>
      <c r="E1030" t="str">
        <f>VLOOKUP(B1030,Products!$A:$E,3,FALSE)</f>
        <v>Electronics</v>
      </c>
    </row>
    <row r="1031" spans="1:5" x14ac:dyDescent="0.3">
      <c r="A1031" t="s">
        <v>7043</v>
      </c>
      <c r="B1031" t="s">
        <v>108</v>
      </c>
      <c r="C1031">
        <v>14</v>
      </c>
      <c r="D1031" t="str">
        <f>VLOOKUP(B1031,Products!$A:$E,2,FALSE)</f>
        <v>Product_50</v>
      </c>
      <c r="E1031" t="str">
        <f>VLOOKUP(B1031,Products!$A:$E,3,FALSE)</f>
        <v>Networking</v>
      </c>
    </row>
    <row r="1032" spans="1:5" x14ac:dyDescent="0.3">
      <c r="A1032" t="s">
        <v>7044</v>
      </c>
      <c r="B1032" t="s">
        <v>544</v>
      </c>
      <c r="C1032">
        <v>1</v>
      </c>
      <c r="D1032" t="str">
        <f>VLOOKUP(B1032,Products!$A:$E,2,FALSE)</f>
        <v>Product_268</v>
      </c>
      <c r="E1032" t="str">
        <f>VLOOKUP(B1032,Products!$A:$E,3,FALSE)</f>
        <v>Office Supplies</v>
      </c>
    </row>
    <row r="1033" spans="1:5" x14ac:dyDescent="0.3">
      <c r="A1033" t="s">
        <v>7045</v>
      </c>
      <c r="B1033" t="s">
        <v>394</v>
      </c>
      <c r="C1033">
        <v>39</v>
      </c>
      <c r="D1033" t="str">
        <f>VLOOKUP(B1033,Products!$A:$E,2,FALSE)</f>
        <v>Product_193</v>
      </c>
      <c r="E1033" t="str">
        <f>VLOOKUP(B1033,Products!$A:$E,3,FALSE)</f>
        <v>Accessories</v>
      </c>
    </row>
    <row r="1034" spans="1:5" x14ac:dyDescent="0.3">
      <c r="A1034" t="s">
        <v>7046</v>
      </c>
      <c r="B1034" t="s">
        <v>542</v>
      </c>
      <c r="C1034">
        <v>49</v>
      </c>
      <c r="D1034" t="str">
        <f>VLOOKUP(B1034,Products!$A:$E,2,FALSE)</f>
        <v>Product_267</v>
      </c>
      <c r="E1034" t="str">
        <f>VLOOKUP(B1034,Products!$A:$E,3,FALSE)</f>
        <v>Networking</v>
      </c>
    </row>
    <row r="1035" spans="1:5" x14ac:dyDescent="0.3">
      <c r="A1035" t="s">
        <v>7047</v>
      </c>
      <c r="B1035" t="s">
        <v>282</v>
      </c>
      <c r="C1035">
        <v>32</v>
      </c>
      <c r="D1035" t="str">
        <f>VLOOKUP(B1035,Products!$A:$E,2,FALSE)</f>
        <v>Product_137</v>
      </c>
      <c r="E1035" t="str">
        <f>VLOOKUP(B1035,Products!$A:$E,3,FALSE)</f>
        <v>Storage</v>
      </c>
    </row>
    <row r="1036" spans="1:5" x14ac:dyDescent="0.3">
      <c r="A1036" t="s">
        <v>7048</v>
      </c>
      <c r="B1036" t="s">
        <v>494</v>
      </c>
      <c r="C1036">
        <v>49</v>
      </c>
      <c r="D1036" t="str">
        <f>VLOOKUP(B1036,Products!$A:$E,2,FALSE)</f>
        <v>Product_243</v>
      </c>
      <c r="E1036" t="str">
        <f>VLOOKUP(B1036,Products!$A:$E,3,FALSE)</f>
        <v>Storage</v>
      </c>
    </row>
    <row r="1037" spans="1:5" x14ac:dyDescent="0.3">
      <c r="A1037" t="s">
        <v>7049</v>
      </c>
      <c r="B1037" t="s">
        <v>354</v>
      </c>
      <c r="C1037">
        <v>39</v>
      </c>
      <c r="D1037" t="str">
        <f>VLOOKUP(B1037,Products!$A:$E,2,FALSE)</f>
        <v>Product_173</v>
      </c>
      <c r="E1037" t="str">
        <f>VLOOKUP(B1037,Products!$A:$E,3,FALSE)</f>
        <v>Electronics</v>
      </c>
    </row>
    <row r="1038" spans="1:5" x14ac:dyDescent="0.3">
      <c r="A1038" t="s">
        <v>7050</v>
      </c>
      <c r="B1038" t="s">
        <v>448</v>
      </c>
      <c r="C1038">
        <v>22</v>
      </c>
      <c r="D1038" t="str">
        <f>VLOOKUP(B1038,Products!$A:$E,2,FALSE)</f>
        <v>Product_220</v>
      </c>
      <c r="E1038" t="str">
        <f>VLOOKUP(B1038,Products!$A:$E,3,FALSE)</f>
        <v>Storage</v>
      </c>
    </row>
    <row r="1039" spans="1:5" x14ac:dyDescent="0.3">
      <c r="A1039" t="s">
        <v>7051</v>
      </c>
      <c r="B1039" t="s">
        <v>388</v>
      </c>
      <c r="C1039">
        <v>44</v>
      </c>
      <c r="D1039" t="str">
        <f>VLOOKUP(B1039,Products!$A:$E,2,FALSE)</f>
        <v>Product_190</v>
      </c>
      <c r="E1039" t="str">
        <f>VLOOKUP(B1039,Products!$A:$E,3,FALSE)</f>
        <v>Office Supplies</v>
      </c>
    </row>
    <row r="1040" spans="1:5" x14ac:dyDescent="0.3">
      <c r="A1040" t="s">
        <v>7052</v>
      </c>
      <c r="B1040" t="s">
        <v>920</v>
      </c>
      <c r="C1040">
        <v>22</v>
      </c>
      <c r="D1040" t="str">
        <f>VLOOKUP(B1040,Products!$A:$E,2,FALSE)</f>
        <v>Product_456</v>
      </c>
      <c r="E1040" t="str">
        <f>VLOOKUP(B1040,Products!$A:$E,3,FALSE)</f>
        <v>Electronics</v>
      </c>
    </row>
    <row r="1041" spans="1:5" x14ac:dyDescent="0.3">
      <c r="A1041" t="s">
        <v>7053</v>
      </c>
      <c r="B1041" t="s">
        <v>332</v>
      </c>
      <c r="C1041">
        <v>16</v>
      </c>
      <c r="D1041" t="str">
        <f>VLOOKUP(B1041,Products!$A:$E,2,FALSE)</f>
        <v>Product_162</v>
      </c>
      <c r="E1041" t="str">
        <f>VLOOKUP(B1041,Products!$A:$E,3,FALSE)</f>
        <v>Accessories</v>
      </c>
    </row>
    <row r="1042" spans="1:5" x14ac:dyDescent="0.3">
      <c r="A1042" t="s">
        <v>7054</v>
      </c>
      <c r="B1042" t="s">
        <v>972</v>
      </c>
      <c r="C1042">
        <v>24</v>
      </c>
      <c r="D1042" t="str">
        <f>VLOOKUP(B1042,Products!$A:$E,2,FALSE)</f>
        <v>Product_482</v>
      </c>
      <c r="E1042" t="str">
        <f>VLOOKUP(B1042,Products!$A:$E,3,FALSE)</f>
        <v>Storage</v>
      </c>
    </row>
    <row r="1043" spans="1:5" x14ac:dyDescent="0.3">
      <c r="A1043" t="s">
        <v>7055</v>
      </c>
      <c r="B1043" t="s">
        <v>690</v>
      </c>
      <c r="C1043">
        <v>26</v>
      </c>
      <c r="D1043" t="str">
        <f>VLOOKUP(B1043,Products!$A:$E,2,FALSE)</f>
        <v>Product_341</v>
      </c>
      <c r="E1043" t="str">
        <f>VLOOKUP(B1043,Products!$A:$E,3,FALSE)</f>
        <v>Storage</v>
      </c>
    </row>
    <row r="1044" spans="1:5" x14ac:dyDescent="0.3">
      <c r="A1044" t="s">
        <v>7056</v>
      </c>
      <c r="B1044" t="s">
        <v>396</v>
      </c>
      <c r="C1044">
        <v>40</v>
      </c>
      <c r="D1044" t="str">
        <f>VLOOKUP(B1044,Products!$A:$E,2,FALSE)</f>
        <v>Product_194</v>
      </c>
      <c r="E1044" t="str">
        <f>VLOOKUP(B1044,Products!$A:$E,3,FALSE)</f>
        <v>Networking</v>
      </c>
    </row>
    <row r="1045" spans="1:5" x14ac:dyDescent="0.3">
      <c r="A1045" t="s">
        <v>7057</v>
      </c>
      <c r="B1045" t="s">
        <v>68</v>
      </c>
      <c r="C1045">
        <v>23</v>
      </c>
      <c r="D1045" t="str">
        <f>VLOOKUP(B1045,Products!$A:$E,2,FALSE)</f>
        <v>Product_30</v>
      </c>
      <c r="E1045" t="str">
        <f>VLOOKUP(B1045,Products!$A:$E,3,FALSE)</f>
        <v>Accessories</v>
      </c>
    </row>
    <row r="1046" spans="1:5" x14ac:dyDescent="0.3">
      <c r="A1046" t="s">
        <v>7058</v>
      </c>
      <c r="B1046" t="s">
        <v>904</v>
      </c>
      <c r="C1046">
        <v>22</v>
      </c>
      <c r="D1046" t="str">
        <f>VLOOKUP(B1046,Products!$A:$E,2,FALSE)</f>
        <v>Product_448</v>
      </c>
      <c r="E1046" t="str">
        <f>VLOOKUP(B1046,Products!$A:$E,3,FALSE)</f>
        <v>Networking</v>
      </c>
    </row>
    <row r="1047" spans="1:5" x14ac:dyDescent="0.3">
      <c r="A1047" t="s">
        <v>7059</v>
      </c>
      <c r="B1047" t="s">
        <v>834</v>
      </c>
      <c r="C1047">
        <v>7</v>
      </c>
      <c r="D1047" t="str">
        <f>VLOOKUP(B1047,Products!$A:$E,2,FALSE)</f>
        <v>Product_413</v>
      </c>
      <c r="E1047" t="str">
        <f>VLOOKUP(B1047,Products!$A:$E,3,FALSE)</f>
        <v>Accessories</v>
      </c>
    </row>
    <row r="1048" spans="1:5" x14ac:dyDescent="0.3">
      <c r="A1048" t="s">
        <v>7060</v>
      </c>
      <c r="B1048" t="s">
        <v>8</v>
      </c>
      <c r="C1048">
        <v>30</v>
      </c>
      <c r="D1048" t="str">
        <f>VLOOKUP(B1048,Products!$A:$E,2,FALSE)</f>
        <v>Product_2</v>
      </c>
      <c r="E1048" t="str">
        <f>VLOOKUP(B1048,Products!$A:$E,3,FALSE)</f>
        <v>Office Supplies</v>
      </c>
    </row>
    <row r="1049" spans="1:5" x14ac:dyDescent="0.3">
      <c r="A1049" t="s">
        <v>7061</v>
      </c>
      <c r="B1049" t="s">
        <v>900</v>
      </c>
      <c r="C1049">
        <v>45</v>
      </c>
      <c r="D1049" t="str">
        <f>VLOOKUP(B1049,Products!$A:$E,2,FALSE)</f>
        <v>Product_446</v>
      </c>
      <c r="E1049" t="str">
        <f>VLOOKUP(B1049,Products!$A:$E,3,FALSE)</f>
        <v>Accessories</v>
      </c>
    </row>
    <row r="1050" spans="1:5" x14ac:dyDescent="0.3">
      <c r="A1050" t="s">
        <v>7062</v>
      </c>
      <c r="B1050" t="s">
        <v>420</v>
      </c>
      <c r="C1050">
        <v>47</v>
      </c>
      <c r="D1050" t="str">
        <f>VLOOKUP(B1050,Products!$A:$E,2,FALSE)</f>
        <v>Product_206</v>
      </c>
      <c r="E1050" t="str">
        <f>VLOOKUP(B1050,Products!$A:$E,3,FALSE)</f>
        <v>Accessories</v>
      </c>
    </row>
    <row r="1051" spans="1:5" x14ac:dyDescent="0.3">
      <c r="A1051" t="s">
        <v>7063</v>
      </c>
      <c r="B1051" t="s">
        <v>864</v>
      </c>
      <c r="C1051">
        <v>9</v>
      </c>
      <c r="D1051" t="str">
        <f>VLOOKUP(B1051,Products!$A:$E,2,FALSE)</f>
        <v>Product_428</v>
      </c>
      <c r="E1051" t="str">
        <f>VLOOKUP(B1051,Products!$A:$E,3,FALSE)</f>
        <v>Storage</v>
      </c>
    </row>
    <row r="1052" spans="1:5" x14ac:dyDescent="0.3">
      <c r="A1052" t="s">
        <v>7064</v>
      </c>
      <c r="B1052" t="s">
        <v>36</v>
      </c>
      <c r="C1052">
        <v>39</v>
      </c>
      <c r="D1052" t="str">
        <f>VLOOKUP(B1052,Products!$A:$E,2,FALSE)</f>
        <v>Product_14</v>
      </c>
      <c r="E1052" t="str">
        <f>VLOOKUP(B1052,Products!$A:$E,3,FALSE)</f>
        <v>Accessories</v>
      </c>
    </row>
    <row r="1053" spans="1:5" x14ac:dyDescent="0.3">
      <c r="A1053" t="s">
        <v>7065</v>
      </c>
      <c r="B1053" t="s">
        <v>134</v>
      </c>
      <c r="C1053">
        <v>34</v>
      </c>
      <c r="D1053" t="str">
        <f>VLOOKUP(B1053,Products!$A:$E,2,FALSE)</f>
        <v>Product_63</v>
      </c>
      <c r="E1053" t="str">
        <f>VLOOKUP(B1053,Products!$A:$E,3,FALSE)</f>
        <v>Accessories</v>
      </c>
    </row>
    <row r="1054" spans="1:5" x14ac:dyDescent="0.3">
      <c r="A1054" t="s">
        <v>7066</v>
      </c>
      <c r="B1054" t="s">
        <v>296</v>
      </c>
      <c r="C1054">
        <v>45</v>
      </c>
      <c r="D1054" t="str">
        <f>VLOOKUP(B1054,Products!$A:$E,2,FALSE)</f>
        <v>Product_144</v>
      </c>
      <c r="E1054" t="str">
        <f>VLOOKUP(B1054,Products!$A:$E,3,FALSE)</f>
        <v>Office Supplies</v>
      </c>
    </row>
    <row r="1055" spans="1:5" x14ac:dyDescent="0.3">
      <c r="A1055" t="s">
        <v>7067</v>
      </c>
      <c r="B1055" t="s">
        <v>778</v>
      </c>
      <c r="C1055">
        <v>16</v>
      </c>
      <c r="D1055" t="str">
        <f>VLOOKUP(B1055,Products!$A:$E,2,FALSE)</f>
        <v>Product_385</v>
      </c>
      <c r="E1055" t="str">
        <f>VLOOKUP(B1055,Products!$A:$E,3,FALSE)</f>
        <v>Networking</v>
      </c>
    </row>
    <row r="1056" spans="1:5" x14ac:dyDescent="0.3">
      <c r="A1056" t="s">
        <v>7068</v>
      </c>
      <c r="B1056" t="s">
        <v>386</v>
      </c>
      <c r="C1056">
        <v>29</v>
      </c>
      <c r="D1056" t="str">
        <f>VLOOKUP(B1056,Products!$A:$E,2,FALSE)</f>
        <v>Product_189</v>
      </c>
      <c r="E1056" t="str">
        <f>VLOOKUP(B1056,Products!$A:$E,3,FALSE)</f>
        <v>Electronics</v>
      </c>
    </row>
    <row r="1057" spans="1:5" x14ac:dyDescent="0.3">
      <c r="A1057" t="s">
        <v>7069</v>
      </c>
      <c r="B1057" t="s">
        <v>642</v>
      </c>
      <c r="C1057">
        <v>44</v>
      </c>
      <c r="D1057" t="str">
        <f>VLOOKUP(B1057,Products!$A:$E,2,FALSE)</f>
        <v>Product_317</v>
      </c>
      <c r="E1057" t="str">
        <f>VLOOKUP(B1057,Products!$A:$E,3,FALSE)</f>
        <v>Storage</v>
      </c>
    </row>
    <row r="1058" spans="1:5" x14ac:dyDescent="0.3">
      <c r="A1058" t="s">
        <v>7070</v>
      </c>
      <c r="B1058" t="s">
        <v>684</v>
      </c>
      <c r="C1058">
        <v>31</v>
      </c>
      <c r="D1058" t="str">
        <f>VLOOKUP(B1058,Products!$A:$E,2,FALSE)</f>
        <v>Product_338</v>
      </c>
      <c r="E1058" t="str">
        <f>VLOOKUP(B1058,Products!$A:$E,3,FALSE)</f>
        <v>Networking</v>
      </c>
    </row>
    <row r="1059" spans="1:5" x14ac:dyDescent="0.3">
      <c r="A1059" t="s">
        <v>7071</v>
      </c>
      <c r="B1059" t="s">
        <v>536</v>
      </c>
      <c r="C1059">
        <v>27</v>
      </c>
      <c r="D1059" t="str">
        <f>VLOOKUP(B1059,Products!$A:$E,2,FALSE)</f>
        <v>Product_264</v>
      </c>
      <c r="E1059" t="str">
        <f>VLOOKUP(B1059,Products!$A:$E,3,FALSE)</f>
        <v>Electronics</v>
      </c>
    </row>
    <row r="1060" spans="1:5" x14ac:dyDescent="0.3">
      <c r="A1060" t="s">
        <v>7072</v>
      </c>
      <c r="B1060" t="s">
        <v>686</v>
      </c>
      <c r="C1060">
        <v>13</v>
      </c>
      <c r="D1060" t="str">
        <f>VLOOKUP(B1060,Products!$A:$E,2,FALSE)</f>
        <v>Product_339</v>
      </c>
      <c r="E1060" t="str">
        <f>VLOOKUP(B1060,Products!$A:$E,3,FALSE)</f>
        <v>Storage</v>
      </c>
    </row>
    <row r="1061" spans="1:5" x14ac:dyDescent="0.3">
      <c r="A1061" t="s">
        <v>7073</v>
      </c>
      <c r="B1061" t="s">
        <v>8</v>
      </c>
      <c r="C1061">
        <v>41</v>
      </c>
      <c r="D1061" t="str">
        <f>VLOOKUP(B1061,Products!$A:$E,2,FALSE)</f>
        <v>Product_2</v>
      </c>
      <c r="E1061" t="str">
        <f>VLOOKUP(B1061,Products!$A:$E,3,FALSE)</f>
        <v>Office Supplies</v>
      </c>
    </row>
    <row r="1062" spans="1:5" x14ac:dyDescent="0.3">
      <c r="A1062" t="s">
        <v>7074</v>
      </c>
      <c r="B1062" t="s">
        <v>990</v>
      </c>
      <c r="C1062">
        <v>21</v>
      </c>
      <c r="D1062" t="str">
        <f>VLOOKUP(B1062,Products!$A:$E,2,FALSE)</f>
        <v>Product_491</v>
      </c>
      <c r="E1062" t="str">
        <f>VLOOKUP(B1062,Products!$A:$E,3,FALSE)</f>
        <v>Accessories</v>
      </c>
    </row>
    <row r="1063" spans="1:5" x14ac:dyDescent="0.3">
      <c r="A1063" t="s">
        <v>7075</v>
      </c>
      <c r="B1063" t="s">
        <v>26</v>
      </c>
      <c r="C1063">
        <v>41</v>
      </c>
      <c r="D1063" t="str">
        <f>VLOOKUP(B1063,Products!$A:$E,2,FALSE)</f>
        <v>Product_9</v>
      </c>
      <c r="E1063" t="str">
        <f>VLOOKUP(B1063,Products!$A:$E,3,FALSE)</f>
        <v>Storage</v>
      </c>
    </row>
    <row r="1064" spans="1:5" x14ac:dyDescent="0.3">
      <c r="A1064" t="s">
        <v>7076</v>
      </c>
      <c r="B1064" t="s">
        <v>378</v>
      </c>
      <c r="C1064">
        <v>3</v>
      </c>
      <c r="D1064" t="str">
        <f>VLOOKUP(B1064,Products!$A:$E,2,FALSE)</f>
        <v>Product_185</v>
      </c>
      <c r="E1064" t="str">
        <f>VLOOKUP(B1064,Products!$A:$E,3,FALSE)</f>
        <v>Storage</v>
      </c>
    </row>
    <row r="1065" spans="1:5" x14ac:dyDescent="0.3">
      <c r="A1065" t="s">
        <v>7077</v>
      </c>
      <c r="B1065" t="s">
        <v>1002</v>
      </c>
      <c r="C1065">
        <v>48</v>
      </c>
      <c r="D1065" t="str">
        <f>VLOOKUP(B1065,Products!$A:$E,2,FALSE)</f>
        <v>Product_497</v>
      </c>
      <c r="E1065" t="str">
        <f>VLOOKUP(B1065,Products!$A:$E,3,FALSE)</f>
        <v>Office Supplies</v>
      </c>
    </row>
    <row r="1066" spans="1:5" x14ac:dyDescent="0.3">
      <c r="A1066" t="s">
        <v>7078</v>
      </c>
      <c r="B1066" t="s">
        <v>342</v>
      </c>
      <c r="C1066">
        <v>44</v>
      </c>
      <c r="D1066" t="str">
        <f>VLOOKUP(B1066,Products!$A:$E,2,FALSE)</f>
        <v>Product_167</v>
      </c>
      <c r="E1066" t="str">
        <f>VLOOKUP(B1066,Products!$A:$E,3,FALSE)</f>
        <v>Electronics</v>
      </c>
    </row>
    <row r="1067" spans="1:5" x14ac:dyDescent="0.3">
      <c r="A1067" t="s">
        <v>7079</v>
      </c>
      <c r="B1067" t="s">
        <v>464</v>
      </c>
      <c r="C1067">
        <v>15</v>
      </c>
      <c r="D1067" t="str">
        <f>VLOOKUP(B1067,Products!$A:$E,2,FALSE)</f>
        <v>Product_228</v>
      </c>
      <c r="E1067" t="str">
        <f>VLOOKUP(B1067,Products!$A:$E,3,FALSE)</f>
        <v>Storage</v>
      </c>
    </row>
    <row r="1068" spans="1:5" x14ac:dyDescent="0.3">
      <c r="A1068" t="s">
        <v>7080</v>
      </c>
      <c r="B1068" t="s">
        <v>630</v>
      </c>
      <c r="C1068">
        <v>32</v>
      </c>
      <c r="D1068" t="str">
        <f>VLOOKUP(B1068,Products!$A:$E,2,FALSE)</f>
        <v>Product_311</v>
      </c>
      <c r="E1068" t="str">
        <f>VLOOKUP(B1068,Products!$A:$E,3,FALSE)</f>
        <v>Networking</v>
      </c>
    </row>
    <row r="1069" spans="1:5" x14ac:dyDescent="0.3">
      <c r="A1069" t="s">
        <v>7081</v>
      </c>
      <c r="B1069" t="s">
        <v>418</v>
      </c>
      <c r="C1069">
        <v>48</v>
      </c>
      <c r="D1069" t="str">
        <f>VLOOKUP(B1069,Products!$A:$E,2,FALSE)</f>
        <v>Product_205</v>
      </c>
      <c r="E1069" t="str">
        <f>VLOOKUP(B1069,Products!$A:$E,3,FALSE)</f>
        <v>Storage</v>
      </c>
    </row>
    <row r="1070" spans="1:5" x14ac:dyDescent="0.3">
      <c r="A1070" t="s">
        <v>7082</v>
      </c>
      <c r="B1070" t="s">
        <v>636</v>
      </c>
      <c r="C1070">
        <v>6</v>
      </c>
      <c r="D1070" t="str">
        <f>VLOOKUP(B1070,Products!$A:$E,2,FALSE)</f>
        <v>Product_314</v>
      </c>
      <c r="E1070" t="str">
        <f>VLOOKUP(B1070,Products!$A:$E,3,FALSE)</f>
        <v>Storage</v>
      </c>
    </row>
    <row r="1071" spans="1:5" x14ac:dyDescent="0.3">
      <c r="A1071" t="s">
        <v>7083</v>
      </c>
      <c r="B1071" t="s">
        <v>366</v>
      </c>
      <c r="C1071">
        <v>28</v>
      </c>
      <c r="D1071" t="str">
        <f>VLOOKUP(B1071,Products!$A:$E,2,FALSE)</f>
        <v>Product_179</v>
      </c>
      <c r="E1071" t="str">
        <f>VLOOKUP(B1071,Products!$A:$E,3,FALSE)</f>
        <v>Storage</v>
      </c>
    </row>
    <row r="1072" spans="1:5" x14ac:dyDescent="0.3">
      <c r="A1072" t="s">
        <v>7084</v>
      </c>
      <c r="B1072" t="s">
        <v>970</v>
      </c>
      <c r="C1072">
        <v>31</v>
      </c>
      <c r="D1072" t="str">
        <f>VLOOKUP(B1072,Products!$A:$E,2,FALSE)</f>
        <v>Product_481</v>
      </c>
      <c r="E1072" t="str">
        <f>VLOOKUP(B1072,Products!$A:$E,3,FALSE)</f>
        <v>Storage</v>
      </c>
    </row>
    <row r="1073" spans="1:5" x14ac:dyDescent="0.3">
      <c r="A1073" t="s">
        <v>7085</v>
      </c>
      <c r="B1073" t="s">
        <v>684</v>
      </c>
      <c r="C1073">
        <v>45</v>
      </c>
      <c r="D1073" t="str">
        <f>VLOOKUP(B1073,Products!$A:$E,2,FALSE)</f>
        <v>Product_338</v>
      </c>
      <c r="E1073" t="str">
        <f>VLOOKUP(B1073,Products!$A:$E,3,FALSE)</f>
        <v>Networking</v>
      </c>
    </row>
    <row r="1074" spans="1:5" x14ac:dyDescent="0.3">
      <c r="A1074" t="s">
        <v>7086</v>
      </c>
      <c r="B1074" t="s">
        <v>936</v>
      </c>
      <c r="C1074">
        <v>7</v>
      </c>
      <c r="D1074" t="str">
        <f>VLOOKUP(B1074,Products!$A:$E,2,FALSE)</f>
        <v>Product_464</v>
      </c>
      <c r="E1074" t="str">
        <f>VLOOKUP(B1074,Products!$A:$E,3,FALSE)</f>
        <v>Office Supplies</v>
      </c>
    </row>
    <row r="1075" spans="1:5" x14ac:dyDescent="0.3">
      <c r="A1075" t="s">
        <v>7087</v>
      </c>
      <c r="B1075" t="s">
        <v>760</v>
      </c>
      <c r="C1075">
        <v>25</v>
      </c>
      <c r="D1075" t="str">
        <f>VLOOKUP(B1075,Products!$A:$E,2,FALSE)</f>
        <v>Product_376</v>
      </c>
      <c r="E1075" t="str">
        <f>VLOOKUP(B1075,Products!$A:$E,3,FALSE)</f>
        <v>Networking</v>
      </c>
    </row>
    <row r="1076" spans="1:5" x14ac:dyDescent="0.3">
      <c r="A1076" t="s">
        <v>7088</v>
      </c>
      <c r="B1076" t="s">
        <v>310</v>
      </c>
      <c r="C1076">
        <v>39</v>
      </c>
      <c r="D1076" t="str">
        <f>VLOOKUP(B1076,Products!$A:$E,2,FALSE)</f>
        <v>Product_151</v>
      </c>
      <c r="E1076" t="str">
        <f>VLOOKUP(B1076,Products!$A:$E,3,FALSE)</f>
        <v>Storage</v>
      </c>
    </row>
    <row r="1077" spans="1:5" x14ac:dyDescent="0.3">
      <c r="A1077" t="s">
        <v>7089</v>
      </c>
      <c r="B1077" t="s">
        <v>208</v>
      </c>
      <c r="C1077">
        <v>46</v>
      </c>
      <c r="D1077" t="str">
        <f>VLOOKUP(B1077,Products!$A:$E,2,FALSE)</f>
        <v>Product_100</v>
      </c>
      <c r="E1077" t="str">
        <f>VLOOKUP(B1077,Products!$A:$E,3,FALSE)</f>
        <v>Accessories</v>
      </c>
    </row>
    <row r="1078" spans="1:5" x14ac:dyDescent="0.3">
      <c r="A1078" t="s">
        <v>7090</v>
      </c>
      <c r="B1078" t="s">
        <v>156</v>
      </c>
      <c r="C1078">
        <v>34</v>
      </c>
      <c r="D1078" t="str">
        <f>VLOOKUP(B1078,Products!$A:$E,2,FALSE)</f>
        <v>Product_74</v>
      </c>
      <c r="E1078" t="str">
        <f>VLOOKUP(B1078,Products!$A:$E,3,FALSE)</f>
        <v>Storage</v>
      </c>
    </row>
    <row r="1079" spans="1:5" x14ac:dyDescent="0.3">
      <c r="A1079" t="s">
        <v>7091</v>
      </c>
      <c r="B1079" t="s">
        <v>906</v>
      </c>
      <c r="C1079">
        <v>37</v>
      </c>
      <c r="D1079" t="str">
        <f>VLOOKUP(B1079,Products!$A:$E,2,FALSE)</f>
        <v>Product_449</v>
      </c>
      <c r="E1079" t="str">
        <f>VLOOKUP(B1079,Products!$A:$E,3,FALSE)</f>
        <v>Networking</v>
      </c>
    </row>
    <row r="1080" spans="1:5" x14ac:dyDescent="0.3">
      <c r="A1080" t="s">
        <v>7092</v>
      </c>
      <c r="B1080" t="s">
        <v>812</v>
      </c>
      <c r="C1080">
        <v>46</v>
      </c>
      <c r="D1080" t="str">
        <f>VLOOKUP(B1080,Products!$A:$E,2,FALSE)</f>
        <v>Product_402</v>
      </c>
      <c r="E1080" t="str">
        <f>VLOOKUP(B1080,Products!$A:$E,3,FALSE)</f>
        <v>Accessories</v>
      </c>
    </row>
    <row r="1081" spans="1:5" x14ac:dyDescent="0.3">
      <c r="A1081" t="s">
        <v>7093</v>
      </c>
      <c r="B1081" t="s">
        <v>526</v>
      </c>
      <c r="C1081">
        <v>3</v>
      </c>
      <c r="D1081" t="str">
        <f>VLOOKUP(B1081,Products!$A:$E,2,FALSE)</f>
        <v>Product_259</v>
      </c>
      <c r="E1081" t="str">
        <f>VLOOKUP(B1081,Products!$A:$E,3,FALSE)</f>
        <v>Electronics</v>
      </c>
    </row>
    <row r="1082" spans="1:5" x14ac:dyDescent="0.3">
      <c r="A1082" t="s">
        <v>7094</v>
      </c>
      <c r="B1082" t="s">
        <v>140</v>
      </c>
      <c r="C1082">
        <v>32</v>
      </c>
      <c r="D1082" t="str">
        <f>VLOOKUP(B1082,Products!$A:$E,2,FALSE)</f>
        <v>Product_66</v>
      </c>
      <c r="E1082" t="str">
        <f>VLOOKUP(B1082,Products!$A:$E,3,FALSE)</f>
        <v>Electronics</v>
      </c>
    </row>
    <row r="1083" spans="1:5" x14ac:dyDescent="0.3">
      <c r="A1083" t="s">
        <v>7095</v>
      </c>
      <c r="B1083" t="s">
        <v>824</v>
      </c>
      <c r="C1083">
        <v>6</v>
      </c>
      <c r="D1083" t="str">
        <f>VLOOKUP(B1083,Products!$A:$E,2,FALSE)</f>
        <v>Product_408</v>
      </c>
      <c r="E1083" t="str">
        <f>VLOOKUP(B1083,Products!$A:$E,3,FALSE)</f>
        <v>Storage</v>
      </c>
    </row>
    <row r="1084" spans="1:5" x14ac:dyDescent="0.3">
      <c r="A1084" t="s">
        <v>7096</v>
      </c>
      <c r="B1084" t="s">
        <v>318</v>
      </c>
      <c r="C1084">
        <v>44</v>
      </c>
      <c r="D1084" t="str">
        <f>VLOOKUP(B1084,Products!$A:$E,2,FALSE)</f>
        <v>Product_155</v>
      </c>
      <c r="E1084" t="str">
        <f>VLOOKUP(B1084,Products!$A:$E,3,FALSE)</f>
        <v>Office Supplies</v>
      </c>
    </row>
    <row r="1085" spans="1:5" x14ac:dyDescent="0.3">
      <c r="A1085" t="s">
        <v>7097</v>
      </c>
      <c r="B1085" t="s">
        <v>570</v>
      </c>
      <c r="C1085">
        <v>30</v>
      </c>
      <c r="D1085" t="str">
        <f>VLOOKUP(B1085,Products!$A:$E,2,FALSE)</f>
        <v>Product_281</v>
      </c>
      <c r="E1085" t="str">
        <f>VLOOKUP(B1085,Products!$A:$E,3,FALSE)</f>
        <v>Office Supplies</v>
      </c>
    </row>
    <row r="1086" spans="1:5" x14ac:dyDescent="0.3">
      <c r="A1086" t="s">
        <v>7098</v>
      </c>
      <c r="B1086" t="s">
        <v>182</v>
      </c>
      <c r="C1086">
        <v>29</v>
      </c>
      <c r="D1086" t="str">
        <f>VLOOKUP(B1086,Products!$A:$E,2,FALSE)</f>
        <v>Product_87</v>
      </c>
      <c r="E1086" t="str">
        <f>VLOOKUP(B1086,Products!$A:$E,3,FALSE)</f>
        <v>Networking</v>
      </c>
    </row>
    <row r="1087" spans="1:5" x14ac:dyDescent="0.3">
      <c r="A1087" t="s">
        <v>7099</v>
      </c>
      <c r="B1087" t="s">
        <v>986</v>
      </c>
      <c r="C1087">
        <v>8</v>
      </c>
      <c r="D1087" t="str">
        <f>VLOOKUP(B1087,Products!$A:$E,2,FALSE)</f>
        <v>Product_489</v>
      </c>
      <c r="E1087" t="str">
        <f>VLOOKUP(B1087,Products!$A:$E,3,FALSE)</f>
        <v>Networking</v>
      </c>
    </row>
    <row r="1088" spans="1:5" x14ac:dyDescent="0.3">
      <c r="A1088" t="s">
        <v>7100</v>
      </c>
      <c r="B1088" t="s">
        <v>502</v>
      </c>
      <c r="C1088">
        <v>43</v>
      </c>
      <c r="D1088" t="str">
        <f>VLOOKUP(B1088,Products!$A:$E,2,FALSE)</f>
        <v>Product_247</v>
      </c>
      <c r="E1088" t="str">
        <f>VLOOKUP(B1088,Products!$A:$E,3,FALSE)</f>
        <v>Networking</v>
      </c>
    </row>
    <row r="1089" spans="1:5" x14ac:dyDescent="0.3">
      <c r="A1089" t="s">
        <v>7101</v>
      </c>
      <c r="B1089" t="s">
        <v>562</v>
      </c>
      <c r="C1089">
        <v>16</v>
      </c>
      <c r="D1089" t="str">
        <f>VLOOKUP(B1089,Products!$A:$E,2,FALSE)</f>
        <v>Product_277</v>
      </c>
      <c r="E1089" t="str">
        <f>VLOOKUP(B1089,Products!$A:$E,3,FALSE)</f>
        <v>Electronics</v>
      </c>
    </row>
    <row r="1090" spans="1:5" x14ac:dyDescent="0.3">
      <c r="A1090" t="s">
        <v>7102</v>
      </c>
      <c r="B1090" t="s">
        <v>258</v>
      </c>
      <c r="C1090">
        <v>14</v>
      </c>
      <c r="D1090" t="str">
        <f>VLOOKUP(B1090,Products!$A:$E,2,FALSE)</f>
        <v>Product_125</v>
      </c>
      <c r="E1090" t="str">
        <f>VLOOKUP(B1090,Products!$A:$E,3,FALSE)</f>
        <v>Office Supplies</v>
      </c>
    </row>
    <row r="1091" spans="1:5" x14ac:dyDescent="0.3">
      <c r="A1091" t="s">
        <v>7103</v>
      </c>
      <c r="B1091" t="s">
        <v>184</v>
      </c>
      <c r="C1091">
        <v>49</v>
      </c>
      <c r="D1091" t="str">
        <f>VLOOKUP(B1091,Products!$A:$E,2,FALSE)</f>
        <v>Product_88</v>
      </c>
      <c r="E1091" t="str">
        <f>VLOOKUP(B1091,Products!$A:$E,3,FALSE)</f>
        <v>Accessories</v>
      </c>
    </row>
    <row r="1092" spans="1:5" x14ac:dyDescent="0.3">
      <c r="A1092" t="s">
        <v>7104</v>
      </c>
      <c r="B1092" t="s">
        <v>976</v>
      </c>
      <c r="C1092">
        <v>43</v>
      </c>
      <c r="D1092" t="str">
        <f>VLOOKUP(B1092,Products!$A:$E,2,FALSE)</f>
        <v>Product_484</v>
      </c>
      <c r="E1092" t="str">
        <f>VLOOKUP(B1092,Products!$A:$E,3,FALSE)</f>
        <v>Networking</v>
      </c>
    </row>
    <row r="1093" spans="1:5" x14ac:dyDescent="0.3">
      <c r="A1093" t="s">
        <v>7105</v>
      </c>
      <c r="B1093" t="s">
        <v>726</v>
      </c>
      <c r="C1093">
        <v>6</v>
      </c>
      <c r="D1093" t="str">
        <f>VLOOKUP(B1093,Products!$A:$E,2,FALSE)</f>
        <v>Product_359</v>
      </c>
      <c r="E1093" t="str">
        <f>VLOOKUP(B1093,Products!$A:$E,3,FALSE)</f>
        <v>Electronics</v>
      </c>
    </row>
    <row r="1094" spans="1:5" x14ac:dyDescent="0.3">
      <c r="A1094" t="s">
        <v>7106</v>
      </c>
      <c r="B1094" t="s">
        <v>118</v>
      </c>
      <c r="C1094">
        <v>28</v>
      </c>
      <c r="D1094" t="str">
        <f>VLOOKUP(B1094,Products!$A:$E,2,FALSE)</f>
        <v>Product_55</v>
      </c>
      <c r="E1094" t="str">
        <f>VLOOKUP(B1094,Products!$A:$E,3,FALSE)</f>
        <v>Office Supplies</v>
      </c>
    </row>
    <row r="1095" spans="1:5" x14ac:dyDescent="0.3">
      <c r="A1095" t="s">
        <v>7107</v>
      </c>
      <c r="B1095" t="s">
        <v>742</v>
      </c>
      <c r="C1095">
        <v>2</v>
      </c>
      <c r="D1095" t="str">
        <f>VLOOKUP(B1095,Products!$A:$E,2,FALSE)</f>
        <v>Product_367</v>
      </c>
      <c r="E1095" t="str">
        <f>VLOOKUP(B1095,Products!$A:$E,3,FALSE)</f>
        <v>Storage</v>
      </c>
    </row>
    <row r="1096" spans="1:5" x14ac:dyDescent="0.3">
      <c r="A1096" t="s">
        <v>7108</v>
      </c>
      <c r="B1096" t="s">
        <v>174</v>
      </c>
      <c r="C1096">
        <v>21</v>
      </c>
      <c r="D1096" t="str">
        <f>VLOOKUP(B1096,Products!$A:$E,2,FALSE)</f>
        <v>Product_83</v>
      </c>
      <c r="E1096" t="str">
        <f>VLOOKUP(B1096,Products!$A:$E,3,FALSE)</f>
        <v>Accessories</v>
      </c>
    </row>
    <row r="1097" spans="1:5" x14ac:dyDescent="0.3">
      <c r="A1097" t="s">
        <v>7109</v>
      </c>
      <c r="B1097" t="s">
        <v>934</v>
      </c>
      <c r="C1097">
        <v>25</v>
      </c>
      <c r="D1097" t="str">
        <f>VLOOKUP(B1097,Products!$A:$E,2,FALSE)</f>
        <v>Product_463</v>
      </c>
      <c r="E1097" t="str">
        <f>VLOOKUP(B1097,Products!$A:$E,3,FALSE)</f>
        <v>Networking</v>
      </c>
    </row>
    <row r="1098" spans="1:5" x14ac:dyDescent="0.3">
      <c r="A1098" t="s">
        <v>7110</v>
      </c>
      <c r="B1098" t="s">
        <v>794</v>
      </c>
      <c r="C1098">
        <v>18</v>
      </c>
      <c r="D1098" t="str">
        <f>VLOOKUP(B1098,Products!$A:$E,2,FALSE)</f>
        <v>Product_393</v>
      </c>
      <c r="E1098" t="str">
        <f>VLOOKUP(B1098,Products!$A:$E,3,FALSE)</f>
        <v>Electronics</v>
      </c>
    </row>
    <row r="1099" spans="1:5" x14ac:dyDescent="0.3">
      <c r="A1099" t="s">
        <v>7111</v>
      </c>
      <c r="B1099" t="s">
        <v>234</v>
      </c>
      <c r="C1099">
        <v>47</v>
      </c>
      <c r="D1099" t="str">
        <f>VLOOKUP(B1099,Products!$A:$E,2,FALSE)</f>
        <v>Product_113</v>
      </c>
      <c r="E1099" t="str">
        <f>VLOOKUP(B1099,Products!$A:$E,3,FALSE)</f>
        <v>Electronics</v>
      </c>
    </row>
    <row r="1100" spans="1:5" x14ac:dyDescent="0.3">
      <c r="A1100" t="s">
        <v>7112</v>
      </c>
      <c r="B1100" t="s">
        <v>272</v>
      </c>
      <c r="C1100">
        <v>43</v>
      </c>
      <c r="D1100" t="str">
        <f>VLOOKUP(B1100,Products!$A:$E,2,FALSE)</f>
        <v>Product_132</v>
      </c>
      <c r="E1100" t="str">
        <f>VLOOKUP(B1100,Products!$A:$E,3,FALSE)</f>
        <v>Storage</v>
      </c>
    </row>
    <row r="1101" spans="1:5" x14ac:dyDescent="0.3">
      <c r="A1101" t="s">
        <v>7113</v>
      </c>
      <c r="B1101" t="s">
        <v>496</v>
      </c>
      <c r="C1101">
        <v>43</v>
      </c>
      <c r="D1101" t="str">
        <f>VLOOKUP(B1101,Products!$A:$E,2,FALSE)</f>
        <v>Product_244</v>
      </c>
      <c r="E1101" t="str">
        <f>VLOOKUP(B1101,Products!$A:$E,3,FALSE)</f>
        <v>Accessories</v>
      </c>
    </row>
    <row r="1102" spans="1:5" x14ac:dyDescent="0.3">
      <c r="A1102" t="s">
        <v>7114</v>
      </c>
      <c r="B1102" t="s">
        <v>136</v>
      </c>
      <c r="C1102">
        <v>43</v>
      </c>
      <c r="D1102" t="str">
        <f>VLOOKUP(B1102,Products!$A:$E,2,FALSE)</f>
        <v>Product_64</v>
      </c>
      <c r="E1102" t="str">
        <f>VLOOKUP(B1102,Products!$A:$E,3,FALSE)</f>
        <v>Storage</v>
      </c>
    </row>
    <row r="1103" spans="1:5" x14ac:dyDescent="0.3">
      <c r="A1103" t="s">
        <v>7115</v>
      </c>
      <c r="B1103" t="s">
        <v>148</v>
      </c>
      <c r="C1103">
        <v>35</v>
      </c>
      <c r="D1103" t="str">
        <f>VLOOKUP(B1103,Products!$A:$E,2,FALSE)</f>
        <v>Product_70</v>
      </c>
      <c r="E1103" t="str">
        <f>VLOOKUP(B1103,Products!$A:$E,3,FALSE)</f>
        <v>Electronics</v>
      </c>
    </row>
    <row r="1104" spans="1:5" x14ac:dyDescent="0.3">
      <c r="A1104" t="s">
        <v>7116</v>
      </c>
      <c r="B1104" t="s">
        <v>658</v>
      </c>
      <c r="C1104">
        <v>47</v>
      </c>
      <c r="D1104" t="str">
        <f>VLOOKUP(B1104,Products!$A:$E,2,FALSE)</f>
        <v>Product_325</v>
      </c>
      <c r="E1104" t="str">
        <f>VLOOKUP(B1104,Products!$A:$E,3,FALSE)</f>
        <v>Networking</v>
      </c>
    </row>
    <row r="1105" spans="1:5" x14ac:dyDescent="0.3">
      <c r="A1105" t="s">
        <v>7117</v>
      </c>
      <c r="B1105" t="s">
        <v>512</v>
      </c>
      <c r="C1105">
        <v>6</v>
      </c>
      <c r="D1105" t="str">
        <f>VLOOKUP(B1105,Products!$A:$E,2,FALSE)</f>
        <v>Product_252</v>
      </c>
      <c r="E1105" t="str">
        <f>VLOOKUP(B1105,Products!$A:$E,3,FALSE)</f>
        <v>Networking</v>
      </c>
    </row>
    <row r="1106" spans="1:5" x14ac:dyDescent="0.3">
      <c r="A1106" t="s">
        <v>7118</v>
      </c>
      <c r="B1106" t="s">
        <v>824</v>
      </c>
      <c r="C1106">
        <v>45</v>
      </c>
      <c r="D1106" t="str">
        <f>VLOOKUP(B1106,Products!$A:$E,2,FALSE)</f>
        <v>Product_408</v>
      </c>
      <c r="E1106" t="str">
        <f>VLOOKUP(B1106,Products!$A:$E,3,FALSE)</f>
        <v>Storage</v>
      </c>
    </row>
    <row r="1107" spans="1:5" x14ac:dyDescent="0.3">
      <c r="A1107" t="s">
        <v>7119</v>
      </c>
      <c r="B1107" t="s">
        <v>350</v>
      </c>
      <c r="C1107">
        <v>15</v>
      </c>
      <c r="D1107" t="str">
        <f>VLOOKUP(B1107,Products!$A:$E,2,FALSE)</f>
        <v>Product_171</v>
      </c>
      <c r="E1107" t="str">
        <f>VLOOKUP(B1107,Products!$A:$E,3,FALSE)</f>
        <v>Electronics</v>
      </c>
    </row>
    <row r="1108" spans="1:5" x14ac:dyDescent="0.3">
      <c r="A1108" t="s">
        <v>7120</v>
      </c>
      <c r="B1108" t="s">
        <v>964</v>
      </c>
      <c r="C1108">
        <v>37</v>
      </c>
      <c r="D1108" t="str">
        <f>VLOOKUP(B1108,Products!$A:$E,2,FALSE)</f>
        <v>Product_478</v>
      </c>
      <c r="E1108" t="str">
        <f>VLOOKUP(B1108,Products!$A:$E,3,FALSE)</f>
        <v>Office Supplies</v>
      </c>
    </row>
    <row r="1109" spans="1:5" x14ac:dyDescent="0.3">
      <c r="A1109" t="s">
        <v>7121</v>
      </c>
      <c r="B1109" t="s">
        <v>794</v>
      </c>
      <c r="C1109">
        <v>39</v>
      </c>
      <c r="D1109" t="str">
        <f>VLOOKUP(B1109,Products!$A:$E,2,FALSE)</f>
        <v>Product_393</v>
      </c>
      <c r="E1109" t="str">
        <f>VLOOKUP(B1109,Products!$A:$E,3,FALSE)</f>
        <v>Electronics</v>
      </c>
    </row>
    <row r="1110" spans="1:5" x14ac:dyDescent="0.3">
      <c r="A1110" t="s">
        <v>7122</v>
      </c>
      <c r="B1110" t="s">
        <v>76</v>
      </c>
      <c r="C1110">
        <v>42</v>
      </c>
      <c r="D1110" t="str">
        <f>VLOOKUP(B1110,Products!$A:$E,2,FALSE)</f>
        <v>Product_34</v>
      </c>
      <c r="E1110" t="str">
        <f>VLOOKUP(B1110,Products!$A:$E,3,FALSE)</f>
        <v>Office Supplies</v>
      </c>
    </row>
    <row r="1111" spans="1:5" x14ac:dyDescent="0.3">
      <c r="A1111" t="s">
        <v>7123</v>
      </c>
      <c r="B1111" t="s">
        <v>360</v>
      </c>
      <c r="C1111">
        <v>25</v>
      </c>
      <c r="D1111" t="str">
        <f>VLOOKUP(B1111,Products!$A:$E,2,FALSE)</f>
        <v>Product_176</v>
      </c>
      <c r="E1111" t="str">
        <f>VLOOKUP(B1111,Products!$A:$E,3,FALSE)</f>
        <v>Electronics</v>
      </c>
    </row>
    <row r="1112" spans="1:5" x14ac:dyDescent="0.3">
      <c r="A1112" t="s">
        <v>7124</v>
      </c>
      <c r="B1112" t="s">
        <v>942</v>
      </c>
      <c r="C1112">
        <v>46</v>
      </c>
      <c r="D1112" t="str">
        <f>VLOOKUP(B1112,Products!$A:$E,2,FALSE)</f>
        <v>Product_467</v>
      </c>
      <c r="E1112" t="str">
        <f>VLOOKUP(B1112,Products!$A:$E,3,FALSE)</f>
        <v>Accessories</v>
      </c>
    </row>
    <row r="1113" spans="1:5" x14ac:dyDescent="0.3">
      <c r="A1113" t="s">
        <v>7125</v>
      </c>
      <c r="B1113" t="s">
        <v>770</v>
      </c>
      <c r="C1113">
        <v>48</v>
      </c>
      <c r="D1113" t="str">
        <f>VLOOKUP(B1113,Products!$A:$E,2,FALSE)</f>
        <v>Product_381</v>
      </c>
      <c r="E1113" t="str">
        <f>VLOOKUP(B1113,Products!$A:$E,3,FALSE)</f>
        <v>Storage</v>
      </c>
    </row>
    <row r="1114" spans="1:5" x14ac:dyDescent="0.3">
      <c r="A1114" t="s">
        <v>7126</v>
      </c>
      <c r="B1114" t="s">
        <v>752</v>
      </c>
      <c r="C1114">
        <v>25</v>
      </c>
      <c r="D1114" t="str">
        <f>VLOOKUP(B1114,Products!$A:$E,2,FALSE)</f>
        <v>Product_372</v>
      </c>
      <c r="E1114" t="str">
        <f>VLOOKUP(B1114,Products!$A:$E,3,FALSE)</f>
        <v>Networking</v>
      </c>
    </row>
    <row r="1115" spans="1:5" x14ac:dyDescent="0.3">
      <c r="A1115" t="s">
        <v>7127</v>
      </c>
      <c r="B1115" t="s">
        <v>678</v>
      </c>
      <c r="C1115">
        <v>42</v>
      </c>
      <c r="D1115" t="str">
        <f>VLOOKUP(B1115,Products!$A:$E,2,FALSE)</f>
        <v>Product_335</v>
      </c>
      <c r="E1115" t="str">
        <f>VLOOKUP(B1115,Products!$A:$E,3,FALSE)</f>
        <v>Networking</v>
      </c>
    </row>
    <row r="1116" spans="1:5" x14ac:dyDescent="0.3">
      <c r="A1116" t="s">
        <v>7128</v>
      </c>
      <c r="B1116" t="s">
        <v>812</v>
      </c>
      <c r="C1116">
        <v>36</v>
      </c>
      <c r="D1116" t="str">
        <f>VLOOKUP(B1116,Products!$A:$E,2,FALSE)</f>
        <v>Product_402</v>
      </c>
      <c r="E1116" t="str">
        <f>VLOOKUP(B1116,Products!$A:$E,3,FALSE)</f>
        <v>Accessories</v>
      </c>
    </row>
    <row r="1117" spans="1:5" x14ac:dyDescent="0.3">
      <c r="A1117" t="s">
        <v>7129</v>
      </c>
      <c r="B1117" t="s">
        <v>998</v>
      </c>
      <c r="C1117">
        <v>28</v>
      </c>
      <c r="D1117" t="str">
        <f>VLOOKUP(B1117,Products!$A:$E,2,FALSE)</f>
        <v>Product_495</v>
      </c>
      <c r="E1117" t="str">
        <f>VLOOKUP(B1117,Products!$A:$E,3,FALSE)</f>
        <v>Networking</v>
      </c>
    </row>
    <row r="1118" spans="1:5" x14ac:dyDescent="0.3">
      <c r="A1118" t="s">
        <v>7130</v>
      </c>
      <c r="B1118" t="s">
        <v>836</v>
      </c>
      <c r="C1118">
        <v>15</v>
      </c>
      <c r="D1118" t="str">
        <f>VLOOKUP(B1118,Products!$A:$E,2,FALSE)</f>
        <v>Product_414</v>
      </c>
      <c r="E1118" t="str">
        <f>VLOOKUP(B1118,Products!$A:$E,3,FALSE)</f>
        <v>Office Supplies</v>
      </c>
    </row>
    <row r="1119" spans="1:5" x14ac:dyDescent="0.3">
      <c r="A1119" t="s">
        <v>7131</v>
      </c>
      <c r="B1119" t="s">
        <v>238</v>
      </c>
      <c r="C1119">
        <v>17</v>
      </c>
      <c r="D1119" t="str">
        <f>VLOOKUP(B1119,Products!$A:$E,2,FALSE)</f>
        <v>Product_115</v>
      </c>
      <c r="E1119" t="str">
        <f>VLOOKUP(B1119,Products!$A:$E,3,FALSE)</f>
        <v>Networking</v>
      </c>
    </row>
    <row r="1120" spans="1:5" x14ac:dyDescent="0.3">
      <c r="A1120" t="s">
        <v>7132</v>
      </c>
      <c r="B1120" t="s">
        <v>128</v>
      </c>
      <c r="C1120">
        <v>19</v>
      </c>
      <c r="D1120" t="str">
        <f>VLOOKUP(B1120,Products!$A:$E,2,FALSE)</f>
        <v>Product_60</v>
      </c>
      <c r="E1120" t="str">
        <f>VLOOKUP(B1120,Products!$A:$E,3,FALSE)</f>
        <v>Electronics</v>
      </c>
    </row>
    <row r="1121" spans="1:5" x14ac:dyDescent="0.3">
      <c r="A1121" t="s">
        <v>7133</v>
      </c>
      <c r="B1121" t="s">
        <v>98</v>
      </c>
      <c r="C1121">
        <v>8</v>
      </c>
      <c r="D1121" t="str">
        <f>VLOOKUP(B1121,Products!$A:$E,2,FALSE)</f>
        <v>Product_45</v>
      </c>
      <c r="E1121" t="str">
        <f>VLOOKUP(B1121,Products!$A:$E,3,FALSE)</f>
        <v>Accessories</v>
      </c>
    </row>
    <row r="1122" spans="1:5" x14ac:dyDescent="0.3">
      <c r="A1122" t="s">
        <v>7134</v>
      </c>
      <c r="B1122" t="s">
        <v>100</v>
      </c>
      <c r="C1122">
        <v>22</v>
      </c>
      <c r="D1122" t="str">
        <f>VLOOKUP(B1122,Products!$A:$E,2,FALSE)</f>
        <v>Product_46</v>
      </c>
      <c r="E1122" t="str">
        <f>VLOOKUP(B1122,Products!$A:$E,3,FALSE)</f>
        <v>Networking</v>
      </c>
    </row>
    <row r="1123" spans="1:5" x14ac:dyDescent="0.3">
      <c r="A1123" t="s">
        <v>7135</v>
      </c>
      <c r="B1123" t="s">
        <v>768</v>
      </c>
      <c r="C1123">
        <v>38</v>
      </c>
      <c r="D1123" t="str">
        <f>VLOOKUP(B1123,Products!$A:$E,2,FALSE)</f>
        <v>Product_380</v>
      </c>
      <c r="E1123" t="str">
        <f>VLOOKUP(B1123,Products!$A:$E,3,FALSE)</f>
        <v>Electronics</v>
      </c>
    </row>
    <row r="1124" spans="1:5" x14ac:dyDescent="0.3">
      <c r="A1124" t="s">
        <v>7136</v>
      </c>
      <c r="B1124" t="s">
        <v>968</v>
      </c>
      <c r="C1124">
        <v>13</v>
      </c>
      <c r="D1124" t="str">
        <f>VLOOKUP(B1124,Products!$A:$E,2,FALSE)</f>
        <v>Product_480</v>
      </c>
      <c r="E1124" t="str">
        <f>VLOOKUP(B1124,Products!$A:$E,3,FALSE)</f>
        <v>Accessories</v>
      </c>
    </row>
    <row r="1125" spans="1:5" x14ac:dyDescent="0.3">
      <c r="A1125" t="s">
        <v>7137</v>
      </c>
      <c r="B1125" t="s">
        <v>772</v>
      </c>
      <c r="C1125">
        <v>8</v>
      </c>
      <c r="D1125" t="str">
        <f>VLOOKUP(B1125,Products!$A:$E,2,FALSE)</f>
        <v>Product_382</v>
      </c>
      <c r="E1125" t="str">
        <f>VLOOKUP(B1125,Products!$A:$E,3,FALSE)</f>
        <v>Storage</v>
      </c>
    </row>
    <row r="1126" spans="1:5" x14ac:dyDescent="0.3">
      <c r="A1126" t="s">
        <v>7138</v>
      </c>
      <c r="B1126" t="s">
        <v>596</v>
      </c>
      <c r="C1126">
        <v>24</v>
      </c>
      <c r="D1126" t="str">
        <f>VLOOKUP(B1126,Products!$A:$E,2,FALSE)</f>
        <v>Product_294</v>
      </c>
      <c r="E1126" t="str">
        <f>VLOOKUP(B1126,Products!$A:$E,3,FALSE)</f>
        <v>Networking</v>
      </c>
    </row>
    <row r="1127" spans="1:5" x14ac:dyDescent="0.3">
      <c r="A1127" t="s">
        <v>7139</v>
      </c>
      <c r="B1127" t="s">
        <v>140</v>
      </c>
      <c r="C1127">
        <v>21</v>
      </c>
      <c r="D1127" t="str">
        <f>VLOOKUP(B1127,Products!$A:$E,2,FALSE)</f>
        <v>Product_66</v>
      </c>
      <c r="E1127" t="str">
        <f>VLOOKUP(B1127,Products!$A:$E,3,FALSE)</f>
        <v>Electronics</v>
      </c>
    </row>
    <row r="1128" spans="1:5" x14ac:dyDescent="0.3">
      <c r="A1128" t="s">
        <v>7140</v>
      </c>
      <c r="B1128" t="s">
        <v>986</v>
      </c>
      <c r="C1128">
        <v>25</v>
      </c>
      <c r="D1128" t="str">
        <f>VLOOKUP(B1128,Products!$A:$E,2,FALSE)</f>
        <v>Product_489</v>
      </c>
      <c r="E1128" t="str">
        <f>VLOOKUP(B1128,Products!$A:$E,3,FALSE)</f>
        <v>Networking</v>
      </c>
    </row>
    <row r="1129" spans="1:5" x14ac:dyDescent="0.3">
      <c r="A1129" t="s">
        <v>7141</v>
      </c>
      <c r="B1129" t="s">
        <v>600</v>
      </c>
      <c r="C1129">
        <v>48</v>
      </c>
      <c r="D1129" t="str">
        <f>VLOOKUP(B1129,Products!$A:$E,2,FALSE)</f>
        <v>Product_296</v>
      </c>
      <c r="E1129" t="str">
        <f>VLOOKUP(B1129,Products!$A:$E,3,FALSE)</f>
        <v>Office Supplies</v>
      </c>
    </row>
    <row r="1130" spans="1:5" x14ac:dyDescent="0.3">
      <c r="A1130" t="s">
        <v>7142</v>
      </c>
      <c r="B1130" t="s">
        <v>5</v>
      </c>
      <c r="C1130">
        <v>20</v>
      </c>
      <c r="D1130" t="str">
        <f>VLOOKUP(B1130,Products!$A:$E,2,FALSE)</f>
        <v>Product_1</v>
      </c>
      <c r="E1130" t="str">
        <f>VLOOKUP(B1130,Products!$A:$E,3,FALSE)</f>
        <v>Electronics</v>
      </c>
    </row>
    <row r="1131" spans="1:5" x14ac:dyDescent="0.3">
      <c r="A1131" t="s">
        <v>7143</v>
      </c>
      <c r="B1131" t="s">
        <v>72</v>
      </c>
      <c r="C1131">
        <v>38</v>
      </c>
      <c r="D1131" t="str">
        <f>VLOOKUP(B1131,Products!$A:$E,2,FALSE)</f>
        <v>Product_32</v>
      </c>
      <c r="E1131" t="str">
        <f>VLOOKUP(B1131,Products!$A:$E,3,FALSE)</f>
        <v>Networking</v>
      </c>
    </row>
    <row r="1132" spans="1:5" x14ac:dyDescent="0.3">
      <c r="A1132" t="s">
        <v>7144</v>
      </c>
      <c r="B1132" t="s">
        <v>558</v>
      </c>
      <c r="C1132">
        <v>13</v>
      </c>
      <c r="D1132" t="str">
        <f>VLOOKUP(B1132,Products!$A:$E,2,FALSE)</f>
        <v>Product_275</v>
      </c>
      <c r="E1132" t="str">
        <f>VLOOKUP(B1132,Products!$A:$E,3,FALSE)</f>
        <v>Accessories</v>
      </c>
    </row>
    <row r="1133" spans="1:5" x14ac:dyDescent="0.3">
      <c r="A1133" t="s">
        <v>7145</v>
      </c>
      <c r="B1133" t="s">
        <v>876</v>
      </c>
      <c r="C1133">
        <v>25</v>
      </c>
      <c r="D1133" t="str">
        <f>VLOOKUP(B1133,Products!$A:$E,2,FALSE)</f>
        <v>Product_434</v>
      </c>
      <c r="E1133" t="str">
        <f>VLOOKUP(B1133,Products!$A:$E,3,FALSE)</f>
        <v>Office Supplies</v>
      </c>
    </row>
    <row r="1134" spans="1:5" x14ac:dyDescent="0.3">
      <c r="A1134" t="s">
        <v>7146</v>
      </c>
      <c r="B1134" t="s">
        <v>442</v>
      </c>
      <c r="C1134">
        <v>21</v>
      </c>
      <c r="D1134" t="str">
        <f>VLOOKUP(B1134,Products!$A:$E,2,FALSE)</f>
        <v>Product_217</v>
      </c>
      <c r="E1134" t="str">
        <f>VLOOKUP(B1134,Products!$A:$E,3,FALSE)</f>
        <v>Networking</v>
      </c>
    </row>
    <row r="1135" spans="1:5" x14ac:dyDescent="0.3">
      <c r="A1135" t="s">
        <v>7147</v>
      </c>
      <c r="B1135" t="s">
        <v>798</v>
      </c>
      <c r="C1135">
        <v>24</v>
      </c>
      <c r="D1135" t="str">
        <f>VLOOKUP(B1135,Products!$A:$E,2,FALSE)</f>
        <v>Product_395</v>
      </c>
      <c r="E1135" t="str">
        <f>VLOOKUP(B1135,Products!$A:$E,3,FALSE)</f>
        <v>Accessories</v>
      </c>
    </row>
    <row r="1136" spans="1:5" x14ac:dyDescent="0.3">
      <c r="A1136" t="s">
        <v>7148</v>
      </c>
      <c r="B1136" t="s">
        <v>826</v>
      </c>
      <c r="C1136">
        <v>44</v>
      </c>
      <c r="D1136" t="str">
        <f>VLOOKUP(B1136,Products!$A:$E,2,FALSE)</f>
        <v>Product_409</v>
      </c>
      <c r="E1136" t="str">
        <f>VLOOKUP(B1136,Products!$A:$E,3,FALSE)</f>
        <v>Office Supplies</v>
      </c>
    </row>
    <row r="1137" spans="1:5" x14ac:dyDescent="0.3">
      <c r="A1137" t="s">
        <v>7149</v>
      </c>
      <c r="B1137" t="s">
        <v>966</v>
      </c>
      <c r="C1137">
        <v>9</v>
      </c>
      <c r="D1137" t="str">
        <f>VLOOKUP(B1137,Products!$A:$E,2,FALSE)</f>
        <v>Product_479</v>
      </c>
      <c r="E1137" t="str">
        <f>VLOOKUP(B1137,Products!$A:$E,3,FALSE)</f>
        <v>Office Supplies</v>
      </c>
    </row>
    <row r="1138" spans="1:5" x14ac:dyDescent="0.3">
      <c r="A1138" t="s">
        <v>7150</v>
      </c>
      <c r="B1138" t="s">
        <v>542</v>
      </c>
      <c r="C1138">
        <v>43</v>
      </c>
      <c r="D1138" t="str">
        <f>VLOOKUP(B1138,Products!$A:$E,2,FALSE)</f>
        <v>Product_267</v>
      </c>
      <c r="E1138" t="str">
        <f>VLOOKUP(B1138,Products!$A:$E,3,FALSE)</f>
        <v>Networking</v>
      </c>
    </row>
    <row r="1139" spans="1:5" x14ac:dyDescent="0.3">
      <c r="A1139" t="s">
        <v>7151</v>
      </c>
      <c r="B1139" t="s">
        <v>626</v>
      </c>
      <c r="C1139">
        <v>38</v>
      </c>
      <c r="D1139" t="str">
        <f>VLOOKUP(B1139,Products!$A:$E,2,FALSE)</f>
        <v>Product_309</v>
      </c>
      <c r="E1139" t="str">
        <f>VLOOKUP(B1139,Products!$A:$E,3,FALSE)</f>
        <v>Networking</v>
      </c>
    </row>
    <row r="1140" spans="1:5" x14ac:dyDescent="0.3">
      <c r="A1140" t="s">
        <v>7152</v>
      </c>
      <c r="B1140" t="s">
        <v>236</v>
      </c>
      <c r="C1140">
        <v>7</v>
      </c>
      <c r="D1140" t="str">
        <f>VLOOKUP(B1140,Products!$A:$E,2,FALSE)</f>
        <v>Product_114</v>
      </c>
      <c r="E1140" t="str">
        <f>VLOOKUP(B1140,Products!$A:$E,3,FALSE)</f>
        <v>Electronics</v>
      </c>
    </row>
    <row r="1141" spans="1:5" x14ac:dyDescent="0.3">
      <c r="A1141" t="s">
        <v>7153</v>
      </c>
      <c r="B1141" t="s">
        <v>414</v>
      </c>
      <c r="C1141">
        <v>1</v>
      </c>
      <c r="D1141" t="str">
        <f>VLOOKUP(B1141,Products!$A:$E,2,FALSE)</f>
        <v>Product_203</v>
      </c>
      <c r="E1141" t="str">
        <f>VLOOKUP(B1141,Products!$A:$E,3,FALSE)</f>
        <v>Accessories</v>
      </c>
    </row>
    <row r="1142" spans="1:5" x14ac:dyDescent="0.3">
      <c r="A1142" t="s">
        <v>7154</v>
      </c>
      <c r="B1142" t="s">
        <v>560</v>
      </c>
      <c r="C1142">
        <v>30</v>
      </c>
      <c r="D1142" t="str">
        <f>VLOOKUP(B1142,Products!$A:$E,2,FALSE)</f>
        <v>Product_276</v>
      </c>
      <c r="E1142" t="str">
        <f>VLOOKUP(B1142,Products!$A:$E,3,FALSE)</f>
        <v>Office Supplies</v>
      </c>
    </row>
    <row r="1143" spans="1:5" x14ac:dyDescent="0.3">
      <c r="A1143" t="s">
        <v>7155</v>
      </c>
      <c r="B1143" t="s">
        <v>332</v>
      </c>
      <c r="C1143">
        <v>10</v>
      </c>
      <c r="D1143" t="str">
        <f>VLOOKUP(B1143,Products!$A:$E,2,FALSE)</f>
        <v>Product_162</v>
      </c>
      <c r="E1143" t="str">
        <f>VLOOKUP(B1143,Products!$A:$E,3,FALSE)</f>
        <v>Accessories</v>
      </c>
    </row>
    <row r="1144" spans="1:5" x14ac:dyDescent="0.3">
      <c r="A1144" t="s">
        <v>7156</v>
      </c>
      <c r="B1144" t="s">
        <v>844</v>
      </c>
      <c r="C1144">
        <v>19</v>
      </c>
      <c r="D1144" t="str">
        <f>VLOOKUP(B1144,Products!$A:$E,2,FALSE)</f>
        <v>Product_418</v>
      </c>
      <c r="E1144" t="str">
        <f>VLOOKUP(B1144,Products!$A:$E,3,FALSE)</f>
        <v>Office Supplies</v>
      </c>
    </row>
    <row r="1145" spans="1:5" x14ac:dyDescent="0.3">
      <c r="A1145" t="s">
        <v>7157</v>
      </c>
      <c r="B1145" t="s">
        <v>866</v>
      </c>
      <c r="C1145">
        <v>15</v>
      </c>
      <c r="D1145" t="str">
        <f>VLOOKUP(B1145,Products!$A:$E,2,FALSE)</f>
        <v>Product_429</v>
      </c>
      <c r="E1145" t="str">
        <f>VLOOKUP(B1145,Products!$A:$E,3,FALSE)</f>
        <v>Office Supplies</v>
      </c>
    </row>
    <row r="1146" spans="1:5" x14ac:dyDescent="0.3">
      <c r="A1146" t="s">
        <v>7158</v>
      </c>
      <c r="B1146" t="s">
        <v>520</v>
      </c>
      <c r="C1146">
        <v>44</v>
      </c>
      <c r="D1146" t="str">
        <f>VLOOKUP(B1146,Products!$A:$E,2,FALSE)</f>
        <v>Product_256</v>
      </c>
      <c r="E1146" t="str">
        <f>VLOOKUP(B1146,Products!$A:$E,3,FALSE)</f>
        <v>Office Supplies</v>
      </c>
    </row>
    <row r="1147" spans="1:5" x14ac:dyDescent="0.3">
      <c r="A1147" t="s">
        <v>7159</v>
      </c>
      <c r="B1147" t="s">
        <v>476</v>
      </c>
      <c r="C1147">
        <v>10</v>
      </c>
      <c r="D1147" t="str">
        <f>VLOOKUP(B1147,Products!$A:$E,2,FALSE)</f>
        <v>Product_234</v>
      </c>
      <c r="E1147" t="str">
        <f>VLOOKUP(B1147,Products!$A:$E,3,FALSE)</f>
        <v>Networking</v>
      </c>
    </row>
    <row r="1148" spans="1:5" x14ac:dyDescent="0.3">
      <c r="A1148" t="s">
        <v>7160</v>
      </c>
      <c r="B1148" t="s">
        <v>624</v>
      </c>
      <c r="C1148">
        <v>19</v>
      </c>
      <c r="D1148" t="str">
        <f>VLOOKUP(B1148,Products!$A:$E,2,FALSE)</f>
        <v>Product_308</v>
      </c>
      <c r="E1148" t="str">
        <f>VLOOKUP(B1148,Products!$A:$E,3,FALSE)</f>
        <v>Storage</v>
      </c>
    </row>
    <row r="1149" spans="1:5" x14ac:dyDescent="0.3">
      <c r="A1149" t="s">
        <v>7161</v>
      </c>
      <c r="B1149" t="s">
        <v>158</v>
      </c>
      <c r="C1149">
        <v>48</v>
      </c>
      <c r="D1149" t="str">
        <f>VLOOKUP(B1149,Products!$A:$E,2,FALSE)</f>
        <v>Product_75</v>
      </c>
      <c r="E1149" t="str">
        <f>VLOOKUP(B1149,Products!$A:$E,3,FALSE)</f>
        <v>Storage</v>
      </c>
    </row>
    <row r="1150" spans="1:5" x14ac:dyDescent="0.3">
      <c r="A1150" t="s">
        <v>7162</v>
      </c>
      <c r="B1150" t="s">
        <v>690</v>
      </c>
      <c r="C1150">
        <v>45</v>
      </c>
      <c r="D1150" t="str">
        <f>VLOOKUP(B1150,Products!$A:$E,2,FALSE)</f>
        <v>Product_341</v>
      </c>
      <c r="E1150" t="str">
        <f>VLOOKUP(B1150,Products!$A:$E,3,FALSE)</f>
        <v>Storage</v>
      </c>
    </row>
    <row r="1151" spans="1:5" x14ac:dyDescent="0.3">
      <c r="A1151" t="s">
        <v>7163</v>
      </c>
      <c r="B1151" t="s">
        <v>44</v>
      </c>
      <c r="C1151">
        <v>39</v>
      </c>
      <c r="D1151" t="str">
        <f>VLOOKUP(B1151,Products!$A:$E,2,FALSE)</f>
        <v>Product_18</v>
      </c>
      <c r="E1151" t="str">
        <f>VLOOKUP(B1151,Products!$A:$E,3,FALSE)</f>
        <v>Networking</v>
      </c>
    </row>
    <row r="1152" spans="1:5" x14ac:dyDescent="0.3">
      <c r="A1152" t="s">
        <v>7164</v>
      </c>
      <c r="B1152" t="s">
        <v>336</v>
      </c>
      <c r="C1152">
        <v>20</v>
      </c>
      <c r="D1152" t="str">
        <f>VLOOKUP(B1152,Products!$A:$E,2,FALSE)</f>
        <v>Product_164</v>
      </c>
      <c r="E1152" t="str">
        <f>VLOOKUP(B1152,Products!$A:$E,3,FALSE)</f>
        <v>Networking</v>
      </c>
    </row>
    <row r="1153" spans="1:5" x14ac:dyDescent="0.3">
      <c r="A1153" t="s">
        <v>7165</v>
      </c>
      <c r="B1153" t="s">
        <v>524</v>
      </c>
      <c r="C1153">
        <v>45</v>
      </c>
      <c r="D1153" t="str">
        <f>VLOOKUP(B1153,Products!$A:$E,2,FALSE)</f>
        <v>Product_258</v>
      </c>
      <c r="E1153" t="str">
        <f>VLOOKUP(B1153,Products!$A:$E,3,FALSE)</f>
        <v>Networking</v>
      </c>
    </row>
    <row r="1154" spans="1:5" x14ac:dyDescent="0.3">
      <c r="A1154" t="s">
        <v>7166</v>
      </c>
      <c r="B1154" t="s">
        <v>136</v>
      </c>
      <c r="C1154">
        <v>18</v>
      </c>
      <c r="D1154" t="str">
        <f>VLOOKUP(B1154,Products!$A:$E,2,FALSE)</f>
        <v>Product_64</v>
      </c>
      <c r="E1154" t="str">
        <f>VLOOKUP(B1154,Products!$A:$E,3,FALSE)</f>
        <v>Storage</v>
      </c>
    </row>
    <row r="1155" spans="1:5" x14ac:dyDescent="0.3">
      <c r="A1155" t="s">
        <v>7167</v>
      </c>
      <c r="B1155" t="s">
        <v>878</v>
      </c>
      <c r="C1155">
        <v>46</v>
      </c>
      <c r="D1155" t="str">
        <f>VLOOKUP(B1155,Products!$A:$E,2,FALSE)</f>
        <v>Product_435</v>
      </c>
      <c r="E1155" t="str">
        <f>VLOOKUP(B1155,Products!$A:$E,3,FALSE)</f>
        <v>Accessories</v>
      </c>
    </row>
    <row r="1156" spans="1:5" x14ac:dyDescent="0.3">
      <c r="A1156" t="s">
        <v>7168</v>
      </c>
      <c r="B1156" t="s">
        <v>596</v>
      </c>
      <c r="C1156">
        <v>31</v>
      </c>
      <c r="D1156" t="str">
        <f>VLOOKUP(B1156,Products!$A:$E,2,FALSE)</f>
        <v>Product_294</v>
      </c>
      <c r="E1156" t="str">
        <f>VLOOKUP(B1156,Products!$A:$E,3,FALSE)</f>
        <v>Networking</v>
      </c>
    </row>
    <row r="1157" spans="1:5" x14ac:dyDescent="0.3">
      <c r="A1157" t="s">
        <v>7169</v>
      </c>
      <c r="B1157" t="s">
        <v>656</v>
      </c>
      <c r="C1157">
        <v>14</v>
      </c>
      <c r="D1157" t="str">
        <f>VLOOKUP(B1157,Products!$A:$E,2,FALSE)</f>
        <v>Product_324</v>
      </c>
      <c r="E1157" t="str">
        <f>VLOOKUP(B1157,Products!$A:$E,3,FALSE)</f>
        <v>Accessories</v>
      </c>
    </row>
    <row r="1158" spans="1:5" x14ac:dyDescent="0.3">
      <c r="A1158" t="s">
        <v>7170</v>
      </c>
      <c r="B1158" t="s">
        <v>516</v>
      </c>
      <c r="C1158">
        <v>19</v>
      </c>
      <c r="D1158" t="str">
        <f>VLOOKUP(B1158,Products!$A:$E,2,FALSE)</f>
        <v>Product_254</v>
      </c>
      <c r="E1158" t="str">
        <f>VLOOKUP(B1158,Products!$A:$E,3,FALSE)</f>
        <v>Office Supplies</v>
      </c>
    </row>
    <row r="1159" spans="1:5" x14ac:dyDescent="0.3">
      <c r="A1159" t="s">
        <v>7171</v>
      </c>
      <c r="B1159" t="s">
        <v>730</v>
      </c>
      <c r="C1159">
        <v>25</v>
      </c>
      <c r="D1159" t="str">
        <f>VLOOKUP(B1159,Products!$A:$E,2,FALSE)</f>
        <v>Product_361</v>
      </c>
      <c r="E1159" t="str">
        <f>VLOOKUP(B1159,Products!$A:$E,3,FALSE)</f>
        <v>Office Supplies</v>
      </c>
    </row>
    <row r="1160" spans="1:5" x14ac:dyDescent="0.3">
      <c r="A1160" t="s">
        <v>7172</v>
      </c>
      <c r="B1160" t="s">
        <v>70</v>
      </c>
      <c r="C1160">
        <v>22</v>
      </c>
      <c r="D1160" t="str">
        <f>VLOOKUP(B1160,Products!$A:$E,2,FALSE)</f>
        <v>Product_31</v>
      </c>
      <c r="E1160" t="str">
        <f>VLOOKUP(B1160,Products!$A:$E,3,FALSE)</f>
        <v>Accessories</v>
      </c>
    </row>
    <row r="1161" spans="1:5" x14ac:dyDescent="0.3">
      <c r="A1161" t="s">
        <v>7173</v>
      </c>
      <c r="B1161" t="s">
        <v>166</v>
      </c>
      <c r="C1161">
        <v>46</v>
      </c>
      <c r="D1161" t="str">
        <f>VLOOKUP(B1161,Products!$A:$E,2,FALSE)</f>
        <v>Product_79</v>
      </c>
      <c r="E1161" t="str">
        <f>VLOOKUP(B1161,Products!$A:$E,3,FALSE)</f>
        <v>Storage</v>
      </c>
    </row>
    <row r="1162" spans="1:5" x14ac:dyDescent="0.3">
      <c r="A1162" t="s">
        <v>7174</v>
      </c>
      <c r="B1162" t="s">
        <v>224</v>
      </c>
      <c r="C1162">
        <v>47</v>
      </c>
      <c r="D1162" t="str">
        <f>VLOOKUP(B1162,Products!$A:$E,2,FALSE)</f>
        <v>Product_108</v>
      </c>
      <c r="E1162" t="str">
        <f>VLOOKUP(B1162,Products!$A:$E,3,FALSE)</f>
        <v>Networking</v>
      </c>
    </row>
    <row r="1163" spans="1:5" x14ac:dyDescent="0.3">
      <c r="A1163" t="s">
        <v>7175</v>
      </c>
      <c r="B1163" t="s">
        <v>966</v>
      </c>
      <c r="C1163">
        <v>15</v>
      </c>
      <c r="D1163" t="str">
        <f>VLOOKUP(B1163,Products!$A:$E,2,FALSE)</f>
        <v>Product_479</v>
      </c>
      <c r="E1163" t="str">
        <f>VLOOKUP(B1163,Products!$A:$E,3,FALSE)</f>
        <v>Office Supplies</v>
      </c>
    </row>
    <row r="1164" spans="1:5" x14ac:dyDescent="0.3">
      <c r="A1164" t="s">
        <v>7176</v>
      </c>
      <c r="B1164" t="s">
        <v>726</v>
      </c>
      <c r="C1164">
        <v>48</v>
      </c>
      <c r="D1164" t="str">
        <f>VLOOKUP(B1164,Products!$A:$E,2,FALSE)</f>
        <v>Product_359</v>
      </c>
      <c r="E1164" t="str">
        <f>VLOOKUP(B1164,Products!$A:$E,3,FALSE)</f>
        <v>Electronics</v>
      </c>
    </row>
    <row r="1165" spans="1:5" x14ac:dyDescent="0.3">
      <c r="A1165" t="s">
        <v>7177</v>
      </c>
      <c r="B1165" t="s">
        <v>62</v>
      </c>
      <c r="C1165">
        <v>50</v>
      </c>
      <c r="D1165" t="str">
        <f>VLOOKUP(B1165,Products!$A:$E,2,FALSE)</f>
        <v>Product_27</v>
      </c>
      <c r="E1165" t="str">
        <f>VLOOKUP(B1165,Products!$A:$E,3,FALSE)</f>
        <v>Office Supplies</v>
      </c>
    </row>
    <row r="1166" spans="1:5" x14ac:dyDescent="0.3">
      <c r="A1166" t="s">
        <v>7178</v>
      </c>
      <c r="B1166" t="s">
        <v>192</v>
      </c>
      <c r="C1166">
        <v>32</v>
      </c>
      <c r="D1166" t="str">
        <f>VLOOKUP(B1166,Products!$A:$E,2,FALSE)</f>
        <v>Product_92</v>
      </c>
      <c r="E1166" t="str">
        <f>VLOOKUP(B1166,Products!$A:$E,3,FALSE)</f>
        <v>Electronics</v>
      </c>
    </row>
    <row r="1167" spans="1:5" x14ac:dyDescent="0.3">
      <c r="A1167" t="s">
        <v>7179</v>
      </c>
      <c r="B1167" t="s">
        <v>754</v>
      </c>
      <c r="C1167">
        <v>26</v>
      </c>
      <c r="D1167" t="str">
        <f>VLOOKUP(B1167,Products!$A:$E,2,FALSE)</f>
        <v>Product_373</v>
      </c>
      <c r="E1167" t="str">
        <f>VLOOKUP(B1167,Products!$A:$E,3,FALSE)</f>
        <v>Office Supplies</v>
      </c>
    </row>
    <row r="1168" spans="1:5" x14ac:dyDescent="0.3">
      <c r="A1168" t="s">
        <v>7180</v>
      </c>
      <c r="B1168" t="s">
        <v>316</v>
      </c>
      <c r="C1168">
        <v>43</v>
      </c>
      <c r="D1168" t="str">
        <f>VLOOKUP(B1168,Products!$A:$E,2,FALSE)</f>
        <v>Product_154</v>
      </c>
      <c r="E1168" t="str">
        <f>VLOOKUP(B1168,Products!$A:$E,3,FALSE)</f>
        <v>Accessories</v>
      </c>
    </row>
    <row r="1169" spans="1:5" x14ac:dyDescent="0.3">
      <c r="A1169" t="s">
        <v>7181</v>
      </c>
      <c r="B1169" t="s">
        <v>944</v>
      </c>
      <c r="C1169">
        <v>11</v>
      </c>
      <c r="D1169" t="str">
        <f>VLOOKUP(B1169,Products!$A:$E,2,FALSE)</f>
        <v>Product_468</v>
      </c>
      <c r="E1169" t="str">
        <f>VLOOKUP(B1169,Products!$A:$E,3,FALSE)</f>
        <v>Office Supplies</v>
      </c>
    </row>
    <row r="1170" spans="1:5" x14ac:dyDescent="0.3">
      <c r="A1170" t="s">
        <v>7182</v>
      </c>
      <c r="B1170" t="s">
        <v>32</v>
      </c>
      <c r="C1170">
        <v>36</v>
      </c>
      <c r="D1170" t="str">
        <f>VLOOKUP(B1170,Products!$A:$E,2,FALSE)</f>
        <v>Product_12</v>
      </c>
      <c r="E1170" t="str">
        <f>VLOOKUP(B1170,Products!$A:$E,3,FALSE)</f>
        <v>Accessories</v>
      </c>
    </row>
    <row r="1171" spans="1:5" x14ac:dyDescent="0.3">
      <c r="A1171" t="s">
        <v>7183</v>
      </c>
      <c r="B1171" t="s">
        <v>410</v>
      </c>
      <c r="C1171">
        <v>22</v>
      </c>
      <c r="D1171" t="str">
        <f>VLOOKUP(B1171,Products!$A:$E,2,FALSE)</f>
        <v>Product_201</v>
      </c>
      <c r="E1171" t="str">
        <f>VLOOKUP(B1171,Products!$A:$E,3,FALSE)</f>
        <v>Networking</v>
      </c>
    </row>
    <row r="1172" spans="1:5" x14ac:dyDescent="0.3">
      <c r="A1172" t="s">
        <v>7184</v>
      </c>
      <c r="B1172" t="s">
        <v>442</v>
      </c>
      <c r="C1172">
        <v>44</v>
      </c>
      <c r="D1172" t="str">
        <f>VLOOKUP(B1172,Products!$A:$E,2,FALSE)</f>
        <v>Product_217</v>
      </c>
      <c r="E1172" t="str">
        <f>VLOOKUP(B1172,Products!$A:$E,3,FALSE)</f>
        <v>Networking</v>
      </c>
    </row>
    <row r="1173" spans="1:5" x14ac:dyDescent="0.3">
      <c r="A1173" t="s">
        <v>7185</v>
      </c>
      <c r="B1173" t="s">
        <v>494</v>
      </c>
      <c r="C1173">
        <v>23</v>
      </c>
      <c r="D1173" t="str">
        <f>VLOOKUP(B1173,Products!$A:$E,2,FALSE)</f>
        <v>Product_243</v>
      </c>
      <c r="E1173" t="str">
        <f>VLOOKUP(B1173,Products!$A:$E,3,FALSE)</f>
        <v>Storage</v>
      </c>
    </row>
    <row r="1174" spans="1:5" x14ac:dyDescent="0.3">
      <c r="A1174" t="s">
        <v>7186</v>
      </c>
      <c r="B1174" t="s">
        <v>784</v>
      </c>
      <c r="C1174">
        <v>26</v>
      </c>
      <c r="D1174" t="str">
        <f>VLOOKUP(B1174,Products!$A:$E,2,FALSE)</f>
        <v>Product_388</v>
      </c>
      <c r="E1174" t="str">
        <f>VLOOKUP(B1174,Products!$A:$E,3,FALSE)</f>
        <v>Office Supplies</v>
      </c>
    </row>
    <row r="1175" spans="1:5" x14ac:dyDescent="0.3">
      <c r="A1175" t="s">
        <v>7187</v>
      </c>
      <c r="B1175" t="s">
        <v>410</v>
      </c>
      <c r="C1175">
        <v>5</v>
      </c>
      <c r="D1175" t="str">
        <f>VLOOKUP(B1175,Products!$A:$E,2,FALSE)</f>
        <v>Product_201</v>
      </c>
      <c r="E1175" t="str">
        <f>VLOOKUP(B1175,Products!$A:$E,3,FALSE)</f>
        <v>Networking</v>
      </c>
    </row>
    <row r="1176" spans="1:5" x14ac:dyDescent="0.3">
      <c r="A1176" t="s">
        <v>7188</v>
      </c>
      <c r="B1176" t="s">
        <v>550</v>
      </c>
      <c r="C1176">
        <v>47</v>
      </c>
      <c r="D1176" t="str">
        <f>VLOOKUP(B1176,Products!$A:$E,2,FALSE)</f>
        <v>Product_271</v>
      </c>
      <c r="E1176" t="str">
        <f>VLOOKUP(B1176,Products!$A:$E,3,FALSE)</f>
        <v>Electronics</v>
      </c>
    </row>
    <row r="1177" spans="1:5" x14ac:dyDescent="0.3">
      <c r="A1177" t="s">
        <v>7189</v>
      </c>
      <c r="B1177" t="s">
        <v>298</v>
      </c>
      <c r="C1177">
        <v>19</v>
      </c>
      <c r="D1177" t="str">
        <f>VLOOKUP(B1177,Products!$A:$E,2,FALSE)</f>
        <v>Product_145</v>
      </c>
      <c r="E1177" t="str">
        <f>VLOOKUP(B1177,Products!$A:$E,3,FALSE)</f>
        <v>Office Supplies</v>
      </c>
    </row>
    <row r="1178" spans="1:5" x14ac:dyDescent="0.3">
      <c r="A1178" t="s">
        <v>7190</v>
      </c>
      <c r="B1178" t="s">
        <v>722</v>
      </c>
      <c r="C1178">
        <v>13</v>
      </c>
      <c r="D1178" t="str">
        <f>VLOOKUP(B1178,Products!$A:$E,2,FALSE)</f>
        <v>Product_357</v>
      </c>
      <c r="E1178" t="str">
        <f>VLOOKUP(B1178,Products!$A:$E,3,FALSE)</f>
        <v>Accessories</v>
      </c>
    </row>
    <row r="1179" spans="1:5" x14ac:dyDescent="0.3">
      <c r="A1179" t="s">
        <v>7191</v>
      </c>
      <c r="B1179" t="s">
        <v>726</v>
      </c>
      <c r="C1179">
        <v>36</v>
      </c>
      <c r="D1179" t="str">
        <f>VLOOKUP(B1179,Products!$A:$E,2,FALSE)</f>
        <v>Product_359</v>
      </c>
      <c r="E1179" t="str">
        <f>VLOOKUP(B1179,Products!$A:$E,3,FALSE)</f>
        <v>Electronics</v>
      </c>
    </row>
    <row r="1180" spans="1:5" x14ac:dyDescent="0.3">
      <c r="A1180" t="s">
        <v>7192</v>
      </c>
      <c r="B1180" t="s">
        <v>412</v>
      </c>
      <c r="C1180">
        <v>7</v>
      </c>
      <c r="D1180" t="str">
        <f>VLOOKUP(B1180,Products!$A:$E,2,FALSE)</f>
        <v>Product_202</v>
      </c>
      <c r="E1180" t="str">
        <f>VLOOKUP(B1180,Products!$A:$E,3,FALSE)</f>
        <v>Storage</v>
      </c>
    </row>
    <row r="1181" spans="1:5" x14ac:dyDescent="0.3">
      <c r="A1181" t="s">
        <v>7193</v>
      </c>
      <c r="B1181" t="s">
        <v>144</v>
      </c>
      <c r="C1181">
        <v>21</v>
      </c>
      <c r="D1181" t="str">
        <f>VLOOKUP(B1181,Products!$A:$E,2,FALSE)</f>
        <v>Product_68</v>
      </c>
      <c r="E1181" t="str">
        <f>VLOOKUP(B1181,Products!$A:$E,3,FALSE)</f>
        <v>Accessories</v>
      </c>
    </row>
    <row r="1182" spans="1:5" x14ac:dyDescent="0.3">
      <c r="A1182" t="s">
        <v>7194</v>
      </c>
      <c r="B1182" t="s">
        <v>780</v>
      </c>
      <c r="C1182">
        <v>38</v>
      </c>
      <c r="D1182" t="str">
        <f>VLOOKUP(B1182,Products!$A:$E,2,FALSE)</f>
        <v>Product_386</v>
      </c>
      <c r="E1182" t="str">
        <f>VLOOKUP(B1182,Products!$A:$E,3,FALSE)</f>
        <v>Electronics</v>
      </c>
    </row>
    <row r="1183" spans="1:5" x14ac:dyDescent="0.3">
      <c r="A1183" t="s">
        <v>7195</v>
      </c>
      <c r="B1183" t="s">
        <v>896</v>
      </c>
      <c r="C1183">
        <v>4</v>
      </c>
      <c r="D1183" t="str">
        <f>VLOOKUP(B1183,Products!$A:$E,2,FALSE)</f>
        <v>Product_444</v>
      </c>
      <c r="E1183" t="str">
        <f>VLOOKUP(B1183,Products!$A:$E,3,FALSE)</f>
        <v>Electronics</v>
      </c>
    </row>
    <row r="1184" spans="1:5" x14ac:dyDescent="0.3">
      <c r="A1184" t="s">
        <v>7196</v>
      </c>
      <c r="B1184" t="s">
        <v>880</v>
      </c>
      <c r="C1184">
        <v>46</v>
      </c>
      <c r="D1184" t="str">
        <f>VLOOKUP(B1184,Products!$A:$E,2,FALSE)</f>
        <v>Product_436</v>
      </c>
      <c r="E1184" t="str">
        <f>VLOOKUP(B1184,Products!$A:$E,3,FALSE)</f>
        <v>Networking</v>
      </c>
    </row>
    <row r="1185" spans="1:5" x14ac:dyDescent="0.3">
      <c r="A1185" t="s">
        <v>7197</v>
      </c>
      <c r="B1185" t="s">
        <v>320</v>
      </c>
      <c r="C1185">
        <v>30</v>
      </c>
      <c r="D1185" t="str">
        <f>VLOOKUP(B1185,Products!$A:$E,2,FALSE)</f>
        <v>Product_156</v>
      </c>
      <c r="E1185" t="str">
        <f>VLOOKUP(B1185,Products!$A:$E,3,FALSE)</f>
        <v>Accessories</v>
      </c>
    </row>
    <row r="1186" spans="1:5" x14ac:dyDescent="0.3">
      <c r="A1186" t="s">
        <v>7198</v>
      </c>
      <c r="B1186" t="s">
        <v>680</v>
      </c>
      <c r="C1186">
        <v>11</v>
      </c>
      <c r="D1186" t="str">
        <f>VLOOKUP(B1186,Products!$A:$E,2,FALSE)</f>
        <v>Product_336</v>
      </c>
      <c r="E1186" t="str">
        <f>VLOOKUP(B1186,Products!$A:$E,3,FALSE)</f>
        <v>Storage</v>
      </c>
    </row>
    <row r="1187" spans="1:5" x14ac:dyDescent="0.3">
      <c r="A1187" t="s">
        <v>7199</v>
      </c>
      <c r="B1187" t="s">
        <v>600</v>
      </c>
      <c r="C1187">
        <v>9</v>
      </c>
      <c r="D1187" t="str">
        <f>VLOOKUP(B1187,Products!$A:$E,2,FALSE)</f>
        <v>Product_296</v>
      </c>
      <c r="E1187" t="str">
        <f>VLOOKUP(B1187,Products!$A:$E,3,FALSE)</f>
        <v>Office Supplies</v>
      </c>
    </row>
    <row r="1188" spans="1:5" x14ac:dyDescent="0.3">
      <c r="A1188" t="s">
        <v>7200</v>
      </c>
      <c r="B1188" t="s">
        <v>462</v>
      </c>
      <c r="C1188">
        <v>45</v>
      </c>
      <c r="D1188" t="str">
        <f>VLOOKUP(B1188,Products!$A:$E,2,FALSE)</f>
        <v>Product_227</v>
      </c>
      <c r="E1188" t="str">
        <f>VLOOKUP(B1188,Products!$A:$E,3,FALSE)</f>
        <v>Accessories</v>
      </c>
    </row>
    <row r="1189" spans="1:5" x14ac:dyDescent="0.3">
      <c r="A1189" t="s">
        <v>7201</v>
      </c>
      <c r="B1189" t="s">
        <v>504</v>
      </c>
      <c r="C1189">
        <v>19</v>
      </c>
      <c r="D1189" t="str">
        <f>VLOOKUP(B1189,Products!$A:$E,2,FALSE)</f>
        <v>Product_248</v>
      </c>
      <c r="E1189" t="str">
        <f>VLOOKUP(B1189,Products!$A:$E,3,FALSE)</f>
        <v>Networking</v>
      </c>
    </row>
    <row r="1190" spans="1:5" x14ac:dyDescent="0.3">
      <c r="A1190" t="s">
        <v>7202</v>
      </c>
      <c r="B1190" t="s">
        <v>928</v>
      </c>
      <c r="C1190">
        <v>10</v>
      </c>
      <c r="D1190" t="str">
        <f>VLOOKUP(B1190,Products!$A:$E,2,FALSE)</f>
        <v>Product_460</v>
      </c>
      <c r="E1190" t="str">
        <f>VLOOKUP(B1190,Products!$A:$E,3,FALSE)</f>
        <v>Accessories</v>
      </c>
    </row>
    <row r="1191" spans="1:5" x14ac:dyDescent="0.3">
      <c r="A1191" t="s">
        <v>7203</v>
      </c>
      <c r="B1191" t="s">
        <v>224</v>
      </c>
      <c r="C1191">
        <v>14</v>
      </c>
      <c r="D1191" t="str">
        <f>VLOOKUP(B1191,Products!$A:$E,2,FALSE)</f>
        <v>Product_108</v>
      </c>
      <c r="E1191" t="str">
        <f>VLOOKUP(B1191,Products!$A:$E,3,FALSE)</f>
        <v>Networking</v>
      </c>
    </row>
    <row r="1192" spans="1:5" x14ac:dyDescent="0.3">
      <c r="A1192" t="s">
        <v>7204</v>
      </c>
      <c r="B1192" t="s">
        <v>832</v>
      </c>
      <c r="C1192">
        <v>48</v>
      </c>
      <c r="D1192" t="str">
        <f>VLOOKUP(B1192,Products!$A:$E,2,FALSE)</f>
        <v>Product_412</v>
      </c>
      <c r="E1192" t="str">
        <f>VLOOKUP(B1192,Products!$A:$E,3,FALSE)</f>
        <v>Accessories</v>
      </c>
    </row>
    <row r="1193" spans="1:5" x14ac:dyDescent="0.3">
      <c r="A1193" t="s">
        <v>7205</v>
      </c>
      <c r="B1193" t="s">
        <v>210</v>
      </c>
      <c r="C1193">
        <v>48</v>
      </c>
      <c r="D1193" t="str">
        <f>VLOOKUP(B1193,Products!$A:$E,2,FALSE)</f>
        <v>Product_101</v>
      </c>
      <c r="E1193" t="str">
        <f>VLOOKUP(B1193,Products!$A:$E,3,FALSE)</f>
        <v>Storage</v>
      </c>
    </row>
    <row r="1194" spans="1:5" x14ac:dyDescent="0.3">
      <c r="A1194" t="s">
        <v>7206</v>
      </c>
      <c r="B1194" t="s">
        <v>676</v>
      </c>
      <c r="C1194">
        <v>1</v>
      </c>
      <c r="D1194" t="str">
        <f>VLOOKUP(B1194,Products!$A:$E,2,FALSE)</f>
        <v>Product_334</v>
      </c>
      <c r="E1194" t="str">
        <f>VLOOKUP(B1194,Products!$A:$E,3,FALSE)</f>
        <v>Accessories</v>
      </c>
    </row>
    <row r="1195" spans="1:5" x14ac:dyDescent="0.3">
      <c r="A1195" t="s">
        <v>7207</v>
      </c>
      <c r="B1195" t="s">
        <v>380</v>
      </c>
      <c r="C1195">
        <v>47</v>
      </c>
      <c r="D1195" t="str">
        <f>VLOOKUP(B1195,Products!$A:$E,2,FALSE)</f>
        <v>Product_186</v>
      </c>
      <c r="E1195" t="str">
        <f>VLOOKUP(B1195,Products!$A:$E,3,FALSE)</f>
        <v>Accessories</v>
      </c>
    </row>
    <row r="1196" spans="1:5" x14ac:dyDescent="0.3">
      <c r="A1196" t="s">
        <v>7208</v>
      </c>
      <c r="B1196" t="s">
        <v>886</v>
      </c>
      <c r="C1196">
        <v>37</v>
      </c>
      <c r="D1196" t="str">
        <f>VLOOKUP(B1196,Products!$A:$E,2,FALSE)</f>
        <v>Product_439</v>
      </c>
      <c r="E1196" t="str">
        <f>VLOOKUP(B1196,Products!$A:$E,3,FALSE)</f>
        <v>Networking</v>
      </c>
    </row>
    <row r="1197" spans="1:5" x14ac:dyDescent="0.3">
      <c r="A1197" t="s">
        <v>7209</v>
      </c>
      <c r="B1197" t="s">
        <v>114</v>
      </c>
      <c r="C1197">
        <v>44</v>
      </c>
      <c r="D1197" t="str">
        <f>VLOOKUP(B1197,Products!$A:$E,2,FALSE)</f>
        <v>Product_53</v>
      </c>
      <c r="E1197" t="str">
        <f>VLOOKUP(B1197,Products!$A:$E,3,FALSE)</f>
        <v>Electronics</v>
      </c>
    </row>
    <row r="1198" spans="1:5" x14ac:dyDescent="0.3">
      <c r="A1198" t="s">
        <v>7210</v>
      </c>
      <c r="B1198" t="s">
        <v>814</v>
      </c>
      <c r="C1198">
        <v>10</v>
      </c>
      <c r="D1198" t="str">
        <f>VLOOKUP(B1198,Products!$A:$E,2,FALSE)</f>
        <v>Product_403</v>
      </c>
      <c r="E1198" t="str">
        <f>VLOOKUP(B1198,Products!$A:$E,3,FALSE)</f>
        <v>Networking</v>
      </c>
    </row>
    <row r="1199" spans="1:5" x14ac:dyDescent="0.3">
      <c r="A1199" t="s">
        <v>7211</v>
      </c>
      <c r="B1199" t="s">
        <v>394</v>
      </c>
      <c r="C1199">
        <v>28</v>
      </c>
      <c r="D1199" t="str">
        <f>VLOOKUP(B1199,Products!$A:$E,2,FALSE)</f>
        <v>Product_193</v>
      </c>
      <c r="E1199" t="str">
        <f>VLOOKUP(B1199,Products!$A:$E,3,FALSE)</f>
        <v>Accessories</v>
      </c>
    </row>
    <row r="1200" spans="1:5" x14ac:dyDescent="0.3">
      <c r="A1200" t="s">
        <v>7212</v>
      </c>
      <c r="B1200" t="s">
        <v>704</v>
      </c>
      <c r="C1200">
        <v>11</v>
      </c>
      <c r="D1200" t="str">
        <f>VLOOKUP(B1200,Products!$A:$E,2,FALSE)</f>
        <v>Product_348</v>
      </c>
      <c r="E1200" t="str">
        <f>VLOOKUP(B1200,Products!$A:$E,3,FALSE)</f>
        <v>Electronics</v>
      </c>
    </row>
    <row r="1201" spans="1:5" x14ac:dyDescent="0.3">
      <c r="A1201" t="s">
        <v>7213</v>
      </c>
      <c r="B1201" t="s">
        <v>958</v>
      </c>
      <c r="C1201">
        <v>4</v>
      </c>
      <c r="D1201" t="str">
        <f>VLOOKUP(B1201,Products!$A:$E,2,FALSE)</f>
        <v>Product_475</v>
      </c>
      <c r="E1201" t="str">
        <f>VLOOKUP(B1201,Products!$A:$E,3,FALSE)</f>
        <v>Electronics</v>
      </c>
    </row>
    <row r="1202" spans="1:5" x14ac:dyDescent="0.3">
      <c r="A1202" t="s">
        <v>7214</v>
      </c>
      <c r="B1202" t="s">
        <v>108</v>
      </c>
      <c r="C1202">
        <v>23</v>
      </c>
      <c r="D1202" t="str">
        <f>VLOOKUP(B1202,Products!$A:$E,2,FALSE)</f>
        <v>Product_50</v>
      </c>
      <c r="E1202" t="str">
        <f>VLOOKUP(B1202,Products!$A:$E,3,FALSE)</f>
        <v>Networking</v>
      </c>
    </row>
    <row r="1203" spans="1:5" x14ac:dyDescent="0.3">
      <c r="A1203" t="s">
        <v>7215</v>
      </c>
      <c r="B1203" t="s">
        <v>1006</v>
      </c>
      <c r="C1203">
        <v>31</v>
      </c>
      <c r="D1203" t="str">
        <f>VLOOKUP(B1203,Products!$A:$E,2,FALSE)</f>
        <v>Product_499</v>
      </c>
      <c r="E1203" t="str">
        <f>VLOOKUP(B1203,Products!$A:$E,3,FALSE)</f>
        <v>Office Supplies</v>
      </c>
    </row>
    <row r="1204" spans="1:5" x14ac:dyDescent="0.3">
      <c r="A1204" t="s">
        <v>7216</v>
      </c>
      <c r="B1204" t="s">
        <v>192</v>
      </c>
      <c r="C1204">
        <v>4</v>
      </c>
      <c r="D1204" t="str">
        <f>VLOOKUP(B1204,Products!$A:$E,2,FALSE)</f>
        <v>Product_92</v>
      </c>
      <c r="E1204" t="str">
        <f>VLOOKUP(B1204,Products!$A:$E,3,FALSE)</f>
        <v>Electronics</v>
      </c>
    </row>
    <row r="1205" spans="1:5" x14ac:dyDescent="0.3">
      <c r="A1205" t="s">
        <v>7217</v>
      </c>
      <c r="B1205" t="s">
        <v>130</v>
      </c>
      <c r="C1205">
        <v>33</v>
      </c>
      <c r="D1205" t="str">
        <f>VLOOKUP(B1205,Products!$A:$E,2,FALSE)</f>
        <v>Product_61</v>
      </c>
      <c r="E1205" t="str">
        <f>VLOOKUP(B1205,Products!$A:$E,3,FALSE)</f>
        <v>Storage</v>
      </c>
    </row>
    <row r="1206" spans="1:5" x14ac:dyDescent="0.3">
      <c r="A1206" t="s">
        <v>7218</v>
      </c>
      <c r="B1206" t="s">
        <v>674</v>
      </c>
      <c r="C1206">
        <v>22</v>
      </c>
      <c r="D1206" t="str">
        <f>VLOOKUP(B1206,Products!$A:$E,2,FALSE)</f>
        <v>Product_333</v>
      </c>
      <c r="E1206" t="str">
        <f>VLOOKUP(B1206,Products!$A:$E,3,FALSE)</f>
        <v>Storage</v>
      </c>
    </row>
    <row r="1207" spans="1:5" x14ac:dyDescent="0.3">
      <c r="A1207" t="s">
        <v>7219</v>
      </c>
      <c r="B1207" t="s">
        <v>616</v>
      </c>
      <c r="C1207">
        <v>28</v>
      </c>
      <c r="D1207" t="str">
        <f>VLOOKUP(B1207,Products!$A:$E,2,FALSE)</f>
        <v>Product_304</v>
      </c>
      <c r="E1207" t="str">
        <f>VLOOKUP(B1207,Products!$A:$E,3,FALSE)</f>
        <v>Electronics</v>
      </c>
    </row>
    <row r="1208" spans="1:5" x14ac:dyDescent="0.3">
      <c r="A1208" t="s">
        <v>7220</v>
      </c>
      <c r="B1208" t="s">
        <v>1002</v>
      </c>
      <c r="C1208">
        <v>10</v>
      </c>
      <c r="D1208" t="str">
        <f>VLOOKUP(B1208,Products!$A:$E,2,FALSE)</f>
        <v>Product_497</v>
      </c>
      <c r="E1208" t="str">
        <f>VLOOKUP(B1208,Products!$A:$E,3,FALSE)</f>
        <v>Office Supplies</v>
      </c>
    </row>
    <row r="1209" spans="1:5" x14ac:dyDescent="0.3">
      <c r="A1209" t="s">
        <v>7221</v>
      </c>
      <c r="B1209" t="s">
        <v>652</v>
      </c>
      <c r="C1209">
        <v>47</v>
      </c>
      <c r="D1209" t="str">
        <f>VLOOKUP(B1209,Products!$A:$E,2,FALSE)</f>
        <v>Product_322</v>
      </c>
      <c r="E1209" t="str">
        <f>VLOOKUP(B1209,Products!$A:$E,3,FALSE)</f>
        <v>Accessories</v>
      </c>
    </row>
    <row r="1210" spans="1:5" x14ac:dyDescent="0.3">
      <c r="A1210" t="s">
        <v>7222</v>
      </c>
      <c r="B1210" t="s">
        <v>422</v>
      </c>
      <c r="C1210">
        <v>16</v>
      </c>
      <c r="D1210" t="str">
        <f>VLOOKUP(B1210,Products!$A:$E,2,FALSE)</f>
        <v>Product_207</v>
      </c>
      <c r="E1210" t="str">
        <f>VLOOKUP(B1210,Products!$A:$E,3,FALSE)</f>
        <v>Accessories</v>
      </c>
    </row>
    <row r="1211" spans="1:5" x14ac:dyDescent="0.3">
      <c r="A1211" t="s">
        <v>7223</v>
      </c>
      <c r="B1211" t="s">
        <v>44</v>
      </c>
      <c r="C1211">
        <v>8</v>
      </c>
      <c r="D1211" t="str">
        <f>VLOOKUP(B1211,Products!$A:$E,2,FALSE)</f>
        <v>Product_18</v>
      </c>
      <c r="E1211" t="str">
        <f>VLOOKUP(B1211,Products!$A:$E,3,FALSE)</f>
        <v>Networking</v>
      </c>
    </row>
    <row r="1212" spans="1:5" x14ac:dyDescent="0.3">
      <c r="A1212" t="s">
        <v>7224</v>
      </c>
      <c r="B1212" t="s">
        <v>256</v>
      </c>
      <c r="C1212">
        <v>26</v>
      </c>
      <c r="D1212" t="str">
        <f>VLOOKUP(B1212,Products!$A:$E,2,FALSE)</f>
        <v>Product_124</v>
      </c>
      <c r="E1212" t="str">
        <f>VLOOKUP(B1212,Products!$A:$E,3,FALSE)</f>
        <v>Storage</v>
      </c>
    </row>
    <row r="1213" spans="1:5" x14ac:dyDescent="0.3">
      <c r="A1213" t="s">
        <v>7225</v>
      </c>
      <c r="B1213" t="s">
        <v>510</v>
      </c>
      <c r="C1213">
        <v>20</v>
      </c>
      <c r="D1213" t="str">
        <f>VLOOKUP(B1213,Products!$A:$E,2,FALSE)</f>
        <v>Product_251</v>
      </c>
      <c r="E1213" t="str">
        <f>VLOOKUP(B1213,Products!$A:$E,3,FALSE)</f>
        <v>Electronics</v>
      </c>
    </row>
    <row r="1214" spans="1:5" x14ac:dyDescent="0.3">
      <c r="A1214" t="s">
        <v>7226</v>
      </c>
      <c r="B1214" t="s">
        <v>714</v>
      </c>
      <c r="C1214">
        <v>39</v>
      </c>
      <c r="D1214" t="str">
        <f>VLOOKUP(B1214,Products!$A:$E,2,FALSE)</f>
        <v>Product_353</v>
      </c>
      <c r="E1214" t="str">
        <f>VLOOKUP(B1214,Products!$A:$E,3,FALSE)</f>
        <v>Accessories</v>
      </c>
    </row>
    <row r="1215" spans="1:5" x14ac:dyDescent="0.3">
      <c r="A1215" t="s">
        <v>7227</v>
      </c>
      <c r="B1215" t="s">
        <v>986</v>
      </c>
      <c r="C1215">
        <v>12</v>
      </c>
      <c r="D1215" t="str">
        <f>VLOOKUP(B1215,Products!$A:$E,2,FALSE)</f>
        <v>Product_489</v>
      </c>
      <c r="E1215" t="str">
        <f>VLOOKUP(B1215,Products!$A:$E,3,FALSE)</f>
        <v>Networking</v>
      </c>
    </row>
    <row r="1216" spans="1:5" x14ac:dyDescent="0.3">
      <c r="A1216" t="s">
        <v>7228</v>
      </c>
      <c r="B1216" t="s">
        <v>678</v>
      </c>
      <c r="C1216">
        <v>48</v>
      </c>
      <c r="D1216" t="str">
        <f>VLOOKUP(B1216,Products!$A:$E,2,FALSE)</f>
        <v>Product_335</v>
      </c>
      <c r="E1216" t="str">
        <f>VLOOKUP(B1216,Products!$A:$E,3,FALSE)</f>
        <v>Networking</v>
      </c>
    </row>
    <row r="1217" spans="1:5" x14ac:dyDescent="0.3">
      <c r="A1217" t="s">
        <v>7229</v>
      </c>
      <c r="B1217" t="s">
        <v>394</v>
      </c>
      <c r="C1217">
        <v>50</v>
      </c>
      <c r="D1217" t="str">
        <f>VLOOKUP(B1217,Products!$A:$E,2,FALSE)</f>
        <v>Product_193</v>
      </c>
      <c r="E1217" t="str">
        <f>VLOOKUP(B1217,Products!$A:$E,3,FALSE)</f>
        <v>Accessories</v>
      </c>
    </row>
    <row r="1218" spans="1:5" x14ac:dyDescent="0.3">
      <c r="A1218" t="s">
        <v>7230</v>
      </c>
      <c r="B1218" t="s">
        <v>718</v>
      </c>
      <c r="C1218">
        <v>43</v>
      </c>
      <c r="D1218" t="str">
        <f>VLOOKUP(B1218,Products!$A:$E,2,FALSE)</f>
        <v>Product_355</v>
      </c>
      <c r="E1218" t="str">
        <f>VLOOKUP(B1218,Products!$A:$E,3,FALSE)</f>
        <v>Accessories</v>
      </c>
    </row>
    <row r="1219" spans="1:5" x14ac:dyDescent="0.3">
      <c r="A1219" t="s">
        <v>7231</v>
      </c>
      <c r="B1219" t="s">
        <v>684</v>
      </c>
      <c r="C1219">
        <v>6</v>
      </c>
      <c r="D1219" t="str">
        <f>VLOOKUP(B1219,Products!$A:$E,2,FALSE)</f>
        <v>Product_338</v>
      </c>
      <c r="E1219" t="str">
        <f>VLOOKUP(B1219,Products!$A:$E,3,FALSE)</f>
        <v>Networking</v>
      </c>
    </row>
    <row r="1220" spans="1:5" x14ac:dyDescent="0.3">
      <c r="A1220" t="s">
        <v>7232</v>
      </c>
      <c r="B1220" t="s">
        <v>806</v>
      </c>
      <c r="C1220">
        <v>30</v>
      </c>
      <c r="D1220" t="str">
        <f>VLOOKUP(B1220,Products!$A:$E,2,FALSE)</f>
        <v>Product_399</v>
      </c>
      <c r="E1220" t="str">
        <f>VLOOKUP(B1220,Products!$A:$E,3,FALSE)</f>
        <v>Networking</v>
      </c>
    </row>
    <row r="1221" spans="1:5" x14ac:dyDescent="0.3">
      <c r="A1221" t="s">
        <v>7233</v>
      </c>
      <c r="B1221" t="s">
        <v>894</v>
      </c>
      <c r="C1221">
        <v>42</v>
      </c>
      <c r="D1221" t="str">
        <f>VLOOKUP(B1221,Products!$A:$E,2,FALSE)</f>
        <v>Product_443</v>
      </c>
      <c r="E1221" t="str">
        <f>VLOOKUP(B1221,Products!$A:$E,3,FALSE)</f>
        <v>Networking</v>
      </c>
    </row>
    <row r="1222" spans="1:5" x14ac:dyDescent="0.3">
      <c r="A1222" t="s">
        <v>7234</v>
      </c>
      <c r="B1222" t="s">
        <v>400</v>
      </c>
      <c r="C1222">
        <v>18</v>
      </c>
      <c r="D1222" t="str">
        <f>VLOOKUP(B1222,Products!$A:$E,2,FALSE)</f>
        <v>Product_196</v>
      </c>
      <c r="E1222" t="str">
        <f>VLOOKUP(B1222,Products!$A:$E,3,FALSE)</f>
        <v>Office Supplies</v>
      </c>
    </row>
    <row r="1223" spans="1:5" x14ac:dyDescent="0.3">
      <c r="A1223" t="s">
        <v>7235</v>
      </c>
      <c r="B1223" t="s">
        <v>656</v>
      </c>
      <c r="C1223">
        <v>42</v>
      </c>
      <c r="D1223" t="str">
        <f>VLOOKUP(B1223,Products!$A:$E,2,FALSE)</f>
        <v>Product_324</v>
      </c>
      <c r="E1223" t="str">
        <f>VLOOKUP(B1223,Products!$A:$E,3,FALSE)</f>
        <v>Accessories</v>
      </c>
    </row>
    <row r="1224" spans="1:5" x14ac:dyDescent="0.3">
      <c r="A1224" t="s">
        <v>7236</v>
      </c>
      <c r="B1224" t="s">
        <v>464</v>
      </c>
      <c r="C1224">
        <v>24</v>
      </c>
      <c r="D1224" t="str">
        <f>VLOOKUP(B1224,Products!$A:$E,2,FALSE)</f>
        <v>Product_228</v>
      </c>
      <c r="E1224" t="str">
        <f>VLOOKUP(B1224,Products!$A:$E,3,FALSE)</f>
        <v>Storage</v>
      </c>
    </row>
    <row r="1225" spans="1:5" x14ac:dyDescent="0.3">
      <c r="A1225" t="s">
        <v>7237</v>
      </c>
      <c r="B1225" t="s">
        <v>20</v>
      </c>
      <c r="C1225">
        <v>8</v>
      </c>
      <c r="D1225" t="str">
        <f>VLOOKUP(B1225,Products!$A:$E,2,FALSE)</f>
        <v>Product_6</v>
      </c>
      <c r="E1225" t="str">
        <f>VLOOKUP(B1225,Products!$A:$E,3,FALSE)</f>
        <v>Electronics</v>
      </c>
    </row>
    <row r="1226" spans="1:5" x14ac:dyDescent="0.3">
      <c r="A1226" t="s">
        <v>7238</v>
      </c>
      <c r="B1226" t="s">
        <v>128</v>
      </c>
      <c r="C1226">
        <v>6</v>
      </c>
      <c r="D1226" t="str">
        <f>VLOOKUP(B1226,Products!$A:$E,2,FALSE)</f>
        <v>Product_60</v>
      </c>
      <c r="E1226" t="str">
        <f>VLOOKUP(B1226,Products!$A:$E,3,FALSE)</f>
        <v>Electronics</v>
      </c>
    </row>
    <row r="1227" spans="1:5" x14ac:dyDescent="0.3">
      <c r="A1227" t="s">
        <v>7239</v>
      </c>
      <c r="B1227" t="s">
        <v>134</v>
      </c>
      <c r="C1227">
        <v>32</v>
      </c>
      <c r="D1227" t="str">
        <f>VLOOKUP(B1227,Products!$A:$E,2,FALSE)</f>
        <v>Product_63</v>
      </c>
      <c r="E1227" t="str">
        <f>VLOOKUP(B1227,Products!$A:$E,3,FALSE)</f>
        <v>Accessories</v>
      </c>
    </row>
    <row r="1228" spans="1:5" x14ac:dyDescent="0.3">
      <c r="A1228" t="s">
        <v>7240</v>
      </c>
      <c r="B1228" t="s">
        <v>666</v>
      </c>
      <c r="C1228">
        <v>43</v>
      </c>
      <c r="D1228" t="str">
        <f>VLOOKUP(B1228,Products!$A:$E,2,FALSE)</f>
        <v>Product_329</v>
      </c>
      <c r="E1228" t="str">
        <f>VLOOKUP(B1228,Products!$A:$E,3,FALSE)</f>
        <v>Office Supplies</v>
      </c>
    </row>
    <row r="1229" spans="1:5" x14ac:dyDescent="0.3">
      <c r="A1229" t="s">
        <v>7241</v>
      </c>
      <c r="B1229" t="s">
        <v>940</v>
      </c>
      <c r="C1229">
        <v>33</v>
      </c>
      <c r="D1229" t="str">
        <f>VLOOKUP(B1229,Products!$A:$E,2,FALSE)</f>
        <v>Product_466</v>
      </c>
      <c r="E1229" t="str">
        <f>VLOOKUP(B1229,Products!$A:$E,3,FALSE)</f>
        <v>Networking</v>
      </c>
    </row>
    <row r="1230" spans="1:5" x14ac:dyDescent="0.3">
      <c r="A1230" t="s">
        <v>7242</v>
      </c>
      <c r="B1230" t="s">
        <v>240</v>
      </c>
      <c r="C1230">
        <v>2</v>
      </c>
      <c r="D1230" t="str">
        <f>VLOOKUP(B1230,Products!$A:$E,2,FALSE)</f>
        <v>Product_116</v>
      </c>
      <c r="E1230" t="str">
        <f>VLOOKUP(B1230,Products!$A:$E,3,FALSE)</f>
        <v>Storage</v>
      </c>
    </row>
    <row r="1231" spans="1:5" x14ac:dyDescent="0.3">
      <c r="A1231" t="s">
        <v>7243</v>
      </c>
      <c r="B1231" t="s">
        <v>610</v>
      </c>
      <c r="C1231">
        <v>37</v>
      </c>
      <c r="D1231" t="str">
        <f>VLOOKUP(B1231,Products!$A:$E,2,FALSE)</f>
        <v>Product_301</v>
      </c>
      <c r="E1231" t="str">
        <f>VLOOKUP(B1231,Products!$A:$E,3,FALSE)</f>
        <v>Networking</v>
      </c>
    </row>
    <row r="1232" spans="1:5" x14ac:dyDescent="0.3">
      <c r="A1232" t="s">
        <v>7244</v>
      </c>
      <c r="B1232" t="s">
        <v>596</v>
      </c>
      <c r="C1232">
        <v>31</v>
      </c>
      <c r="D1232" t="str">
        <f>VLOOKUP(B1232,Products!$A:$E,2,FALSE)</f>
        <v>Product_294</v>
      </c>
      <c r="E1232" t="str">
        <f>VLOOKUP(B1232,Products!$A:$E,3,FALSE)</f>
        <v>Networking</v>
      </c>
    </row>
    <row r="1233" spans="1:5" x14ac:dyDescent="0.3">
      <c r="A1233" t="s">
        <v>7245</v>
      </c>
      <c r="B1233" t="s">
        <v>290</v>
      </c>
      <c r="C1233">
        <v>45</v>
      </c>
      <c r="D1233" t="str">
        <f>VLOOKUP(B1233,Products!$A:$E,2,FALSE)</f>
        <v>Product_141</v>
      </c>
      <c r="E1233" t="str">
        <f>VLOOKUP(B1233,Products!$A:$E,3,FALSE)</f>
        <v>Electronics</v>
      </c>
    </row>
    <row r="1234" spans="1:5" x14ac:dyDescent="0.3">
      <c r="A1234" t="s">
        <v>7246</v>
      </c>
      <c r="B1234" t="s">
        <v>772</v>
      </c>
      <c r="C1234">
        <v>7</v>
      </c>
      <c r="D1234" t="str">
        <f>VLOOKUP(B1234,Products!$A:$E,2,FALSE)</f>
        <v>Product_382</v>
      </c>
      <c r="E1234" t="str">
        <f>VLOOKUP(B1234,Products!$A:$E,3,FALSE)</f>
        <v>Storage</v>
      </c>
    </row>
    <row r="1235" spans="1:5" x14ac:dyDescent="0.3">
      <c r="A1235" t="s">
        <v>7247</v>
      </c>
      <c r="B1235" t="s">
        <v>822</v>
      </c>
      <c r="C1235">
        <v>38</v>
      </c>
      <c r="D1235" t="str">
        <f>VLOOKUP(B1235,Products!$A:$E,2,FALSE)</f>
        <v>Product_407</v>
      </c>
      <c r="E1235" t="str">
        <f>VLOOKUP(B1235,Products!$A:$E,3,FALSE)</f>
        <v>Networking</v>
      </c>
    </row>
    <row r="1236" spans="1:5" x14ac:dyDescent="0.3">
      <c r="A1236" t="s">
        <v>7248</v>
      </c>
      <c r="B1236" t="s">
        <v>194</v>
      </c>
      <c r="C1236">
        <v>25</v>
      </c>
      <c r="D1236" t="str">
        <f>VLOOKUP(B1236,Products!$A:$E,2,FALSE)</f>
        <v>Product_93</v>
      </c>
      <c r="E1236" t="str">
        <f>VLOOKUP(B1236,Products!$A:$E,3,FALSE)</f>
        <v>Office Supplies</v>
      </c>
    </row>
    <row r="1237" spans="1:5" x14ac:dyDescent="0.3">
      <c r="A1237" t="s">
        <v>7249</v>
      </c>
      <c r="B1237" t="s">
        <v>504</v>
      </c>
      <c r="C1237">
        <v>42</v>
      </c>
      <c r="D1237" t="str">
        <f>VLOOKUP(B1237,Products!$A:$E,2,FALSE)</f>
        <v>Product_248</v>
      </c>
      <c r="E1237" t="str">
        <f>VLOOKUP(B1237,Products!$A:$E,3,FALSE)</f>
        <v>Networking</v>
      </c>
    </row>
    <row r="1238" spans="1:5" x14ac:dyDescent="0.3">
      <c r="A1238" t="s">
        <v>7250</v>
      </c>
      <c r="B1238" t="s">
        <v>728</v>
      </c>
      <c r="C1238">
        <v>28</v>
      </c>
      <c r="D1238" t="str">
        <f>VLOOKUP(B1238,Products!$A:$E,2,FALSE)</f>
        <v>Product_360</v>
      </c>
      <c r="E1238" t="str">
        <f>VLOOKUP(B1238,Products!$A:$E,3,FALSE)</f>
        <v>Office Supplies</v>
      </c>
    </row>
    <row r="1239" spans="1:5" x14ac:dyDescent="0.3">
      <c r="A1239" t="s">
        <v>7251</v>
      </c>
      <c r="B1239" t="s">
        <v>314</v>
      </c>
      <c r="C1239">
        <v>37</v>
      </c>
      <c r="D1239" t="str">
        <f>VLOOKUP(B1239,Products!$A:$E,2,FALSE)</f>
        <v>Product_153</v>
      </c>
      <c r="E1239" t="str">
        <f>VLOOKUP(B1239,Products!$A:$E,3,FALSE)</f>
        <v>Electronics</v>
      </c>
    </row>
    <row r="1240" spans="1:5" x14ac:dyDescent="0.3">
      <c r="A1240" t="s">
        <v>7252</v>
      </c>
      <c r="B1240" t="s">
        <v>138</v>
      </c>
      <c r="C1240">
        <v>7</v>
      </c>
      <c r="D1240" t="str">
        <f>VLOOKUP(B1240,Products!$A:$E,2,FALSE)</f>
        <v>Product_65</v>
      </c>
      <c r="E1240" t="str">
        <f>VLOOKUP(B1240,Products!$A:$E,3,FALSE)</f>
        <v>Office Supplies</v>
      </c>
    </row>
    <row r="1241" spans="1:5" x14ac:dyDescent="0.3">
      <c r="A1241" t="s">
        <v>7253</v>
      </c>
      <c r="B1241" t="s">
        <v>342</v>
      </c>
      <c r="C1241">
        <v>5</v>
      </c>
      <c r="D1241" t="str">
        <f>VLOOKUP(B1241,Products!$A:$E,2,FALSE)</f>
        <v>Product_167</v>
      </c>
      <c r="E1241" t="str">
        <f>VLOOKUP(B1241,Products!$A:$E,3,FALSE)</f>
        <v>Electronics</v>
      </c>
    </row>
    <row r="1242" spans="1:5" x14ac:dyDescent="0.3">
      <c r="A1242" t="s">
        <v>7254</v>
      </c>
      <c r="B1242" t="s">
        <v>740</v>
      </c>
      <c r="C1242">
        <v>35</v>
      </c>
      <c r="D1242" t="str">
        <f>VLOOKUP(B1242,Products!$A:$E,2,FALSE)</f>
        <v>Product_366</v>
      </c>
      <c r="E1242" t="str">
        <f>VLOOKUP(B1242,Products!$A:$E,3,FALSE)</f>
        <v>Electronics</v>
      </c>
    </row>
    <row r="1243" spans="1:5" x14ac:dyDescent="0.3">
      <c r="A1243" t="s">
        <v>7255</v>
      </c>
      <c r="B1243" t="s">
        <v>198</v>
      </c>
      <c r="C1243">
        <v>26</v>
      </c>
      <c r="D1243" t="str">
        <f>VLOOKUP(B1243,Products!$A:$E,2,FALSE)</f>
        <v>Product_95</v>
      </c>
      <c r="E1243" t="str">
        <f>VLOOKUP(B1243,Products!$A:$E,3,FALSE)</f>
        <v>Electronics</v>
      </c>
    </row>
    <row r="1244" spans="1:5" x14ac:dyDescent="0.3">
      <c r="A1244" t="s">
        <v>7256</v>
      </c>
      <c r="B1244" t="s">
        <v>842</v>
      </c>
      <c r="C1244">
        <v>45</v>
      </c>
      <c r="D1244" t="str">
        <f>VLOOKUP(B1244,Products!$A:$E,2,FALSE)</f>
        <v>Product_417</v>
      </c>
      <c r="E1244" t="str">
        <f>VLOOKUP(B1244,Products!$A:$E,3,FALSE)</f>
        <v>Accessories</v>
      </c>
    </row>
    <row r="1245" spans="1:5" x14ac:dyDescent="0.3">
      <c r="A1245" t="s">
        <v>7257</v>
      </c>
      <c r="B1245" t="s">
        <v>30</v>
      </c>
      <c r="C1245">
        <v>26</v>
      </c>
      <c r="D1245" t="str">
        <f>VLOOKUP(B1245,Products!$A:$E,2,FALSE)</f>
        <v>Product_11</v>
      </c>
      <c r="E1245" t="str">
        <f>VLOOKUP(B1245,Products!$A:$E,3,FALSE)</f>
        <v>Electronics</v>
      </c>
    </row>
    <row r="1246" spans="1:5" x14ac:dyDescent="0.3">
      <c r="A1246" t="s">
        <v>7258</v>
      </c>
      <c r="B1246" t="s">
        <v>578</v>
      </c>
      <c r="C1246">
        <v>35</v>
      </c>
      <c r="D1246" t="str">
        <f>VLOOKUP(B1246,Products!$A:$E,2,FALSE)</f>
        <v>Product_285</v>
      </c>
      <c r="E1246" t="str">
        <f>VLOOKUP(B1246,Products!$A:$E,3,FALSE)</f>
        <v>Networking</v>
      </c>
    </row>
    <row r="1247" spans="1:5" x14ac:dyDescent="0.3">
      <c r="A1247" t="s">
        <v>7259</v>
      </c>
      <c r="B1247" t="s">
        <v>812</v>
      </c>
      <c r="C1247">
        <v>34</v>
      </c>
      <c r="D1247" t="str">
        <f>VLOOKUP(B1247,Products!$A:$E,2,FALSE)</f>
        <v>Product_402</v>
      </c>
      <c r="E1247" t="str">
        <f>VLOOKUP(B1247,Products!$A:$E,3,FALSE)</f>
        <v>Accessories</v>
      </c>
    </row>
    <row r="1248" spans="1:5" x14ac:dyDescent="0.3">
      <c r="A1248" t="s">
        <v>7260</v>
      </c>
      <c r="B1248" t="s">
        <v>510</v>
      </c>
      <c r="C1248">
        <v>5</v>
      </c>
      <c r="D1248" t="str">
        <f>VLOOKUP(B1248,Products!$A:$E,2,FALSE)</f>
        <v>Product_251</v>
      </c>
      <c r="E1248" t="str">
        <f>VLOOKUP(B1248,Products!$A:$E,3,FALSE)</f>
        <v>Electronics</v>
      </c>
    </row>
    <row r="1249" spans="1:5" x14ac:dyDescent="0.3">
      <c r="A1249" t="s">
        <v>7261</v>
      </c>
      <c r="B1249" t="s">
        <v>540</v>
      </c>
      <c r="C1249">
        <v>38</v>
      </c>
      <c r="D1249" t="str">
        <f>VLOOKUP(B1249,Products!$A:$E,2,FALSE)</f>
        <v>Product_266</v>
      </c>
      <c r="E1249" t="str">
        <f>VLOOKUP(B1249,Products!$A:$E,3,FALSE)</f>
        <v>Electronics</v>
      </c>
    </row>
    <row r="1250" spans="1:5" x14ac:dyDescent="0.3">
      <c r="A1250" t="s">
        <v>7262</v>
      </c>
      <c r="B1250" t="s">
        <v>560</v>
      </c>
      <c r="C1250">
        <v>46</v>
      </c>
      <c r="D1250" t="str">
        <f>VLOOKUP(B1250,Products!$A:$E,2,FALSE)</f>
        <v>Product_276</v>
      </c>
      <c r="E1250" t="str">
        <f>VLOOKUP(B1250,Products!$A:$E,3,FALSE)</f>
        <v>Office Supplies</v>
      </c>
    </row>
    <row r="1251" spans="1:5" x14ac:dyDescent="0.3">
      <c r="A1251" t="s">
        <v>7263</v>
      </c>
      <c r="B1251" t="s">
        <v>848</v>
      </c>
      <c r="C1251">
        <v>42</v>
      </c>
      <c r="D1251" t="str">
        <f>VLOOKUP(B1251,Products!$A:$E,2,FALSE)</f>
        <v>Product_420</v>
      </c>
      <c r="E1251" t="str">
        <f>VLOOKUP(B1251,Products!$A:$E,3,FALSE)</f>
        <v>Networking</v>
      </c>
    </row>
    <row r="1252" spans="1:5" x14ac:dyDescent="0.3">
      <c r="A1252" t="s">
        <v>7264</v>
      </c>
      <c r="B1252" t="s">
        <v>136</v>
      </c>
      <c r="C1252">
        <v>49</v>
      </c>
      <c r="D1252" t="str">
        <f>VLOOKUP(B1252,Products!$A:$E,2,FALSE)</f>
        <v>Product_64</v>
      </c>
      <c r="E1252" t="str">
        <f>VLOOKUP(B1252,Products!$A:$E,3,FALSE)</f>
        <v>Storage</v>
      </c>
    </row>
    <row r="1253" spans="1:5" x14ac:dyDescent="0.3">
      <c r="A1253" t="s">
        <v>7265</v>
      </c>
      <c r="B1253" t="s">
        <v>780</v>
      </c>
      <c r="C1253">
        <v>14</v>
      </c>
      <c r="D1253" t="str">
        <f>VLOOKUP(B1253,Products!$A:$E,2,FALSE)</f>
        <v>Product_386</v>
      </c>
      <c r="E1253" t="str">
        <f>VLOOKUP(B1253,Products!$A:$E,3,FALSE)</f>
        <v>Electronics</v>
      </c>
    </row>
    <row r="1254" spans="1:5" x14ac:dyDescent="0.3">
      <c r="A1254" t="s">
        <v>7266</v>
      </c>
      <c r="B1254" t="s">
        <v>998</v>
      </c>
      <c r="C1254">
        <v>43</v>
      </c>
      <c r="D1254" t="str">
        <f>VLOOKUP(B1254,Products!$A:$E,2,FALSE)</f>
        <v>Product_495</v>
      </c>
      <c r="E1254" t="str">
        <f>VLOOKUP(B1254,Products!$A:$E,3,FALSE)</f>
        <v>Networking</v>
      </c>
    </row>
    <row r="1255" spans="1:5" x14ac:dyDescent="0.3">
      <c r="A1255" t="s">
        <v>7267</v>
      </c>
      <c r="B1255" t="s">
        <v>928</v>
      </c>
      <c r="C1255">
        <v>8</v>
      </c>
      <c r="D1255" t="str">
        <f>VLOOKUP(B1255,Products!$A:$E,2,FALSE)</f>
        <v>Product_460</v>
      </c>
      <c r="E1255" t="str">
        <f>VLOOKUP(B1255,Products!$A:$E,3,FALSE)</f>
        <v>Accessories</v>
      </c>
    </row>
    <row r="1256" spans="1:5" x14ac:dyDescent="0.3">
      <c r="A1256" t="s">
        <v>7268</v>
      </c>
      <c r="B1256" t="s">
        <v>194</v>
      </c>
      <c r="C1256">
        <v>39</v>
      </c>
      <c r="D1256" t="str">
        <f>VLOOKUP(B1256,Products!$A:$E,2,FALSE)</f>
        <v>Product_93</v>
      </c>
      <c r="E1256" t="str">
        <f>VLOOKUP(B1256,Products!$A:$E,3,FALSE)</f>
        <v>Office Supplies</v>
      </c>
    </row>
    <row r="1257" spans="1:5" x14ac:dyDescent="0.3">
      <c r="A1257" t="s">
        <v>7269</v>
      </c>
      <c r="B1257" t="s">
        <v>720</v>
      </c>
      <c r="C1257">
        <v>12</v>
      </c>
      <c r="D1257" t="str">
        <f>VLOOKUP(B1257,Products!$A:$E,2,FALSE)</f>
        <v>Product_356</v>
      </c>
      <c r="E1257" t="str">
        <f>VLOOKUP(B1257,Products!$A:$E,3,FALSE)</f>
        <v>Accessories</v>
      </c>
    </row>
    <row r="1258" spans="1:5" x14ac:dyDescent="0.3">
      <c r="A1258" t="s">
        <v>7270</v>
      </c>
      <c r="B1258" t="s">
        <v>11</v>
      </c>
      <c r="C1258">
        <v>36</v>
      </c>
      <c r="D1258" t="str">
        <f>VLOOKUP(B1258,Products!$A:$E,2,FALSE)</f>
        <v>Product_3</v>
      </c>
      <c r="E1258" t="str">
        <f>VLOOKUP(B1258,Products!$A:$E,3,FALSE)</f>
        <v>Accessories</v>
      </c>
    </row>
    <row r="1259" spans="1:5" x14ac:dyDescent="0.3">
      <c r="A1259" t="s">
        <v>7271</v>
      </c>
      <c r="B1259" t="s">
        <v>466</v>
      </c>
      <c r="C1259">
        <v>21</v>
      </c>
      <c r="D1259" t="str">
        <f>VLOOKUP(B1259,Products!$A:$E,2,FALSE)</f>
        <v>Product_229</v>
      </c>
      <c r="E1259" t="str">
        <f>VLOOKUP(B1259,Products!$A:$E,3,FALSE)</f>
        <v>Accessories</v>
      </c>
    </row>
    <row r="1260" spans="1:5" x14ac:dyDescent="0.3">
      <c r="A1260" t="s">
        <v>7272</v>
      </c>
      <c r="B1260" t="s">
        <v>134</v>
      </c>
      <c r="C1260">
        <v>3</v>
      </c>
      <c r="D1260" t="str">
        <f>VLOOKUP(B1260,Products!$A:$E,2,FALSE)</f>
        <v>Product_63</v>
      </c>
      <c r="E1260" t="str">
        <f>VLOOKUP(B1260,Products!$A:$E,3,FALSE)</f>
        <v>Accessories</v>
      </c>
    </row>
    <row r="1261" spans="1:5" x14ac:dyDescent="0.3">
      <c r="A1261" t="s">
        <v>7273</v>
      </c>
      <c r="B1261" t="s">
        <v>140</v>
      </c>
      <c r="C1261">
        <v>37</v>
      </c>
      <c r="D1261" t="str">
        <f>VLOOKUP(B1261,Products!$A:$E,2,FALSE)</f>
        <v>Product_66</v>
      </c>
      <c r="E1261" t="str">
        <f>VLOOKUP(B1261,Products!$A:$E,3,FALSE)</f>
        <v>Electronics</v>
      </c>
    </row>
    <row r="1262" spans="1:5" x14ac:dyDescent="0.3">
      <c r="A1262" t="s">
        <v>7274</v>
      </c>
      <c r="B1262" t="s">
        <v>220</v>
      </c>
      <c r="C1262">
        <v>42</v>
      </c>
      <c r="D1262" t="str">
        <f>VLOOKUP(B1262,Products!$A:$E,2,FALSE)</f>
        <v>Product_106</v>
      </c>
      <c r="E1262" t="str">
        <f>VLOOKUP(B1262,Products!$A:$E,3,FALSE)</f>
        <v>Networking</v>
      </c>
    </row>
    <row r="1263" spans="1:5" x14ac:dyDescent="0.3">
      <c r="A1263" t="s">
        <v>7275</v>
      </c>
      <c r="B1263" t="s">
        <v>174</v>
      </c>
      <c r="C1263">
        <v>6</v>
      </c>
      <c r="D1263" t="str">
        <f>VLOOKUP(B1263,Products!$A:$E,2,FALSE)</f>
        <v>Product_83</v>
      </c>
      <c r="E1263" t="str">
        <f>VLOOKUP(B1263,Products!$A:$E,3,FALSE)</f>
        <v>Accessories</v>
      </c>
    </row>
    <row r="1264" spans="1:5" x14ac:dyDescent="0.3">
      <c r="A1264" t="s">
        <v>7276</v>
      </c>
      <c r="B1264" t="s">
        <v>584</v>
      </c>
      <c r="C1264">
        <v>17</v>
      </c>
      <c r="D1264" t="str">
        <f>VLOOKUP(B1264,Products!$A:$E,2,FALSE)</f>
        <v>Product_288</v>
      </c>
      <c r="E1264" t="str">
        <f>VLOOKUP(B1264,Products!$A:$E,3,FALSE)</f>
        <v>Networking</v>
      </c>
    </row>
    <row r="1265" spans="1:5" x14ac:dyDescent="0.3">
      <c r="A1265" t="s">
        <v>7277</v>
      </c>
      <c r="B1265" t="s">
        <v>880</v>
      </c>
      <c r="C1265">
        <v>49</v>
      </c>
      <c r="D1265" t="str">
        <f>VLOOKUP(B1265,Products!$A:$E,2,FALSE)</f>
        <v>Product_436</v>
      </c>
      <c r="E1265" t="str">
        <f>VLOOKUP(B1265,Products!$A:$E,3,FALSE)</f>
        <v>Networking</v>
      </c>
    </row>
    <row r="1266" spans="1:5" x14ac:dyDescent="0.3">
      <c r="A1266" t="s">
        <v>7278</v>
      </c>
      <c r="B1266" t="s">
        <v>44</v>
      </c>
      <c r="C1266">
        <v>6</v>
      </c>
      <c r="D1266" t="str">
        <f>VLOOKUP(B1266,Products!$A:$E,2,FALSE)</f>
        <v>Product_18</v>
      </c>
      <c r="E1266" t="str">
        <f>VLOOKUP(B1266,Products!$A:$E,3,FALSE)</f>
        <v>Networking</v>
      </c>
    </row>
    <row r="1267" spans="1:5" x14ac:dyDescent="0.3">
      <c r="A1267" t="s">
        <v>7279</v>
      </c>
      <c r="B1267" t="s">
        <v>136</v>
      </c>
      <c r="C1267">
        <v>33</v>
      </c>
      <c r="D1267" t="str">
        <f>VLOOKUP(B1267,Products!$A:$E,2,FALSE)</f>
        <v>Product_64</v>
      </c>
      <c r="E1267" t="str">
        <f>VLOOKUP(B1267,Products!$A:$E,3,FALSE)</f>
        <v>Storage</v>
      </c>
    </row>
    <row r="1268" spans="1:5" x14ac:dyDescent="0.3">
      <c r="A1268" t="s">
        <v>7280</v>
      </c>
      <c r="B1268" t="s">
        <v>314</v>
      </c>
      <c r="C1268">
        <v>24</v>
      </c>
      <c r="D1268" t="str">
        <f>VLOOKUP(B1268,Products!$A:$E,2,FALSE)</f>
        <v>Product_153</v>
      </c>
      <c r="E1268" t="str">
        <f>VLOOKUP(B1268,Products!$A:$E,3,FALSE)</f>
        <v>Electronics</v>
      </c>
    </row>
    <row r="1269" spans="1:5" x14ac:dyDescent="0.3">
      <c r="A1269" t="s">
        <v>7281</v>
      </c>
      <c r="B1269" t="s">
        <v>998</v>
      </c>
      <c r="C1269">
        <v>35</v>
      </c>
      <c r="D1269" t="str">
        <f>VLOOKUP(B1269,Products!$A:$E,2,FALSE)</f>
        <v>Product_495</v>
      </c>
      <c r="E1269" t="str">
        <f>VLOOKUP(B1269,Products!$A:$E,3,FALSE)</f>
        <v>Networking</v>
      </c>
    </row>
    <row r="1270" spans="1:5" x14ac:dyDescent="0.3">
      <c r="A1270" t="s">
        <v>7282</v>
      </c>
      <c r="B1270" t="s">
        <v>184</v>
      </c>
      <c r="C1270">
        <v>28</v>
      </c>
      <c r="D1270" t="str">
        <f>VLOOKUP(B1270,Products!$A:$E,2,FALSE)</f>
        <v>Product_88</v>
      </c>
      <c r="E1270" t="str">
        <f>VLOOKUP(B1270,Products!$A:$E,3,FALSE)</f>
        <v>Accessories</v>
      </c>
    </row>
    <row r="1271" spans="1:5" x14ac:dyDescent="0.3">
      <c r="A1271" t="s">
        <v>7283</v>
      </c>
      <c r="B1271" t="s">
        <v>976</v>
      </c>
      <c r="C1271">
        <v>43</v>
      </c>
      <c r="D1271" t="str">
        <f>VLOOKUP(B1271,Products!$A:$E,2,FALSE)</f>
        <v>Product_484</v>
      </c>
      <c r="E1271" t="str">
        <f>VLOOKUP(B1271,Products!$A:$E,3,FALSE)</f>
        <v>Networking</v>
      </c>
    </row>
    <row r="1272" spans="1:5" x14ac:dyDescent="0.3">
      <c r="A1272" t="s">
        <v>7284</v>
      </c>
      <c r="B1272" t="s">
        <v>5</v>
      </c>
      <c r="C1272">
        <v>16</v>
      </c>
      <c r="D1272" t="str">
        <f>VLOOKUP(B1272,Products!$A:$E,2,FALSE)</f>
        <v>Product_1</v>
      </c>
      <c r="E1272" t="str">
        <f>VLOOKUP(B1272,Products!$A:$E,3,FALSE)</f>
        <v>Electronics</v>
      </c>
    </row>
    <row r="1273" spans="1:5" x14ac:dyDescent="0.3">
      <c r="A1273" t="s">
        <v>7285</v>
      </c>
      <c r="B1273" t="s">
        <v>316</v>
      </c>
      <c r="C1273">
        <v>3</v>
      </c>
      <c r="D1273" t="str">
        <f>VLOOKUP(B1273,Products!$A:$E,2,FALSE)</f>
        <v>Product_154</v>
      </c>
      <c r="E1273" t="str">
        <f>VLOOKUP(B1273,Products!$A:$E,3,FALSE)</f>
        <v>Accessories</v>
      </c>
    </row>
    <row r="1274" spans="1:5" x14ac:dyDescent="0.3">
      <c r="A1274" t="s">
        <v>7286</v>
      </c>
      <c r="B1274" t="s">
        <v>978</v>
      </c>
      <c r="C1274">
        <v>34</v>
      </c>
      <c r="D1274" t="str">
        <f>VLOOKUP(B1274,Products!$A:$E,2,FALSE)</f>
        <v>Product_485</v>
      </c>
      <c r="E1274" t="str">
        <f>VLOOKUP(B1274,Products!$A:$E,3,FALSE)</f>
        <v>Networking</v>
      </c>
    </row>
    <row r="1275" spans="1:5" x14ac:dyDescent="0.3">
      <c r="A1275" t="s">
        <v>7287</v>
      </c>
      <c r="B1275" t="s">
        <v>936</v>
      </c>
      <c r="C1275">
        <v>19</v>
      </c>
      <c r="D1275" t="str">
        <f>VLOOKUP(B1275,Products!$A:$E,2,FALSE)</f>
        <v>Product_464</v>
      </c>
      <c r="E1275" t="str">
        <f>VLOOKUP(B1275,Products!$A:$E,3,FALSE)</f>
        <v>Office Supplies</v>
      </c>
    </row>
    <row r="1276" spans="1:5" x14ac:dyDescent="0.3">
      <c r="A1276" t="s">
        <v>7288</v>
      </c>
      <c r="B1276" t="s">
        <v>684</v>
      </c>
      <c r="C1276">
        <v>35</v>
      </c>
      <c r="D1276" t="str">
        <f>VLOOKUP(B1276,Products!$A:$E,2,FALSE)</f>
        <v>Product_338</v>
      </c>
      <c r="E1276" t="str">
        <f>VLOOKUP(B1276,Products!$A:$E,3,FALSE)</f>
        <v>Networking</v>
      </c>
    </row>
    <row r="1277" spans="1:5" x14ac:dyDescent="0.3">
      <c r="A1277" t="s">
        <v>7289</v>
      </c>
      <c r="B1277" t="s">
        <v>464</v>
      </c>
      <c r="C1277">
        <v>9</v>
      </c>
      <c r="D1277" t="str">
        <f>VLOOKUP(B1277,Products!$A:$E,2,FALSE)</f>
        <v>Product_228</v>
      </c>
      <c r="E1277" t="str">
        <f>VLOOKUP(B1277,Products!$A:$E,3,FALSE)</f>
        <v>Storage</v>
      </c>
    </row>
    <row r="1278" spans="1:5" x14ac:dyDescent="0.3">
      <c r="A1278" t="s">
        <v>7290</v>
      </c>
      <c r="B1278" t="s">
        <v>600</v>
      </c>
      <c r="C1278">
        <v>32</v>
      </c>
      <c r="D1278" t="str">
        <f>VLOOKUP(B1278,Products!$A:$E,2,FALSE)</f>
        <v>Product_296</v>
      </c>
      <c r="E1278" t="str">
        <f>VLOOKUP(B1278,Products!$A:$E,3,FALSE)</f>
        <v>Office Supplies</v>
      </c>
    </row>
    <row r="1279" spans="1:5" x14ac:dyDescent="0.3">
      <c r="A1279" t="s">
        <v>7291</v>
      </c>
      <c r="B1279" t="s">
        <v>720</v>
      </c>
      <c r="C1279">
        <v>21</v>
      </c>
      <c r="D1279" t="str">
        <f>VLOOKUP(B1279,Products!$A:$E,2,FALSE)</f>
        <v>Product_356</v>
      </c>
      <c r="E1279" t="str">
        <f>VLOOKUP(B1279,Products!$A:$E,3,FALSE)</f>
        <v>Accessories</v>
      </c>
    </row>
    <row r="1280" spans="1:5" x14ac:dyDescent="0.3">
      <c r="A1280" t="s">
        <v>7292</v>
      </c>
      <c r="B1280" t="s">
        <v>544</v>
      </c>
      <c r="C1280">
        <v>23</v>
      </c>
      <c r="D1280" t="str">
        <f>VLOOKUP(B1280,Products!$A:$E,2,FALSE)</f>
        <v>Product_268</v>
      </c>
      <c r="E1280" t="str">
        <f>VLOOKUP(B1280,Products!$A:$E,3,FALSE)</f>
        <v>Office Supplies</v>
      </c>
    </row>
    <row r="1281" spans="1:5" x14ac:dyDescent="0.3">
      <c r="A1281" t="s">
        <v>7293</v>
      </c>
      <c r="B1281" t="s">
        <v>630</v>
      </c>
      <c r="C1281">
        <v>35</v>
      </c>
      <c r="D1281" t="str">
        <f>VLOOKUP(B1281,Products!$A:$E,2,FALSE)</f>
        <v>Product_311</v>
      </c>
      <c r="E1281" t="str">
        <f>VLOOKUP(B1281,Products!$A:$E,3,FALSE)</f>
        <v>Networking</v>
      </c>
    </row>
    <row r="1282" spans="1:5" x14ac:dyDescent="0.3">
      <c r="A1282" t="s">
        <v>7294</v>
      </c>
      <c r="B1282" t="s">
        <v>532</v>
      </c>
      <c r="C1282">
        <v>14</v>
      </c>
      <c r="D1282" t="str">
        <f>VLOOKUP(B1282,Products!$A:$E,2,FALSE)</f>
        <v>Product_262</v>
      </c>
      <c r="E1282" t="str">
        <f>VLOOKUP(B1282,Products!$A:$E,3,FALSE)</f>
        <v>Electronics</v>
      </c>
    </row>
    <row r="1283" spans="1:5" x14ac:dyDescent="0.3">
      <c r="A1283" t="s">
        <v>7295</v>
      </c>
      <c r="B1283" t="s">
        <v>714</v>
      </c>
      <c r="C1283">
        <v>7</v>
      </c>
      <c r="D1283" t="str">
        <f>VLOOKUP(B1283,Products!$A:$E,2,FALSE)</f>
        <v>Product_353</v>
      </c>
      <c r="E1283" t="str">
        <f>VLOOKUP(B1283,Products!$A:$E,3,FALSE)</f>
        <v>Accessories</v>
      </c>
    </row>
    <row r="1284" spans="1:5" x14ac:dyDescent="0.3">
      <c r="A1284" t="s">
        <v>7296</v>
      </c>
      <c r="B1284" t="s">
        <v>688</v>
      </c>
      <c r="C1284">
        <v>3</v>
      </c>
      <c r="D1284" t="str">
        <f>VLOOKUP(B1284,Products!$A:$E,2,FALSE)</f>
        <v>Product_340</v>
      </c>
      <c r="E1284" t="str">
        <f>VLOOKUP(B1284,Products!$A:$E,3,FALSE)</f>
        <v>Storage</v>
      </c>
    </row>
    <row r="1285" spans="1:5" x14ac:dyDescent="0.3">
      <c r="A1285" t="s">
        <v>7297</v>
      </c>
      <c r="B1285" t="s">
        <v>252</v>
      </c>
      <c r="C1285">
        <v>3</v>
      </c>
      <c r="D1285" t="str">
        <f>VLOOKUP(B1285,Products!$A:$E,2,FALSE)</f>
        <v>Product_122</v>
      </c>
      <c r="E1285" t="str">
        <f>VLOOKUP(B1285,Products!$A:$E,3,FALSE)</f>
        <v>Storage</v>
      </c>
    </row>
    <row r="1286" spans="1:5" x14ac:dyDescent="0.3">
      <c r="A1286" t="s">
        <v>7298</v>
      </c>
      <c r="B1286" t="s">
        <v>202</v>
      </c>
      <c r="C1286">
        <v>10</v>
      </c>
      <c r="D1286" t="str">
        <f>VLOOKUP(B1286,Products!$A:$E,2,FALSE)</f>
        <v>Product_97</v>
      </c>
      <c r="E1286" t="str">
        <f>VLOOKUP(B1286,Products!$A:$E,3,FALSE)</f>
        <v>Accessories</v>
      </c>
    </row>
    <row r="1287" spans="1:5" x14ac:dyDescent="0.3">
      <c r="A1287" t="s">
        <v>7299</v>
      </c>
      <c r="B1287" t="s">
        <v>316</v>
      </c>
      <c r="C1287">
        <v>14</v>
      </c>
      <c r="D1287" t="str">
        <f>VLOOKUP(B1287,Products!$A:$E,2,FALSE)</f>
        <v>Product_154</v>
      </c>
      <c r="E1287" t="str">
        <f>VLOOKUP(B1287,Products!$A:$E,3,FALSE)</f>
        <v>Accessories</v>
      </c>
    </row>
    <row r="1288" spans="1:5" x14ac:dyDescent="0.3">
      <c r="A1288" t="s">
        <v>7300</v>
      </c>
      <c r="B1288" t="s">
        <v>990</v>
      </c>
      <c r="C1288">
        <v>9</v>
      </c>
      <c r="D1288" t="str">
        <f>VLOOKUP(B1288,Products!$A:$E,2,FALSE)</f>
        <v>Product_491</v>
      </c>
      <c r="E1288" t="str">
        <f>VLOOKUP(B1288,Products!$A:$E,3,FALSE)</f>
        <v>Accessories</v>
      </c>
    </row>
    <row r="1289" spans="1:5" x14ac:dyDescent="0.3">
      <c r="A1289" t="s">
        <v>7301</v>
      </c>
      <c r="B1289" t="s">
        <v>626</v>
      </c>
      <c r="C1289">
        <v>36</v>
      </c>
      <c r="D1289" t="str">
        <f>VLOOKUP(B1289,Products!$A:$E,2,FALSE)</f>
        <v>Product_309</v>
      </c>
      <c r="E1289" t="str">
        <f>VLOOKUP(B1289,Products!$A:$E,3,FALSE)</f>
        <v>Networking</v>
      </c>
    </row>
    <row r="1290" spans="1:5" x14ac:dyDescent="0.3">
      <c r="A1290" t="s">
        <v>7302</v>
      </c>
      <c r="B1290" t="s">
        <v>230</v>
      </c>
      <c r="C1290">
        <v>38</v>
      </c>
      <c r="D1290" t="str">
        <f>VLOOKUP(B1290,Products!$A:$E,2,FALSE)</f>
        <v>Product_111</v>
      </c>
      <c r="E1290" t="str">
        <f>VLOOKUP(B1290,Products!$A:$E,3,FALSE)</f>
        <v>Office Supplies</v>
      </c>
    </row>
    <row r="1291" spans="1:5" x14ac:dyDescent="0.3">
      <c r="A1291" t="s">
        <v>7303</v>
      </c>
      <c r="B1291" t="s">
        <v>376</v>
      </c>
      <c r="C1291">
        <v>18</v>
      </c>
      <c r="D1291" t="str">
        <f>VLOOKUP(B1291,Products!$A:$E,2,FALSE)</f>
        <v>Product_184</v>
      </c>
      <c r="E1291" t="str">
        <f>VLOOKUP(B1291,Products!$A:$E,3,FALSE)</f>
        <v>Electronics</v>
      </c>
    </row>
    <row r="1292" spans="1:5" x14ac:dyDescent="0.3">
      <c r="A1292" t="s">
        <v>7304</v>
      </c>
      <c r="B1292" t="s">
        <v>140</v>
      </c>
      <c r="C1292">
        <v>47</v>
      </c>
      <c r="D1292" t="str">
        <f>VLOOKUP(B1292,Products!$A:$E,2,FALSE)</f>
        <v>Product_66</v>
      </c>
      <c r="E1292" t="str">
        <f>VLOOKUP(B1292,Products!$A:$E,3,FALSE)</f>
        <v>Electronics</v>
      </c>
    </row>
    <row r="1293" spans="1:5" x14ac:dyDescent="0.3">
      <c r="A1293" t="s">
        <v>7305</v>
      </c>
      <c r="B1293" t="s">
        <v>646</v>
      </c>
      <c r="C1293">
        <v>28</v>
      </c>
      <c r="D1293" t="str">
        <f>VLOOKUP(B1293,Products!$A:$E,2,FALSE)</f>
        <v>Product_319</v>
      </c>
      <c r="E1293" t="str">
        <f>VLOOKUP(B1293,Products!$A:$E,3,FALSE)</f>
        <v>Accessories</v>
      </c>
    </row>
    <row r="1294" spans="1:5" x14ac:dyDescent="0.3">
      <c r="A1294" t="s">
        <v>7306</v>
      </c>
      <c r="B1294" t="s">
        <v>86</v>
      </c>
      <c r="C1294">
        <v>36</v>
      </c>
      <c r="D1294" t="str">
        <f>VLOOKUP(B1294,Products!$A:$E,2,FALSE)</f>
        <v>Product_39</v>
      </c>
      <c r="E1294" t="str">
        <f>VLOOKUP(B1294,Products!$A:$E,3,FALSE)</f>
        <v>Networking</v>
      </c>
    </row>
    <row r="1295" spans="1:5" x14ac:dyDescent="0.3">
      <c r="A1295" t="s">
        <v>7307</v>
      </c>
      <c r="B1295" t="s">
        <v>270</v>
      </c>
      <c r="C1295">
        <v>17</v>
      </c>
      <c r="D1295" t="str">
        <f>VLOOKUP(B1295,Products!$A:$E,2,FALSE)</f>
        <v>Product_131</v>
      </c>
      <c r="E1295" t="str">
        <f>VLOOKUP(B1295,Products!$A:$E,3,FALSE)</f>
        <v>Electronics</v>
      </c>
    </row>
    <row r="1296" spans="1:5" x14ac:dyDescent="0.3">
      <c r="A1296" t="s">
        <v>7308</v>
      </c>
      <c r="B1296" t="s">
        <v>400</v>
      </c>
      <c r="C1296">
        <v>42</v>
      </c>
      <c r="D1296" t="str">
        <f>VLOOKUP(B1296,Products!$A:$E,2,FALSE)</f>
        <v>Product_196</v>
      </c>
      <c r="E1296" t="str">
        <f>VLOOKUP(B1296,Products!$A:$E,3,FALSE)</f>
        <v>Office Supplies</v>
      </c>
    </row>
    <row r="1297" spans="1:5" x14ac:dyDescent="0.3">
      <c r="A1297" t="s">
        <v>7309</v>
      </c>
      <c r="B1297" t="s">
        <v>934</v>
      </c>
      <c r="C1297">
        <v>11</v>
      </c>
      <c r="D1297" t="str">
        <f>VLOOKUP(B1297,Products!$A:$E,2,FALSE)</f>
        <v>Product_463</v>
      </c>
      <c r="E1297" t="str">
        <f>VLOOKUP(B1297,Products!$A:$E,3,FALSE)</f>
        <v>Networking</v>
      </c>
    </row>
    <row r="1298" spans="1:5" x14ac:dyDescent="0.3">
      <c r="A1298" t="s">
        <v>7310</v>
      </c>
      <c r="B1298" t="s">
        <v>418</v>
      </c>
      <c r="C1298">
        <v>30</v>
      </c>
      <c r="D1298" t="str">
        <f>VLOOKUP(B1298,Products!$A:$E,2,FALSE)</f>
        <v>Product_205</v>
      </c>
      <c r="E1298" t="str">
        <f>VLOOKUP(B1298,Products!$A:$E,3,FALSE)</f>
        <v>Storage</v>
      </c>
    </row>
    <row r="1299" spans="1:5" x14ac:dyDescent="0.3">
      <c r="A1299" t="s">
        <v>7311</v>
      </c>
      <c r="B1299" t="s">
        <v>94</v>
      </c>
      <c r="C1299">
        <v>17</v>
      </c>
      <c r="D1299" t="str">
        <f>VLOOKUP(B1299,Products!$A:$E,2,FALSE)</f>
        <v>Product_43</v>
      </c>
      <c r="E1299" t="str">
        <f>VLOOKUP(B1299,Products!$A:$E,3,FALSE)</f>
        <v>Storage</v>
      </c>
    </row>
    <row r="1300" spans="1:5" x14ac:dyDescent="0.3">
      <c r="A1300" t="s">
        <v>7312</v>
      </c>
      <c r="B1300" t="s">
        <v>702</v>
      </c>
      <c r="C1300">
        <v>28</v>
      </c>
      <c r="D1300" t="str">
        <f>VLOOKUP(B1300,Products!$A:$E,2,FALSE)</f>
        <v>Product_347</v>
      </c>
      <c r="E1300" t="str">
        <f>VLOOKUP(B1300,Products!$A:$E,3,FALSE)</f>
        <v>Storage</v>
      </c>
    </row>
    <row r="1301" spans="1:5" x14ac:dyDescent="0.3">
      <c r="A1301" t="s">
        <v>7313</v>
      </c>
      <c r="B1301" t="s">
        <v>972</v>
      </c>
      <c r="C1301">
        <v>45</v>
      </c>
      <c r="D1301" t="str">
        <f>VLOOKUP(B1301,Products!$A:$E,2,FALSE)</f>
        <v>Product_482</v>
      </c>
      <c r="E1301" t="str">
        <f>VLOOKUP(B1301,Products!$A:$E,3,FALSE)</f>
        <v>Storage</v>
      </c>
    </row>
    <row r="1302" spans="1:5" x14ac:dyDescent="0.3">
      <c r="A1302" t="s">
        <v>7314</v>
      </c>
      <c r="B1302" t="s">
        <v>156</v>
      </c>
      <c r="C1302">
        <v>35</v>
      </c>
      <c r="D1302" t="str">
        <f>VLOOKUP(B1302,Products!$A:$E,2,FALSE)</f>
        <v>Product_74</v>
      </c>
      <c r="E1302" t="str">
        <f>VLOOKUP(B1302,Products!$A:$E,3,FALSE)</f>
        <v>Storage</v>
      </c>
    </row>
    <row r="1303" spans="1:5" x14ac:dyDescent="0.3">
      <c r="A1303" t="s">
        <v>7315</v>
      </c>
      <c r="B1303" t="s">
        <v>218</v>
      </c>
      <c r="C1303">
        <v>5</v>
      </c>
      <c r="D1303" t="str">
        <f>VLOOKUP(B1303,Products!$A:$E,2,FALSE)</f>
        <v>Product_105</v>
      </c>
      <c r="E1303" t="str">
        <f>VLOOKUP(B1303,Products!$A:$E,3,FALSE)</f>
        <v>Networking</v>
      </c>
    </row>
    <row r="1304" spans="1:5" x14ac:dyDescent="0.3">
      <c r="A1304" t="s">
        <v>7316</v>
      </c>
      <c r="B1304" t="s">
        <v>654</v>
      </c>
      <c r="C1304">
        <v>47</v>
      </c>
      <c r="D1304" t="str">
        <f>VLOOKUP(B1304,Products!$A:$E,2,FALSE)</f>
        <v>Product_323</v>
      </c>
      <c r="E1304" t="str">
        <f>VLOOKUP(B1304,Products!$A:$E,3,FALSE)</f>
        <v>Electronics</v>
      </c>
    </row>
    <row r="1305" spans="1:5" x14ac:dyDescent="0.3">
      <c r="A1305" t="s">
        <v>7317</v>
      </c>
      <c r="B1305" t="s">
        <v>284</v>
      </c>
      <c r="C1305">
        <v>41</v>
      </c>
      <c r="D1305" t="str">
        <f>VLOOKUP(B1305,Products!$A:$E,2,FALSE)</f>
        <v>Product_138</v>
      </c>
      <c r="E1305" t="str">
        <f>VLOOKUP(B1305,Products!$A:$E,3,FALSE)</f>
        <v>Electronics</v>
      </c>
    </row>
    <row r="1306" spans="1:5" x14ac:dyDescent="0.3">
      <c r="A1306" t="s">
        <v>7318</v>
      </c>
      <c r="B1306" t="s">
        <v>722</v>
      </c>
      <c r="C1306">
        <v>42</v>
      </c>
      <c r="D1306" t="str">
        <f>VLOOKUP(B1306,Products!$A:$E,2,FALSE)</f>
        <v>Product_357</v>
      </c>
      <c r="E1306" t="str">
        <f>VLOOKUP(B1306,Products!$A:$E,3,FALSE)</f>
        <v>Accessories</v>
      </c>
    </row>
    <row r="1307" spans="1:5" x14ac:dyDescent="0.3">
      <c r="A1307" t="s">
        <v>7319</v>
      </c>
      <c r="B1307" t="s">
        <v>206</v>
      </c>
      <c r="C1307">
        <v>46</v>
      </c>
      <c r="D1307" t="str">
        <f>VLOOKUP(B1307,Products!$A:$E,2,FALSE)</f>
        <v>Product_99</v>
      </c>
      <c r="E1307" t="str">
        <f>VLOOKUP(B1307,Products!$A:$E,3,FALSE)</f>
        <v>Accessories</v>
      </c>
    </row>
    <row r="1308" spans="1:5" x14ac:dyDescent="0.3">
      <c r="A1308" t="s">
        <v>7320</v>
      </c>
      <c r="B1308" t="s">
        <v>390</v>
      </c>
      <c r="C1308">
        <v>37</v>
      </c>
      <c r="D1308" t="str">
        <f>VLOOKUP(B1308,Products!$A:$E,2,FALSE)</f>
        <v>Product_191</v>
      </c>
      <c r="E1308" t="str">
        <f>VLOOKUP(B1308,Products!$A:$E,3,FALSE)</f>
        <v>Networking</v>
      </c>
    </row>
    <row r="1309" spans="1:5" x14ac:dyDescent="0.3">
      <c r="A1309" t="s">
        <v>7321</v>
      </c>
      <c r="B1309" t="s">
        <v>682</v>
      </c>
      <c r="C1309">
        <v>42</v>
      </c>
      <c r="D1309" t="str">
        <f>VLOOKUP(B1309,Products!$A:$E,2,FALSE)</f>
        <v>Product_337</v>
      </c>
      <c r="E1309" t="str">
        <f>VLOOKUP(B1309,Products!$A:$E,3,FALSE)</f>
        <v>Storage</v>
      </c>
    </row>
    <row r="1310" spans="1:5" x14ac:dyDescent="0.3">
      <c r="A1310" t="s">
        <v>7322</v>
      </c>
      <c r="B1310" t="s">
        <v>850</v>
      </c>
      <c r="C1310">
        <v>33</v>
      </c>
      <c r="D1310" t="str">
        <f>VLOOKUP(B1310,Products!$A:$E,2,FALSE)</f>
        <v>Product_421</v>
      </c>
      <c r="E1310" t="str">
        <f>VLOOKUP(B1310,Products!$A:$E,3,FALSE)</f>
        <v>Accessories</v>
      </c>
    </row>
    <row r="1311" spans="1:5" x14ac:dyDescent="0.3">
      <c r="A1311" t="s">
        <v>7323</v>
      </c>
      <c r="B1311" t="s">
        <v>628</v>
      </c>
      <c r="C1311">
        <v>11</v>
      </c>
      <c r="D1311" t="str">
        <f>VLOOKUP(B1311,Products!$A:$E,2,FALSE)</f>
        <v>Product_310</v>
      </c>
      <c r="E1311" t="str">
        <f>VLOOKUP(B1311,Products!$A:$E,3,FALSE)</f>
        <v>Office Supplies</v>
      </c>
    </row>
    <row r="1312" spans="1:5" x14ac:dyDescent="0.3">
      <c r="A1312" t="s">
        <v>7324</v>
      </c>
      <c r="B1312" t="s">
        <v>438</v>
      </c>
      <c r="C1312">
        <v>10</v>
      </c>
      <c r="D1312" t="str">
        <f>VLOOKUP(B1312,Products!$A:$E,2,FALSE)</f>
        <v>Product_215</v>
      </c>
      <c r="E1312" t="str">
        <f>VLOOKUP(B1312,Products!$A:$E,3,FALSE)</f>
        <v>Electronics</v>
      </c>
    </row>
    <row r="1313" spans="1:5" x14ac:dyDescent="0.3">
      <c r="A1313" t="s">
        <v>7325</v>
      </c>
      <c r="B1313" t="s">
        <v>332</v>
      </c>
      <c r="C1313">
        <v>28</v>
      </c>
      <c r="D1313" t="str">
        <f>VLOOKUP(B1313,Products!$A:$E,2,FALSE)</f>
        <v>Product_162</v>
      </c>
      <c r="E1313" t="str">
        <f>VLOOKUP(B1313,Products!$A:$E,3,FALSE)</f>
        <v>Accessories</v>
      </c>
    </row>
    <row r="1314" spans="1:5" x14ac:dyDescent="0.3">
      <c r="A1314" t="s">
        <v>7326</v>
      </c>
      <c r="B1314" t="s">
        <v>398</v>
      </c>
      <c r="C1314">
        <v>2</v>
      </c>
      <c r="D1314" t="str">
        <f>VLOOKUP(B1314,Products!$A:$E,2,FALSE)</f>
        <v>Product_195</v>
      </c>
      <c r="E1314" t="str">
        <f>VLOOKUP(B1314,Products!$A:$E,3,FALSE)</f>
        <v>Accessories</v>
      </c>
    </row>
    <row r="1315" spans="1:5" x14ac:dyDescent="0.3">
      <c r="A1315" t="s">
        <v>7327</v>
      </c>
      <c r="B1315" t="s">
        <v>996</v>
      </c>
      <c r="C1315">
        <v>39</v>
      </c>
      <c r="D1315" t="str">
        <f>VLOOKUP(B1315,Products!$A:$E,2,FALSE)</f>
        <v>Product_494</v>
      </c>
      <c r="E1315" t="str">
        <f>VLOOKUP(B1315,Products!$A:$E,3,FALSE)</f>
        <v>Office Supplies</v>
      </c>
    </row>
    <row r="1316" spans="1:5" x14ac:dyDescent="0.3">
      <c r="A1316" t="s">
        <v>7328</v>
      </c>
      <c r="B1316" t="s">
        <v>262</v>
      </c>
      <c r="C1316">
        <v>5</v>
      </c>
      <c r="D1316" t="str">
        <f>VLOOKUP(B1316,Products!$A:$E,2,FALSE)</f>
        <v>Product_127</v>
      </c>
      <c r="E1316" t="str">
        <f>VLOOKUP(B1316,Products!$A:$E,3,FALSE)</f>
        <v>Networking</v>
      </c>
    </row>
    <row r="1317" spans="1:5" x14ac:dyDescent="0.3">
      <c r="A1317" t="s">
        <v>7329</v>
      </c>
      <c r="B1317" t="s">
        <v>286</v>
      </c>
      <c r="C1317">
        <v>8</v>
      </c>
      <c r="D1317" t="str">
        <f>VLOOKUP(B1317,Products!$A:$E,2,FALSE)</f>
        <v>Product_139</v>
      </c>
      <c r="E1317" t="str">
        <f>VLOOKUP(B1317,Products!$A:$E,3,FALSE)</f>
        <v>Storage</v>
      </c>
    </row>
    <row r="1318" spans="1:5" x14ac:dyDescent="0.3">
      <c r="A1318" t="s">
        <v>7330</v>
      </c>
      <c r="B1318" t="s">
        <v>554</v>
      </c>
      <c r="C1318">
        <v>8</v>
      </c>
      <c r="D1318" t="str">
        <f>VLOOKUP(B1318,Products!$A:$E,2,FALSE)</f>
        <v>Product_273</v>
      </c>
      <c r="E1318" t="str">
        <f>VLOOKUP(B1318,Products!$A:$E,3,FALSE)</f>
        <v>Networking</v>
      </c>
    </row>
    <row r="1319" spans="1:5" x14ac:dyDescent="0.3">
      <c r="A1319" t="s">
        <v>7331</v>
      </c>
      <c r="B1319" t="s">
        <v>710</v>
      </c>
      <c r="C1319">
        <v>36</v>
      </c>
      <c r="D1319" t="str">
        <f>VLOOKUP(B1319,Products!$A:$E,2,FALSE)</f>
        <v>Product_351</v>
      </c>
      <c r="E1319" t="str">
        <f>VLOOKUP(B1319,Products!$A:$E,3,FALSE)</f>
        <v>Accessories</v>
      </c>
    </row>
    <row r="1320" spans="1:5" x14ac:dyDescent="0.3">
      <c r="A1320" t="s">
        <v>7332</v>
      </c>
      <c r="B1320" t="s">
        <v>426</v>
      </c>
      <c r="C1320">
        <v>5</v>
      </c>
      <c r="D1320" t="str">
        <f>VLOOKUP(B1320,Products!$A:$E,2,FALSE)</f>
        <v>Product_209</v>
      </c>
      <c r="E1320" t="str">
        <f>VLOOKUP(B1320,Products!$A:$E,3,FALSE)</f>
        <v>Networking</v>
      </c>
    </row>
    <row r="1321" spans="1:5" x14ac:dyDescent="0.3">
      <c r="A1321" t="s">
        <v>7333</v>
      </c>
      <c r="B1321" t="s">
        <v>346</v>
      </c>
      <c r="C1321">
        <v>41</v>
      </c>
      <c r="D1321" t="str">
        <f>VLOOKUP(B1321,Products!$A:$E,2,FALSE)</f>
        <v>Product_169</v>
      </c>
      <c r="E1321" t="str">
        <f>VLOOKUP(B1321,Products!$A:$E,3,FALSE)</f>
        <v>Accessories</v>
      </c>
    </row>
    <row r="1322" spans="1:5" x14ac:dyDescent="0.3">
      <c r="A1322" t="s">
        <v>7334</v>
      </c>
      <c r="B1322" t="s">
        <v>100</v>
      </c>
      <c r="C1322">
        <v>24</v>
      </c>
      <c r="D1322" t="str">
        <f>VLOOKUP(B1322,Products!$A:$E,2,FALSE)</f>
        <v>Product_46</v>
      </c>
      <c r="E1322" t="str">
        <f>VLOOKUP(B1322,Products!$A:$E,3,FALSE)</f>
        <v>Networking</v>
      </c>
    </row>
    <row r="1323" spans="1:5" x14ac:dyDescent="0.3">
      <c r="A1323" t="s">
        <v>7335</v>
      </c>
      <c r="B1323" t="s">
        <v>940</v>
      </c>
      <c r="C1323">
        <v>22</v>
      </c>
      <c r="D1323" t="str">
        <f>VLOOKUP(B1323,Products!$A:$E,2,FALSE)</f>
        <v>Product_466</v>
      </c>
      <c r="E1323" t="str">
        <f>VLOOKUP(B1323,Products!$A:$E,3,FALSE)</f>
        <v>Networking</v>
      </c>
    </row>
    <row r="1324" spans="1:5" x14ac:dyDescent="0.3">
      <c r="A1324" t="s">
        <v>7336</v>
      </c>
      <c r="B1324" t="s">
        <v>806</v>
      </c>
      <c r="C1324">
        <v>18</v>
      </c>
      <c r="D1324" t="str">
        <f>VLOOKUP(B1324,Products!$A:$E,2,FALSE)</f>
        <v>Product_399</v>
      </c>
      <c r="E1324" t="str">
        <f>VLOOKUP(B1324,Products!$A:$E,3,FALSE)</f>
        <v>Networking</v>
      </c>
    </row>
    <row r="1325" spans="1:5" x14ac:dyDescent="0.3">
      <c r="A1325" t="s">
        <v>7337</v>
      </c>
      <c r="B1325" t="s">
        <v>158</v>
      </c>
      <c r="C1325">
        <v>15</v>
      </c>
      <c r="D1325" t="str">
        <f>VLOOKUP(B1325,Products!$A:$E,2,FALSE)</f>
        <v>Product_75</v>
      </c>
      <c r="E1325" t="str">
        <f>VLOOKUP(B1325,Products!$A:$E,3,FALSE)</f>
        <v>Storage</v>
      </c>
    </row>
    <row r="1326" spans="1:5" x14ac:dyDescent="0.3">
      <c r="A1326" t="s">
        <v>7338</v>
      </c>
      <c r="B1326" t="s">
        <v>290</v>
      </c>
      <c r="C1326">
        <v>1</v>
      </c>
      <c r="D1326" t="str">
        <f>VLOOKUP(B1326,Products!$A:$E,2,FALSE)</f>
        <v>Product_141</v>
      </c>
      <c r="E1326" t="str">
        <f>VLOOKUP(B1326,Products!$A:$E,3,FALSE)</f>
        <v>Electronics</v>
      </c>
    </row>
    <row r="1327" spans="1:5" x14ac:dyDescent="0.3">
      <c r="A1327" t="s">
        <v>7339</v>
      </c>
      <c r="B1327" t="s">
        <v>110</v>
      </c>
      <c r="C1327">
        <v>25</v>
      </c>
      <c r="D1327" t="str">
        <f>VLOOKUP(B1327,Products!$A:$E,2,FALSE)</f>
        <v>Product_51</v>
      </c>
      <c r="E1327" t="str">
        <f>VLOOKUP(B1327,Products!$A:$E,3,FALSE)</f>
        <v>Storage</v>
      </c>
    </row>
    <row r="1328" spans="1:5" x14ac:dyDescent="0.3">
      <c r="A1328" t="s">
        <v>7340</v>
      </c>
      <c r="B1328" t="s">
        <v>1002</v>
      </c>
      <c r="C1328">
        <v>15</v>
      </c>
      <c r="D1328" t="str">
        <f>VLOOKUP(B1328,Products!$A:$E,2,FALSE)</f>
        <v>Product_497</v>
      </c>
      <c r="E1328" t="str">
        <f>VLOOKUP(B1328,Products!$A:$E,3,FALSE)</f>
        <v>Office Supplies</v>
      </c>
    </row>
    <row r="1329" spans="1:5" x14ac:dyDescent="0.3">
      <c r="A1329" t="s">
        <v>7341</v>
      </c>
      <c r="B1329" t="s">
        <v>396</v>
      </c>
      <c r="C1329">
        <v>7</v>
      </c>
      <c r="D1329" t="str">
        <f>VLOOKUP(B1329,Products!$A:$E,2,FALSE)</f>
        <v>Product_194</v>
      </c>
      <c r="E1329" t="str">
        <f>VLOOKUP(B1329,Products!$A:$E,3,FALSE)</f>
        <v>Networking</v>
      </c>
    </row>
    <row r="1330" spans="1:5" x14ac:dyDescent="0.3">
      <c r="A1330" t="s">
        <v>7342</v>
      </c>
      <c r="B1330" t="s">
        <v>810</v>
      </c>
      <c r="C1330">
        <v>8</v>
      </c>
      <c r="D1330" t="str">
        <f>VLOOKUP(B1330,Products!$A:$E,2,FALSE)</f>
        <v>Product_401</v>
      </c>
      <c r="E1330" t="str">
        <f>VLOOKUP(B1330,Products!$A:$E,3,FALSE)</f>
        <v>Storage</v>
      </c>
    </row>
    <row r="1331" spans="1:5" x14ac:dyDescent="0.3">
      <c r="A1331" t="s">
        <v>7343</v>
      </c>
      <c r="B1331" t="s">
        <v>188</v>
      </c>
      <c r="C1331">
        <v>34</v>
      </c>
      <c r="D1331" t="str">
        <f>VLOOKUP(B1331,Products!$A:$E,2,FALSE)</f>
        <v>Product_90</v>
      </c>
      <c r="E1331" t="str">
        <f>VLOOKUP(B1331,Products!$A:$E,3,FALSE)</f>
        <v>Accessories</v>
      </c>
    </row>
    <row r="1332" spans="1:5" x14ac:dyDescent="0.3">
      <c r="A1332" t="s">
        <v>7344</v>
      </c>
      <c r="B1332" t="s">
        <v>754</v>
      </c>
      <c r="C1332">
        <v>20</v>
      </c>
      <c r="D1332" t="str">
        <f>VLOOKUP(B1332,Products!$A:$E,2,FALSE)</f>
        <v>Product_373</v>
      </c>
      <c r="E1332" t="str">
        <f>VLOOKUP(B1332,Products!$A:$E,3,FALSE)</f>
        <v>Office Supplies</v>
      </c>
    </row>
    <row r="1333" spans="1:5" x14ac:dyDescent="0.3">
      <c r="A1333" t="s">
        <v>7345</v>
      </c>
      <c r="B1333" t="s">
        <v>612</v>
      </c>
      <c r="C1333">
        <v>32</v>
      </c>
      <c r="D1333" t="str">
        <f>VLOOKUP(B1333,Products!$A:$E,2,FALSE)</f>
        <v>Product_302</v>
      </c>
      <c r="E1333" t="str">
        <f>VLOOKUP(B1333,Products!$A:$E,3,FALSE)</f>
        <v>Accessories</v>
      </c>
    </row>
    <row r="1334" spans="1:5" x14ac:dyDescent="0.3">
      <c r="A1334" t="s">
        <v>7346</v>
      </c>
      <c r="B1334" t="s">
        <v>106</v>
      </c>
      <c r="C1334">
        <v>34</v>
      </c>
      <c r="D1334" t="str">
        <f>VLOOKUP(B1334,Products!$A:$E,2,FALSE)</f>
        <v>Product_49</v>
      </c>
      <c r="E1334" t="str">
        <f>VLOOKUP(B1334,Products!$A:$E,3,FALSE)</f>
        <v>Storage</v>
      </c>
    </row>
    <row r="1335" spans="1:5" x14ac:dyDescent="0.3">
      <c r="A1335" t="s">
        <v>7347</v>
      </c>
      <c r="B1335" t="s">
        <v>366</v>
      </c>
      <c r="C1335">
        <v>45</v>
      </c>
      <c r="D1335" t="str">
        <f>VLOOKUP(B1335,Products!$A:$E,2,FALSE)</f>
        <v>Product_179</v>
      </c>
      <c r="E1335" t="str">
        <f>VLOOKUP(B1335,Products!$A:$E,3,FALSE)</f>
        <v>Storage</v>
      </c>
    </row>
    <row r="1336" spans="1:5" x14ac:dyDescent="0.3">
      <c r="A1336" t="s">
        <v>7348</v>
      </c>
      <c r="B1336" t="s">
        <v>594</v>
      </c>
      <c r="C1336">
        <v>19</v>
      </c>
      <c r="D1336" t="str">
        <f>VLOOKUP(B1336,Products!$A:$E,2,FALSE)</f>
        <v>Product_293</v>
      </c>
      <c r="E1336" t="str">
        <f>VLOOKUP(B1336,Products!$A:$E,3,FALSE)</f>
        <v>Networking</v>
      </c>
    </row>
    <row r="1337" spans="1:5" x14ac:dyDescent="0.3">
      <c r="A1337" t="s">
        <v>7349</v>
      </c>
      <c r="B1337" t="s">
        <v>574</v>
      </c>
      <c r="C1337">
        <v>18</v>
      </c>
      <c r="D1337" t="str">
        <f>VLOOKUP(B1337,Products!$A:$E,2,FALSE)</f>
        <v>Product_283</v>
      </c>
      <c r="E1337" t="str">
        <f>VLOOKUP(B1337,Products!$A:$E,3,FALSE)</f>
        <v>Networking</v>
      </c>
    </row>
    <row r="1338" spans="1:5" x14ac:dyDescent="0.3">
      <c r="A1338" t="s">
        <v>7350</v>
      </c>
      <c r="B1338" t="s">
        <v>632</v>
      </c>
      <c r="C1338">
        <v>7</v>
      </c>
      <c r="D1338" t="str">
        <f>VLOOKUP(B1338,Products!$A:$E,2,FALSE)</f>
        <v>Product_312</v>
      </c>
      <c r="E1338" t="str">
        <f>VLOOKUP(B1338,Products!$A:$E,3,FALSE)</f>
        <v>Office Supplies</v>
      </c>
    </row>
    <row r="1339" spans="1:5" x14ac:dyDescent="0.3">
      <c r="A1339" t="s">
        <v>7351</v>
      </c>
      <c r="B1339" t="s">
        <v>928</v>
      </c>
      <c r="C1339">
        <v>4</v>
      </c>
      <c r="D1339" t="str">
        <f>VLOOKUP(B1339,Products!$A:$E,2,FALSE)</f>
        <v>Product_460</v>
      </c>
      <c r="E1339" t="str">
        <f>VLOOKUP(B1339,Products!$A:$E,3,FALSE)</f>
        <v>Accessories</v>
      </c>
    </row>
    <row r="1340" spans="1:5" x14ac:dyDescent="0.3">
      <c r="A1340" t="s">
        <v>7352</v>
      </c>
      <c r="B1340" t="s">
        <v>184</v>
      </c>
      <c r="C1340">
        <v>21</v>
      </c>
      <c r="D1340" t="str">
        <f>VLOOKUP(B1340,Products!$A:$E,2,FALSE)</f>
        <v>Product_88</v>
      </c>
      <c r="E1340" t="str">
        <f>VLOOKUP(B1340,Products!$A:$E,3,FALSE)</f>
        <v>Accessories</v>
      </c>
    </row>
    <row r="1341" spans="1:5" x14ac:dyDescent="0.3">
      <c r="A1341" t="s">
        <v>7353</v>
      </c>
      <c r="B1341" t="s">
        <v>978</v>
      </c>
      <c r="C1341">
        <v>49</v>
      </c>
      <c r="D1341" t="str">
        <f>VLOOKUP(B1341,Products!$A:$E,2,FALSE)</f>
        <v>Product_485</v>
      </c>
      <c r="E1341" t="str">
        <f>VLOOKUP(B1341,Products!$A:$E,3,FALSE)</f>
        <v>Networking</v>
      </c>
    </row>
    <row r="1342" spans="1:5" x14ac:dyDescent="0.3">
      <c r="A1342" t="s">
        <v>7354</v>
      </c>
      <c r="B1342" t="s">
        <v>408</v>
      </c>
      <c r="C1342">
        <v>12</v>
      </c>
      <c r="D1342" t="str">
        <f>VLOOKUP(B1342,Products!$A:$E,2,FALSE)</f>
        <v>Product_200</v>
      </c>
      <c r="E1342" t="str">
        <f>VLOOKUP(B1342,Products!$A:$E,3,FALSE)</f>
        <v>Office Supplies</v>
      </c>
    </row>
    <row r="1343" spans="1:5" x14ac:dyDescent="0.3">
      <c r="A1343" t="s">
        <v>7355</v>
      </c>
      <c r="B1343" t="s">
        <v>362</v>
      </c>
      <c r="C1343">
        <v>48</v>
      </c>
      <c r="D1343" t="str">
        <f>VLOOKUP(B1343,Products!$A:$E,2,FALSE)</f>
        <v>Product_177</v>
      </c>
      <c r="E1343" t="str">
        <f>VLOOKUP(B1343,Products!$A:$E,3,FALSE)</f>
        <v>Office Supplies</v>
      </c>
    </row>
    <row r="1344" spans="1:5" x14ac:dyDescent="0.3">
      <c r="A1344" t="s">
        <v>7356</v>
      </c>
      <c r="B1344" t="s">
        <v>704</v>
      </c>
      <c r="C1344">
        <v>35</v>
      </c>
      <c r="D1344" t="str">
        <f>VLOOKUP(B1344,Products!$A:$E,2,FALSE)</f>
        <v>Product_348</v>
      </c>
      <c r="E1344" t="str">
        <f>VLOOKUP(B1344,Products!$A:$E,3,FALSE)</f>
        <v>Electronics</v>
      </c>
    </row>
    <row r="1345" spans="1:5" x14ac:dyDescent="0.3">
      <c r="A1345" t="s">
        <v>7357</v>
      </c>
      <c r="B1345" t="s">
        <v>574</v>
      </c>
      <c r="C1345">
        <v>39</v>
      </c>
      <c r="D1345" t="str">
        <f>VLOOKUP(B1345,Products!$A:$E,2,FALSE)</f>
        <v>Product_283</v>
      </c>
      <c r="E1345" t="str">
        <f>VLOOKUP(B1345,Products!$A:$E,3,FALSE)</f>
        <v>Networking</v>
      </c>
    </row>
    <row r="1346" spans="1:5" x14ac:dyDescent="0.3">
      <c r="A1346" t="s">
        <v>7358</v>
      </c>
      <c r="B1346" t="s">
        <v>912</v>
      </c>
      <c r="C1346">
        <v>26</v>
      </c>
      <c r="D1346" t="str">
        <f>VLOOKUP(B1346,Products!$A:$E,2,FALSE)</f>
        <v>Product_452</v>
      </c>
      <c r="E1346" t="str">
        <f>VLOOKUP(B1346,Products!$A:$E,3,FALSE)</f>
        <v>Office Supplies</v>
      </c>
    </row>
    <row r="1347" spans="1:5" x14ac:dyDescent="0.3">
      <c r="A1347" t="s">
        <v>7359</v>
      </c>
      <c r="B1347" t="s">
        <v>498</v>
      </c>
      <c r="C1347">
        <v>38</v>
      </c>
      <c r="D1347" t="str">
        <f>VLOOKUP(B1347,Products!$A:$E,2,FALSE)</f>
        <v>Product_245</v>
      </c>
      <c r="E1347" t="str">
        <f>VLOOKUP(B1347,Products!$A:$E,3,FALSE)</f>
        <v>Office Supplies</v>
      </c>
    </row>
    <row r="1348" spans="1:5" x14ac:dyDescent="0.3">
      <c r="A1348" t="s">
        <v>7360</v>
      </c>
      <c r="B1348" t="s">
        <v>140</v>
      </c>
      <c r="C1348">
        <v>17</v>
      </c>
      <c r="D1348" t="str">
        <f>VLOOKUP(B1348,Products!$A:$E,2,FALSE)</f>
        <v>Product_66</v>
      </c>
      <c r="E1348" t="str">
        <f>VLOOKUP(B1348,Products!$A:$E,3,FALSE)</f>
        <v>Electronics</v>
      </c>
    </row>
    <row r="1349" spans="1:5" x14ac:dyDescent="0.3">
      <c r="A1349" t="s">
        <v>7361</v>
      </c>
      <c r="B1349" t="s">
        <v>17</v>
      </c>
      <c r="C1349">
        <v>44</v>
      </c>
      <c r="D1349" t="str">
        <f>VLOOKUP(B1349,Products!$A:$E,2,FALSE)</f>
        <v>Product_5</v>
      </c>
      <c r="E1349" t="str">
        <f>VLOOKUP(B1349,Products!$A:$E,3,FALSE)</f>
        <v>Networking</v>
      </c>
    </row>
    <row r="1350" spans="1:5" x14ac:dyDescent="0.3">
      <c r="A1350" t="s">
        <v>7362</v>
      </c>
      <c r="B1350" t="s">
        <v>534</v>
      </c>
      <c r="C1350">
        <v>46</v>
      </c>
      <c r="D1350" t="str">
        <f>VLOOKUP(B1350,Products!$A:$E,2,FALSE)</f>
        <v>Product_263</v>
      </c>
      <c r="E1350" t="str">
        <f>VLOOKUP(B1350,Products!$A:$E,3,FALSE)</f>
        <v>Accessories</v>
      </c>
    </row>
    <row r="1351" spans="1:5" x14ac:dyDescent="0.3">
      <c r="A1351" t="s">
        <v>7363</v>
      </c>
      <c r="B1351" t="s">
        <v>168</v>
      </c>
      <c r="C1351">
        <v>43</v>
      </c>
      <c r="D1351" t="str">
        <f>VLOOKUP(B1351,Products!$A:$E,2,FALSE)</f>
        <v>Product_80</v>
      </c>
      <c r="E1351" t="str">
        <f>VLOOKUP(B1351,Products!$A:$E,3,FALSE)</f>
        <v>Accessories</v>
      </c>
    </row>
    <row r="1352" spans="1:5" x14ac:dyDescent="0.3">
      <c r="A1352" t="s">
        <v>7364</v>
      </c>
      <c r="B1352" t="s">
        <v>138</v>
      </c>
      <c r="C1352">
        <v>10</v>
      </c>
      <c r="D1352" t="str">
        <f>VLOOKUP(B1352,Products!$A:$E,2,FALSE)</f>
        <v>Product_65</v>
      </c>
      <c r="E1352" t="str">
        <f>VLOOKUP(B1352,Products!$A:$E,3,FALSE)</f>
        <v>Office Supplies</v>
      </c>
    </row>
    <row r="1353" spans="1:5" x14ac:dyDescent="0.3">
      <c r="A1353" t="s">
        <v>7365</v>
      </c>
      <c r="B1353" t="s">
        <v>396</v>
      </c>
      <c r="C1353">
        <v>37</v>
      </c>
      <c r="D1353" t="str">
        <f>VLOOKUP(B1353,Products!$A:$E,2,FALSE)</f>
        <v>Product_194</v>
      </c>
      <c r="E1353" t="str">
        <f>VLOOKUP(B1353,Products!$A:$E,3,FALSE)</f>
        <v>Networking</v>
      </c>
    </row>
    <row r="1354" spans="1:5" x14ac:dyDescent="0.3">
      <c r="A1354" t="s">
        <v>7366</v>
      </c>
      <c r="B1354" t="s">
        <v>762</v>
      </c>
      <c r="C1354">
        <v>18</v>
      </c>
      <c r="D1354" t="str">
        <f>VLOOKUP(B1354,Products!$A:$E,2,FALSE)</f>
        <v>Product_377</v>
      </c>
      <c r="E1354" t="str">
        <f>VLOOKUP(B1354,Products!$A:$E,3,FALSE)</f>
        <v>Networking</v>
      </c>
    </row>
    <row r="1355" spans="1:5" x14ac:dyDescent="0.3">
      <c r="A1355" t="s">
        <v>7367</v>
      </c>
      <c r="B1355" t="s">
        <v>64</v>
      </c>
      <c r="C1355">
        <v>47</v>
      </c>
      <c r="D1355" t="str">
        <f>VLOOKUP(B1355,Products!$A:$E,2,FALSE)</f>
        <v>Product_28</v>
      </c>
      <c r="E1355" t="str">
        <f>VLOOKUP(B1355,Products!$A:$E,3,FALSE)</f>
        <v>Office Supplies</v>
      </c>
    </row>
    <row r="1356" spans="1:5" x14ac:dyDescent="0.3">
      <c r="A1356" t="s">
        <v>7368</v>
      </c>
      <c r="B1356" t="s">
        <v>664</v>
      </c>
      <c r="C1356">
        <v>24</v>
      </c>
      <c r="D1356" t="str">
        <f>VLOOKUP(B1356,Products!$A:$E,2,FALSE)</f>
        <v>Product_328</v>
      </c>
      <c r="E1356" t="str">
        <f>VLOOKUP(B1356,Products!$A:$E,3,FALSE)</f>
        <v>Office Supplies</v>
      </c>
    </row>
    <row r="1357" spans="1:5" x14ac:dyDescent="0.3">
      <c r="A1357" t="s">
        <v>7369</v>
      </c>
      <c r="B1357" t="s">
        <v>734</v>
      </c>
      <c r="C1357">
        <v>50</v>
      </c>
      <c r="D1357" t="str">
        <f>VLOOKUP(B1357,Products!$A:$E,2,FALSE)</f>
        <v>Product_363</v>
      </c>
      <c r="E1357" t="str">
        <f>VLOOKUP(B1357,Products!$A:$E,3,FALSE)</f>
        <v>Storage</v>
      </c>
    </row>
    <row r="1358" spans="1:5" x14ac:dyDescent="0.3">
      <c r="A1358" t="s">
        <v>7370</v>
      </c>
      <c r="B1358" t="s">
        <v>264</v>
      </c>
      <c r="C1358">
        <v>44</v>
      </c>
      <c r="D1358" t="str">
        <f>VLOOKUP(B1358,Products!$A:$E,2,FALSE)</f>
        <v>Product_128</v>
      </c>
      <c r="E1358" t="str">
        <f>VLOOKUP(B1358,Products!$A:$E,3,FALSE)</f>
        <v>Office Supplies</v>
      </c>
    </row>
    <row r="1359" spans="1:5" x14ac:dyDescent="0.3">
      <c r="A1359" t="s">
        <v>7371</v>
      </c>
      <c r="B1359" t="s">
        <v>632</v>
      </c>
      <c r="C1359">
        <v>27</v>
      </c>
      <c r="D1359" t="str">
        <f>VLOOKUP(B1359,Products!$A:$E,2,FALSE)</f>
        <v>Product_312</v>
      </c>
      <c r="E1359" t="str">
        <f>VLOOKUP(B1359,Products!$A:$E,3,FALSE)</f>
        <v>Office Supplies</v>
      </c>
    </row>
    <row r="1360" spans="1:5" x14ac:dyDescent="0.3">
      <c r="A1360" t="s">
        <v>7372</v>
      </c>
      <c r="B1360" t="s">
        <v>732</v>
      </c>
      <c r="C1360">
        <v>30</v>
      </c>
      <c r="D1360" t="str">
        <f>VLOOKUP(B1360,Products!$A:$E,2,FALSE)</f>
        <v>Product_362</v>
      </c>
      <c r="E1360" t="str">
        <f>VLOOKUP(B1360,Products!$A:$E,3,FALSE)</f>
        <v>Networking</v>
      </c>
    </row>
    <row r="1361" spans="1:5" x14ac:dyDescent="0.3">
      <c r="A1361" t="s">
        <v>7373</v>
      </c>
      <c r="B1361" t="s">
        <v>196</v>
      </c>
      <c r="C1361">
        <v>29</v>
      </c>
      <c r="D1361" t="str">
        <f>VLOOKUP(B1361,Products!$A:$E,2,FALSE)</f>
        <v>Product_94</v>
      </c>
      <c r="E1361" t="str">
        <f>VLOOKUP(B1361,Products!$A:$E,3,FALSE)</f>
        <v>Networking</v>
      </c>
    </row>
    <row r="1362" spans="1:5" x14ac:dyDescent="0.3">
      <c r="A1362" t="s">
        <v>7374</v>
      </c>
      <c r="B1362" t="s">
        <v>372</v>
      </c>
      <c r="C1362">
        <v>30</v>
      </c>
      <c r="D1362" t="str">
        <f>VLOOKUP(B1362,Products!$A:$E,2,FALSE)</f>
        <v>Product_182</v>
      </c>
      <c r="E1362" t="str">
        <f>VLOOKUP(B1362,Products!$A:$E,3,FALSE)</f>
        <v>Storage</v>
      </c>
    </row>
    <row r="1363" spans="1:5" x14ac:dyDescent="0.3">
      <c r="A1363" t="s">
        <v>7375</v>
      </c>
      <c r="B1363" t="s">
        <v>524</v>
      </c>
      <c r="C1363">
        <v>19</v>
      </c>
      <c r="D1363" t="str">
        <f>VLOOKUP(B1363,Products!$A:$E,2,FALSE)</f>
        <v>Product_258</v>
      </c>
      <c r="E1363" t="str">
        <f>VLOOKUP(B1363,Products!$A:$E,3,FALSE)</f>
        <v>Networking</v>
      </c>
    </row>
    <row r="1364" spans="1:5" x14ac:dyDescent="0.3">
      <c r="A1364" t="s">
        <v>7376</v>
      </c>
      <c r="B1364" t="s">
        <v>292</v>
      </c>
      <c r="C1364">
        <v>28</v>
      </c>
      <c r="D1364" t="str">
        <f>VLOOKUP(B1364,Products!$A:$E,2,FALSE)</f>
        <v>Product_142</v>
      </c>
      <c r="E1364" t="str">
        <f>VLOOKUP(B1364,Products!$A:$E,3,FALSE)</f>
        <v>Storage</v>
      </c>
    </row>
    <row r="1365" spans="1:5" x14ac:dyDescent="0.3">
      <c r="A1365" t="s">
        <v>7377</v>
      </c>
      <c r="B1365" t="s">
        <v>542</v>
      </c>
      <c r="C1365">
        <v>46</v>
      </c>
      <c r="D1365" t="str">
        <f>VLOOKUP(B1365,Products!$A:$E,2,FALSE)</f>
        <v>Product_267</v>
      </c>
      <c r="E1365" t="str">
        <f>VLOOKUP(B1365,Products!$A:$E,3,FALSE)</f>
        <v>Networking</v>
      </c>
    </row>
    <row r="1366" spans="1:5" x14ac:dyDescent="0.3">
      <c r="A1366" t="s">
        <v>7378</v>
      </c>
      <c r="B1366" t="s">
        <v>912</v>
      </c>
      <c r="C1366">
        <v>15</v>
      </c>
      <c r="D1366" t="str">
        <f>VLOOKUP(B1366,Products!$A:$E,2,FALSE)</f>
        <v>Product_452</v>
      </c>
      <c r="E1366" t="str">
        <f>VLOOKUP(B1366,Products!$A:$E,3,FALSE)</f>
        <v>Office Supplies</v>
      </c>
    </row>
    <row r="1367" spans="1:5" x14ac:dyDescent="0.3">
      <c r="A1367" t="s">
        <v>7379</v>
      </c>
      <c r="B1367" t="s">
        <v>322</v>
      </c>
      <c r="C1367">
        <v>41</v>
      </c>
      <c r="D1367" t="str">
        <f>VLOOKUP(B1367,Products!$A:$E,2,FALSE)</f>
        <v>Product_157</v>
      </c>
      <c r="E1367" t="str">
        <f>VLOOKUP(B1367,Products!$A:$E,3,FALSE)</f>
        <v>Electronics</v>
      </c>
    </row>
    <row r="1368" spans="1:5" x14ac:dyDescent="0.3">
      <c r="A1368" t="s">
        <v>7380</v>
      </c>
      <c r="B1368" t="s">
        <v>888</v>
      </c>
      <c r="C1368">
        <v>6</v>
      </c>
      <c r="D1368" t="str">
        <f>VLOOKUP(B1368,Products!$A:$E,2,FALSE)</f>
        <v>Product_440</v>
      </c>
      <c r="E1368" t="str">
        <f>VLOOKUP(B1368,Products!$A:$E,3,FALSE)</f>
        <v>Accessories</v>
      </c>
    </row>
    <row r="1369" spans="1:5" x14ac:dyDescent="0.3">
      <c r="A1369" t="s">
        <v>7381</v>
      </c>
      <c r="B1369" t="s">
        <v>980</v>
      </c>
      <c r="C1369">
        <v>20</v>
      </c>
      <c r="D1369" t="str">
        <f>VLOOKUP(B1369,Products!$A:$E,2,FALSE)</f>
        <v>Product_486</v>
      </c>
      <c r="E1369" t="str">
        <f>VLOOKUP(B1369,Products!$A:$E,3,FALSE)</f>
        <v>Electronics</v>
      </c>
    </row>
    <row r="1370" spans="1:5" x14ac:dyDescent="0.3">
      <c r="A1370" t="s">
        <v>7382</v>
      </c>
      <c r="B1370" t="s">
        <v>426</v>
      </c>
      <c r="C1370">
        <v>50</v>
      </c>
      <c r="D1370" t="str">
        <f>VLOOKUP(B1370,Products!$A:$E,2,FALSE)</f>
        <v>Product_209</v>
      </c>
      <c r="E1370" t="str">
        <f>VLOOKUP(B1370,Products!$A:$E,3,FALSE)</f>
        <v>Networking</v>
      </c>
    </row>
    <row r="1371" spans="1:5" x14ac:dyDescent="0.3">
      <c r="A1371" t="s">
        <v>7383</v>
      </c>
      <c r="B1371" t="s">
        <v>330</v>
      </c>
      <c r="C1371">
        <v>6</v>
      </c>
      <c r="D1371" t="str">
        <f>VLOOKUP(B1371,Products!$A:$E,2,FALSE)</f>
        <v>Product_161</v>
      </c>
      <c r="E1371" t="str">
        <f>VLOOKUP(B1371,Products!$A:$E,3,FALSE)</f>
        <v>Networking</v>
      </c>
    </row>
    <row r="1372" spans="1:5" x14ac:dyDescent="0.3">
      <c r="A1372" t="s">
        <v>7384</v>
      </c>
      <c r="B1372" t="s">
        <v>658</v>
      </c>
      <c r="C1372">
        <v>6</v>
      </c>
      <c r="D1372" t="str">
        <f>VLOOKUP(B1372,Products!$A:$E,2,FALSE)</f>
        <v>Product_325</v>
      </c>
      <c r="E1372" t="str">
        <f>VLOOKUP(B1372,Products!$A:$E,3,FALSE)</f>
        <v>Networking</v>
      </c>
    </row>
    <row r="1373" spans="1:5" x14ac:dyDescent="0.3">
      <c r="A1373" t="s">
        <v>7385</v>
      </c>
      <c r="B1373" t="s">
        <v>88</v>
      </c>
      <c r="C1373">
        <v>47</v>
      </c>
      <c r="D1373" t="str">
        <f>VLOOKUP(B1373,Products!$A:$E,2,FALSE)</f>
        <v>Product_40</v>
      </c>
      <c r="E1373" t="str">
        <f>VLOOKUP(B1373,Products!$A:$E,3,FALSE)</f>
        <v>Accessories</v>
      </c>
    </row>
    <row r="1374" spans="1:5" x14ac:dyDescent="0.3">
      <c r="A1374" t="s">
        <v>7386</v>
      </c>
      <c r="B1374" t="s">
        <v>254</v>
      </c>
      <c r="C1374">
        <v>6</v>
      </c>
      <c r="D1374" t="str">
        <f>VLOOKUP(B1374,Products!$A:$E,2,FALSE)</f>
        <v>Product_123</v>
      </c>
      <c r="E1374" t="str">
        <f>VLOOKUP(B1374,Products!$A:$E,3,FALSE)</f>
        <v>Electronics</v>
      </c>
    </row>
    <row r="1375" spans="1:5" x14ac:dyDescent="0.3">
      <c r="A1375" t="s">
        <v>7387</v>
      </c>
      <c r="B1375" t="s">
        <v>178</v>
      </c>
      <c r="C1375">
        <v>37</v>
      </c>
      <c r="D1375" t="str">
        <f>VLOOKUP(B1375,Products!$A:$E,2,FALSE)</f>
        <v>Product_85</v>
      </c>
      <c r="E1375" t="str">
        <f>VLOOKUP(B1375,Products!$A:$E,3,FALSE)</f>
        <v>Electronics</v>
      </c>
    </row>
    <row r="1376" spans="1:5" x14ac:dyDescent="0.3">
      <c r="A1376" t="s">
        <v>7388</v>
      </c>
      <c r="B1376" t="s">
        <v>68</v>
      </c>
      <c r="C1376">
        <v>6</v>
      </c>
      <c r="D1376" t="str">
        <f>VLOOKUP(B1376,Products!$A:$E,2,FALSE)</f>
        <v>Product_30</v>
      </c>
      <c r="E1376" t="str">
        <f>VLOOKUP(B1376,Products!$A:$E,3,FALSE)</f>
        <v>Accessories</v>
      </c>
    </row>
    <row r="1377" spans="1:5" x14ac:dyDescent="0.3">
      <c r="A1377" t="s">
        <v>7389</v>
      </c>
      <c r="B1377" t="s">
        <v>770</v>
      </c>
      <c r="C1377">
        <v>19</v>
      </c>
      <c r="D1377" t="str">
        <f>VLOOKUP(B1377,Products!$A:$E,2,FALSE)</f>
        <v>Product_381</v>
      </c>
      <c r="E1377" t="str">
        <f>VLOOKUP(B1377,Products!$A:$E,3,FALSE)</f>
        <v>Storage</v>
      </c>
    </row>
    <row r="1378" spans="1:5" x14ac:dyDescent="0.3">
      <c r="A1378" t="s">
        <v>7390</v>
      </c>
      <c r="B1378" t="s">
        <v>576</v>
      </c>
      <c r="C1378">
        <v>32</v>
      </c>
      <c r="D1378" t="str">
        <f>VLOOKUP(B1378,Products!$A:$E,2,FALSE)</f>
        <v>Product_284</v>
      </c>
      <c r="E1378" t="str">
        <f>VLOOKUP(B1378,Products!$A:$E,3,FALSE)</f>
        <v>Networking</v>
      </c>
    </row>
    <row r="1379" spans="1:5" x14ac:dyDescent="0.3">
      <c r="A1379" t="s">
        <v>7391</v>
      </c>
      <c r="B1379" t="s">
        <v>836</v>
      </c>
      <c r="C1379">
        <v>1</v>
      </c>
      <c r="D1379" t="str">
        <f>VLOOKUP(B1379,Products!$A:$E,2,FALSE)</f>
        <v>Product_414</v>
      </c>
      <c r="E1379" t="str">
        <f>VLOOKUP(B1379,Products!$A:$E,3,FALSE)</f>
        <v>Office Supplies</v>
      </c>
    </row>
    <row r="1380" spans="1:5" x14ac:dyDescent="0.3">
      <c r="A1380" t="s">
        <v>7392</v>
      </c>
      <c r="B1380" t="s">
        <v>994</v>
      </c>
      <c r="C1380">
        <v>28</v>
      </c>
      <c r="D1380" t="str">
        <f>VLOOKUP(B1380,Products!$A:$E,2,FALSE)</f>
        <v>Product_493</v>
      </c>
      <c r="E1380" t="str">
        <f>VLOOKUP(B1380,Products!$A:$E,3,FALSE)</f>
        <v>Networking</v>
      </c>
    </row>
    <row r="1381" spans="1:5" x14ac:dyDescent="0.3">
      <c r="A1381" t="s">
        <v>7393</v>
      </c>
      <c r="B1381" t="s">
        <v>702</v>
      </c>
      <c r="C1381">
        <v>33</v>
      </c>
      <c r="D1381" t="str">
        <f>VLOOKUP(B1381,Products!$A:$E,2,FALSE)</f>
        <v>Product_347</v>
      </c>
      <c r="E1381" t="str">
        <f>VLOOKUP(B1381,Products!$A:$E,3,FALSE)</f>
        <v>Storage</v>
      </c>
    </row>
    <row r="1382" spans="1:5" x14ac:dyDescent="0.3">
      <c r="A1382" t="s">
        <v>7394</v>
      </c>
      <c r="B1382" t="s">
        <v>964</v>
      </c>
      <c r="C1382">
        <v>47</v>
      </c>
      <c r="D1382" t="str">
        <f>VLOOKUP(B1382,Products!$A:$E,2,FALSE)</f>
        <v>Product_478</v>
      </c>
      <c r="E1382" t="str">
        <f>VLOOKUP(B1382,Products!$A:$E,3,FALSE)</f>
        <v>Office Supplies</v>
      </c>
    </row>
    <row r="1383" spans="1:5" x14ac:dyDescent="0.3">
      <c r="A1383" t="s">
        <v>7395</v>
      </c>
      <c r="B1383" t="s">
        <v>148</v>
      </c>
      <c r="C1383">
        <v>31</v>
      </c>
      <c r="D1383" t="str">
        <f>VLOOKUP(B1383,Products!$A:$E,2,FALSE)</f>
        <v>Product_70</v>
      </c>
      <c r="E1383" t="str">
        <f>VLOOKUP(B1383,Products!$A:$E,3,FALSE)</f>
        <v>Electronics</v>
      </c>
    </row>
    <row r="1384" spans="1:5" x14ac:dyDescent="0.3">
      <c r="A1384" t="s">
        <v>7396</v>
      </c>
      <c r="B1384" t="s">
        <v>518</v>
      </c>
      <c r="C1384">
        <v>33</v>
      </c>
      <c r="D1384" t="str">
        <f>VLOOKUP(B1384,Products!$A:$E,2,FALSE)</f>
        <v>Product_255</v>
      </c>
      <c r="E1384" t="str">
        <f>VLOOKUP(B1384,Products!$A:$E,3,FALSE)</f>
        <v>Accessories</v>
      </c>
    </row>
    <row r="1385" spans="1:5" x14ac:dyDescent="0.3">
      <c r="A1385" t="s">
        <v>7397</v>
      </c>
      <c r="B1385" t="s">
        <v>710</v>
      </c>
      <c r="C1385">
        <v>44</v>
      </c>
      <c r="D1385" t="str">
        <f>VLOOKUP(B1385,Products!$A:$E,2,FALSE)</f>
        <v>Product_351</v>
      </c>
      <c r="E1385" t="str">
        <f>VLOOKUP(B1385,Products!$A:$E,3,FALSE)</f>
        <v>Accessories</v>
      </c>
    </row>
    <row r="1386" spans="1:5" x14ac:dyDescent="0.3">
      <c r="A1386" t="s">
        <v>7398</v>
      </c>
      <c r="B1386" t="s">
        <v>918</v>
      </c>
      <c r="C1386">
        <v>35</v>
      </c>
      <c r="D1386" t="str">
        <f>VLOOKUP(B1386,Products!$A:$E,2,FALSE)</f>
        <v>Product_455</v>
      </c>
      <c r="E1386" t="str">
        <f>VLOOKUP(B1386,Products!$A:$E,3,FALSE)</f>
        <v>Storage</v>
      </c>
    </row>
    <row r="1387" spans="1:5" x14ac:dyDescent="0.3">
      <c r="A1387" t="s">
        <v>7399</v>
      </c>
      <c r="B1387" t="s">
        <v>724</v>
      </c>
      <c r="C1387">
        <v>8</v>
      </c>
      <c r="D1387" t="str">
        <f>VLOOKUP(B1387,Products!$A:$E,2,FALSE)</f>
        <v>Product_358</v>
      </c>
      <c r="E1387" t="str">
        <f>VLOOKUP(B1387,Products!$A:$E,3,FALSE)</f>
        <v>Storage</v>
      </c>
    </row>
    <row r="1388" spans="1:5" x14ac:dyDescent="0.3">
      <c r="A1388" t="s">
        <v>7400</v>
      </c>
      <c r="B1388" t="s">
        <v>424</v>
      </c>
      <c r="C1388">
        <v>1</v>
      </c>
      <c r="D1388" t="str">
        <f>VLOOKUP(B1388,Products!$A:$E,2,FALSE)</f>
        <v>Product_208</v>
      </c>
      <c r="E1388" t="str">
        <f>VLOOKUP(B1388,Products!$A:$E,3,FALSE)</f>
        <v>Electronics</v>
      </c>
    </row>
    <row r="1389" spans="1:5" x14ac:dyDescent="0.3">
      <c r="A1389" t="s">
        <v>7401</v>
      </c>
      <c r="B1389" t="s">
        <v>640</v>
      </c>
      <c r="C1389">
        <v>13</v>
      </c>
      <c r="D1389" t="str">
        <f>VLOOKUP(B1389,Products!$A:$E,2,FALSE)</f>
        <v>Product_316</v>
      </c>
      <c r="E1389" t="str">
        <f>VLOOKUP(B1389,Products!$A:$E,3,FALSE)</f>
        <v>Networking</v>
      </c>
    </row>
    <row r="1390" spans="1:5" x14ac:dyDescent="0.3">
      <c r="A1390" t="s">
        <v>7402</v>
      </c>
      <c r="B1390" t="s">
        <v>942</v>
      </c>
      <c r="C1390">
        <v>48</v>
      </c>
      <c r="D1390" t="str">
        <f>VLOOKUP(B1390,Products!$A:$E,2,FALSE)</f>
        <v>Product_467</v>
      </c>
      <c r="E1390" t="str">
        <f>VLOOKUP(B1390,Products!$A:$E,3,FALSE)</f>
        <v>Accessories</v>
      </c>
    </row>
    <row r="1391" spans="1:5" x14ac:dyDescent="0.3">
      <c r="A1391" t="s">
        <v>7403</v>
      </c>
      <c r="B1391" t="s">
        <v>14</v>
      </c>
      <c r="C1391">
        <v>46</v>
      </c>
      <c r="D1391" t="str">
        <f>VLOOKUP(B1391,Products!$A:$E,2,FALSE)</f>
        <v>Product_4</v>
      </c>
      <c r="E1391" t="str">
        <f>VLOOKUP(B1391,Products!$A:$E,3,FALSE)</f>
        <v>Storage</v>
      </c>
    </row>
    <row r="1392" spans="1:5" x14ac:dyDescent="0.3">
      <c r="A1392" t="s">
        <v>7404</v>
      </c>
      <c r="B1392" t="s">
        <v>444</v>
      </c>
      <c r="C1392">
        <v>45</v>
      </c>
      <c r="D1392" t="str">
        <f>VLOOKUP(B1392,Products!$A:$E,2,FALSE)</f>
        <v>Product_218</v>
      </c>
      <c r="E1392" t="str">
        <f>VLOOKUP(B1392,Products!$A:$E,3,FALSE)</f>
        <v>Accessories</v>
      </c>
    </row>
    <row r="1393" spans="1:5" x14ac:dyDescent="0.3">
      <c r="A1393" t="s">
        <v>7405</v>
      </c>
      <c r="B1393" t="s">
        <v>556</v>
      </c>
      <c r="C1393">
        <v>48</v>
      </c>
      <c r="D1393" t="str">
        <f>VLOOKUP(B1393,Products!$A:$E,2,FALSE)</f>
        <v>Product_274</v>
      </c>
      <c r="E1393" t="str">
        <f>VLOOKUP(B1393,Products!$A:$E,3,FALSE)</f>
        <v>Accessories</v>
      </c>
    </row>
    <row r="1394" spans="1:5" x14ac:dyDescent="0.3">
      <c r="A1394" t="s">
        <v>7406</v>
      </c>
      <c r="B1394" t="s">
        <v>362</v>
      </c>
      <c r="C1394">
        <v>16</v>
      </c>
      <c r="D1394" t="str">
        <f>VLOOKUP(B1394,Products!$A:$E,2,FALSE)</f>
        <v>Product_177</v>
      </c>
      <c r="E1394" t="str">
        <f>VLOOKUP(B1394,Products!$A:$E,3,FALSE)</f>
        <v>Office Supplies</v>
      </c>
    </row>
    <row r="1395" spans="1:5" x14ac:dyDescent="0.3">
      <c r="A1395" t="s">
        <v>7407</v>
      </c>
      <c r="B1395" t="s">
        <v>766</v>
      </c>
      <c r="C1395">
        <v>43</v>
      </c>
      <c r="D1395" t="str">
        <f>VLOOKUP(B1395,Products!$A:$E,2,FALSE)</f>
        <v>Product_379</v>
      </c>
      <c r="E1395" t="str">
        <f>VLOOKUP(B1395,Products!$A:$E,3,FALSE)</f>
        <v>Office Supplies</v>
      </c>
    </row>
    <row r="1396" spans="1:5" x14ac:dyDescent="0.3">
      <c r="A1396" t="s">
        <v>7408</v>
      </c>
      <c r="B1396" t="s">
        <v>982</v>
      </c>
      <c r="C1396">
        <v>34</v>
      </c>
      <c r="D1396" t="str">
        <f>VLOOKUP(B1396,Products!$A:$E,2,FALSE)</f>
        <v>Product_487</v>
      </c>
      <c r="E1396" t="str">
        <f>VLOOKUP(B1396,Products!$A:$E,3,FALSE)</f>
        <v>Networking</v>
      </c>
    </row>
    <row r="1397" spans="1:5" x14ac:dyDescent="0.3">
      <c r="A1397" t="s">
        <v>7409</v>
      </c>
      <c r="B1397" t="s">
        <v>710</v>
      </c>
      <c r="C1397">
        <v>39</v>
      </c>
      <c r="D1397" t="str">
        <f>VLOOKUP(B1397,Products!$A:$E,2,FALSE)</f>
        <v>Product_351</v>
      </c>
      <c r="E1397" t="str">
        <f>VLOOKUP(B1397,Products!$A:$E,3,FALSE)</f>
        <v>Accessories</v>
      </c>
    </row>
    <row r="1398" spans="1:5" x14ac:dyDescent="0.3">
      <c r="A1398" t="s">
        <v>7410</v>
      </c>
      <c r="B1398" t="s">
        <v>52</v>
      </c>
      <c r="C1398">
        <v>39</v>
      </c>
      <c r="D1398" t="str">
        <f>VLOOKUP(B1398,Products!$A:$E,2,FALSE)</f>
        <v>Product_22</v>
      </c>
      <c r="E1398" t="str">
        <f>VLOOKUP(B1398,Products!$A:$E,3,FALSE)</f>
        <v>Electronics</v>
      </c>
    </row>
    <row r="1399" spans="1:5" x14ac:dyDescent="0.3">
      <c r="A1399" t="s">
        <v>7411</v>
      </c>
      <c r="B1399" t="s">
        <v>468</v>
      </c>
      <c r="C1399">
        <v>11</v>
      </c>
      <c r="D1399" t="str">
        <f>VLOOKUP(B1399,Products!$A:$E,2,FALSE)</f>
        <v>Product_230</v>
      </c>
      <c r="E1399" t="str">
        <f>VLOOKUP(B1399,Products!$A:$E,3,FALSE)</f>
        <v>Electronics</v>
      </c>
    </row>
    <row r="1400" spans="1:5" x14ac:dyDescent="0.3">
      <c r="A1400" t="s">
        <v>7412</v>
      </c>
      <c r="B1400" t="s">
        <v>700</v>
      </c>
      <c r="C1400">
        <v>49</v>
      </c>
      <c r="D1400" t="str">
        <f>VLOOKUP(B1400,Products!$A:$E,2,FALSE)</f>
        <v>Product_346</v>
      </c>
      <c r="E1400" t="str">
        <f>VLOOKUP(B1400,Products!$A:$E,3,FALSE)</f>
        <v>Electronics</v>
      </c>
    </row>
    <row r="1401" spans="1:5" x14ac:dyDescent="0.3">
      <c r="A1401" t="s">
        <v>7413</v>
      </c>
      <c r="B1401" t="s">
        <v>546</v>
      </c>
      <c r="C1401">
        <v>15</v>
      </c>
      <c r="D1401" t="str">
        <f>VLOOKUP(B1401,Products!$A:$E,2,FALSE)</f>
        <v>Product_269</v>
      </c>
      <c r="E1401" t="str">
        <f>VLOOKUP(B1401,Products!$A:$E,3,FALSE)</f>
        <v>Storage</v>
      </c>
    </row>
    <row r="1402" spans="1:5" x14ac:dyDescent="0.3">
      <c r="A1402" t="s">
        <v>7414</v>
      </c>
      <c r="B1402" t="s">
        <v>188</v>
      </c>
      <c r="C1402">
        <v>5</v>
      </c>
      <c r="D1402" t="str">
        <f>VLOOKUP(B1402,Products!$A:$E,2,FALSE)</f>
        <v>Product_90</v>
      </c>
      <c r="E1402" t="str">
        <f>VLOOKUP(B1402,Products!$A:$E,3,FALSE)</f>
        <v>Accessories</v>
      </c>
    </row>
    <row r="1403" spans="1:5" x14ac:dyDescent="0.3">
      <c r="A1403" t="s">
        <v>7415</v>
      </c>
      <c r="B1403" t="s">
        <v>384</v>
      </c>
      <c r="C1403">
        <v>9</v>
      </c>
      <c r="D1403" t="str">
        <f>VLOOKUP(B1403,Products!$A:$E,2,FALSE)</f>
        <v>Product_188</v>
      </c>
      <c r="E1403" t="str">
        <f>VLOOKUP(B1403,Products!$A:$E,3,FALSE)</f>
        <v>Office Supplies</v>
      </c>
    </row>
    <row r="1404" spans="1:5" x14ac:dyDescent="0.3">
      <c r="A1404" t="s">
        <v>7416</v>
      </c>
      <c r="B1404" t="s">
        <v>536</v>
      </c>
      <c r="C1404">
        <v>23</v>
      </c>
      <c r="D1404" t="str">
        <f>VLOOKUP(B1404,Products!$A:$E,2,FALSE)</f>
        <v>Product_264</v>
      </c>
      <c r="E1404" t="str">
        <f>VLOOKUP(B1404,Products!$A:$E,3,FALSE)</f>
        <v>Electronics</v>
      </c>
    </row>
    <row r="1405" spans="1:5" x14ac:dyDescent="0.3">
      <c r="A1405" t="s">
        <v>7417</v>
      </c>
      <c r="B1405" t="s">
        <v>984</v>
      </c>
      <c r="C1405">
        <v>4</v>
      </c>
      <c r="D1405" t="str">
        <f>VLOOKUP(B1405,Products!$A:$E,2,FALSE)</f>
        <v>Product_488</v>
      </c>
      <c r="E1405" t="str">
        <f>VLOOKUP(B1405,Products!$A:$E,3,FALSE)</f>
        <v>Accessories</v>
      </c>
    </row>
    <row r="1406" spans="1:5" x14ac:dyDescent="0.3">
      <c r="A1406" t="s">
        <v>7418</v>
      </c>
      <c r="B1406" t="s">
        <v>442</v>
      </c>
      <c r="C1406">
        <v>32</v>
      </c>
      <c r="D1406" t="str">
        <f>VLOOKUP(B1406,Products!$A:$E,2,FALSE)</f>
        <v>Product_217</v>
      </c>
      <c r="E1406" t="str">
        <f>VLOOKUP(B1406,Products!$A:$E,3,FALSE)</f>
        <v>Networking</v>
      </c>
    </row>
    <row r="1407" spans="1:5" x14ac:dyDescent="0.3">
      <c r="A1407" t="s">
        <v>7419</v>
      </c>
      <c r="B1407" t="s">
        <v>398</v>
      </c>
      <c r="C1407">
        <v>11</v>
      </c>
      <c r="D1407" t="str">
        <f>VLOOKUP(B1407,Products!$A:$E,2,FALSE)</f>
        <v>Product_195</v>
      </c>
      <c r="E1407" t="str">
        <f>VLOOKUP(B1407,Products!$A:$E,3,FALSE)</f>
        <v>Accessories</v>
      </c>
    </row>
    <row r="1408" spans="1:5" x14ac:dyDescent="0.3">
      <c r="A1408" t="s">
        <v>7420</v>
      </c>
      <c r="B1408" t="s">
        <v>392</v>
      </c>
      <c r="C1408">
        <v>8</v>
      </c>
      <c r="D1408" t="str">
        <f>VLOOKUP(B1408,Products!$A:$E,2,FALSE)</f>
        <v>Product_192</v>
      </c>
      <c r="E1408" t="str">
        <f>VLOOKUP(B1408,Products!$A:$E,3,FALSE)</f>
        <v>Office Supplies</v>
      </c>
    </row>
    <row r="1409" spans="1:5" x14ac:dyDescent="0.3">
      <c r="A1409" t="s">
        <v>7421</v>
      </c>
      <c r="B1409" t="s">
        <v>356</v>
      </c>
      <c r="C1409">
        <v>44</v>
      </c>
      <c r="D1409" t="str">
        <f>VLOOKUP(B1409,Products!$A:$E,2,FALSE)</f>
        <v>Product_174</v>
      </c>
      <c r="E1409" t="str">
        <f>VLOOKUP(B1409,Products!$A:$E,3,FALSE)</f>
        <v>Storage</v>
      </c>
    </row>
    <row r="1410" spans="1:5" x14ac:dyDescent="0.3">
      <c r="A1410" t="s">
        <v>7422</v>
      </c>
      <c r="B1410" t="s">
        <v>264</v>
      </c>
      <c r="C1410">
        <v>35</v>
      </c>
      <c r="D1410" t="str">
        <f>VLOOKUP(B1410,Products!$A:$E,2,FALSE)</f>
        <v>Product_128</v>
      </c>
      <c r="E1410" t="str">
        <f>VLOOKUP(B1410,Products!$A:$E,3,FALSE)</f>
        <v>Office Supplies</v>
      </c>
    </row>
    <row r="1411" spans="1:5" x14ac:dyDescent="0.3">
      <c r="A1411" t="s">
        <v>7423</v>
      </c>
      <c r="B1411" t="s">
        <v>880</v>
      </c>
      <c r="C1411">
        <v>50</v>
      </c>
      <c r="D1411" t="str">
        <f>VLOOKUP(B1411,Products!$A:$E,2,FALSE)</f>
        <v>Product_436</v>
      </c>
      <c r="E1411" t="str">
        <f>VLOOKUP(B1411,Products!$A:$E,3,FALSE)</f>
        <v>Networking</v>
      </c>
    </row>
    <row r="1412" spans="1:5" x14ac:dyDescent="0.3">
      <c r="A1412" t="s">
        <v>7424</v>
      </c>
      <c r="B1412" t="s">
        <v>888</v>
      </c>
      <c r="C1412">
        <v>8</v>
      </c>
      <c r="D1412" t="str">
        <f>VLOOKUP(B1412,Products!$A:$E,2,FALSE)</f>
        <v>Product_440</v>
      </c>
      <c r="E1412" t="str">
        <f>VLOOKUP(B1412,Products!$A:$E,3,FALSE)</f>
        <v>Accessories</v>
      </c>
    </row>
    <row r="1413" spans="1:5" x14ac:dyDescent="0.3">
      <c r="A1413" t="s">
        <v>7425</v>
      </c>
      <c r="B1413" t="s">
        <v>306</v>
      </c>
      <c r="C1413">
        <v>20</v>
      </c>
      <c r="D1413" t="str">
        <f>VLOOKUP(B1413,Products!$A:$E,2,FALSE)</f>
        <v>Product_149</v>
      </c>
      <c r="E1413" t="str">
        <f>VLOOKUP(B1413,Products!$A:$E,3,FALSE)</f>
        <v>Accessories</v>
      </c>
    </row>
    <row r="1414" spans="1:5" x14ac:dyDescent="0.3">
      <c r="A1414" t="s">
        <v>7426</v>
      </c>
      <c r="B1414" t="s">
        <v>504</v>
      </c>
      <c r="C1414">
        <v>19</v>
      </c>
      <c r="D1414" t="str">
        <f>VLOOKUP(B1414,Products!$A:$E,2,FALSE)</f>
        <v>Product_248</v>
      </c>
      <c r="E1414" t="str">
        <f>VLOOKUP(B1414,Products!$A:$E,3,FALSE)</f>
        <v>Networking</v>
      </c>
    </row>
    <row r="1415" spans="1:5" x14ac:dyDescent="0.3">
      <c r="A1415" t="s">
        <v>7427</v>
      </c>
      <c r="B1415" t="s">
        <v>280</v>
      </c>
      <c r="C1415">
        <v>14</v>
      </c>
      <c r="D1415" t="str">
        <f>VLOOKUP(B1415,Products!$A:$E,2,FALSE)</f>
        <v>Product_136</v>
      </c>
      <c r="E1415" t="str">
        <f>VLOOKUP(B1415,Products!$A:$E,3,FALSE)</f>
        <v>Storage</v>
      </c>
    </row>
    <row r="1416" spans="1:5" x14ac:dyDescent="0.3">
      <c r="A1416" t="s">
        <v>7428</v>
      </c>
      <c r="B1416" t="s">
        <v>8</v>
      </c>
      <c r="C1416">
        <v>48</v>
      </c>
      <c r="D1416" t="str">
        <f>VLOOKUP(B1416,Products!$A:$E,2,FALSE)</f>
        <v>Product_2</v>
      </c>
      <c r="E1416" t="str">
        <f>VLOOKUP(B1416,Products!$A:$E,3,FALSE)</f>
        <v>Office Supplies</v>
      </c>
    </row>
    <row r="1417" spans="1:5" x14ac:dyDescent="0.3">
      <c r="A1417" t="s">
        <v>7429</v>
      </c>
      <c r="B1417" t="s">
        <v>656</v>
      </c>
      <c r="C1417">
        <v>37</v>
      </c>
      <c r="D1417" t="str">
        <f>VLOOKUP(B1417,Products!$A:$E,2,FALSE)</f>
        <v>Product_324</v>
      </c>
      <c r="E1417" t="str">
        <f>VLOOKUP(B1417,Products!$A:$E,3,FALSE)</f>
        <v>Accessories</v>
      </c>
    </row>
    <row r="1418" spans="1:5" x14ac:dyDescent="0.3">
      <c r="A1418" t="s">
        <v>7430</v>
      </c>
      <c r="B1418" t="s">
        <v>412</v>
      </c>
      <c r="C1418">
        <v>14</v>
      </c>
      <c r="D1418" t="str">
        <f>VLOOKUP(B1418,Products!$A:$E,2,FALSE)</f>
        <v>Product_202</v>
      </c>
      <c r="E1418" t="str">
        <f>VLOOKUP(B1418,Products!$A:$E,3,FALSE)</f>
        <v>Storage</v>
      </c>
    </row>
    <row r="1419" spans="1:5" x14ac:dyDescent="0.3">
      <c r="A1419" t="s">
        <v>7431</v>
      </c>
      <c r="B1419" t="s">
        <v>954</v>
      </c>
      <c r="C1419">
        <v>20</v>
      </c>
      <c r="D1419" t="str">
        <f>VLOOKUP(B1419,Products!$A:$E,2,FALSE)</f>
        <v>Product_473</v>
      </c>
      <c r="E1419" t="str">
        <f>VLOOKUP(B1419,Products!$A:$E,3,FALSE)</f>
        <v>Accessories</v>
      </c>
    </row>
    <row r="1420" spans="1:5" x14ac:dyDescent="0.3">
      <c r="A1420" t="s">
        <v>7432</v>
      </c>
      <c r="B1420" t="s">
        <v>960</v>
      </c>
      <c r="C1420">
        <v>42</v>
      </c>
      <c r="D1420" t="str">
        <f>VLOOKUP(B1420,Products!$A:$E,2,FALSE)</f>
        <v>Product_476</v>
      </c>
      <c r="E1420" t="str">
        <f>VLOOKUP(B1420,Products!$A:$E,3,FALSE)</f>
        <v>Office Supplies</v>
      </c>
    </row>
    <row r="1421" spans="1:5" x14ac:dyDescent="0.3">
      <c r="A1421" t="s">
        <v>7433</v>
      </c>
      <c r="B1421" t="s">
        <v>536</v>
      </c>
      <c r="C1421">
        <v>3</v>
      </c>
      <c r="D1421" t="str">
        <f>VLOOKUP(B1421,Products!$A:$E,2,FALSE)</f>
        <v>Product_264</v>
      </c>
      <c r="E1421" t="str">
        <f>VLOOKUP(B1421,Products!$A:$E,3,FALSE)</f>
        <v>Electronics</v>
      </c>
    </row>
    <row r="1422" spans="1:5" x14ac:dyDescent="0.3">
      <c r="A1422" t="s">
        <v>7434</v>
      </c>
      <c r="B1422" t="s">
        <v>966</v>
      </c>
      <c r="C1422">
        <v>30</v>
      </c>
      <c r="D1422" t="str">
        <f>VLOOKUP(B1422,Products!$A:$E,2,FALSE)</f>
        <v>Product_479</v>
      </c>
      <c r="E1422" t="str">
        <f>VLOOKUP(B1422,Products!$A:$E,3,FALSE)</f>
        <v>Office Supplies</v>
      </c>
    </row>
    <row r="1423" spans="1:5" x14ac:dyDescent="0.3">
      <c r="A1423" t="s">
        <v>7435</v>
      </c>
      <c r="B1423" t="s">
        <v>922</v>
      </c>
      <c r="C1423">
        <v>40</v>
      </c>
      <c r="D1423" t="str">
        <f>VLOOKUP(B1423,Products!$A:$E,2,FALSE)</f>
        <v>Product_457</v>
      </c>
      <c r="E1423" t="str">
        <f>VLOOKUP(B1423,Products!$A:$E,3,FALSE)</f>
        <v>Networking</v>
      </c>
    </row>
    <row r="1424" spans="1:5" x14ac:dyDescent="0.3">
      <c r="A1424" t="s">
        <v>7436</v>
      </c>
      <c r="B1424" t="s">
        <v>878</v>
      </c>
      <c r="C1424">
        <v>32</v>
      </c>
      <c r="D1424" t="str">
        <f>VLOOKUP(B1424,Products!$A:$E,2,FALSE)</f>
        <v>Product_435</v>
      </c>
      <c r="E1424" t="str">
        <f>VLOOKUP(B1424,Products!$A:$E,3,FALSE)</f>
        <v>Accessories</v>
      </c>
    </row>
    <row r="1425" spans="1:5" x14ac:dyDescent="0.3">
      <c r="A1425" t="s">
        <v>7437</v>
      </c>
      <c r="B1425" t="s">
        <v>68</v>
      </c>
      <c r="C1425">
        <v>23</v>
      </c>
      <c r="D1425" t="str">
        <f>VLOOKUP(B1425,Products!$A:$E,2,FALSE)</f>
        <v>Product_30</v>
      </c>
      <c r="E1425" t="str">
        <f>VLOOKUP(B1425,Products!$A:$E,3,FALSE)</f>
        <v>Accessories</v>
      </c>
    </row>
    <row r="1426" spans="1:5" x14ac:dyDescent="0.3">
      <c r="A1426" t="s">
        <v>7438</v>
      </c>
      <c r="B1426" t="s">
        <v>14</v>
      </c>
      <c r="C1426">
        <v>40</v>
      </c>
      <c r="D1426" t="str">
        <f>VLOOKUP(B1426,Products!$A:$E,2,FALSE)</f>
        <v>Product_4</v>
      </c>
      <c r="E1426" t="str">
        <f>VLOOKUP(B1426,Products!$A:$E,3,FALSE)</f>
        <v>Storage</v>
      </c>
    </row>
    <row r="1427" spans="1:5" x14ac:dyDescent="0.3">
      <c r="A1427" t="s">
        <v>7439</v>
      </c>
      <c r="B1427" t="s">
        <v>480</v>
      </c>
      <c r="C1427">
        <v>22</v>
      </c>
      <c r="D1427" t="str">
        <f>VLOOKUP(B1427,Products!$A:$E,2,FALSE)</f>
        <v>Product_236</v>
      </c>
      <c r="E1427" t="str">
        <f>VLOOKUP(B1427,Products!$A:$E,3,FALSE)</f>
        <v>Networking</v>
      </c>
    </row>
    <row r="1428" spans="1:5" x14ac:dyDescent="0.3">
      <c r="A1428" t="s">
        <v>7440</v>
      </c>
      <c r="B1428" t="s">
        <v>314</v>
      </c>
      <c r="C1428">
        <v>23</v>
      </c>
      <c r="D1428" t="str">
        <f>VLOOKUP(B1428,Products!$A:$E,2,FALSE)</f>
        <v>Product_153</v>
      </c>
      <c r="E1428" t="str">
        <f>VLOOKUP(B1428,Products!$A:$E,3,FALSE)</f>
        <v>Electronics</v>
      </c>
    </row>
    <row r="1429" spans="1:5" x14ac:dyDescent="0.3">
      <c r="A1429" t="s">
        <v>7441</v>
      </c>
      <c r="B1429" t="s">
        <v>118</v>
      </c>
      <c r="C1429">
        <v>1</v>
      </c>
      <c r="D1429" t="str">
        <f>VLOOKUP(B1429,Products!$A:$E,2,FALSE)</f>
        <v>Product_55</v>
      </c>
      <c r="E1429" t="str">
        <f>VLOOKUP(B1429,Products!$A:$E,3,FALSE)</f>
        <v>Office Supplies</v>
      </c>
    </row>
    <row r="1430" spans="1:5" x14ac:dyDescent="0.3">
      <c r="A1430" t="s">
        <v>7442</v>
      </c>
      <c r="B1430" t="s">
        <v>368</v>
      </c>
      <c r="C1430">
        <v>47</v>
      </c>
      <c r="D1430" t="str">
        <f>VLOOKUP(B1430,Products!$A:$E,2,FALSE)</f>
        <v>Product_180</v>
      </c>
      <c r="E1430" t="str">
        <f>VLOOKUP(B1430,Products!$A:$E,3,FALSE)</f>
        <v>Office Supplies</v>
      </c>
    </row>
    <row r="1431" spans="1:5" x14ac:dyDescent="0.3">
      <c r="A1431" t="s">
        <v>7443</v>
      </c>
      <c r="B1431" t="s">
        <v>200</v>
      </c>
      <c r="C1431">
        <v>26</v>
      </c>
      <c r="D1431" t="str">
        <f>VLOOKUP(B1431,Products!$A:$E,2,FALSE)</f>
        <v>Product_96</v>
      </c>
      <c r="E1431" t="str">
        <f>VLOOKUP(B1431,Products!$A:$E,3,FALSE)</f>
        <v>Office Supplies</v>
      </c>
    </row>
    <row r="1432" spans="1:5" x14ac:dyDescent="0.3">
      <c r="A1432" t="s">
        <v>7444</v>
      </c>
      <c r="B1432" t="s">
        <v>372</v>
      </c>
      <c r="C1432">
        <v>1</v>
      </c>
      <c r="D1432" t="str">
        <f>VLOOKUP(B1432,Products!$A:$E,2,FALSE)</f>
        <v>Product_182</v>
      </c>
      <c r="E1432" t="str">
        <f>VLOOKUP(B1432,Products!$A:$E,3,FALSE)</f>
        <v>Storage</v>
      </c>
    </row>
    <row r="1433" spans="1:5" x14ac:dyDescent="0.3">
      <c r="A1433" t="s">
        <v>7445</v>
      </c>
      <c r="B1433" t="s">
        <v>112</v>
      </c>
      <c r="C1433">
        <v>28</v>
      </c>
      <c r="D1433" t="str">
        <f>VLOOKUP(B1433,Products!$A:$E,2,FALSE)</f>
        <v>Product_52</v>
      </c>
      <c r="E1433" t="str">
        <f>VLOOKUP(B1433,Products!$A:$E,3,FALSE)</f>
        <v>Electronics</v>
      </c>
    </row>
    <row r="1434" spans="1:5" x14ac:dyDescent="0.3">
      <c r="A1434" t="s">
        <v>7446</v>
      </c>
      <c r="B1434" t="s">
        <v>512</v>
      </c>
      <c r="C1434">
        <v>13</v>
      </c>
      <c r="D1434" t="str">
        <f>VLOOKUP(B1434,Products!$A:$E,2,FALSE)</f>
        <v>Product_252</v>
      </c>
      <c r="E1434" t="str">
        <f>VLOOKUP(B1434,Products!$A:$E,3,FALSE)</f>
        <v>Networking</v>
      </c>
    </row>
    <row r="1435" spans="1:5" x14ac:dyDescent="0.3">
      <c r="A1435" t="s">
        <v>7447</v>
      </c>
      <c r="B1435" t="s">
        <v>96</v>
      </c>
      <c r="C1435">
        <v>34</v>
      </c>
      <c r="D1435" t="str">
        <f>VLOOKUP(B1435,Products!$A:$E,2,FALSE)</f>
        <v>Product_44</v>
      </c>
      <c r="E1435" t="str">
        <f>VLOOKUP(B1435,Products!$A:$E,3,FALSE)</f>
        <v>Storage</v>
      </c>
    </row>
    <row r="1436" spans="1:5" x14ac:dyDescent="0.3">
      <c r="A1436" t="s">
        <v>7448</v>
      </c>
      <c r="B1436" t="s">
        <v>536</v>
      </c>
      <c r="C1436">
        <v>10</v>
      </c>
      <c r="D1436" t="str">
        <f>VLOOKUP(B1436,Products!$A:$E,2,FALSE)</f>
        <v>Product_264</v>
      </c>
      <c r="E1436" t="str">
        <f>VLOOKUP(B1436,Products!$A:$E,3,FALSE)</f>
        <v>Electronics</v>
      </c>
    </row>
    <row r="1437" spans="1:5" x14ac:dyDescent="0.3">
      <c r="A1437" t="s">
        <v>7449</v>
      </c>
      <c r="B1437" t="s">
        <v>430</v>
      </c>
      <c r="C1437">
        <v>8</v>
      </c>
      <c r="D1437" t="str">
        <f>VLOOKUP(B1437,Products!$A:$E,2,FALSE)</f>
        <v>Product_211</v>
      </c>
      <c r="E1437" t="str">
        <f>VLOOKUP(B1437,Products!$A:$E,3,FALSE)</f>
        <v>Storage</v>
      </c>
    </row>
    <row r="1438" spans="1:5" x14ac:dyDescent="0.3">
      <c r="A1438" t="s">
        <v>7450</v>
      </c>
      <c r="B1438" t="s">
        <v>944</v>
      </c>
      <c r="C1438">
        <v>32</v>
      </c>
      <c r="D1438" t="str">
        <f>VLOOKUP(B1438,Products!$A:$E,2,FALSE)</f>
        <v>Product_468</v>
      </c>
      <c r="E1438" t="str">
        <f>VLOOKUP(B1438,Products!$A:$E,3,FALSE)</f>
        <v>Office Supplies</v>
      </c>
    </row>
    <row r="1439" spans="1:5" x14ac:dyDescent="0.3">
      <c r="A1439" t="s">
        <v>7451</v>
      </c>
      <c r="B1439" t="s">
        <v>14</v>
      </c>
      <c r="C1439">
        <v>10</v>
      </c>
      <c r="D1439" t="str">
        <f>VLOOKUP(B1439,Products!$A:$E,2,FALSE)</f>
        <v>Product_4</v>
      </c>
      <c r="E1439" t="str">
        <f>VLOOKUP(B1439,Products!$A:$E,3,FALSE)</f>
        <v>Storage</v>
      </c>
    </row>
    <row r="1440" spans="1:5" x14ac:dyDescent="0.3">
      <c r="A1440" t="s">
        <v>7452</v>
      </c>
      <c r="B1440" t="s">
        <v>796</v>
      </c>
      <c r="C1440">
        <v>43</v>
      </c>
      <c r="D1440" t="str">
        <f>VLOOKUP(B1440,Products!$A:$E,2,FALSE)</f>
        <v>Product_394</v>
      </c>
      <c r="E1440" t="str">
        <f>VLOOKUP(B1440,Products!$A:$E,3,FALSE)</f>
        <v>Electronics</v>
      </c>
    </row>
    <row r="1441" spans="1:5" x14ac:dyDescent="0.3">
      <c r="A1441" t="s">
        <v>7453</v>
      </c>
      <c r="B1441" t="s">
        <v>266</v>
      </c>
      <c r="C1441">
        <v>15</v>
      </c>
      <c r="D1441" t="str">
        <f>VLOOKUP(B1441,Products!$A:$E,2,FALSE)</f>
        <v>Product_129</v>
      </c>
      <c r="E1441" t="str">
        <f>VLOOKUP(B1441,Products!$A:$E,3,FALSE)</f>
        <v>Electronics</v>
      </c>
    </row>
    <row r="1442" spans="1:5" x14ac:dyDescent="0.3">
      <c r="A1442" t="s">
        <v>7454</v>
      </c>
      <c r="B1442" t="s">
        <v>490</v>
      </c>
      <c r="C1442">
        <v>26</v>
      </c>
      <c r="D1442" t="str">
        <f>VLOOKUP(B1442,Products!$A:$E,2,FALSE)</f>
        <v>Product_241</v>
      </c>
      <c r="E1442" t="str">
        <f>VLOOKUP(B1442,Products!$A:$E,3,FALSE)</f>
        <v>Electronics</v>
      </c>
    </row>
    <row r="1443" spans="1:5" x14ac:dyDescent="0.3">
      <c r="A1443" t="s">
        <v>7455</v>
      </c>
      <c r="B1443" t="s">
        <v>392</v>
      </c>
      <c r="C1443">
        <v>20</v>
      </c>
      <c r="D1443" t="str">
        <f>VLOOKUP(B1443,Products!$A:$E,2,FALSE)</f>
        <v>Product_192</v>
      </c>
      <c r="E1443" t="str">
        <f>VLOOKUP(B1443,Products!$A:$E,3,FALSE)</f>
        <v>Office Supplies</v>
      </c>
    </row>
    <row r="1444" spans="1:5" x14ac:dyDescent="0.3">
      <c r="A1444" t="s">
        <v>7456</v>
      </c>
      <c r="B1444" t="s">
        <v>382</v>
      </c>
      <c r="C1444">
        <v>28</v>
      </c>
      <c r="D1444" t="str">
        <f>VLOOKUP(B1444,Products!$A:$E,2,FALSE)</f>
        <v>Product_187</v>
      </c>
      <c r="E1444" t="str">
        <f>VLOOKUP(B1444,Products!$A:$E,3,FALSE)</f>
        <v>Electronics</v>
      </c>
    </row>
    <row r="1445" spans="1:5" x14ac:dyDescent="0.3">
      <c r="A1445" t="s">
        <v>7457</v>
      </c>
      <c r="B1445" t="s">
        <v>922</v>
      </c>
      <c r="C1445">
        <v>12</v>
      </c>
      <c r="D1445" t="str">
        <f>VLOOKUP(B1445,Products!$A:$E,2,FALSE)</f>
        <v>Product_457</v>
      </c>
      <c r="E1445" t="str">
        <f>VLOOKUP(B1445,Products!$A:$E,3,FALSE)</f>
        <v>Networking</v>
      </c>
    </row>
    <row r="1446" spans="1:5" x14ac:dyDescent="0.3">
      <c r="A1446" t="s">
        <v>7458</v>
      </c>
      <c r="B1446" t="s">
        <v>558</v>
      </c>
      <c r="C1446">
        <v>18</v>
      </c>
      <c r="D1446" t="str">
        <f>VLOOKUP(B1446,Products!$A:$E,2,FALSE)</f>
        <v>Product_275</v>
      </c>
      <c r="E1446" t="str">
        <f>VLOOKUP(B1446,Products!$A:$E,3,FALSE)</f>
        <v>Accessories</v>
      </c>
    </row>
    <row r="1447" spans="1:5" x14ac:dyDescent="0.3">
      <c r="A1447" t="s">
        <v>7459</v>
      </c>
      <c r="B1447" t="s">
        <v>120</v>
      </c>
      <c r="C1447">
        <v>29</v>
      </c>
      <c r="D1447" t="str">
        <f>VLOOKUP(B1447,Products!$A:$E,2,FALSE)</f>
        <v>Product_56</v>
      </c>
      <c r="E1447" t="str">
        <f>VLOOKUP(B1447,Products!$A:$E,3,FALSE)</f>
        <v>Networking</v>
      </c>
    </row>
    <row r="1448" spans="1:5" x14ac:dyDescent="0.3">
      <c r="A1448" t="s">
        <v>7460</v>
      </c>
      <c r="B1448" t="s">
        <v>682</v>
      </c>
      <c r="C1448">
        <v>29</v>
      </c>
      <c r="D1448" t="str">
        <f>VLOOKUP(B1448,Products!$A:$E,2,FALSE)</f>
        <v>Product_337</v>
      </c>
      <c r="E1448" t="str">
        <f>VLOOKUP(B1448,Products!$A:$E,3,FALSE)</f>
        <v>Storage</v>
      </c>
    </row>
    <row r="1449" spans="1:5" x14ac:dyDescent="0.3">
      <c r="A1449" t="s">
        <v>7461</v>
      </c>
      <c r="B1449" t="s">
        <v>174</v>
      </c>
      <c r="C1449">
        <v>9</v>
      </c>
      <c r="D1449" t="str">
        <f>VLOOKUP(B1449,Products!$A:$E,2,FALSE)</f>
        <v>Product_83</v>
      </c>
      <c r="E1449" t="str">
        <f>VLOOKUP(B1449,Products!$A:$E,3,FALSE)</f>
        <v>Accessories</v>
      </c>
    </row>
    <row r="1450" spans="1:5" x14ac:dyDescent="0.3">
      <c r="A1450" t="s">
        <v>7462</v>
      </c>
      <c r="B1450" t="s">
        <v>372</v>
      </c>
      <c r="C1450">
        <v>48</v>
      </c>
      <c r="D1450" t="str">
        <f>VLOOKUP(B1450,Products!$A:$E,2,FALSE)</f>
        <v>Product_182</v>
      </c>
      <c r="E1450" t="str">
        <f>VLOOKUP(B1450,Products!$A:$E,3,FALSE)</f>
        <v>Storage</v>
      </c>
    </row>
    <row r="1451" spans="1:5" x14ac:dyDescent="0.3">
      <c r="A1451" t="s">
        <v>7463</v>
      </c>
      <c r="B1451" t="s">
        <v>454</v>
      </c>
      <c r="C1451">
        <v>1</v>
      </c>
      <c r="D1451" t="str">
        <f>VLOOKUP(B1451,Products!$A:$E,2,FALSE)</f>
        <v>Product_223</v>
      </c>
      <c r="E1451" t="str">
        <f>VLOOKUP(B1451,Products!$A:$E,3,FALSE)</f>
        <v>Storage</v>
      </c>
    </row>
    <row r="1452" spans="1:5" x14ac:dyDescent="0.3">
      <c r="A1452" t="s">
        <v>7464</v>
      </c>
      <c r="B1452" t="s">
        <v>376</v>
      </c>
      <c r="C1452">
        <v>46</v>
      </c>
      <c r="D1452" t="str">
        <f>VLOOKUP(B1452,Products!$A:$E,2,FALSE)</f>
        <v>Product_184</v>
      </c>
      <c r="E1452" t="str">
        <f>VLOOKUP(B1452,Products!$A:$E,3,FALSE)</f>
        <v>Electronics</v>
      </c>
    </row>
    <row r="1453" spans="1:5" x14ac:dyDescent="0.3">
      <c r="A1453" t="s">
        <v>7465</v>
      </c>
      <c r="B1453" t="s">
        <v>212</v>
      </c>
      <c r="C1453">
        <v>8</v>
      </c>
      <c r="D1453" t="str">
        <f>VLOOKUP(B1453,Products!$A:$E,2,FALSE)</f>
        <v>Product_102</v>
      </c>
      <c r="E1453" t="str">
        <f>VLOOKUP(B1453,Products!$A:$E,3,FALSE)</f>
        <v>Storage</v>
      </c>
    </row>
    <row r="1454" spans="1:5" x14ac:dyDescent="0.3">
      <c r="A1454" t="s">
        <v>7466</v>
      </c>
      <c r="B1454" t="s">
        <v>204</v>
      </c>
      <c r="C1454">
        <v>19</v>
      </c>
      <c r="D1454" t="str">
        <f>VLOOKUP(B1454,Products!$A:$E,2,FALSE)</f>
        <v>Product_98</v>
      </c>
      <c r="E1454" t="str">
        <f>VLOOKUP(B1454,Products!$A:$E,3,FALSE)</f>
        <v>Networking</v>
      </c>
    </row>
    <row r="1455" spans="1:5" x14ac:dyDescent="0.3">
      <c r="A1455" t="s">
        <v>7467</v>
      </c>
      <c r="B1455" t="s">
        <v>50</v>
      </c>
      <c r="C1455">
        <v>9</v>
      </c>
      <c r="D1455" t="str">
        <f>VLOOKUP(B1455,Products!$A:$E,2,FALSE)</f>
        <v>Product_21</v>
      </c>
      <c r="E1455" t="str">
        <f>VLOOKUP(B1455,Products!$A:$E,3,FALSE)</f>
        <v>Office Supplies</v>
      </c>
    </row>
    <row r="1456" spans="1:5" x14ac:dyDescent="0.3">
      <c r="A1456" t="s">
        <v>7468</v>
      </c>
      <c r="B1456" t="s">
        <v>414</v>
      </c>
      <c r="C1456">
        <v>27</v>
      </c>
      <c r="D1456" t="str">
        <f>VLOOKUP(B1456,Products!$A:$E,2,FALSE)</f>
        <v>Product_203</v>
      </c>
      <c r="E1456" t="str">
        <f>VLOOKUP(B1456,Products!$A:$E,3,FALSE)</f>
        <v>Accessories</v>
      </c>
    </row>
    <row r="1457" spans="1:5" x14ac:dyDescent="0.3">
      <c r="A1457" t="s">
        <v>7469</v>
      </c>
      <c r="B1457" t="s">
        <v>770</v>
      </c>
      <c r="C1457">
        <v>22</v>
      </c>
      <c r="D1457" t="str">
        <f>VLOOKUP(B1457,Products!$A:$E,2,FALSE)</f>
        <v>Product_381</v>
      </c>
      <c r="E1457" t="str">
        <f>VLOOKUP(B1457,Products!$A:$E,3,FALSE)</f>
        <v>Storage</v>
      </c>
    </row>
    <row r="1458" spans="1:5" x14ac:dyDescent="0.3">
      <c r="A1458" t="s">
        <v>7470</v>
      </c>
      <c r="B1458" t="s">
        <v>932</v>
      </c>
      <c r="C1458">
        <v>3</v>
      </c>
      <c r="D1458" t="str">
        <f>VLOOKUP(B1458,Products!$A:$E,2,FALSE)</f>
        <v>Product_462</v>
      </c>
      <c r="E1458" t="str">
        <f>VLOOKUP(B1458,Products!$A:$E,3,FALSE)</f>
        <v>Electronics</v>
      </c>
    </row>
    <row r="1459" spans="1:5" x14ac:dyDescent="0.3">
      <c r="A1459" t="s">
        <v>7471</v>
      </c>
      <c r="B1459" t="s">
        <v>174</v>
      </c>
      <c r="C1459">
        <v>43</v>
      </c>
      <c r="D1459" t="str">
        <f>VLOOKUP(B1459,Products!$A:$E,2,FALSE)</f>
        <v>Product_83</v>
      </c>
      <c r="E1459" t="str">
        <f>VLOOKUP(B1459,Products!$A:$E,3,FALSE)</f>
        <v>Accessories</v>
      </c>
    </row>
    <row r="1460" spans="1:5" x14ac:dyDescent="0.3">
      <c r="A1460" t="s">
        <v>7472</v>
      </c>
      <c r="B1460" t="s">
        <v>212</v>
      </c>
      <c r="C1460">
        <v>31</v>
      </c>
      <c r="D1460" t="str">
        <f>VLOOKUP(B1460,Products!$A:$E,2,FALSE)</f>
        <v>Product_102</v>
      </c>
      <c r="E1460" t="str">
        <f>VLOOKUP(B1460,Products!$A:$E,3,FALSE)</f>
        <v>Storage</v>
      </c>
    </row>
    <row r="1461" spans="1:5" x14ac:dyDescent="0.3">
      <c r="A1461" t="s">
        <v>7473</v>
      </c>
      <c r="B1461" t="s">
        <v>992</v>
      </c>
      <c r="C1461">
        <v>43</v>
      </c>
      <c r="D1461" t="str">
        <f>VLOOKUP(B1461,Products!$A:$E,2,FALSE)</f>
        <v>Product_492</v>
      </c>
      <c r="E1461" t="str">
        <f>VLOOKUP(B1461,Products!$A:$E,3,FALSE)</f>
        <v>Electronics</v>
      </c>
    </row>
    <row r="1462" spans="1:5" x14ac:dyDescent="0.3">
      <c r="A1462" t="s">
        <v>7474</v>
      </c>
      <c r="B1462" t="s">
        <v>282</v>
      </c>
      <c r="C1462">
        <v>8</v>
      </c>
      <c r="D1462" t="str">
        <f>VLOOKUP(B1462,Products!$A:$E,2,FALSE)</f>
        <v>Product_137</v>
      </c>
      <c r="E1462" t="str">
        <f>VLOOKUP(B1462,Products!$A:$E,3,FALSE)</f>
        <v>Storage</v>
      </c>
    </row>
    <row r="1463" spans="1:5" x14ac:dyDescent="0.3">
      <c r="A1463" t="s">
        <v>7475</v>
      </c>
      <c r="B1463" t="s">
        <v>440</v>
      </c>
      <c r="C1463">
        <v>32</v>
      </c>
      <c r="D1463" t="str">
        <f>VLOOKUP(B1463,Products!$A:$E,2,FALSE)</f>
        <v>Product_216</v>
      </c>
      <c r="E1463" t="str">
        <f>VLOOKUP(B1463,Products!$A:$E,3,FALSE)</f>
        <v>Accessories</v>
      </c>
    </row>
    <row r="1464" spans="1:5" x14ac:dyDescent="0.3">
      <c r="A1464" t="s">
        <v>7476</v>
      </c>
      <c r="B1464" t="s">
        <v>572</v>
      </c>
      <c r="C1464">
        <v>32</v>
      </c>
      <c r="D1464" t="str">
        <f>VLOOKUP(B1464,Products!$A:$E,2,FALSE)</f>
        <v>Product_282</v>
      </c>
      <c r="E1464" t="str">
        <f>VLOOKUP(B1464,Products!$A:$E,3,FALSE)</f>
        <v>Networking</v>
      </c>
    </row>
    <row r="1465" spans="1:5" x14ac:dyDescent="0.3">
      <c r="A1465" t="s">
        <v>7477</v>
      </c>
      <c r="B1465" t="s">
        <v>828</v>
      </c>
      <c r="C1465">
        <v>44</v>
      </c>
      <c r="D1465" t="str">
        <f>VLOOKUP(B1465,Products!$A:$E,2,FALSE)</f>
        <v>Product_410</v>
      </c>
      <c r="E1465" t="str">
        <f>VLOOKUP(B1465,Products!$A:$E,3,FALSE)</f>
        <v>Storage</v>
      </c>
    </row>
    <row r="1466" spans="1:5" x14ac:dyDescent="0.3">
      <c r="A1466" t="s">
        <v>7478</v>
      </c>
      <c r="B1466" t="s">
        <v>740</v>
      </c>
      <c r="C1466">
        <v>9</v>
      </c>
      <c r="D1466" t="str">
        <f>VLOOKUP(B1466,Products!$A:$E,2,FALSE)</f>
        <v>Product_366</v>
      </c>
      <c r="E1466" t="str">
        <f>VLOOKUP(B1466,Products!$A:$E,3,FALSE)</f>
        <v>Electronics</v>
      </c>
    </row>
    <row r="1467" spans="1:5" x14ac:dyDescent="0.3">
      <c r="A1467" t="s">
        <v>7479</v>
      </c>
      <c r="B1467" t="s">
        <v>342</v>
      </c>
      <c r="C1467">
        <v>49</v>
      </c>
      <c r="D1467" t="str">
        <f>VLOOKUP(B1467,Products!$A:$E,2,FALSE)</f>
        <v>Product_167</v>
      </c>
      <c r="E1467" t="str">
        <f>VLOOKUP(B1467,Products!$A:$E,3,FALSE)</f>
        <v>Electronics</v>
      </c>
    </row>
    <row r="1468" spans="1:5" x14ac:dyDescent="0.3">
      <c r="A1468" t="s">
        <v>7480</v>
      </c>
      <c r="B1468" t="s">
        <v>792</v>
      </c>
      <c r="C1468">
        <v>50</v>
      </c>
      <c r="D1468" t="str">
        <f>VLOOKUP(B1468,Products!$A:$E,2,FALSE)</f>
        <v>Product_392</v>
      </c>
      <c r="E1468" t="str">
        <f>VLOOKUP(B1468,Products!$A:$E,3,FALSE)</f>
        <v>Electronics</v>
      </c>
    </row>
    <row r="1469" spans="1:5" x14ac:dyDescent="0.3">
      <c r="A1469" t="s">
        <v>7481</v>
      </c>
      <c r="B1469" t="s">
        <v>912</v>
      </c>
      <c r="C1469">
        <v>26</v>
      </c>
      <c r="D1469" t="str">
        <f>VLOOKUP(B1469,Products!$A:$E,2,FALSE)</f>
        <v>Product_452</v>
      </c>
      <c r="E1469" t="str">
        <f>VLOOKUP(B1469,Products!$A:$E,3,FALSE)</f>
        <v>Office Supplies</v>
      </c>
    </row>
    <row r="1470" spans="1:5" x14ac:dyDescent="0.3">
      <c r="A1470" t="s">
        <v>7482</v>
      </c>
      <c r="B1470" t="s">
        <v>522</v>
      </c>
      <c r="C1470">
        <v>47</v>
      </c>
      <c r="D1470" t="str">
        <f>VLOOKUP(B1470,Products!$A:$E,2,FALSE)</f>
        <v>Product_257</v>
      </c>
      <c r="E1470" t="str">
        <f>VLOOKUP(B1470,Products!$A:$E,3,FALSE)</f>
        <v>Networking</v>
      </c>
    </row>
    <row r="1471" spans="1:5" x14ac:dyDescent="0.3">
      <c r="A1471" t="s">
        <v>7483</v>
      </c>
      <c r="B1471" t="s">
        <v>954</v>
      </c>
      <c r="C1471">
        <v>48</v>
      </c>
      <c r="D1471" t="str">
        <f>VLOOKUP(B1471,Products!$A:$E,2,FALSE)</f>
        <v>Product_473</v>
      </c>
      <c r="E1471" t="str">
        <f>VLOOKUP(B1471,Products!$A:$E,3,FALSE)</f>
        <v>Accessories</v>
      </c>
    </row>
    <row r="1472" spans="1:5" x14ac:dyDescent="0.3">
      <c r="A1472" t="s">
        <v>7484</v>
      </c>
      <c r="B1472" t="s">
        <v>872</v>
      </c>
      <c r="C1472">
        <v>25</v>
      </c>
      <c r="D1472" t="str">
        <f>VLOOKUP(B1472,Products!$A:$E,2,FALSE)</f>
        <v>Product_432</v>
      </c>
      <c r="E1472" t="str">
        <f>VLOOKUP(B1472,Products!$A:$E,3,FALSE)</f>
        <v>Office Supplies</v>
      </c>
    </row>
    <row r="1473" spans="1:5" x14ac:dyDescent="0.3">
      <c r="A1473" t="s">
        <v>7485</v>
      </c>
      <c r="B1473" t="s">
        <v>144</v>
      </c>
      <c r="C1473">
        <v>8</v>
      </c>
      <c r="D1473" t="str">
        <f>VLOOKUP(B1473,Products!$A:$E,2,FALSE)</f>
        <v>Product_68</v>
      </c>
      <c r="E1473" t="str">
        <f>VLOOKUP(B1473,Products!$A:$E,3,FALSE)</f>
        <v>Accessories</v>
      </c>
    </row>
    <row r="1474" spans="1:5" x14ac:dyDescent="0.3">
      <c r="A1474" t="s">
        <v>7486</v>
      </c>
      <c r="B1474" t="s">
        <v>990</v>
      </c>
      <c r="C1474">
        <v>7</v>
      </c>
      <c r="D1474" t="str">
        <f>VLOOKUP(B1474,Products!$A:$E,2,FALSE)</f>
        <v>Product_491</v>
      </c>
      <c r="E1474" t="str">
        <f>VLOOKUP(B1474,Products!$A:$E,3,FALSE)</f>
        <v>Accessories</v>
      </c>
    </row>
    <row r="1475" spans="1:5" x14ac:dyDescent="0.3">
      <c r="A1475" t="s">
        <v>7487</v>
      </c>
      <c r="B1475" t="s">
        <v>820</v>
      </c>
      <c r="C1475">
        <v>2</v>
      </c>
      <c r="D1475" t="str">
        <f>VLOOKUP(B1475,Products!$A:$E,2,FALSE)</f>
        <v>Product_406</v>
      </c>
      <c r="E1475" t="str">
        <f>VLOOKUP(B1475,Products!$A:$E,3,FALSE)</f>
        <v>Office Supplies</v>
      </c>
    </row>
    <row r="1476" spans="1:5" x14ac:dyDescent="0.3">
      <c r="A1476" t="s">
        <v>7488</v>
      </c>
      <c r="B1476" t="s">
        <v>138</v>
      </c>
      <c r="C1476">
        <v>10</v>
      </c>
      <c r="D1476" t="str">
        <f>VLOOKUP(B1476,Products!$A:$E,2,FALSE)</f>
        <v>Product_65</v>
      </c>
      <c r="E1476" t="str">
        <f>VLOOKUP(B1476,Products!$A:$E,3,FALSE)</f>
        <v>Office Supplies</v>
      </c>
    </row>
    <row r="1477" spans="1:5" x14ac:dyDescent="0.3">
      <c r="A1477" t="s">
        <v>7489</v>
      </c>
      <c r="B1477" t="s">
        <v>362</v>
      </c>
      <c r="C1477">
        <v>33</v>
      </c>
      <c r="D1477" t="str">
        <f>VLOOKUP(B1477,Products!$A:$E,2,FALSE)</f>
        <v>Product_177</v>
      </c>
      <c r="E1477" t="str">
        <f>VLOOKUP(B1477,Products!$A:$E,3,FALSE)</f>
        <v>Office Supplies</v>
      </c>
    </row>
    <row r="1478" spans="1:5" x14ac:dyDescent="0.3">
      <c r="A1478" t="s">
        <v>7490</v>
      </c>
      <c r="B1478" t="s">
        <v>22</v>
      </c>
      <c r="C1478">
        <v>50</v>
      </c>
      <c r="D1478" t="str">
        <f>VLOOKUP(B1478,Products!$A:$E,2,FALSE)</f>
        <v>Product_7</v>
      </c>
      <c r="E1478" t="str">
        <f>VLOOKUP(B1478,Products!$A:$E,3,FALSE)</f>
        <v>Storage</v>
      </c>
    </row>
    <row r="1479" spans="1:5" x14ac:dyDescent="0.3">
      <c r="A1479" t="s">
        <v>7491</v>
      </c>
      <c r="B1479" t="s">
        <v>710</v>
      </c>
      <c r="C1479">
        <v>16</v>
      </c>
      <c r="D1479" t="str">
        <f>VLOOKUP(B1479,Products!$A:$E,2,FALSE)</f>
        <v>Product_351</v>
      </c>
      <c r="E1479" t="str">
        <f>VLOOKUP(B1479,Products!$A:$E,3,FALSE)</f>
        <v>Accessories</v>
      </c>
    </row>
    <row r="1480" spans="1:5" x14ac:dyDescent="0.3">
      <c r="A1480" t="s">
        <v>7492</v>
      </c>
      <c r="B1480" t="s">
        <v>62</v>
      </c>
      <c r="C1480">
        <v>44</v>
      </c>
      <c r="D1480" t="str">
        <f>VLOOKUP(B1480,Products!$A:$E,2,FALSE)</f>
        <v>Product_27</v>
      </c>
      <c r="E1480" t="str">
        <f>VLOOKUP(B1480,Products!$A:$E,3,FALSE)</f>
        <v>Office Supplies</v>
      </c>
    </row>
    <row r="1481" spans="1:5" x14ac:dyDescent="0.3">
      <c r="A1481" t="s">
        <v>7493</v>
      </c>
      <c r="B1481" t="s">
        <v>858</v>
      </c>
      <c r="C1481">
        <v>22</v>
      </c>
      <c r="D1481" t="str">
        <f>VLOOKUP(B1481,Products!$A:$E,2,FALSE)</f>
        <v>Product_425</v>
      </c>
      <c r="E1481" t="str">
        <f>VLOOKUP(B1481,Products!$A:$E,3,FALSE)</f>
        <v>Office Supplies</v>
      </c>
    </row>
    <row r="1482" spans="1:5" x14ac:dyDescent="0.3">
      <c r="A1482" t="s">
        <v>7494</v>
      </c>
      <c r="B1482" t="s">
        <v>448</v>
      </c>
      <c r="C1482">
        <v>39</v>
      </c>
      <c r="D1482" t="str">
        <f>VLOOKUP(B1482,Products!$A:$E,2,FALSE)</f>
        <v>Product_220</v>
      </c>
      <c r="E1482" t="str">
        <f>VLOOKUP(B1482,Products!$A:$E,3,FALSE)</f>
        <v>Storage</v>
      </c>
    </row>
    <row r="1483" spans="1:5" x14ac:dyDescent="0.3">
      <c r="A1483" t="s">
        <v>7495</v>
      </c>
      <c r="B1483" t="s">
        <v>764</v>
      </c>
      <c r="C1483">
        <v>1</v>
      </c>
      <c r="D1483" t="str">
        <f>VLOOKUP(B1483,Products!$A:$E,2,FALSE)</f>
        <v>Product_378</v>
      </c>
      <c r="E1483" t="str">
        <f>VLOOKUP(B1483,Products!$A:$E,3,FALSE)</f>
        <v>Electronics</v>
      </c>
    </row>
    <row r="1484" spans="1:5" x14ac:dyDescent="0.3">
      <c r="A1484" t="s">
        <v>7496</v>
      </c>
      <c r="B1484" t="s">
        <v>454</v>
      </c>
      <c r="C1484">
        <v>31</v>
      </c>
      <c r="D1484" t="str">
        <f>VLOOKUP(B1484,Products!$A:$E,2,FALSE)</f>
        <v>Product_223</v>
      </c>
      <c r="E1484" t="str">
        <f>VLOOKUP(B1484,Products!$A:$E,3,FALSE)</f>
        <v>Storage</v>
      </c>
    </row>
    <row r="1485" spans="1:5" x14ac:dyDescent="0.3">
      <c r="A1485" t="s">
        <v>7497</v>
      </c>
      <c r="B1485" t="s">
        <v>306</v>
      </c>
      <c r="C1485">
        <v>19</v>
      </c>
      <c r="D1485" t="str">
        <f>VLOOKUP(B1485,Products!$A:$E,2,FALSE)</f>
        <v>Product_149</v>
      </c>
      <c r="E1485" t="str">
        <f>VLOOKUP(B1485,Products!$A:$E,3,FALSE)</f>
        <v>Accessories</v>
      </c>
    </row>
    <row r="1486" spans="1:5" x14ac:dyDescent="0.3">
      <c r="A1486" t="s">
        <v>7498</v>
      </c>
      <c r="B1486" t="s">
        <v>506</v>
      </c>
      <c r="C1486">
        <v>6</v>
      </c>
      <c r="D1486" t="str">
        <f>VLOOKUP(B1486,Products!$A:$E,2,FALSE)</f>
        <v>Product_249</v>
      </c>
      <c r="E1486" t="str">
        <f>VLOOKUP(B1486,Products!$A:$E,3,FALSE)</f>
        <v>Storage</v>
      </c>
    </row>
    <row r="1487" spans="1:5" x14ac:dyDescent="0.3">
      <c r="A1487" t="s">
        <v>7499</v>
      </c>
      <c r="B1487" t="s">
        <v>788</v>
      </c>
      <c r="C1487">
        <v>28</v>
      </c>
      <c r="D1487" t="str">
        <f>VLOOKUP(B1487,Products!$A:$E,2,FALSE)</f>
        <v>Product_390</v>
      </c>
      <c r="E1487" t="str">
        <f>VLOOKUP(B1487,Products!$A:$E,3,FALSE)</f>
        <v>Storage</v>
      </c>
    </row>
    <row r="1488" spans="1:5" x14ac:dyDescent="0.3">
      <c r="A1488" t="s">
        <v>7500</v>
      </c>
      <c r="B1488" t="s">
        <v>262</v>
      </c>
      <c r="C1488">
        <v>40</v>
      </c>
      <c r="D1488" t="str">
        <f>VLOOKUP(B1488,Products!$A:$E,2,FALSE)</f>
        <v>Product_127</v>
      </c>
      <c r="E1488" t="str">
        <f>VLOOKUP(B1488,Products!$A:$E,3,FALSE)</f>
        <v>Networking</v>
      </c>
    </row>
    <row r="1489" spans="1:5" x14ac:dyDescent="0.3">
      <c r="A1489" t="s">
        <v>7501</v>
      </c>
      <c r="B1489" t="s">
        <v>166</v>
      </c>
      <c r="C1489">
        <v>47</v>
      </c>
      <c r="D1489" t="str">
        <f>VLOOKUP(B1489,Products!$A:$E,2,FALSE)</f>
        <v>Product_79</v>
      </c>
      <c r="E1489" t="str">
        <f>VLOOKUP(B1489,Products!$A:$E,3,FALSE)</f>
        <v>Storage</v>
      </c>
    </row>
    <row r="1490" spans="1:5" x14ac:dyDescent="0.3">
      <c r="A1490" t="s">
        <v>7502</v>
      </c>
      <c r="B1490" t="s">
        <v>532</v>
      </c>
      <c r="C1490">
        <v>12</v>
      </c>
      <c r="D1490" t="str">
        <f>VLOOKUP(B1490,Products!$A:$E,2,FALSE)</f>
        <v>Product_262</v>
      </c>
      <c r="E1490" t="str">
        <f>VLOOKUP(B1490,Products!$A:$E,3,FALSE)</f>
        <v>Electronics</v>
      </c>
    </row>
    <row r="1491" spans="1:5" x14ac:dyDescent="0.3">
      <c r="A1491" t="s">
        <v>7503</v>
      </c>
      <c r="B1491" t="s">
        <v>264</v>
      </c>
      <c r="C1491">
        <v>18</v>
      </c>
      <c r="D1491" t="str">
        <f>VLOOKUP(B1491,Products!$A:$E,2,FALSE)</f>
        <v>Product_128</v>
      </c>
      <c r="E1491" t="str">
        <f>VLOOKUP(B1491,Products!$A:$E,3,FALSE)</f>
        <v>Office Supplies</v>
      </c>
    </row>
    <row r="1492" spans="1:5" x14ac:dyDescent="0.3">
      <c r="A1492" t="s">
        <v>7504</v>
      </c>
      <c r="B1492" t="s">
        <v>794</v>
      </c>
      <c r="C1492">
        <v>8</v>
      </c>
      <c r="D1492" t="str">
        <f>VLOOKUP(B1492,Products!$A:$E,2,FALSE)</f>
        <v>Product_393</v>
      </c>
      <c r="E1492" t="str">
        <f>VLOOKUP(B1492,Products!$A:$E,3,FALSE)</f>
        <v>Electronics</v>
      </c>
    </row>
    <row r="1493" spans="1:5" x14ac:dyDescent="0.3">
      <c r="A1493" t="s">
        <v>7505</v>
      </c>
      <c r="B1493" t="s">
        <v>894</v>
      </c>
      <c r="C1493">
        <v>17</v>
      </c>
      <c r="D1493" t="str">
        <f>VLOOKUP(B1493,Products!$A:$E,2,FALSE)</f>
        <v>Product_443</v>
      </c>
      <c r="E1493" t="str">
        <f>VLOOKUP(B1493,Products!$A:$E,3,FALSE)</f>
        <v>Networking</v>
      </c>
    </row>
    <row r="1494" spans="1:5" x14ac:dyDescent="0.3">
      <c r="A1494" t="s">
        <v>7506</v>
      </c>
      <c r="B1494" t="s">
        <v>726</v>
      </c>
      <c r="C1494">
        <v>16</v>
      </c>
      <c r="D1494" t="str">
        <f>VLOOKUP(B1494,Products!$A:$E,2,FALSE)</f>
        <v>Product_359</v>
      </c>
      <c r="E1494" t="str">
        <f>VLOOKUP(B1494,Products!$A:$E,3,FALSE)</f>
        <v>Electronics</v>
      </c>
    </row>
    <row r="1495" spans="1:5" x14ac:dyDescent="0.3">
      <c r="A1495" t="s">
        <v>7507</v>
      </c>
      <c r="B1495" t="s">
        <v>692</v>
      </c>
      <c r="C1495">
        <v>28</v>
      </c>
      <c r="D1495" t="str">
        <f>VLOOKUP(B1495,Products!$A:$E,2,FALSE)</f>
        <v>Product_342</v>
      </c>
      <c r="E1495" t="str">
        <f>VLOOKUP(B1495,Products!$A:$E,3,FALSE)</f>
        <v>Accessories</v>
      </c>
    </row>
    <row r="1496" spans="1:5" x14ac:dyDescent="0.3">
      <c r="A1496" t="s">
        <v>7508</v>
      </c>
      <c r="B1496" t="s">
        <v>212</v>
      </c>
      <c r="C1496">
        <v>31</v>
      </c>
      <c r="D1496" t="str">
        <f>VLOOKUP(B1496,Products!$A:$E,2,FALSE)</f>
        <v>Product_102</v>
      </c>
      <c r="E1496" t="str">
        <f>VLOOKUP(B1496,Products!$A:$E,3,FALSE)</f>
        <v>Storage</v>
      </c>
    </row>
    <row r="1497" spans="1:5" x14ac:dyDescent="0.3">
      <c r="A1497" t="s">
        <v>7509</v>
      </c>
      <c r="B1497" t="s">
        <v>732</v>
      </c>
      <c r="C1497">
        <v>7</v>
      </c>
      <c r="D1497" t="str">
        <f>VLOOKUP(B1497,Products!$A:$E,2,FALSE)</f>
        <v>Product_362</v>
      </c>
      <c r="E1497" t="str">
        <f>VLOOKUP(B1497,Products!$A:$E,3,FALSE)</f>
        <v>Networking</v>
      </c>
    </row>
    <row r="1498" spans="1:5" x14ac:dyDescent="0.3">
      <c r="A1498" t="s">
        <v>7510</v>
      </c>
      <c r="B1498" t="s">
        <v>726</v>
      </c>
      <c r="C1498">
        <v>47</v>
      </c>
      <c r="D1498" t="str">
        <f>VLOOKUP(B1498,Products!$A:$E,2,FALSE)</f>
        <v>Product_359</v>
      </c>
      <c r="E1498" t="str">
        <f>VLOOKUP(B1498,Products!$A:$E,3,FALSE)</f>
        <v>Electronics</v>
      </c>
    </row>
    <row r="1499" spans="1:5" x14ac:dyDescent="0.3">
      <c r="A1499" t="s">
        <v>7511</v>
      </c>
      <c r="B1499" t="s">
        <v>524</v>
      </c>
      <c r="C1499">
        <v>40</v>
      </c>
      <c r="D1499" t="str">
        <f>VLOOKUP(B1499,Products!$A:$E,2,FALSE)</f>
        <v>Product_258</v>
      </c>
      <c r="E1499" t="str">
        <f>VLOOKUP(B1499,Products!$A:$E,3,FALSE)</f>
        <v>Networking</v>
      </c>
    </row>
    <row r="1500" spans="1:5" x14ac:dyDescent="0.3">
      <c r="A1500" t="s">
        <v>7512</v>
      </c>
      <c r="B1500" t="s">
        <v>194</v>
      </c>
      <c r="C1500">
        <v>13</v>
      </c>
      <c r="D1500" t="str">
        <f>VLOOKUP(B1500,Products!$A:$E,2,FALSE)</f>
        <v>Product_93</v>
      </c>
      <c r="E1500" t="str">
        <f>VLOOKUP(B1500,Products!$A:$E,3,FALSE)</f>
        <v>Office Supplies</v>
      </c>
    </row>
    <row r="1501" spans="1:5" x14ac:dyDescent="0.3">
      <c r="A1501" t="s">
        <v>7513</v>
      </c>
      <c r="B1501" t="s">
        <v>884</v>
      </c>
      <c r="C1501">
        <v>38</v>
      </c>
      <c r="D1501" t="str">
        <f>VLOOKUP(B1501,Products!$A:$E,2,FALSE)</f>
        <v>Product_438</v>
      </c>
      <c r="E1501" t="str">
        <f>VLOOKUP(B1501,Products!$A:$E,3,FALSE)</f>
        <v>Electronics</v>
      </c>
    </row>
    <row r="1502" spans="1:5" x14ac:dyDescent="0.3">
      <c r="A1502" t="s">
        <v>7514</v>
      </c>
      <c r="B1502" t="s">
        <v>654</v>
      </c>
      <c r="C1502">
        <v>41</v>
      </c>
      <c r="D1502" t="str">
        <f>VLOOKUP(B1502,Products!$A:$E,2,FALSE)</f>
        <v>Product_323</v>
      </c>
      <c r="E1502" t="str">
        <f>VLOOKUP(B1502,Products!$A:$E,3,FALSE)</f>
        <v>Electronics</v>
      </c>
    </row>
    <row r="1503" spans="1:5" x14ac:dyDescent="0.3">
      <c r="A1503" t="s">
        <v>7515</v>
      </c>
      <c r="B1503" t="s">
        <v>162</v>
      </c>
      <c r="C1503">
        <v>15</v>
      </c>
      <c r="D1503" t="str">
        <f>VLOOKUP(B1503,Products!$A:$E,2,FALSE)</f>
        <v>Product_77</v>
      </c>
      <c r="E1503" t="str">
        <f>VLOOKUP(B1503,Products!$A:$E,3,FALSE)</f>
        <v>Networking</v>
      </c>
    </row>
    <row r="1504" spans="1:5" x14ac:dyDescent="0.3">
      <c r="A1504" t="s">
        <v>7516</v>
      </c>
      <c r="B1504" t="s">
        <v>132</v>
      </c>
      <c r="C1504">
        <v>9</v>
      </c>
      <c r="D1504" t="str">
        <f>VLOOKUP(B1504,Products!$A:$E,2,FALSE)</f>
        <v>Product_62</v>
      </c>
      <c r="E1504" t="str">
        <f>VLOOKUP(B1504,Products!$A:$E,3,FALSE)</f>
        <v>Accessories</v>
      </c>
    </row>
    <row r="1505" spans="1:5" x14ac:dyDescent="0.3">
      <c r="A1505" t="s">
        <v>7517</v>
      </c>
      <c r="B1505" t="s">
        <v>420</v>
      </c>
      <c r="C1505">
        <v>3</v>
      </c>
      <c r="D1505" t="str">
        <f>VLOOKUP(B1505,Products!$A:$E,2,FALSE)</f>
        <v>Product_206</v>
      </c>
      <c r="E1505" t="str">
        <f>VLOOKUP(B1505,Products!$A:$E,3,FALSE)</f>
        <v>Accessories</v>
      </c>
    </row>
    <row r="1506" spans="1:5" x14ac:dyDescent="0.3">
      <c r="A1506" t="s">
        <v>7518</v>
      </c>
      <c r="B1506" t="s">
        <v>290</v>
      </c>
      <c r="C1506">
        <v>13</v>
      </c>
      <c r="D1506" t="str">
        <f>VLOOKUP(B1506,Products!$A:$E,2,FALSE)</f>
        <v>Product_141</v>
      </c>
      <c r="E1506" t="str">
        <f>VLOOKUP(B1506,Products!$A:$E,3,FALSE)</f>
        <v>Electronics</v>
      </c>
    </row>
    <row r="1507" spans="1:5" x14ac:dyDescent="0.3">
      <c r="A1507" t="s">
        <v>7519</v>
      </c>
      <c r="B1507" t="s">
        <v>960</v>
      </c>
      <c r="C1507">
        <v>10</v>
      </c>
      <c r="D1507" t="str">
        <f>VLOOKUP(B1507,Products!$A:$E,2,FALSE)</f>
        <v>Product_476</v>
      </c>
      <c r="E1507" t="str">
        <f>VLOOKUP(B1507,Products!$A:$E,3,FALSE)</f>
        <v>Office Supplies</v>
      </c>
    </row>
    <row r="1508" spans="1:5" x14ac:dyDescent="0.3">
      <c r="A1508" t="s">
        <v>7520</v>
      </c>
      <c r="B1508" t="s">
        <v>446</v>
      </c>
      <c r="C1508">
        <v>2</v>
      </c>
      <c r="D1508" t="str">
        <f>VLOOKUP(B1508,Products!$A:$E,2,FALSE)</f>
        <v>Product_219</v>
      </c>
      <c r="E1508" t="str">
        <f>VLOOKUP(B1508,Products!$A:$E,3,FALSE)</f>
        <v>Accessories</v>
      </c>
    </row>
    <row r="1509" spans="1:5" x14ac:dyDescent="0.3">
      <c r="A1509" t="s">
        <v>7521</v>
      </c>
      <c r="B1509" t="s">
        <v>640</v>
      </c>
      <c r="C1509">
        <v>13</v>
      </c>
      <c r="D1509" t="str">
        <f>VLOOKUP(B1509,Products!$A:$E,2,FALSE)</f>
        <v>Product_316</v>
      </c>
      <c r="E1509" t="str">
        <f>VLOOKUP(B1509,Products!$A:$E,3,FALSE)</f>
        <v>Networking</v>
      </c>
    </row>
    <row r="1510" spans="1:5" x14ac:dyDescent="0.3">
      <c r="A1510" t="s">
        <v>7522</v>
      </c>
      <c r="B1510" t="s">
        <v>102</v>
      </c>
      <c r="C1510">
        <v>4</v>
      </c>
      <c r="D1510" t="str">
        <f>VLOOKUP(B1510,Products!$A:$E,2,FALSE)</f>
        <v>Product_47</v>
      </c>
      <c r="E1510" t="str">
        <f>VLOOKUP(B1510,Products!$A:$E,3,FALSE)</f>
        <v>Electronics</v>
      </c>
    </row>
    <row r="1511" spans="1:5" x14ac:dyDescent="0.3">
      <c r="A1511" t="s">
        <v>7523</v>
      </c>
      <c r="B1511" t="s">
        <v>398</v>
      </c>
      <c r="C1511">
        <v>27</v>
      </c>
      <c r="D1511" t="str">
        <f>VLOOKUP(B1511,Products!$A:$E,2,FALSE)</f>
        <v>Product_195</v>
      </c>
      <c r="E1511" t="str">
        <f>VLOOKUP(B1511,Products!$A:$E,3,FALSE)</f>
        <v>Accessories</v>
      </c>
    </row>
    <row r="1512" spans="1:5" x14ac:dyDescent="0.3">
      <c r="A1512" t="s">
        <v>7524</v>
      </c>
      <c r="B1512" t="s">
        <v>546</v>
      </c>
      <c r="C1512">
        <v>20</v>
      </c>
      <c r="D1512" t="str">
        <f>VLOOKUP(B1512,Products!$A:$E,2,FALSE)</f>
        <v>Product_269</v>
      </c>
      <c r="E1512" t="str">
        <f>VLOOKUP(B1512,Products!$A:$E,3,FALSE)</f>
        <v>Storage</v>
      </c>
    </row>
    <row r="1513" spans="1:5" x14ac:dyDescent="0.3">
      <c r="A1513" t="s">
        <v>7525</v>
      </c>
      <c r="B1513" t="s">
        <v>726</v>
      </c>
      <c r="C1513">
        <v>41</v>
      </c>
      <c r="D1513" t="str">
        <f>VLOOKUP(B1513,Products!$A:$E,2,FALSE)</f>
        <v>Product_359</v>
      </c>
      <c r="E1513" t="str">
        <f>VLOOKUP(B1513,Products!$A:$E,3,FALSE)</f>
        <v>Electronics</v>
      </c>
    </row>
    <row r="1514" spans="1:5" x14ac:dyDescent="0.3">
      <c r="A1514" t="s">
        <v>7526</v>
      </c>
      <c r="B1514" t="s">
        <v>246</v>
      </c>
      <c r="C1514">
        <v>15</v>
      </c>
      <c r="D1514" t="str">
        <f>VLOOKUP(B1514,Products!$A:$E,2,FALSE)</f>
        <v>Product_119</v>
      </c>
      <c r="E1514" t="str">
        <f>VLOOKUP(B1514,Products!$A:$E,3,FALSE)</f>
        <v>Electronics</v>
      </c>
    </row>
    <row r="1515" spans="1:5" x14ac:dyDescent="0.3">
      <c r="A1515" t="s">
        <v>7527</v>
      </c>
      <c r="B1515" t="s">
        <v>354</v>
      </c>
      <c r="C1515">
        <v>28</v>
      </c>
      <c r="D1515" t="str">
        <f>VLOOKUP(B1515,Products!$A:$E,2,FALSE)</f>
        <v>Product_173</v>
      </c>
      <c r="E1515" t="str">
        <f>VLOOKUP(B1515,Products!$A:$E,3,FALSE)</f>
        <v>Electronics</v>
      </c>
    </row>
    <row r="1516" spans="1:5" x14ac:dyDescent="0.3">
      <c r="A1516" t="s">
        <v>7528</v>
      </c>
      <c r="B1516" t="s">
        <v>500</v>
      </c>
      <c r="C1516">
        <v>4</v>
      </c>
      <c r="D1516" t="str">
        <f>VLOOKUP(B1516,Products!$A:$E,2,FALSE)</f>
        <v>Product_246</v>
      </c>
      <c r="E1516" t="str">
        <f>VLOOKUP(B1516,Products!$A:$E,3,FALSE)</f>
        <v>Electronics</v>
      </c>
    </row>
    <row r="1517" spans="1:5" x14ac:dyDescent="0.3">
      <c r="A1517" t="s">
        <v>7529</v>
      </c>
      <c r="B1517" t="s">
        <v>532</v>
      </c>
      <c r="C1517">
        <v>28</v>
      </c>
      <c r="D1517" t="str">
        <f>VLOOKUP(B1517,Products!$A:$E,2,FALSE)</f>
        <v>Product_262</v>
      </c>
      <c r="E1517" t="str">
        <f>VLOOKUP(B1517,Products!$A:$E,3,FALSE)</f>
        <v>Electronics</v>
      </c>
    </row>
    <row r="1518" spans="1:5" x14ac:dyDescent="0.3">
      <c r="A1518" t="s">
        <v>7530</v>
      </c>
      <c r="B1518" t="s">
        <v>668</v>
      </c>
      <c r="C1518">
        <v>4</v>
      </c>
      <c r="D1518" t="str">
        <f>VLOOKUP(B1518,Products!$A:$E,2,FALSE)</f>
        <v>Product_330</v>
      </c>
      <c r="E1518" t="str">
        <f>VLOOKUP(B1518,Products!$A:$E,3,FALSE)</f>
        <v>Electronics</v>
      </c>
    </row>
    <row r="1519" spans="1:5" x14ac:dyDescent="0.3">
      <c r="A1519" t="s">
        <v>7531</v>
      </c>
      <c r="B1519" t="s">
        <v>320</v>
      </c>
      <c r="C1519">
        <v>8</v>
      </c>
      <c r="D1519" t="str">
        <f>VLOOKUP(B1519,Products!$A:$E,2,FALSE)</f>
        <v>Product_156</v>
      </c>
      <c r="E1519" t="str">
        <f>VLOOKUP(B1519,Products!$A:$E,3,FALSE)</f>
        <v>Accessories</v>
      </c>
    </row>
    <row r="1520" spans="1:5" x14ac:dyDescent="0.3">
      <c r="A1520" t="s">
        <v>7532</v>
      </c>
      <c r="B1520" t="s">
        <v>284</v>
      </c>
      <c r="C1520">
        <v>24</v>
      </c>
      <c r="D1520" t="str">
        <f>VLOOKUP(B1520,Products!$A:$E,2,FALSE)</f>
        <v>Product_138</v>
      </c>
      <c r="E1520" t="str">
        <f>VLOOKUP(B1520,Products!$A:$E,3,FALSE)</f>
        <v>Electronics</v>
      </c>
    </row>
    <row r="1521" spans="1:5" x14ac:dyDescent="0.3">
      <c r="A1521" t="s">
        <v>7533</v>
      </c>
      <c r="B1521" t="s">
        <v>296</v>
      </c>
      <c r="C1521">
        <v>23</v>
      </c>
      <c r="D1521" t="str">
        <f>VLOOKUP(B1521,Products!$A:$E,2,FALSE)</f>
        <v>Product_144</v>
      </c>
      <c r="E1521" t="str">
        <f>VLOOKUP(B1521,Products!$A:$E,3,FALSE)</f>
        <v>Office Supplies</v>
      </c>
    </row>
    <row r="1522" spans="1:5" x14ac:dyDescent="0.3">
      <c r="A1522" t="s">
        <v>7534</v>
      </c>
      <c r="B1522" t="s">
        <v>738</v>
      </c>
      <c r="C1522">
        <v>27</v>
      </c>
      <c r="D1522" t="str">
        <f>VLOOKUP(B1522,Products!$A:$E,2,FALSE)</f>
        <v>Product_365</v>
      </c>
      <c r="E1522" t="str">
        <f>VLOOKUP(B1522,Products!$A:$E,3,FALSE)</f>
        <v>Storage</v>
      </c>
    </row>
    <row r="1523" spans="1:5" x14ac:dyDescent="0.3">
      <c r="A1523" t="s">
        <v>7535</v>
      </c>
      <c r="B1523" t="s">
        <v>262</v>
      </c>
      <c r="C1523">
        <v>21</v>
      </c>
      <c r="D1523" t="str">
        <f>VLOOKUP(B1523,Products!$A:$E,2,FALSE)</f>
        <v>Product_127</v>
      </c>
      <c r="E1523" t="str">
        <f>VLOOKUP(B1523,Products!$A:$E,3,FALSE)</f>
        <v>Networking</v>
      </c>
    </row>
    <row r="1524" spans="1:5" x14ac:dyDescent="0.3">
      <c r="A1524" t="s">
        <v>7536</v>
      </c>
      <c r="B1524" t="s">
        <v>926</v>
      </c>
      <c r="C1524">
        <v>4</v>
      </c>
      <c r="D1524" t="str">
        <f>VLOOKUP(B1524,Products!$A:$E,2,FALSE)</f>
        <v>Product_459</v>
      </c>
      <c r="E1524" t="str">
        <f>VLOOKUP(B1524,Products!$A:$E,3,FALSE)</f>
        <v>Office Supplies</v>
      </c>
    </row>
    <row r="1525" spans="1:5" x14ac:dyDescent="0.3">
      <c r="A1525" t="s">
        <v>7537</v>
      </c>
      <c r="B1525" t="s">
        <v>196</v>
      </c>
      <c r="C1525">
        <v>3</v>
      </c>
      <c r="D1525" t="str">
        <f>VLOOKUP(B1525,Products!$A:$E,2,FALSE)</f>
        <v>Product_94</v>
      </c>
      <c r="E1525" t="str">
        <f>VLOOKUP(B1525,Products!$A:$E,3,FALSE)</f>
        <v>Networking</v>
      </c>
    </row>
    <row r="1526" spans="1:5" x14ac:dyDescent="0.3">
      <c r="A1526" t="s">
        <v>7538</v>
      </c>
      <c r="B1526" t="s">
        <v>5</v>
      </c>
      <c r="C1526">
        <v>4</v>
      </c>
      <c r="D1526" t="str">
        <f>VLOOKUP(B1526,Products!$A:$E,2,FALSE)</f>
        <v>Product_1</v>
      </c>
      <c r="E1526" t="str">
        <f>VLOOKUP(B1526,Products!$A:$E,3,FALSE)</f>
        <v>Electronics</v>
      </c>
    </row>
    <row r="1527" spans="1:5" x14ac:dyDescent="0.3">
      <c r="A1527" t="s">
        <v>7539</v>
      </c>
      <c r="B1527" t="s">
        <v>686</v>
      </c>
      <c r="C1527">
        <v>48</v>
      </c>
      <c r="D1527" t="str">
        <f>VLOOKUP(B1527,Products!$A:$E,2,FALSE)</f>
        <v>Product_339</v>
      </c>
      <c r="E1527" t="str">
        <f>VLOOKUP(B1527,Products!$A:$E,3,FALSE)</f>
        <v>Storage</v>
      </c>
    </row>
    <row r="1528" spans="1:5" x14ac:dyDescent="0.3">
      <c r="A1528" t="s">
        <v>7540</v>
      </c>
      <c r="B1528" t="s">
        <v>338</v>
      </c>
      <c r="C1528">
        <v>14</v>
      </c>
      <c r="D1528" t="str">
        <f>VLOOKUP(B1528,Products!$A:$E,2,FALSE)</f>
        <v>Product_165</v>
      </c>
      <c r="E1528" t="str">
        <f>VLOOKUP(B1528,Products!$A:$E,3,FALSE)</f>
        <v>Office Supplies</v>
      </c>
    </row>
    <row r="1529" spans="1:5" x14ac:dyDescent="0.3">
      <c r="A1529" t="s">
        <v>7541</v>
      </c>
      <c r="B1529" t="s">
        <v>302</v>
      </c>
      <c r="C1529">
        <v>31</v>
      </c>
      <c r="D1529" t="str">
        <f>VLOOKUP(B1529,Products!$A:$E,2,FALSE)</f>
        <v>Product_147</v>
      </c>
      <c r="E1529" t="str">
        <f>VLOOKUP(B1529,Products!$A:$E,3,FALSE)</f>
        <v>Networking</v>
      </c>
    </row>
    <row r="1530" spans="1:5" x14ac:dyDescent="0.3">
      <c r="A1530" t="s">
        <v>7542</v>
      </c>
      <c r="B1530" t="s">
        <v>296</v>
      </c>
      <c r="C1530">
        <v>39</v>
      </c>
      <c r="D1530" t="str">
        <f>VLOOKUP(B1530,Products!$A:$E,2,FALSE)</f>
        <v>Product_144</v>
      </c>
      <c r="E1530" t="str">
        <f>VLOOKUP(B1530,Products!$A:$E,3,FALSE)</f>
        <v>Office Supplies</v>
      </c>
    </row>
    <row r="1531" spans="1:5" x14ac:dyDescent="0.3">
      <c r="A1531" t="s">
        <v>7543</v>
      </c>
      <c r="B1531" t="s">
        <v>112</v>
      </c>
      <c r="C1531">
        <v>28</v>
      </c>
      <c r="D1531" t="str">
        <f>VLOOKUP(B1531,Products!$A:$E,2,FALSE)</f>
        <v>Product_52</v>
      </c>
      <c r="E1531" t="str">
        <f>VLOOKUP(B1531,Products!$A:$E,3,FALSE)</f>
        <v>Electronics</v>
      </c>
    </row>
    <row r="1532" spans="1:5" x14ac:dyDescent="0.3">
      <c r="A1532" t="s">
        <v>7544</v>
      </c>
      <c r="B1532" t="s">
        <v>198</v>
      </c>
      <c r="C1532">
        <v>17</v>
      </c>
      <c r="D1532" t="str">
        <f>VLOOKUP(B1532,Products!$A:$E,2,FALSE)</f>
        <v>Product_95</v>
      </c>
      <c r="E1532" t="str">
        <f>VLOOKUP(B1532,Products!$A:$E,3,FALSE)</f>
        <v>Electronics</v>
      </c>
    </row>
    <row r="1533" spans="1:5" x14ac:dyDescent="0.3">
      <c r="A1533" t="s">
        <v>7545</v>
      </c>
      <c r="B1533" t="s">
        <v>980</v>
      </c>
      <c r="C1533">
        <v>32</v>
      </c>
      <c r="D1533" t="str">
        <f>VLOOKUP(B1533,Products!$A:$E,2,FALSE)</f>
        <v>Product_486</v>
      </c>
      <c r="E1533" t="str">
        <f>VLOOKUP(B1533,Products!$A:$E,3,FALSE)</f>
        <v>Electronics</v>
      </c>
    </row>
    <row r="1534" spans="1:5" x14ac:dyDescent="0.3">
      <c r="A1534" t="s">
        <v>7546</v>
      </c>
      <c r="B1534" t="s">
        <v>382</v>
      </c>
      <c r="C1534">
        <v>22</v>
      </c>
      <c r="D1534" t="str">
        <f>VLOOKUP(B1534,Products!$A:$E,2,FALSE)</f>
        <v>Product_187</v>
      </c>
      <c r="E1534" t="str">
        <f>VLOOKUP(B1534,Products!$A:$E,3,FALSE)</f>
        <v>Electronics</v>
      </c>
    </row>
    <row r="1535" spans="1:5" x14ac:dyDescent="0.3">
      <c r="A1535" t="s">
        <v>7547</v>
      </c>
      <c r="B1535" t="s">
        <v>320</v>
      </c>
      <c r="C1535">
        <v>8</v>
      </c>
      <c r="D1535" t="str">
        <f>VLOOKUP(B1535,Products!$A:$E,2,FALSE)</f>
        <v>Product_156</v>
      </c>
      <c r="E1535" t="str">
        <f>VLOOKUP(B1535,Products!$A:$E,3,FALSE)</f>
        <v>Accessories</v>
      </c>
    </row>
    <row r="1536" spans="1:5" x14ac:dyDescent="0.3">
      <c r="A1536" t="s">
        <v>7548</v>
      </c>
      <c r="B1536" t="s">
        <v>108</v>
      </c>
      <c r="C1536">
        <v>43</v>
      </c>
      <c r="D1536" t="str">
        <f>VLOOKUP(B1536,Products!$A:$E,2,FALSE)</f>
        <v>Product_50</v>
      </c>
      <c r="E1536" t="str">
        <f>VLOOKUP(B1536,Products!$A:$E,3,FALSE)</f>
        <v>Networking</v>
      </c>
    </row>
    <row r="1537" spans="1:5" x14ac:dyDescent="0.3">
      <c r="A1537" t="s">
        <v>7549</v>
      </c>
      <c r="B1537" t="s">
        <v>22</v>
      </c>
      <c r="C1537">
        <v>44</v>
      </c>
      <c r="D1537" t="str">
        <f>VLOOKUP(B1537,Products!$A:$E,2,FALSE)</f>
        <v>Product_7</v>
      </c>
      <c r="E1537" t="str">
        <f>VLOOKUP(B1537,Products!$A:$E,3,FALSE)</f>
        <v>Storage</v>
      </c>
    </row>
    <row r="1538" spans="1:5" x14ac:dyDescent="0.3">
      <c r="A1538" t="s">
        <v>7550</v>
      </c>
      <c r="B1538" t="s">
        <v>574</v>
      </c>
      <c r="C1538">
        <v>50</v>
      </c>
      <c r="D1538" t="str">
        <f>VLOOKUP(B1538,Products!$A:$E,2,FALSE)</f>
        <v>Product_283</v>
      </c>
      <c r="E1538" t="str">
        <f>VLOOKUP(B1538,Products!$A:$E,3,FALSE)</f>
        <v>Networking</v>
      </c>
    </row>
    <row r="1539" spans="1:5" x14ac:dyDescent="0.3">
      <c r="A1539" t="s">
        <v>7551</v>
      </c>
      <c r="B1539" t="s">
        <v>892</v>
      </c>
      <c r="C1539">
        <v>9</v>
      </c>
      <c r="D1539" t="str">
        <f>VLOOKUP(B1539,Products!$A:$E,2,FALSE)</f>
        <v>Product_442</v>
      </c>
      <c r="E1539" t="str">
        <f>VLOOKUP(B1539,Products!$A:$E,3,FALSE)</f>
        <v>Networking</v>
      </c>
    </row>
    <row r="1540" spans="1:5" x14ac:dyDescent="0.3">
      <c r="A1540" t="s">
        <v>7552</v>
      </c>
      <c r="B1540" t="s">
        <v>348</v>
      </c>
      <c r="C1540">
        <v>24</v>
      </c>
      <c r="D1540" t="str">
        <f>VLOOKUP(B1540,Products!$A:$E,2,FALSE)</f>
        <v>Product_170</v>
      </c>
      <c r="E1540" t="str">
        <f>VLOOKUP(B1540,Products!$A:$E,3,FALSE)</f>
        <v>Office Supplies</v>
      </c>
    </row>
    <row r="1541" spans="1:5" x14ac:dyDescent="0.3">
      <c r="A1541" t="s">
        <v>7553</v>
      </c>
      <c r="B1541" t="s">
        <v>768</v>
      </c>
      <c r="C1541">
        <v>24</v>
      </c>
      <c r="D1541" t="str">
        <f>VLOOKUP(B1541,Products!$A:$E,2,FALSE)</f>
        <v>Product_380</v>
      </c>
      <c r="E1541" t="str">
        <f>VLOOKUP(B1541,Products!$A:$E,3,FALSE)</f>
        <v>Electronics</v>
      </c>
    </row>
    <row r="1542" spans="1:5" x14ac:dyDescent="0.3">
      <c r="A1542" t="s">
        <v>7554</v>
      </c>
      <c r="B1542" t="s">
        <v>770</v>
      </c>
      <c r="C1542">
        <v>50</v>
      </c>
      <c r="D1542" t="str">
        <f>VLOOKUP(B1542,Products!$A:$E,2,FALSE)</f>
        <v>Product_381</v>
      </c>
      <c r="E1542" t="str">
        <f>VLOOKUP(B1542,Products!$A:$E,3,FALSE)</f>
        <v>Storage</v>
      </c>
    </row>
    <row r="1543" spans="1:5" x14ac:dyDescent="0.3">
      <c r="A1543" t="s">
        <v>7555</v>
      </c>
      <c r="B1543" t="s">
        <v>612</v>
      </c>
      <c r="C1543">
        <v>34</v>
      </c>
      <c r="D1543" t="str">
        <f>VLOOKUP(B1543,Products!$A:$E,2,FALSE)</f>
        <v>Product_302</v>
      </c>
      <c r="E1543" t="str">
        <f>VLOOKUP(B1543,Products!$A:$E,3,FALSE)</f>
        <v>Accessories</v>
      </c>
    </row>
    <row r="1544" spans="1:5" x14ac:dyDescent="0.3">
      <c r="A1544" t="s">
        <v>7556</v>
      </c>
      <c r="B1544" t="s">
        <v>628</v>
      </c>
      <c r="C1544">
        <v>24</v>
      </c>
      <c r="D1544" t="str">
        <f>VLOOKUP(B1544,Products!$A:$E,2,FALSE)</f>
        <v>Product_310</v>
      </c>
      <c r="E1544" t="str">
        <f>VLOOKUP(B1544,Products!$A:$E,3,FALSE)</f>
        <v>Office Supplies</v>
      </c>
    </row>
    <row r="1545" spans="1:5" x14ac:dyDescent="0.3">
      <c r="A1545" t="s">
        <v>7557</v>
      </c>
      <c r="B1545" t="s">
        <v>252</v>
      </c>
      <c r="C1545">
        <v>42</v>
      </c>
      <c r="D1545" t="str">
        <f>VLOOKUP(B1545,Products!$A:$E,2,FALSE)</f>
        <v>Product_122</v>
      </c>
      <c r="E1545" t="str">
        <f>VLOOKUP(B1545,Products!$A:$E,3,FALSE)</f>
        <v>Storage</v>
      </c>
    </row>
    <row r="1546" spans="1:5" x14ac:dyDescent="0.3">
      <c r="A1546" t="s">
        <v>7558</v>
      </c>
      <c r="B1546" t="s">
        <v>292</v>
      </c>
      <c r="C1546">
        <v>14</v>
      </c>
      <c r="D1546" t="str">
        <f>VLOOKUP(B1546,Products!$A:$E,2,FALSE)</f>
        <v>Product_142</v>
      </c>
      <c r="E1546" t="str">
        <f>VLOOKUP(B1546,Products!$A:$E,3,FALSE)</f>
        <v>Storage</v>
      </c>
    </row>
    <row r="1547" spans="1:5" x14ac:dyDescent="0.3">
      <c r="A1547" t="s">
        <v>7559</v>
      </c>
      <c r="B1547" t="s">
        <v>608</v>
      </c>
      <c r="C1547">
        <v>25</v>
      </c>
      <c r="D1547" t="str">
        <f>VLOOKUP(B1547,Products!$A:$E,2,FALSE)</f>
        <v>Product_300</v>
      </c>
      <c r="E1547" t="str">
        <f>VLOOKUP(B1547,Products!$A:$E,3,FALSE)</f>
        <v>Accessories</v>
      </c>
    </row>
    <row r="1548" spans="1:5" x14ac:dyDescent="0.3">
      <c r="A1548" t="s">
        <v>7560</v>
      </c>
      <c r="B1548" t="s">
        <v>98</v>
      </c>
      <c r="C1548">
        <v>7</v>
      </c>
      <c r="D1548" t="str">
        <f>VLOOKUP(B1548,Products!$A:$E,2,FALSE)</f>
        <v>Product_45</v>
      </c>
      <c r="E1548" t="str">
        <f>VLOOKUP(B1548,Products!$A:$E,3,FALSE)</f>
        <v>Accessories</v>
      </c>
    </row>
    <row r="1549" spans="1:5" x14ac:dyDescent="0.3">
      <c r="A1549" t="s">
        <v>7561</v>
      </c>
      <c r="B1549" t="s">
        <v>142</v>
      </c>
      <c r="C1549">
        <v>41</v>
      </c>
      <c r="D1549" t="str">
        <f>VLOOKUP(B1549,Products!$A:$E,2,FALSE)</f>
        <v>Product_67</v>
      </c>
      <c r="E1549" t="str">
        <f>VLOOKUP(B1549,Products!$A:$E,3,FALSE)</f>
        <v>Office Supplies</v>
      </c>
    </row>
    <row r="1550" spans="1:5" x14ac:dyDescent="0.3">
      <c r="A1550" t="s">
        <v>7562</v>
      </c>
      <c r="B1550" t="s">
        <v>770</v>
      </c>
      <c r="C1550">
        <v>39</v>
      </c>
      <c r="D1550" t="str">
        <f>VLOOKUP(B1550,Products!$A:$E,2,FALSE)</f>
        <v>Product_381</v>
      </c>
      <c r="E1550" t="str">
        <f>VLOOKUP(B1550,Products!$A:$E,3,FALSE)</f>
        <v>Storage</v>
      </c>
    </row>
    <row r="1551" spans="1:5" x14ac:dyDescent="0.3">
      <c r="A1551" t="s">
        <v>7563</v>
      </c>
      <c r="B1551" t="s">
        <v>132</v>
      </c>
      <c r="C1551">
        <v>3</v>
      </c>
      <c r="D1551" t="str">
        <f>VLOOKUP(B1551,Products!$A:$E,2,FALSE)</f>
        <v>Product_62</v>
      </c>
      <c r="E1551" t="str">
        <f>VLOOKUP(B1551,Products!$A:$E,3,FALSE)</f>
        <v>Accessories</v>
      </c>
    </row>
    <row r="1552" spans="1:5" x14ac:dyDescent="0.3">
      <c r="A1552" t="s">
        <v>7564</v>
      </c>
      <c r="B1552" t="s">
        <v>610</v>
      </c>
      <c r="C1552">
        <v>42</v>
      </c>
      <c r="D1552" t="str">
        <f>VLOOKUP(B1552,Products!$A:$E,2,FALSE)</f>
        <v>Product_301</v>
      </c>
      <c r="E1552" t="str">
        <f>VLOOKUP(B1552,Products!$A:$E,3,FALSE)</f>
        <v>Networking</v>
      </c>
    </row>
    <row r="1553" spans="1:5" x14ac:dyDescent="0.3">
      <c r="A1553" t="s">
        <v>7565</v>
      </c>
      <c r="B1553" t="s">
        <v>846</v>
      </c>
      <c r="C1553">
        <v>13</v>
      </c>
      <c r="D1553" t="str">
        <f>VLOOKUP(B1553,Products!$A:$E,2,FALSE)</f>
        <v>Product_419</v>
      </c>
      <c r="E1553" t="str">
        <f>VLOOKUP(B1553,Products!$A:$E,3,FALSE)</f>
        <v>Networking</v>
      </c>
    </row>
    <row r="1554" spans="1:5" x14ac:dyDescent="0.3">
      <c r="A1554" t="s">
        <v>7566</v>
      </c>
      <c r="B1554" t="s">
        <v>206</v>
      </c>
      <c r="C1554">
        <v>46</v>
      </c>
      <c r="D1554" t="str">
        <f>VLOOKUP(B1554,Products!$A:$E,2,FALSE)</f>
        <v>Product_99</v>
      </c>
      <c r="E1554" t="str">
        <f>VLOOKUP(B1554,Products!$A:$E,3,FALSE)</f>
        <v>Accessories</v>
      </c>
    </row>
    <row r="1555" spans="1:5" x14ac:dyDescent="0.3">
      <c r="A1555" t="s">
        <v>7567</v>
      </c>
      <c r="B1555" t="s">
        <v>466</v>
      </c>
      <c r="C1555">
        <v>7</v>
      </c>
      <c r="D1555" t="str">
        <f>VLOOKUP(B1555,Products!$A:$E,2,FALSE)</f>
        <v>Product_229</v>
      </c>
      <c r="E1555" t="str">
        <f>VLOOKUP(B1555,Products!$A:$E,3,FALSE)</f>
        <v>Accessories</v>
      </c>
    </row>
    <row r="1556" spans="1:5" x14ac:dyDescent="0.3">
      <c r="A1556" t="s">
        <v>7568</v>
      </c>
      <c r="B1556" t="s">
        <v>86</v>
      </c>
      <c r="C1556">
        <v>35</v>
      </c>
      <c r="D1556" t="str">
        <f>VLOOKUP(B1556,Products!$A:$E,2,FALSE)</f>
        <v>Product_39</v>
      </c>
      <c r="E1556" t="str">
        <f>VLOOKUP(B1556,Products!$A:$E,3,FALSE)</f>
        <v>Networking</v>
      </c>
    </row>
    <row r="1557" spans="1:5" x14ac:dyDescent="0.3">
      <c r="A1557" t="s">
        <v>7569</v>
      </c>
      <c r="B1557" t="s">
        <v>642</v>
      </c>
      <c r="C1557">
        <v>22</v>
      </c>
      <c r="D1557" t="str">
        <f>VLOOKUP(B1557,Products!$A:$E,2,FALSE)</f>
        <v>Product_317</v>
      </c>
      <c r="E1557" t="str">
        <f>VLOOKUP(B1557,Products!$A:$E,3,FALSE)</f>
        <v>Storage</v>
      </c>
    </row>
    <row r="1558" spans="1:5" x14ac:dyDescent="0.3">
      <c r="A1558" t="s">
        <v>7570</v>
      </c>
      <c r="B1558" t="s">
        <v>318</v>
      </c>
      <c r="C1558">
        <v>47</v>
      </c>
      <c r="D1558" t="str">
        <f>VLOOKUP(B1558,Products!$A:$E,2,FALSE)</f>
        <v>Product_155</v>
      </c>
      <c r="E1558" t="str">
        <f>VLOOKUP(B1558,Products!$A:$E,3,FALSE)</f>
        <v>Office Supplies</v>
      </c>
    </row>
    <row r="1559" spans="1:5" x14ac:dyDescent="0.3">
      <c r="A1559" t="s">
        <v>7571</v>
      </c>
      <c r="B1559" t="s">
        <v>494</v>
      </c>
      <c r="C1559">
        <v>49</v>
      </c>
      <c r="D1559" t="str">
        <f>VLOOKUP(B1559,Products!$A:$E,2,FALSE)</f>
        <v>Product_243</v>
      </c>
      <c r="E1559" t="str">
        <f>VLOOKUP(B1559,Products!$A:$E,3,FALSE)</f>
        <v>Storage</v>
      </c>
    </row>
    <row r="1560" spans="1:5" x14ac:dyDescent="0.3">
      <c r="A1560" t="s">
        <v>7572</v>
      </c>
      <c r="B1560" t="s">
        <v>216</v>
      </c>
      <c r="C1560">
        <v>35</v>
      </c>
      <c r="D1560" t="str">
        <f>VLOOKUP(B1560,Products!$A:$E,2,FALSE)</f>
        <v>Product_104</v>
      </c>
      <c r="E1560" t="str">
        <f>VLOOKUP(B1560,Products!$A:$E,3,FALSE)</f>
        <v>Networking</v>
      </c>
    </row>
    <row r="1561" spans="1:5" x14ac:dyDescent="0.3">
      <c r="A1561" t="s">
        <v>7573</v>
      </c>
      <c r="B1561" t="s">
        <v>748</v>
      </c>
      <c r="C1561">
        <v>10</v>
      </c>
      <c r="D1561" t="str">
        <f>VLOOKUP(B1561,Products!$A:$E,2,FALSE)</f>
        <v>Product_370</v>
      </c>
      <c r="E1561" t="str">
        <f>VLOOKUP(B1561,Products!$A:$E,3,FALSE)</f>
        <v>Networking</v>
      </c>
    </row>
    <row r="1562" spans="1:5" x14ac:dyDescent="0.3">
      <c r="A1562" t="s">
        <v>7574</v>
      </c>
      <c r="B1562" t="s">
        <v>54</v>
      </c>
      <c r="C1562">
        <v>9</v>
      </c>
      <c r="D1562" t="str">
        <f>VLOOKUP(B1562,Products!$A:$E,2,FALSE)</f>
        <v>Product_23</v>
      </c>
      <c r="E1562" t="str">
        <f>VLOOKUP(B1562,Products!$A:$E,3,FALSE)</f>
        <v>Accessories</v>
      </c>
    </row>
    <row r="1563" spans="1:5" x14ac:dyDescent="0.3">
      <c r="A1563" t="s">
        <v>7575</v>
      </c>
      <c r="B1563" t="s">
        <v>206</v>
      </c>
      <c r="C1563">
        <v>27</v>
      </c>
      <c r="D1563" t="str">
        <f>VLOOKUP(B1563,Products!$A:$E,2,FALSE)</f>
        <v>Product_99</v>
      </c>
      <c r="E1563" t="str">
        <f>VLOOKUP(B1563,Products!$A:$E,3,FALSE)</f>
        <v>Accessories</v>
      </c>
    </row>
    <row r="1564" spans="1:5" x14ac:dyDescent="0.3">
      <c r="A1564" t="s">
        <v>7576</v>
      </c>
      <c r="B1564" t="s">
        <v>572</v>
      </c>
      <c r="C1564">
        <v>46</v>
      </c>
      <c r="D1564" t="str">
        <f>VLOOKUP(B1564,Products!$A:$E,2,FALSE)</f>
        <v>Product_282</v>
      </c>
      <c r="E1564" t="str">
        <f>VLOOKUP(B1564,Products!$A:$E,3,FALSE)</f>
        <v>Networking</v>
      </c>
    </row>
    <row r="1565" spans="1:5" x14ac:dyDescent="0.3">
      <c r="A1565" t="s">
        <v>7577</v>
      </c>
      <c r="B1565" t="s">
        <v>268</v>
      </c>
      <c r="C1565">
        <v>49</v>
      </c>
      <c r="D1565" t="str">
        <f>VLOOKUP(B1565,Products!$A:$E,2,FALSE)</f>
        <v>Product_130</v>
      </c>
      <c r="E1565" t="str">
        <f>VLOOKUP(B1565,Products!$A:$E,3,FALSE)</f>
        <v>Storage</v>
      </c>
    </row>
    <row r="1566" spans="1:5" x14ac:dyDescent="0.3">
      <c r="A1566" t="s">
        <v>7578</v>
      </c>
      <c r="B1566" t="s">
        <v>882</v>
      </c>
      <c r="C1566">
        <v>36</v>
      </c>
      <c r="D1566" t="str">
        <f>VLOOKUP(B1566,Products!$A:$E,2,FALSE)</f>
        <v>Product_437</v>
      </c>
      <c r="E1566" t="str">
        <f>VLOOKUP(B1566,Products!$A:$E,3,FALSE)</f>
        <v>Accessories</v>
      </c>
    </row>
    <row r="1567" spans="1:5" x14ac:dyDescent="0.3">
      <c r="A1567" t="s">
        <v>7579</v>
      </c>
      <c r="B1567" t="s">
        <v>1008</v>
      </c>
      <c r="C1567">
        <v>23</v>
      </c>
      <c r="D1567" t="str">
        <f>VLOOKUP(B1567,Products!$A:$E,2,FALSE)</f>
        <v>Product_500</v>
      </c>
      <c r="E1567" t="str">
        <f>VLOOKUP(B1567,Products!$A:$E,3,FALSE)</f>
        <v>Networking</v>
      </c>
    </row>
    <row r="1568" spans="1:5" x14ac:dyDescent="0.3">
      <c r="A1568" t="s">
        <v>7580</v>
      </c>
      <c r="B1568" t="s">
        <v>926</v>
      </c>
      <c r="C1568">
        <v>24</v>
      </c>
      <c r="D1568" t="str">
        <f>VLOOKUP(B1568,Products!$A:$E,2,FALSE)</f>
        <v>Product_459</v>
      </c>
      <c r="E1568" t="str">
        <f>VLOOKUP(B1568,Products!$A:$E,3,FALSE)</f>
        <v>Office Supplies</v>
      </c>
    </row>
    <row r="1569" spans="1:5" x14ac:dyDescent="0.3">
      <c r="A1569" t="s">
        <v>7581</v>
      </c>
      <c r="B1569" t="s">
        <v>468</v>
      </c>
      <c r="C1569">
        <v>41</v>
      </c>
      <c r="D1569" t="str">
        <f>VLOOKUP(B1569,Products!$A:$E,2,FALSE)</f>
        <v>Product_230</v>
      </c>
      <c r="E1569" t="str">
        <f>VLOOKUP(B1569,Products!$A:$E,3,FALSE)</f>
        <v>Electronics</v>
      </c>
    </row>
    <row r="1570" spans="1:5" x14ac:dyDescent="0.3">
      <c r="A1570" t="s">
        <v>7582</v>
      </c>
      <c r="B1570" t="s">
        <v>744</v>
      </c>
      <c r="C1570">
        <v>8</v>
      </c>
      <c r="D1570" t="str">
        <f>VLOOKUP(B1570,Products!$A:$E,2,FALSE)</f>
        <v>Product_368</v>
      </c>
      <c r="E1570" t="str">
        <f>VLOOKUP(B1570,Products!$A:$E,3,FALSE)</f>
        <v>Office Supplies</v>
      </c>
    </row>
    <row r="1571" spans="1:5" x14ac:dyDescent="0.3">
      <c r="A1571" t="s">
        <v>7583</v>
      </c>
      <c r="B1571" t="s">
        <v>942</v>
      </c>
      <c r="C1571">
        <v>28</v>
      </c>
      <c r="D1571" t="str">
        <f>VLOOKUP(B1571,Products!$A:$E,2,FALSE)</f>
        <v>Product_467</v>
      </c>
      <c r="E1571" t="str">
        <f>VLOOKUP(B1571,Products!$A:$E,3,FALSE)</f>
        <v>Accessories</v>
      </c>
    </row>
    <row r="1572" spans="1:5" x14ac:dyDescent="0.3">
      <c r="A1572" t="s">
        <v>7584</v>
      </c>
      <c r="B1572" t="s">
        <v>78</v>
      </c>
      <c r="C1572">
        <v>31</v>
      </c>
      <c r="D1572" t="str">
        <f>VLOOKUP(B1572,Products!$A:$E,2,FALSE)</f>
        <v>Product_35</v>
      </c>
      <c r="E1572" t="str">
        <f>VLOOKUP(B1572,Products!$A:$E,3,FALSE)</f>
        <v>Electronics</v>
      </c>
    </row>
    <row r="1573" spans="1:5" x14ac:dyDescent="0.3">
      <c r="A1573" t="s">
        <v>7585</v>
      </c>
      <c r="B1573" t="s">
        <v>438</v>
      </c>
      <c r="C1573">
        <v>34</v>
      </c>
      <c r="D1573" t="str">
        <f>VLOOKUP(B1573,Products!$A:$E,2,FALSE)</f>
        <v>Product_215</v>
      </c>
      <c r="E1573" t="str">
        <f>VLOOKUP(B1573,Products!$A:$E,3,FALSE)</f>
        <v>Electronics</v>
      </c>
    </row>
    <row r="1574" spans="1:5" x14ac:dyDescent="0.3">
      <c r="A1574" t="s">
        <v>7586</v>
      </c>
      <c r="B1574" t="s">
        <v>962</v>
      </c>
      <c r="C1574">
        <v>33</v>
      </c>
      <c r="D1574" t="str">
        <f>VLOOKUP(B1574,Products!$A:$E,2,FALSE)</f>
        <v>Product_477</v>
      </c>
      <c r="E1574" t="str">
        <f>VLOOKUP(B1574,Products!$A:$E,3,FALSE)</f>
        <v>Networking</v>
      </c>
    </row>
    <row r="1575" spans="1:5" x14ac:dyDescent="0.3">
      <c r="A1575" t="s">
        <v>7587</v>
      </c>
      <c r="B1575" t="s">
        <v>818</v>
      </c>
      <c r="C1575">
        <v>2</v>
      </c>
      <c r="D1575" t="str">
        <f>VLOOKUP(B1575,Products!$A:$E,2,FALSE)</f>
        <v>Product_405</v>
      </c>
      <c r="E1575" t="str">
        <f>VLOOKUP(B1575,Products!$A:$E,3,FALSE)</f>
        <v>Electronics</v>
      </c>
    </row>
    <row r="1576" spans="1:5" x14ac:dyDescent="0.3">
      <c r="A1576" t="s">
        <v>7588</v>
      </c>
      <c r="B1576" t="s">
        <v>180</v>
      </c>
      <c r="C1576">
        <v>39</v>
      </c>
      <c r="D1576" t="str">
        <f>VLOOKUP(B1576,Products!$A:$E,2,FALSE)</f>
        <v>Product_86</v>
      </c>
      <c r="E1576" t="str">
        <f>VLOOKUP(B1576,Products!$A:$E,3,FALSE)</f>
        <v>Storage</v>
      </c>
    </row>
    <row r="1577" spans="1:5" x14ac:dyDescent="0.3">
      <c r="A1577" t="s">
        <v>7589</v>
      </c>
      <c r="B1577" t="s">
        <v>290</v>
      </c>
      <c r="C1577">
        <v>45</v>
      </c>
      <c r="D1577" t="str">
        <f>VLOOKUP(B1577,Products!$A:$E,2,FALSE)</f>
        <v>Product_141</v>
      </c>
      <c r="E1577" t="str">
        <f>VLOOKUP(B1577,Products!$A:$E,3,FALSE)</f>
        <v>Electronics</v>
      </c>
    </row>
    <row r="1578" spans="1:5" x14ac:dyDescent="0.3">
      <c r="A1578" t="s">
        <v>7590</v>
      </c>
      <c r="B1578" t="s">
        <v>1000</v>
      </c>
      <c r="C1578">
        <v>9</v>
      </c>
      <c r="D1578" t="str">
        <f>VLOOKUP(B1578,Products!$A:$E,2,FALSE)</f>
        <v>Product_496</v>
      </c>
      <c r="E1578" t="str">
        <f>VLOOKUP(B1578,Products!$A:$E,3,FALSE)</f>
        <v>Office Supplies</v>
      </c>
    </row>
    <row r="1579" spans="1:5" x14ac:dyDescent="0.3">
      <c r="A1579" t="s">
        <v>7591</v>
      </c>
      <c r="B1579" t="s">
        <v>306</v>
      </c>
      <c r="C1579">
        <v>3</v>
      </c>
      <c r="D1579" t="str">
        <f>VLOOKUP(B1579,Products!$A:$E,2,FALSE)</f>
        <v>Product_149</v>
      </c>
      <c r="E1579" t="str">
        <f>VLOOKUP(B1579,Products!$A:$E,3,FALSE)</f>
        <v>Accessories</v>
      </c>
    </row>
    <row r="1580" spans="1:5" x14ac:dyDescent="0.3">
      <c r="A1580" t="s">
        <v>7592</v>
      </c>
      <c r="B1580" t="s">
        <v>988</v>
      </c>
      <c r="C1580">
        <v>37</v>
      </c>
      <c r="D1580" t="str">
        <f>VLOOKUP(B1580,Products!$A:$E,2,FALSE)</f>
        <v>Product_490</v>
      </c>
      <c r="E1580" t="str">
        <f>VLOOKUP(B1580,Products!$A:$E,3,FALSE)</f>
        <v>Storage</v>
      </c>
    </row>
    <row r="1581" spans="1:5" x14ac:dyDescent="0.3">
      <c r="A1581" t="s">
        <v>7593</v>
      </c>
      <c r="B1581" t="s">
        <v>72</v>
      </c>
      <c r="C1581">
        <v>45</v>
      </c>
      <c r="D1581" t="str">
        <f>VLOOKUP(B1581,Products!$A:$E,2,FALSE)</f>
        <v>Product_32</v>
      </c>
      <c r="E1581" t="str">
        <f>VLOOKUP(B1581,Products!$A:$E,3,FALSE)</f>
        <v>Networking</v>
      </c>
    </row>
    <row r="1582" spans="1:5" x14ac:dyDescent="0.3">
      <c r="A1582" t="s">
        <v>7594</v>
      </c>
      <c r="B1582" t="s">
        <v>204</v>
      </c>
      <c r="C1582">
        <v>48</v>
      </c>
      <c r="D1582" t="str">
        <f>VLOOKUP(B1582,Products!$A:$E,2,FALSE)</f>
        <v>Product_98</v>
      </c>
      <c r="E1582" t="str">
        <f>VLOOKUP(B1582,Products!$A:$E,3,FALSE)</f>
        <v>Networking</v>
      </c>
    </row>
    <row r="1583" spans="1:5" x14ac:dyDescent="0.3">
      <c r="A1583" t="s">
        <v>7595</v>
      </c>
      <c r="B1583" t="s">
        <v>844</v>
      </c>
      <c r="C1583">
        <v>26</v>
      </c>
      <c r="D1583" t="str">
        <f>VLOOKUP(B1583,Products!$A:$E,2,FALSE)</f>
        <v>Product_418</v>
      </c>
      <c r="E1583" t="str">
        <f>VLOOKUP(B1583,Products!$A:$E,3,FALSE)</f>
        <v>Office Supplies</v>
      </c>
    </row>
    <row r="1584" spans="1:5" x14ac:dyDescent="0.3">
      <c r="A1584" t="s">
        <v>7596</v>
      </c>
      <c r="B1584" t="s">
        <v>516</v>
      </c>
      <c r="C1584">
        <v>44</v>
      </c>
      <c r="D1584" t="str">
        <f>VLOOKUP(B1584,Products!$A:$E,2,FALSE)</f>
        <v>Product_254</v>
      </c>
      <c r="E1584" t="str">
        <f>VLOOKUP(B1584,Products!$A:$E,3,FALSE)</f>
        <v>Office Supplies</v>
      </c>
    </row>
    <row r="1585" spans="1:5" x14ac:dyDescent="0.3">
      <c r="A1585" t="s">
        <v>7597</v>
      </c>
      <c r="B1585" t="s">
        <v>554</v>
      </c>
      <c r="C1585">
        <v>33</v>
      </c>
      <c r="D1585" t="str">
        <f>VLOOKUP(B1585,Products!$A:$E,2,FALSE)</f>
        <v>Product_273</v>
      </c>
      <c r="E1585" t="str">
        <f>VLOOKUP(B1585,Products!$A:$E,3,FALSE)</f>
        <v>Networking</v>
      </c>
    </row>
    <row r="1586" spans="1:5" x14ac:dyDescent="0.3">
      <c r="A1586" t="s">
        <v>7598</v>
      </c>
      <c r="B1586" t="s">
        <v>1004</v>
      </c>
      <c r="C1586">
        <v>5</v>
      </c>
      <c r="D1586" t="str">
        <f>VLOOKUP(B1586,Products!$A:$E,2,FALSE)</f>
        <v>Product_498</v>
      </c>
      <c r="E1586" t="str">
        <f>VLOOKUP(B1586,Products!$A:$E,3,FALSE)</f>
        <v>Office Supplies</v>
      </c>
    </row>
    <row r="1587" spans="1:5" x14ac:dyDescent="0.3">
      <c r="A1587" t="s">
        <v>7599</v>
      </c>
      <c r="B1587" t="s">
        <v>178</v>
      </c>
      <c r="C1587">
        <v>29</v>
      </c>
      <c r="D1587" t="str">
        <f>VLOOKUP(B1587,Products!$A:$E,2,FALSE)</f>
        <v>Product_85</v>
      </c>
      <c r="E1587" t="str">
        <f>VLOOKUP(B1587,Products!$A:$E,3,FALSE)</f>
        <v>Electronics</v>
      </c>
    </row>
    <row r="1588" spans="1:5" x14ac:dyDescent="0.3">
      <c r="A1588" t="s">
        <v>7600</v>
      </c>
      <c r="B1588" t="s">
        <v>778</v>
      </c>
      <c r="C1588">
        <v>33</v>
      </c>
      <c r="D1588" t="str">
        <f>VLOOKUP(B1588,Products!$A:$E,2,FALSE)</f>
        <v>Product_385</v>
      </c>
      <c r="E1588" t="str">
        <f>VLOOKUP(B1588,Products!$A:$E,3,FALSE)</f>
        <v>Networking</v>
      </c>
    </row>
    <row r="1589" spans="1:5" x14ac:dyDescent="0.3">
      <c r="A1589" t="s">
        <v>7601</v>
      </c>
      <c r="B1589" t="s">
        <v>402</v>
      </c>
      <c r="C1589">
        <v>36</v>
      </c>
      <c r="D1589" t="str">
        <f>VLOOKUP(B1589,Products!$A:$E,2,FALSE)</f>
        <v>Product_197</v>
      </c>
      <c r="E1589" t="str">
        <f>VLOOKUP(B1589,Products!$A:$E,3,FALSE)</f>
        <v>Electronics</v>
      </c>
    </row>
    <row r="1590" spans="1:5" x14ac:dyDescent="0.3">
      <c r="A1590" t="s">
        <v>7602</v>
      </c>
      <c r="B1590" t="s">
        <v>808</v>
      </c>
      <c r="C1590">
        <v>25</v>
      </c>
      <c r="D1590" t="str">
        <f>VLOOKUP(B1590,Products!$A:$E,2,FALSE)</f>
        <v>Product_400</v>
      </c>
      <c r="E1590" t="str">
        <f>VLOOKUP(B1590,Products!$A:$E,3,FALSE)</f>
        <v>Networking</v>
      </c>
    </row>
    <row r="1591" spans="1:5" x14ac:dyDescent="0.3">
      <c r="A1591" t="s">
        <v>7603</v>
      </c>
      <c r="B1591" t="s">
        <v>420</v>
      </c>
      <c r="C1591">
        <v>39</v>
      </c>
      <c r="D1591" t="str">
        <f>VLOOKUP(B1591,Products!$A:$E,2,FALSE)</f>
        <v>Product_206</v>
      </c>
      <c r="E1591" t="str">
        <f>VLOOKUP(B1591,Products!$A:$E,3,FALSE)</f>
        <v>Accessories</v>
      </c>
    </row>
    <row r="1592" spans="1:5" x14ac:dyDescent="0.3">
      <c r="A1592" t="s">
        <v>7604</v>
      </c>
      <c r="B1592" t="s">
        <v>288</v>
      </c>
      <c r="C1592">
        <v>14</v>
      </c>
      <c r="D1592" t="str">
        <f>VLOOKUP(B1592,Products!$A:$E,2,FALSE)</f>
        <v>Product_140</v>
      </c>
      <c r="E1592" t="str">
        <f>VLOOKUP(B1592,Products!$A:$E,3,FALSE)</f>
        <v>Electronics</v>
      </c>
    </row>
    <row r="1593" spans="1:5" x14ac:dyDescent="0.3">
      <c r="A1593" t="s">
        <v>7605</v>
      </c>
      <c r="B1593" t="s">
        <v>198</v>
      </c>
      <c r="C1593">
        <v>1</v>
      </c>
      <c r="D1593" t="str">
        <f>VLOOKUP(B1593,Products!$A:$E,2,FALSE)</f>
        <v>Product_95</v>
      </c>
      <c r="E1593" t="str">
        <f>VLOOKUP(B1593,Products!$A:$E,3,FALSE)</f>
        <v>Electronics</v>
      </c>
    </row>
    <row r="1594" spans="1:5" x14ac:dyDescent="0.3">
      <c r="A1594" t="s">
        <v>7606</v>
      </c>
      <c r="B1594" t="s">
        <v>172</v>
      </c>
      <c r="C1594">
        <v>37</v>
      </c>
      <c r="D1594" t="str">
        <f>VLOOKUP(B1594,Products!$A:$E,2,FALSE)</f>
        <v>Product_82</v>
      </c>
      <c r="E1594" t="str">
        <f>VLOOKUP(B1594,Products!$A:$E,3,FALSE)</f>
        <v>Storage</v>
      </c>
    </row>
    <row r="1595" spans="1:5" x14ac:dyDescent="0.3">
      <c r="A1595" t="s">
        <v>7607</v>
      </c>
      <c r="B1595" t="s">
        <v>232</v>
      </c>
      <c r="C1595">
        <v>38</v>
      </c>
      <c r="D1595" t="str">
        <f>VLOOKUP(B1595,Products!$A:$E,2,FALSE)</f>
        <v>Product_112</v>
      </c>
      <c r="E1595" t="str">
        <f>VLOOKUP(B1595,Products!$A:$E,3,FALSE)</f>
        <v>Storage</v>
      </c>
    </row>
    <row r="1596" spans="1:5" x14ac:dyDescent="0.3">
      <c r="A1596" t="s">
        <v>7608</v>
      </c>
      <c r="B1596" t="s">
        <v>722</v>
      </c>
      <c r="C1596">
        <v>1</v>
      </c>
      <c r="D1596" t="str">
        <f>VLOOKUP(B1596,Products!$A:$E,2,FALSE)</f>
        <v>Product_357</v>
      </c>
      <c r="E1596" t="str">
        <f>VLOOKUP(B1596,Products!$A:$E,3,FALSE)</f>
        <v>Accessories</v>
      </c>
    </row>
    <row r="1597" spans="1:5" x14ac:dyDescent="0.3">
      <c r="A1597" t="s">
        <v>7609</v>
      </c>
      <c r="B1597" t="s">
        <v>910</v>
      </c>
      <c r="C1597">
        <v>33</v>
      </c>
      <c r="D1597" t="str">
        <f>VLOOKUP(B1597,Products!$A:$E,2,FALSE)</f>
        <v>Product_451</v>
      </c>
      <c r="E1597" t="str">
        <f>VLOOKUP(B1597,Products!$A:$E,3,FALSE)</f>
        <v>Accessories</v>
      </c>
    </row>
    <row r="1598" spans="1:5" x14ac:dyDescent="0.3">
      <c r="A1598" t="s">
        <v>7610</v>
      </c>
      <c r="B1598" t="s">
        <v>476</v>
      </c>
      <c r="C1598">
        <v>33</v>
      </c>
      <c r="D1598" t="str">
        <f>VLOOKUP(B1598,Products!$A:$E,2,FALSE)</f>
        <v>Product_234</v>
      </c>
      <c r="E1598" t="str">
        <f>VLOOKUP(B1598,Products!$A:$E,3,FALSE)</f>
        <v>Networking</v>
      </c>
    </row>
    <row r="1599" spans="1:5" x14ac:dyDescent="0.3">
      <c r="A1599" t="s">
        <v>7611</v>
      </c>
      <c r="B1599" t="s">
        <v>734</v>
      </c>
      <c r="C1599">
        <v>47</v>
      </c>
      <c r="D1599" t="str">
        <f>VLOOKUP(B1599,Products!$A:$E,2,FALSE)</f>
        <v>Product_363</v>
      </c>
      <c r="E1599" t="str">
        <f>VLOOKUP(B1599,Products!$A:$E,3,FALSE)</f>
        <v>Storage</v>
      </c>
    </row>
    <row r="1600" spans="1:5" x14ac:dyDescent="0.3">
      <c r="A1600" t="s">
        <v>7612</v>
      </c>
      <c r="B1600" t="s">
        <v>546</v>
      </c>
      <c r="C1600">
        <v>17</v>
      </c>
      <c r="D1600" t="str">
        <f>VLOOKUP(B1600,Products!$A:$E,2,FALSE)</f>
        <v>Product_269</v>
      </c>
      <c r="E1600" t="str">
        <f>VLOOKUP(B1600,Products!$A:$E,3,FALSE)</f>
        <v>Storage</v>
      </c>
    </row>
    <row r="1601" spans="1:5" x14ac:dyDescent="0.3">
      <c r="A1601" t="s">
        <v>7613</v>
      </c>
      <c r="B1601" t="s">
        <v>320</v>
      </c>
      <c r="C1601">
        <v>15</v>
      </c>
      <c r="D1601" t="str">
        <f>VLOOKUP(B1601,Products!$A:$E,2,FALSE)</f>
        <v>Product_156</v>
      </c>
      <c r="E1601" t="str">
        <f>VLOOKUP(B1601,Products!$A:$E,3,FALSE)</f>
        <v>Accessories</v>
      </c>
    </row>
    <row r="1602" spans="1:5" x14ac:dyDescent="0.3">
      <c r="A1602" t="s">
        <v>7614</v>
      </c>
      <c r="B1602" t="s">
        <v>312</v>
      </c>
      <c r="C1602">
        <v>46</v>
      </c>
      <c r="D1602" t="str">
        <f>VLOOKUP(B1602,Products!$A:$E,2,FALSE)</f>
        <v>Product_152</v>
      </c>
      <c r="E1602" t="str">
        <f>VLOOKUP(B1602,Products!$A:$E,3,FALSE)</f>
        <v>Storage</v>
      </c>
    </row>
    <row r="1603" spans="1:5" x14ac:dyDescent="0.3">
      <c r="A1603" t="s">
        <v>7615</v>
      </c>
      <c r="B1603" t="s">
        <v>284</v>
      </c>
      <c r="C1603">
        <v>36</v>
      </c>
      <c r="D1603" t="str">
        <f>VLOOKUP(B1603,Products!$A:$E,2,FALSE)</f>
        <v>Product_138</v>
      </c>
      <c r="E1603" t="str">
        <f>VLOOKUP(B1603,Products!$A:$E,3,FALSE)</f>
        <v>Electronics</v>
      </c>
    </row>
    <row r="1604" spans="1:5" x14ac:dyDescent="0.3">
      <c r="A1604" t="s">
        <v>7616</v>
      </c>
      <c r="B1604" t="s">
        <v>130</v>
      </c>
      <c r="C1604">
        <v>11</v>
      </c>
      <c r="D1604" t="str">
        <f>VLOOKUP(B1604,Products!$A:$E,2,FALSE)</f>
        <v>Product_61</v>
      </c>
      <c r="E1604" t="str">
        <f>VLOOKUP(B1604,Products!$A:$E,3,FALSE)</f>
        <v>Storage</v>
      </c>
    </row>
    <row r="1605" spans="1:5" x14ac:dyDescent="0.3">
      <c r="A1605" t="s">
        <v>7617</v>
      </c>
      <c r="B1605" t="s">
        <v>238</v>
      </c>
      <c r="C1605">
        <v>3</v>
      </c>
      <c r="D1605" t="str">
        <f>VLOOKUP(B1605,Products!$A:$E,2,FALSE)</f>
        <v>Product_115</v>
      </c>
      <c r="E1605" t="str">
        <f>VLOOKUP(B1605,Products!$A:$E,3,FALSE)</f>
        <v>Networking</v>
      </c>
    </row>
    <row r="1606" spans="1:5" x14ac:dyDescent="0.3">
      <c r="A1606" t="s">
        <v>7618</v>
      </c>
      <c r="B1606" t="s">
        <v>556</v>
      </c>
      <c r="C1606">
        <v>16</v>
      </c>
      <c r="D1606" t="str">
        <f>VLOOKUP(B1606,Products!$A:$E,2,FALSE)</f>
        <v>Product_274</v>
      </c>
      <c r="E1606" t="str">
        <f>VLOOKUP(B1606,Products!$A:$E,3,FALSE)</f>
        <v>Accessories</v>
      </c>
    </row>
    <row r="1607" spans="1:5" x14ac:dyDescent="0.3">
      <c r="A1607" t="s">
        <v>7619</v>
      </c>
      <c r="B1607" t="s">
        <v>308</v>
      </c>
      <c r="C1607">
        <v>3</v>
      </c>
      <c r="D1607" t="str">
        <f>VLOOKUP(B1607,Products!$A:$E,2,FALSE)</f>
        <v>Product_150</v>
      </c>
      <c r="E1607" t="str">
        <f>VLOOKUP(B1607,Products!$A:$E,3,FALSE)</f>
        <v>Accessories</v>
      </c>
    </row>
    <row r="1608" spans="1:5" x14ac:dyDescent="0.3">
      <c r="A1608" t="s">
        <v>7620</v>
      </c>
      <c r="B1608" t="s">
        <v>664</v>
      </c>
      <c r="C1608">
        <v>10</v>
      </c>
      <c r="D1608" t="str">
        <f>VLOOKUP(B1608,Products!$A:$E,2,FALSE)</f>
        <v>Product_328</v>
      </c>
      <c r="E1608" t="str">
        <f>VLOOKUP(B1608,Products!$A:$E,3,FALSE)</f>
        <v>Office Supplies</v>
      </c>
    </row>
    <row r="1609" spans="1:5" x14ac:dyDescent="0.3">
      <c r="A1609" t="s">
        <v>7621</v>
      </c>
      <c r="B1609" t="s">
        <v>974</v>
      </c>
      <c r="C1609">
        <v>18</v>
      </c>
      <c r="D1609" t="str">
        <f>VLOOKUP(B1609,Products!$A:$E,2,FALSE)</f>
        <v>Product_483</v>
      </c>
      <c r="E1609" t="str">
        <f>VLOOKUP(B1609,Products!$A:$E,3,FALSE)</f>
        <v>Electronics</v>
      </c>
    </row>
    <row r="1610" spans="1:5" x14ac:dyDescent="0.3">
      <c r="A1610" t="s">
        <v>7622</v>
      </c>
      <c r="B1610" t="s">
        <v>958</v>
      </c>
      <c r="C1610">
        <v>9</v>
      </c>
      <c r="D1610" t="str">
        <f>VLOOKUP(B1610,Products!$A:$E,2,FALSE)</f>
        <v>Product_475</v>
      </c>
      <c r="E1610" t="str">
        <f>VLOOKUP(B1610,Products!$A:$E,3,FALSE)</f>
        <v>Electronics</v>
      </c>
    </row>
    <row r="1611" spans="1:5" x14ac:dyDescent="0.3">
      <c r="A1611" t="s">
        <v>7623</v>
      </c>
      <c r="B1611" t="s">
        <v>286</v>
      </c>
      <c r="C1611">
        <v>4</v>
      </c>
      <c r="D1611" t="str">
        <f>VLOOKUP(B1611,Products!$A:$E,2,FALSE)</f>
        <v>Product_139</v>
      </c>
      <c r="E1611" t="str">
        <f>VLOOKUP(B1611,Products!$A:$E,3,FALSE)</f>
        <v>Storage</v>
      </c>
    </row>
    <row r="1612" spans="1:5" x14ac:dyDescent="0.3">
      <c r="A1612" t="s">
        <v>7624</v>
      </c>
      <c r="B1612" t="s">
        <v>666</v>
      </c>
      <c r="C1612">
        <v>16</v>
      </c>
      <c r="D1612" t="str">
        <f>VLOOKUP(B1612,Products!$A:$E,2,FALSE)</f>
        <v>Product_329</v>
      </c>
      <c r="E1612" t="str">
        <f>VLOOKUP(B1612,Products!$A:$E,3,FALSE)</f>
        <v>Office Supplies</v>
      </c>
    </row>
    <row r="1613" spans="1:5" x14ac:dyDescent="0.3">
      <c r="A1613" t="s">
        <v>7625</v>
      </c>
      <c r="B1613" t="s">
        <v>852</v>
      </c>
      <c r="C1613">
        <v>14</v>
      </c>
      <c r="D1613" t="str">
        <f>VLOOKUP(B1613,Products!$A:$E,2,FALSE)</f>
        <v>Product_422</v>
      </c>
      <c r="E1613" t="str">
        <f>VLOOKUP(B1613,Products!$A:$E,3,FALSE)</f>
        <v>Accessories</v>
      </c>
    </row>
    <row r="1614" spans="1:5" x14ac:dyDescent="0.3">
      <c r="A1614" t="s">
        <v>7626</v>
      </c>
      <c r="B1614" t="s">
        <v>556</v>
      </c>
      <c r="C1614">
        <v>8</v>
      </c>
      <c r="D1614" t="str">
        <f>VLOOKUP(B1614,Products!$A:$E,2,FALSE)</f>
        <v>Product_274</v>
      </c>
      <c r="E1614" t="str">
        <f>VLOOKUP(B1614,Products!$A:$E,3,FALSE)</f>
        <v>Accessories</v>
      </c>
    </row>
    <row r="1615" spans="1:5" x14ac:dyDescent="0.3">
      <c r="A1615" t="s">
        <v>7627</v>
      </c>
      <c r="B1615" t="s">
        <v>5</v>
      </c>
      <c r="C1615">
        <v>42</v>
      </c>
      <c r="D1615" t="str">
        <f>VLOOKUP(B1615,Products!$A:$E,2,FALSE)</f>
        <v>Product_1</v>
      </c>
      <c r="E1615" t="str">
        <f>VLOOKUP(B1615,Products!$A:$E,3,FALSE)</f>
        <v>Electronics</v>
      </c>
    </row>
    <row r="1616" spans="1:5" x14ac:dyDescent="0.3">
      <c r="A1616" t="s">
        <v>7628</v>
      </c>
      <c r="B1616" t="s">
        <v>364</v>
      </c>
      <c r="C1616">
        <v>41</v>
      </c>
      <c r="D1616" t="str">
        <f>VLOOKUP(B1616,Products!$A:$E,2,FALSE)</f>
        <v>Product_178</v>
      </c>
      <c r="E1616" t="str">
        <f>VLOOKUP(B1616,Products!$A:$E,3,FALSE)</f>
        <v>Office Supplies</v>
      </c>
    </row>
    <row r="1617" spans="1:5" x14ac:dyDescent="0.3">
      <c r="A1617" t="s">
        <v>7629</v>
      </c>
      <c r="B1617" t="s">
        <v>628</v>
      </c>
      <c r="C1617">
        <v>24</v>
      </c>
      <c r="D1617" t="str">
        <f>VLOOKUP(B1617,Products!$A:$E,2,FALSE)</f>
        <v>Product_310</v>
      </c>
      <c r="E1617" t="str">
        <f>VLOOKUP(B1617,Products!$A:$E,3,FALSE)</f>
        <v>Office Supplies</v>
      </c>
    </row>
    <row r="1618" spans="1:5" x14ac:dyDescent="0.3">
      <c r="A1618" t="s">
        <v>7630</v>
      </c>
      <c r="B1618" t="s">
        <v>342</v>
      </c>
      <c r="C1618">
        <v>6</v>
      </c>
      <c r="D1618" t="str">
        <f>VLOOKUP(B1618,Products!$A:$E,2,FALSE)</f>
        <v>Product_167</v>
      </c>
      <c r="E1618" t="str">
        <f>VLOOKUP(B1618,Products!$A:$E,3,FALSE)</f>
        <v>Electronics</v>
      </c>
    </row>
    <row r="1619" spans="1:5" x14ac:dyDescent="0.3">
      <c r="A1619" t="s">
        <v>7631</v>
      </c>
      <c r="B1619" t="s">
        <v>978</v>
      </c>
      <c r="C1619">
        <v>46</v>
      </c>
      <c r="D1619" t="str">
        <f>VLOOKUP(B1619,Products!$A:$E,2,FALSE)</f>
        <v>Product_485</v>
      </c>
      <c r="E1619" t="str">
        <f>VLOOKUP(B1619,Products!$A:$E,3,FALSE)</f>
        <v>Networking</v>
      </c>
    </row>
    <row r="1620" spans="1:5" x14ac:dyDescent="0.3">
      <c r="A1620" t="s">
        <v>7632</v>
      </c>
      <c r="B1620" t="s">
        <v>914</v>
      </c>
      <c r="C1620">
        <v>36</v>
      </c>
      <c r="D1620" t="str">
        <f>VLOOKUP(B1620,Products!$A:$E,2,FALSE)</f>
        <v>Product_453</v>
      </c>
      <c r="E1620" t="str">
        <f>VLOOKUP(B1620,Products!$A:$E,3,FALSE)</f>
        <v>Office Supplies</v>
      </c>
    </row>
    <row r="1621" spans="1:5" x14ac:dyDescent="0.3">
      <c r="A1621" t="s">
        <v>7633</v>
      </c>
      <c r="B1621" t="s">
        <v>280</v>
      </c>
      <c r="C1621">
        <v>47</v>
      </c>
      <c r="D1621" t="str">
        <f>VLOOKUP(B1621,Products!$A:$E,2,FALSE)</f>
        <v>Product_136</v>
      </c>
      <c r="E1621" t="str">
        <f>VLOOKUP(B1621,Products!$A:$E,3,FALSE)</f>
        <v>Storage</v>
      </c>
    </row>
    <row r="1622" spans="1:5" x14ac:dyDescent="0.3">
      <c r="A1622" t="s">
        <v>7634</v>
      </c>
      <c r="B1622" t="s">
        <v>146</v>
      </c>
      <c r="C1622">
        <v>27</v>
      </c>
      <c r="D1622" t="str">
        <f>VLOOKUP(B1622,Products!$A:$E,2,FALSE)</f>
        <v>Product_69</v>
      </c>
      <c r="E1622" t="str">
        <f>VLOOKUP(B1622,Products!$A:$E,3,FALSE)</f>
        <v>Electronics</v>
      </c>
    </row>
    <row r="1623" spans="1:5" x14ac:dyDescent="0.3">
      <c r="A1623" t="s">
        <v>7635</v>
      </c>
      <c r="B1623" t="s">
        <v>928</v>
      </c>
      <c r="C1623">
        <v>40</v>
      </c>
      <c r="D1623" t="str">
        <f>VLOOKUP(B1623,Products!$A:$E,2,FALSE)</f>
        <v>Product_460</v>
      </c>
      <c r="E1623" t="str">
        <f>VLOOKUP(B1623,Products!$A:$E,3,FALSE)</f>
        <v>Accessories</v>
      </c>
    </row>
    <row r="1624" spans="1:5" x14ac:dyDescent="0.3">
      <c r="A1624" t="s">
        <v>7636</v>
      </c>
      <c r="B1624" t="s">
        <v>310</v>
      </c>
      <c r="C1624">
        <v>21</v>
      </c>
      <c r="D1624" t="str">
        <f>VLOOKUP(B1624,Products!$A:$E,2,FALSE)</f>
        <v>Product_151</v>
      </c>
      <c r="E1624" t="str">
        <f>VLOOKUP(B1624,Products!$A:$E,3,FALSE)</f>
        <v>Storage</v>
      </c>
    </row>
    <row r="1625" spans="1:5" x14ac:dyDescent="0.3">
      <c r="A1625" t="s">
        <v>7637</v>
      </c>
      <c r="B1625" t="s">
        <v>68</v>
      </c>
      <c r="C1625">
        <v>41</v>
      </c>
      <c r="D1625" t="str">
        <f>VLOOKUP(B1625,Products!$A:$E,2,FALSE)</f>
        <v>Product_30</v>
      </c>
      <c r="E1625" t="str">
        <f>VLOOKUP(B1625,Products!$A:$E,3,FALSE)</f>
        <v>Accessories</v>
      </c>
    </row>
    <row r="1626" spans="1:5" x14ac:dyDescent="0.3">
      <c r="A1626" t="s">
        <v>7638</v>
      </c>
      <c r="B1626" t="s">
        <v>844</v>
      </c>
      <c r="C1626">
        <v>1</v>
      </c>
      <c r="D1626" t="str">
        <f>VLOOKUP(B1626,Products!$A:$E,2,FALSE)</f>
        <v>Product_418</v>
      </c>
      <c r="E1626" t="str">
        <f>VLOOKUP(B1626,Products!$A:$E,3,FALSE)</f>
        <v>Office Supplies</v>
      </c>
    </row>
    <row r="1627" spans="1:5" x14ac:dyDescent="0.3">
      <c r="A1627" t="s">
        <v>7639</v>
      </c>
      <c r="B1627" t="s">
        <v>852</v>
      </c>
      <c r="C1627">
        <v>23</v>
      </c>
      <c r="D1627" t="str">
        <f>VLOOKUP(B1627,Products!$A:$E,2,FALSE)</f>
        <v>Product_422</v>
      </c>
      <c r="E1627" t="str">
        <f>VLOOKUP(B1627,Products!$A:$E,3,FALSE)</f>
        <v>Accessories</v>
      </c>
    </row>
    <row r="1628" spans="1:5" x14ac:dyDescent="0.3">
      <c r="A1628" t="s">
        <v>7640</v>
      </c>
      <c r="B1628" t="s">
        <v>234</v>
      </c>
      <c r="C1628">
        <v>47</v>
      </c>
      <c r="D1628" t="str">
        <f>VLOOKUP(B1628,Products!$A:$E,2,FALSE)</f>
        <v>Product_113</v>
      </c>
      <c r="E1628" t="str">
        <f>VLOOKUP(B1628,Products!$A:$E,3,FALSE)</f>
        <v>Electronics</v>
      </c>
    </row>
    <row r="1629" spans="1:5" x14ac:dyDescent="0.3">
      <c r="A1629" t="s">
        <v>7641</v>
      </c>
      <c r="B1629" t="s">
        <v>998</v>
      </c>
      <c r="C1629">
        <v>18</v>
      </c>
      <c r="D1629" t="str">
        <f>VLOOKUP(B1629,Products!$A:$E,2,FALSE)</f>
        <v>Product_495</v>
      </c>
      <c r="E1629" t="str">
        <f>VLOOKUP(B1629,Products!$A:$E,3,FALSE)</f>
        <v>Networking</v>
      </c>
    </row>
    <row r="1630" spans="1:5" x14ac:dyDescent="0.3">
      <c r="A1630" t="s">
        <v>7642</v>
      </c>
      <c r="B1630" t="s">
        <v>190</v>
      </c>
      <c r="C1630">
        <v>17</v>
      </c>
      <c r="D1630" t="str">
        <f>VLOOKUP(B1630,Products!$A:$E,2,FALSE)</f>
        <v>Product_91</v>
      </c>
      <c r="E1630" t="str">
        <f>VLOOKUP(B1630,Products!$A:$E,3,FALSE)</f>
        <v>Networking</v>
      </c>
    </row>
    <row r="1631" spans="1:5" x14ac:dyDescent="0.3">
      <c r="A1631" t="s">
        <v>7643</v>
      </c>
      <c r="B1631" t="s">
        <v>1004</v>
      </c>
      <c r="C1631">
        <v>2</v>
      </c>
      <c r="D1631" t="str">
        <f>VLOOKUP(B1631,Products!$A:$E,2,FALSE)</f>
        <v>Product_498</v>
      </c>
      <c r="E1631" t="str">
        <f>VLOOKUP(B1631,Products!$A:$E,3,FALSE)</f>
        <v>Office Supplies</v>
      </c>
    </row>
    <row r="1632" spans="1:5" x14ac:dyDescent="0.3">
      <c r="A1632" t="s">
        <v>7644</v>
      </c>
      <c r="B1632" t="s">
        <v>560</v>
      </c>
      <c r="C1632">
        <v>43</v>
      </c>
      <c r="D1632" t="str">
        <f>VLOOKUP(B1632,Products!$A:$E,2,FALSE)</f>
        <v>Product_276</v>
      </c>
      <c r="E1632" t="str">
        <f>VLOOKUP(B1632,Products!$A:$E,3,FALSE)</f>
        <v>Office Supplies</v>
      </c>
    </row>
    <row r="1633" spans="1:5" x14ac:dyDescent="0.3">
      <c r="A1633" t="s">
        <v>7645</v>
      </c>
      <c r="B1633" t="s">
        <v>898</v>
      </c>
      <c r="C1633">
        <v>50</v>
      </c>
      <c r="D1633" t="str">
        <f>VLOOKUP(B1633,Products!$A:$E,2,FALSE)</f>
        <v>Product_445</v>
      </c>
      <c r="E1633" t="str">
        <f>VLOOKUP(B1633,Products!$A:$E,3,FALSE)</f>
        <v>Office Supplies</v>
      </c>
    </row>
    <row r="1634" spans="1:5" x14ac:dyDescent="0.3">
      <c r="A1634" t="s">
        <v>7646</v>
      </c>
      <c r="B1634" t="s">
        <v>970</v>
      </c>
      <c r="C1634">
        <v>50</v>
      </c>
      <c r="D1634" t="str">
        <f>VLOOKUP(B1634,Products!$A:$E,2,FALSE)</f>
        <v>Product_481</v>
      </c>
      <c r="E1634" t="str">
        <f>VLOOKUP(B1634,Products!$A:$E,3,FALSE)</f>
        <v>Storage</v>
      </c>
    </row>
    <row r="1635" spans="1:5" x14ac:dyDescent="0.3">
      <c r="A1635" t="s">
        <v>7647</v>
      </c>
      <c r="B1635" t="s">
        <v>606</v>
      </c>
      <c r="C1635">
        <v>7</v>
      </c>
      <c r="D1635" t="str">
        <f>VLOOKUP(B1635,Products!$A:$E,2,FALSE)</f>
        <v>Product_299</v>
      </c>
      <c r="E1635" t="str">
        <f>VLOOKUP(B1635,Products!$A:$E,3,FALSE)</f>
        <v>Storage</v>
      </c>
    </row>
    <row r="1636" spans="1:5" x14ac:dyDescent="0.3">
      <c r="A1636" t="s">
        <v>7648</v>
      </c>
      <c r="B1636" t="s">
        <v>748</v>
      </c>
      <c r="C1636">
        <v>48</v>
      </c>
      <c r="D1636" t="str">
        <f>VLOOKUP(B1636,Products!$A:$E,2,FALSE)</f>
        <v>Product_370</v>
      </c>
      <c r="E1636" t="str">
        <f>VLOOKUP(B1636,Products!$A:$E,3,FALSE)</f>
        <v>Networking</v>
      </c>
    </row>
    <row r="1637" spans="1:5" x14ac:dyDescent="0.3">
      <c r="A1637" t="s">
        <v>7649</v>
      </c>
      <c r="B1637" t="s">
        <v>714</v>
      </c>
      <c r="C1637">
        <v>25</v>
      </c>
      <c r="D1637" t="str">
        <f>VLOOKUP(B1637,Products!$A:$E,2,FALSE)</f>
        <v>Product_353</v>
      </c>
      <c r="E1637" t="str">
        <f>VLOOKUP(B1637,Products!$A:$E,3,FALSE)</f>
        <v>Accessories</v>
      </c>
    </row>
    <row r="1638" spans="1:5" x14ac:dyDescent="0.3">
      <c r="A1638" t="s">
        <v>7650</v>
      </c>
      <c r="B1638" t="s">
        <v>978</v>
      </c>
      <c r="C1638">
        <v>42</v>
      </c>
      <c r="D1638" t="str">
        <f>VLOOKUP(B1638,Products!$A:$E,2,FALSE)</f>
        <v>Product_485</v>
      </c>
      <c r="E1638" t="str">
        <f>VLOOKUP(B1638,Products!$A:$E,3,FALSE)</f>
        <v>Networking</v>
      </c>
    </row>
    <row r="1639" spans="1:5" x14ac:dyDescent="0.3">
      <c r="A1639" t="s">
        <v>7651</v>
      </c>
      <c r="B1639" t="s">
        <v>272</v>
      </c>
      <c r="C1639">
        <v>41</v>
      </c>
      <c r="D1639" t="str">
        <f>VLOOKUP(B1639,Products!$A:$E,2,FALSE)</f>
        <v>Product_132</v>
      </c>
      <c r="E1639" t="str">
        <f>VLOOKUP(B1639,Products!$A:$E,3,FALSE)</f>
        <v>Storage</v>
      </c>
    </row>
    <row r="1640" spans="1:5" x14ac:dyDescent="0.3">
      <c r="A1640" t="s">
        <v>7652</v>
      </c>
      <c r="B1640" t="s">
        <v>658</v>
      </c>
      <c r="C1640">
        <v>39</v>
      </c>
      <c r="D1640" t="str">
        <f>VLOOKUP(B1640,Products!$A:$E,2,FALSE)</f>
        <v>Product_325</v>
      </c>
      <c r="E1640" t="str">
        <f>VLOOKUP(B1640,Products!$A:$E,3,FALSE)</f>
        <v>Networking</v>
      </c>
    </row>
    <row r="1641" spans="1:5" x14ac:dyDescent="0.3">
      <c r="A1641" t="s">
        <v>7653</v>
      </c>
      <c r="B1641" t="s">
        <v>574</v>
      </c>
      <c r="C1641">
        <v>14</v>
      </c>
      <c r="D1641" t="str">
        <f>VLOOKUP(B1641,Products!$A:$E,2,FALSE)</f>
        <v>Product_283</v>
      </c>
      <c r="E1641" t="str">
        <f>VLOOKUP(B1641,Products!$A:$E,3,FALSE)</f>
        <v>Networking</v>
      </c>
    </row>
    <row r="1642" spans="1:5" x14ac:dyDescent="0.3">
      <c r="A1642" t="s">
        <v>7654</v>
      </c>
      <c r="B1642" t="s">
        <v>846</v>
      </c>
      <c r="C1642">
        <v>29</v>
      </c>
      <c r="D1642" t="str">
        <f>VLOOKUP(B1642,Products!$A:$E,2,FALSE)</f>
        <v>Product_419</v>
      </c>
      <c r="E1642" t="str">
        <f>VLOOKUP(B1642,Products!$A:$E,3,FALSE)</f>
        <v>Networking</v>
      </c>
    </row>
    <row r="1643" spans="1:5" x14ac:dyDescent="0.3">
      <c r="A1643" t="s">
        <v>7655</v>
      </c>
      <c r="B1643" t="s">
        <v>234</v>
      </c>
      <c r="C1643">
        <v>21</v>
      </c>
      <c r="D1643" t="str">
        <f>VLOOKUP(B1643,Products!$A:$E,2,FALSE)</f>
        <v>Product_113</v>
      </c>
      <c r="E1643" t="str">
        <f>VLOOKUP(B1643,Products!$A:$E,3,FALSE)</f>
        <v>Electronics</v>
      </c>
    </row>
    <row r="1644" spans="1:5" x14ac:dyDescent="0.3">
      <c r="A1644" t="s">
        <v>7656</v>
      </c>
      <c r="B1644" t="s">
        <v>284</v>
      </c>
      <c r="C1644">
        <v>14</v>
      </c>
      <c r="D1644" t="str">
        <f>VLOOKUP(B1644,Products!$A:$E,2,FALSE)</f>
        <v>Product_138</v>
      </c>
      <c r="E1644" t="str">
        <f>VLOOKUP(B1644,Products!$A:$E,3,FALSE)</f>
        <v>Electronics</v>
      </c>
    </row>
    <row r="1645" spans="1:5" x14ac:dyDescent="0.3">
      <c r="A1645" t="s">
        <v>7657</v>
      </c>
      <c r="B1645" t="s">
        <v>604</v>
      </c>
      <c r="C1645">
        <v>41</v>
      </c>
      <c r="D1645" t="str">
        <f>VLOOKUP(B1645,Products!$A:$E,2,FALSE)</f>
        <v>Product_298</v>
      </c>
      <c r="E1645" t="str">
        <f>VLOOKUP(B1645,Products!$A:$E,3,FALSE)</f>
        <v>Office Supplies</v>
      </c>
    </row>
    <row r="1646" spans="1:5" x14ac:dyDescent="0.3">
      <c r="A1646" t="s">
        <v>7658</v>
      </c>
      <c r="B1646" t="s">
        <v>836</v>
      </c>
      <c r="C1646">
        <v>49</v>
      </c>
      <c r="D1646" t="str">
        <f>VLOOKUP(B1646,Products!$A:$E,2,FALSE)</f>
        <v>Product_414</v>
      </c>
      <c r="E1646" t="str">
        <f>VLOOKUP(B1646,Products!$A:$E,3,FALSE)</f>
        <v>Office Supplies</v>
      </c>
    </row>
    <row r="1647" spans="1:5" x14ac:dyDescent="0.3">
      <c r="A1647" t="s">
        <v>7659</v>
      </c>
      <c r="B1647" t="s">
        <v>414</v>
      </c>
      <c r="C1647">
        <v>10</v>
      </c>
      <c r="D1647" t="str">
        <f>VLOOKUP(B1647,Products!$A:$E,2,FALSE)</f>
        <v>Product_203</v>
      </c>
      <c r="E1647" t="str">
        <f>VLOOKUP(B1647,Products!$A:$E,3,FALSE)</f>
        <v>Accessories</v>
      </c>
    </row>
    <row r="1648" spans="1:5" x14ac:dyDescent="0.3">
      <c r="A1648" t="s">
        <v>7660</v>
      </c>
      <c r="B1648" t="s">
        <v>466</v>
      </c>
      <c r="C1648">
        <v>15</v>
      </c>
      <c r="D1648" t="str">
        <f>VLOOKUP(B1648,Products!$A:$E,2,FALSE)</f>
        <v>Product_229</v>
      </c>
      <c r="E1648" t="str">
        <f>VLOOKUP(B1648,Products!$A:$E,3,FALSE)</f>
        <v>Accessories</v>
      </c>
    </row>
    <row r="1649" spans="1:5" x14ac:dyDescent="0.3">
      <c r="A1649" t="s">
        <v>7661</v>
      </c>
      <c r="B1649" t="s">
        <v>756</v>
      </c>
      <c r="C1649">
        <v>47</v>
      </c>
      <c r="D1649" t="str">
        <f>VLOOKUP(B1649,Products!$A:$E,2,FALSE)</f>
        <v>Product_374</v>
      </c>
      <c r="E1649" t="str">
        <f>VLOOKUP(B1649,Products!$A:$E,3,FALSE)</f>
        <v>Office Supplies</v>
      </c>
    </row>
    <row r="1650" spans="1:5" x14ac:dyDescent="0.3">
      <c r="A1650" t="s">
        <v>7662</v>
      </c>
      <c r="B1650" t="s">
        <v>454</v>
      </c>
      <c r="C1650">
        <v>24</v>
      </c>
      <c r="D1650" t="str">
        <f>VLOOKUP(B1650,Products!$A:$E,2,FALSE)</f>
        <v>Product_223</v>
      </c>
      <c r="E1650" t="str">
        <f>VLOOKUP(B1650,Products!$A:$E,3,FALSE)</f>
        <v>Storage</v>
      </c>
    </row>
    <row r="1651" spans="1:5" x14ac:dyDescent="0.3">
      <c r="A1651" t="s">
        <v>7663</v>
      </c>
      <c r="B1651" t="s">
        <v>160</v>
      </c>
      <c r="C1651">
        <v>31</v>
      </c>
      <c r="D1651" t="str">
        <f>VLOOKUP(B1651,Products!$A:$E,2,FALSE)</f>
        <v>Product_76</v>
      </c>
      <c r="E1651" t="str">
        <f>VLOOKUP(B1651,Products!$A:$E,3,FALSE)</f>
        <v>Accessories</v>
      </c>
    </row>
    <row r="1652" spans="1:5" x14ac:dyDescent="0.3">
      <c r="A1652" t="s">
        <v>7664</v>
      </c>
      <c r="B1652" t="s">
        <v>104</v>
      </c>
      <c r="C1652">
        <v>32</v>
      </c>
      <c r="D1652" t="str">
        <f>VLOOKUP(B1652,Products!$A:$E,2,FALSE)</f>
        <v>Product_48</v>
      </c>
      <c r="E1652" t="str">
        <f>VLOOKUP(B1652,Products!$A:$E,3,FALSE)</f>
        <v>Accessories</v>
      </c>
    </row>
    <row r="1653" spans="1:5" x14ac:dyDescent="0.3">
      <c r="A1653" t="s">
        <v>7665</v>
      </c>
      <c r="B1653" t="s">
        <v>194</v>
      </c>
      <c r="C1653">
        <v>30</v>
      </c>
      <c r="D1653" t="str">
        <f>VLOOKUP(B1653,Products!$A:$E,2,FALSE)</f>
        <v>Product_93</v>
      </c>
      <c r="E1653" t="str">
        <f>VLOOKUP(B1653,Products!$A:$E,3,FALSE)</f>
        <v>Office Supplies</v>
      </c>
    </row>
    <row r="1654" spans="1:5" x14ac:dyDescent="0.3">
      <c r="A1654" t="s">
        <v>7666</v>
      </c>
      <c r="B1654" t="s">
        <v>198</v>
      </c>
      <c r="C1654">
        <v>12</v>
      </c>
      <c r="D1654" t="str">
        <f>VLOOKUP(B1654,Products!$A:$E,2,FALSE)</f>
        <v>Product_95</v>
      </c>
      <c r="E1654" t="str">
        <f>VLOOKUP(B1654,Products!$A:$E,3,FALSE)</f>
        <v>Electronics</v>
      </c>
    </row>
    <row r="1655" spans="1:5" x14ac:dyDescent="0.3">
      <c r="A1655" t="s">
        <v>7667</v>
      </c>
      <c r="B1655" t="s">
        <v>202</v>
      </c>
      <c r="C1655">
        <v>37</v>
      </c>
      <c r="D1655" t="str">
        <f>VLOOKUP(B1655,Products!$A:$E,2,FALSE)</f>
        <v>Product_97</v>
      </c>
      <c r="E1655" t="str">
        <f>VLOOKUP(B1655,Products!$A:$E,3,FALSE)</f>
        <v>Accessories</v>
      </c>
    </row>
    <row r="1656" spans="1:5" x14ac:dyDescent="0.3">
      <c r="A1656" t="s">
        <v>7668</v>
      </c>
      <c r="B1656" t="s">
        <v>512</v>
      </c>
      <c r="C1656">
        <v>47</v>
      </c>
      <c r="D1656" t="str">
        <f>VLOOKUP(B1656,Products!$A:$E,2,FALSE)</f>
        <v>Product_252</v>
      </c>
      <c r="E1656" t="str">
        <f>VLOOKUP(B1656,Products!$A:$E,3,FALSE)</f>
        <v>Networking</v>
      </c>
    </row>
    <row r="1657" spans="1:5" x14ac:dyDescent="0.3">
      <c r="A1657" t="s">
        <v>7669</v>
      </c>
      <c r="B1657" t="s">
        <v>194</v>
      </c>
      <c r="C1657">
        <v>42</v>
      </c>
      <c r="D1657" t="str">
        <f>VLOOKUP(B1657,Products!$A:$E,2,FALSE)</f>
        <v>Product_93</v>
      </c>
      <c r="E1657" t="str">
        <f>VLOOKUP(B1657,Products!$A:$E,3,FALSE)</f>
        <v>Office Supplies</v>
      </c>
    </row>
    <row r="1658" spans="1:5" x14ac:dyDescent="0.3">
      <c r="A1658" t="s">
        <v>7670</v>
      </c>
      <c r="B1658" t="s">
        <v>298</v>
      </c>
      <c r="C1658">
        <v>2</v>
      </c>
      <c r="D1658" t="str">
        <f>VLOOKUP(B1658,Products!$A:$E,2,FALSE)</f>
        <v>Product_145</v>
      </c>
      <c r="E1658" t="str">
        <f>VLOOKUP(B1658,Products!$A:$E,3,FALSE)</f>
        <v>Office Supplies</v>
      </c>
    </row>
    <row r="1659" spans="1:5" x14ac:dyDescent="0.3">
      <c r="A1659" t="s">
        <v>7671</v>
      </c>
      <c r="B1659" t="s">
        <v>326</v>
      </c>
      <c r="C1659">
        <v>11</v>
      </c>
      <c r="D1659" t="str">
        <f>VLOOKUP(B1659,Products!$A:$E,2,FALSE)</f>
        <v>Product_159</v>
      </c>
      <c r="E1659" t="str">
        <f>VLOOKUP(B1659,Products!$A:$E,3,FALSE)</f>
        <v>Accessories</v>
      </c>
    </row>
    <row r="1660" spans="1:5" x14ac:dyDescent="0.3">
      <c r="A1660" t="s">
        <v>7672</v>
      </c>
      <c r="B1660" t="s">
        <v>916</v>
      </c>
      <c r="C1660">
        <v>12</v>
      </c>
      <c r="D1660" t="str">
        <f>VLOOKUP(B1660,Products!$A:$E,2,FALSE)</f>
        <v>Product_454</v>
      </c>
      <c r="E1660" t="str">
        <f>VLOOKUP(B1660,Products!$A:$E,3,FALSE)</f>
        <v>Networking</v>
      </c>
    </row>
    <row r="1661" spans="1:5" x14ac:dyDescent="0.3">
      <c r="A1661" t="s">
        <v>7673</v>
      </c>
      <c r="B1661" t="s">
        <v>846</v>
      </c>
      <c r="C1661">
        <v>26</v>
      </c>
      <c r="D1661" t="str">
        <f>VLOOKUP(B1661,Products!$A:$E,2,FALSE)</f>
        <v>Product_419</v>
      </c>
      <c r="E1661" t="str">
        <f>VLOOKUP(B1661,Products!$A:$E,3,FALSE)</f>
        <v>Networking</v>
      </c>
    </row>
    <row r="1662" spans="1:5" x14ac:dyDescent="0.3">
      <c r="A1662" t="s">
        <v>7674</v>
      </c>
      <c r="B1662" t="s">
        <v>712</v>
      </c>
      <c r="C1662">
        <v>39</v>
      </c>
      <c r="D1662" t="str">
        <f>VLOOKUP(B1662,Products!$A:$E,2,FALSE)</f>
        <v>Product_352</v>
      </c>
      <c r="E1662" t="str">
        <f>VLOOKUP(B1662,Products!$A:$E,3,FALSE)</f>
        <v>Storage</v>
      </c>
    </row>
    <row r="1663" spans="1:5" x14ac:dyDescent="0.3">
      <c r="A1663" t="s">
        <v>7675</v>
      </c>
      <c r="B1663" t="s">
        <v>202</v>
      </c>
      <c r="C1663">
        <v>5</v>
      </c>
      <c r="D1663" t="str">
        <f>VLOOKUP(B1663,Products!$A:$E,2,FALSE)</f>
        <v>Product_97</v>
      </c>
      <c r="E1663" t="str">
        <f>VLOOKUP(B1663,Products!$A:$E,3,FALSE)</f>
        <v>Accessories</v>
      </c>
    </row>
    <row r="1664" spans="1:5" x14ac:dyDescent="0.3">
      <c r="A1664" t="s">
        <v>7676</v>
      </c>
      <c r="B1664" t="s">
        <v>156</v>
      </c>
      <c r="C1664">
        <v>5</v>
      </c>
      <c r="D1664" t="str">
        <f>VLOOKUP(B1664,Products!$A:$E,2,FALSE)</f>
        <v>Product_74</v>
      </c>
      <c r="E1664" t="str">
        <f>VLOOKUP(B1664,Products!$A:$E,3,FALSE)</f>
        <v>Storage</v>
      </c>
    </row>
    <row r="1665" spans="1:5" x14ac:dyDescent="0.3">
      <c r="A1665" t="s">
        <v>7677</v>
      </c>
      <c r="B1665" t="s">
        <v>446</v>
      </c>
      <c r="C1665">
        <v>16</v>
      </c>
      <c r="D1665" t="str">
        <f>VLOOKUP(B1665,Products!$A:$E,2,FALSE)</f>
        <v>Product_219</v>
      </c>
      <c r="E1665" t="str">
        <f>VLOOKUP(B1665,Products!$A:$E,3,FALSE)</f>
        <v>Accessories</v>
      </c>
    </row>
    <row r="1666" spans="1:5" x14ac:dyDescent="0.3">
      <c r="A1666" t="s">
        <v>7678</v>
      </c>
      <c r="B1666" t="s">
        <v>474</v>
      </c>
      <c r="C1666">
        <v>42</v>
      </c>
      <c r="D1666" t="str">
        <f>VLOOKUP(B1666,Products!$A:$E,2,FALSE)</f>
        <v>Product_233</v>
      </c>
      <c r="E1666" t="str">
        <f>VLOOKUP(B1666,Products!$A:$E,3,FALSE)</f>
        <v>Accessories</v>
      </c>
    </row>
    <row r="1667" spans="1:5" x14ac:dyDescent="0.3">
      <c r="A1667" t="s">
        <v>7679</v>
      </c>
      <c r="B1667" t="s">
        <v>1002</v>
      </c>
      <c r="C1667">
        <v>26</v>
      </c>
      <c r="D1667" t="str">
        <f>VLOOKUP(B1667,Products!$A:$E,2,FALSE)</f>
        <v>Product_497</v>
      </c>
      <c r="E1667" t="str">
        <f>VLOOKUP(B1667,Products!$A:$E,3,FALSE)</f>
        <v>Office Supplies</v>
      </c>
    </row>
    <row r="1668" spans="1:5" x14ac:dyDescent="0.3">
      <c r="A1668" t="s">
        <v>7680</v>
      </c>
      <c r="B1668" t="s">
        <v>112</v>
      </c>
      <c r="C1668">
        <v>47</v>
      </c>
      <c r="D1668" t="str">
        <f>VLOOKUP(B1668,Products!$A:$E,2,FALSE)</f>
        <v>Product_52</v>
      </c>
      <c r="E1668" t="str">
        <f>VLOOKUP(B1668,Products!$A:$E,3,FALSE)</f>
        <v>Electronics</v>
      </c>
    </row>
    <row r="1669" spans="1:5" x14ac:dyDescent="0.3">
      <c r="A1669" t="s">
        <v>7681</v>
      </c>
      <c r="B1669" t="s">
        <v>548</v>
      </c>
      <c r="C1669">
        <v>9</v>
      </c>
      <c r="D1669" t="str">
        <f>VLOOKUP(B1669,Products!$A:$E,2,FALSE)</f>
        <v>Product_270</v>
      </c>
      <c r="E1669" t="str">
        <f>VLOOKUP(B1669,Products!$A:$E,3,FALSE)</f>
        <v>Electronics</v>
      </c>
    </row>
    <row r="1670" spans="1:5" x14ac:dyDescent="0.3">
      <c r="A1670" t="s">
        <v>7682</v>
      </c>
      <c r="B1670" t="s">
        <v>754</v>
      </c>
      <c r="C1670">
        <v>49</v>
      </c>
      <c r="D1670" t="str">
        <f>VLOOKUP(B1670,Products!$A:$E,2,FALSE)</f>
        <v>Product_373</v>
      </c>
      <c r="E1670" t="str">
        <f>VLOOKUP(B1670,Products!$A:$E,3,FALSE)</f>
        <v>Office Supplies</v>
      </c>
    </row>
    <row r="1671" spans="1:5" x14ac:dyDescent="0.3">
      <c r="A1671" t="s">
        <v>7683</v>
      </c>
      <c r="B1671" t="s">
        <v>836</v>
      </c>
      <c r="C1671">
        <v>1</v>
      </c>
      <c r="D1671" t="str">
        <f>VLOOKUP(B1671,Products!$A:$E,2,FALSE)</f>
        <v>Product_414</v>
      </c>
      <c r="E1671" t="str">
        <f>VLOOKUP(B1671,Products!$A:$E,3,FALSE)</f>
        <v>Office Supplies</v>
      </c>
    </row>
    <row r="1672" spans="1:5" x14ac:dyDescent="0.3">
      <c r="A1672" t="s">
        <v>7684</v>
      </c>
      <c r="B1672" t="s">
        <v>626</v>
      </c>
      <c r="C1672">
        <v>7</v>
      </c>
      <c r="D1672" t="str">
        <f>VLOOKUP(B1672,Products!$A:$E,2,FALSE)</f>
        <v>Product_309</v>
      </c>
      <c r="E1672" t="str">
        <f>VLOOKUP(B1672,Products!$A:$E,3,FALSE)</f>
        <v>Networking</v>
      </c>
    </row>
    <row r="1673" spans="1:5" x14ac:dyDescent="0.3">
      <c r="A1673" t="s">
        <v>7685</v>
      </c>
      <c r="B1673" t="s">
        <v>396</v>
      </c>
      <c r="C1673">
        <v>25</v>
      </c>
      <c r="D1673" t="str">
        <f>VLOOKUP(B1673,Products!$A:$E,2,FALSE)</f>
        <v>Product_194</v>
      </c>
      <c r="E1673" t="str">
        <f>VLOOKUP(B1673,Products!$A:$E,3,FALSE)</f>
        <v>Networking</v>
      </c>
    </row>
    <row r="1674" spans="1:5" x14ac:dyDescent="0.3">
      <c r="A1674" t="s">
        <v>7686</v>
      </c>
      <c r="B1674" t="s">
        <v>30</v>
      </c>
      <c r="C1674">
        <v>8</v>
      </c>
      <c r="D1674" t="str">
        <f>VLOOKUP(B1674,Products!$A:$E,2,FALSE)</f>
        <v>Product_11</v>
      </c>
      <c r="E1674" t="str">
        <f>VLOOKUP(B1674,Products!$A:$E,3,FALSE)</f>
        <v>Electronics</v>
      </c>
    </row>
    <row r="1675" spans="1:5" x14ac:dyDescent="0.3">
      <c r="A1675" t="s">
        <v>7687</v>
      </c>
      <c r="B1675" t="s">
        <v>856</v>
      </c>
      <c r="C1675">
        <v>1</v>
      </c>
      <c r="D1675" t="str">
        <f>VLOOKUP(B1675,Products!$A:$E,2,FALSE)</f>
        <v>Product_424</v>
      </c>
      <c r="E1675" t="str">
        <f>VLOOKUP(B1675,Products!$A:$E,3,FALSE)</f>
        <v>Networking</v>
      </c>
    </row>
    <row r="1676" spans="1:5" x14ac:dyDescent="0.3">
      <c r="A1676" t="s">
        <v>7688</v>
      </c>
      <c r="B1676" t="s">
        <v>790</v>
      </c>
      <c r="C1676">
        <v>42</v>
      </c>
      <c r="D1676" t="str">
        <f>VLOOKUP(B1676,Products!$A:$E,2,FALSE)</f>
        <v>Product_391</v>
      </c>
      <c r="E1676" t="str">
        <f>VLOOKUP(B1676,Products!$A:$E,3,FALSE)</f>
        <v>Accessories</v>
      </c>
    </row>
    <row r="1677" spans="1:5" x14ac:dyDescent="0.3">
      <c r="A1677" t="s">
        <v>7689</v>
      </c>
      <c r="B1677" t="s">
        <v>966</v>
      </c>
      <c r="C1677">
        <v>3</v>
      </c>
      <c r="D1677" t="str">
        <f>VLOOKUP(B1677,Products!$A:$E,2,FALSE)</f>
        <v>Product_479</v>
      </c>
      <c r="E1677" t="str">
        <f>VLOOKUP(B1677,Products!$A:$E,3,FALSE)</f>
        <v>Office Supplies</v>
      </c>
    </row>
    <row r="1678" spans="1:5" x14ac:dyDescent="0.3">
      <c r="A1678" t="s">
        <v>7690</v>
      </c>
      <c r="B1678" t="s">
        <v>144</v>
      </c>
      <c r="C1678">
        <v>16</v>
      </c>
      <c r="D1678" t="str">
        <f>VLOOKUP(B1678,Products!$A:$E,2,FALSE)</f>
        <v>Product_68</v>
      </c>
      <c r="E1678" t="str">
        <f>VLOOKUP(B1678,Products!$A:$E,3,FALSE)</f>
        <v>Accessories</v>
      </c>
    </row>
    <row r="1679" spans="1:5" x14ac:dyDescent="0.3">
      <c r="A1679" t="s">
        <v>7691</v>
      </c>
      <c r="B1679" t="s">
        <v>798</v>
      </c>
      <c r="C1679">
        <v>6</v>
      </c>
      <c r="D1679" t="str">
        <f>VLOOKUP(B1679,Products!$A:$E,2,FALSE)</f>
        <v>Product_395</v>
      </c>
      <c r="E1679" t="str">
        <f>VLOOKUP(B1679,Products!$A:$E,3,FALSE)</f>
        <v>Accessories</v>
      </c>
    </row>
    <row r="1680" spans="1:5" x14ac:dyDescent="0.3">
      <c r="A1680" t="s">
        <v>7692</v>
      </c>
      <c r="B1680" t="s">
        <v>284</v>
      </c>
      <c r="C1680">
        <v>10</v>
      </c>
      <c r="D1680" t="str">
        <f>VLOOKUP(B1680,Products!$A:$E,2,FALSE)</f>
        <v>Product_138</v>
      </c>
      <c r="E1680" t="str">
        <f>VLOOKUP(B1680,Products!$A:$E,3,FALSE)</f>
        <v>Electronics</v>
      </c>
    </row>
    <row r="1681" spans="1:5" x14ac:dyDescent="0.3">
      <c r="A1681" t="s">
        <v>7693</v>
      </c>
      <c r="B1681" t="s">
        <v>970</v>
      </c>
      <c r="C1681">
        <v>41</v>
      </c>
      <c r="D1681" t="str">
        <f>VLOOKUP(B1681,Products!$A:$E,2,FALSE)</f>
        <v>Product_481</v>
      </c>
      <c r="E1681" t="str">
        <f>VLOOKUP(B1681,Products!$A:$E,3,FALSE)</f>
        <v>Storage</v>
      </c>
    </row>
    <row r="1682" spans="1:5" x14ac:dyDescent="0.3">
      <c r="A1682" t="s">
        <v>7694</v>
      </c>
      <c r="B1682" t="s">
        <v>624</v>
      </c>
      <c r="C1682">
        <v>1</v>
      </c>
      <c r="D1682" t="str">
        <f>VLOOKUP(B1682,Products!$A:$E,2,FALSE)</f>
        <v>Product_308</v>
      </c>
      <c r="E1682" t="str">
        <f>VLOOKUP(B1682,Products!$A:$E,3,FALSE)</f>
        <v>Storage</v>
      </c>
    </row>
    <row r="1683" spans="1:5" x14ac:dyDescent="0.3">
      <c r="A1683" t="s">
        <v>7695</v>
      </c>
      <c r="B1683" t="s">
        <v>820</v>
      </c>
      <c r="C1683">
        <v>1</v>
      </c>
      <c r="D1683" t="str">
        <f>VLOOKUP(B1683,Products!$A:$E,2,FALSE)</f>
        <v>Product_406</v>
      </c>
      <c r="E1683" t="str">
        <f>VLOOKUP(B1683,Products!$A:$E,3,FALSE)</f>
        <v>Office Supplies</v>
      </c>
    </row>
    <row r="1684" spans="1:5" x14ac:dyDescent="0.3">
      <c r="A1684" t="s">
        <v>7696</v>
      </c>
      <c r="B1684" t="s">
        <v>990</v>
      </c>
      <c r="C1684">
        <v>7</v>
      </c>
      <c r="D1684" t="str">
        <f>VLOOKUP(B1684,Products!$A:$E,2,FALSE)</f>
        <v>Product_491</v>
      </c>
      <c r="E1684" t="str">
        <f>VLOOKUP(B1684,Products!$A:$E,3,FALSE)</f>
        <v>Accessories</v>
      </c>
    </row>
    <row r="1685" spans="1:5" x14ac:dyDescent="0.3">
      <c r="A1685" t="s">
        <v>7697</v>
      </c>
      <c r="B1685" t="s">
        <v>564</v>
      </c>
      <c r="C1685">
        <v>48</v>
      </c>
      <c r="D1685" t="str">
        <f>VLOOKUP(B1685,Products!$A:$E,2,FALSE)</f>
        <v>Product_278</v>
      </c>
      <c r="E1685" t="str">
        <f>VLOOKUP(B1685,Products!$A:$E,3,FALSE)</f>
        <v>Electronics</v>
      </c>
    </row>
    <row r="1686" spans="1:5" x14ac:dyDescent="0.3">
      <c r="A1686" t="s">
        <v>7698</v>
      </c>
      <c r="B1686" t="s">
        <v>846</v>
      </c>
      <c r="C1686">
        <v>22</v>
      </c>
      <c r="D1686" t="str">
        <f>VLOOKUP(B1686,Products!$A:$E,2,FALSE)</f>
        <v>Product_419</v>
      </c>
      <c r="E1686" t="str">
        <f>VLOOKUP(B1686,Products!$A:$E,3,FALSE)</f>
        <v>Networking</v>
      </c>
    </row>
    <row r="1687" spans="1:5" x14ac:dyDescent="0.3">
      <c r="A1687" t="s">
        <v>7699</v>
      </c>
      <c r="B1687" t="s">
        <v>882</v>
      </c>
      <c r="C1687">
        <v>46</v>
      </c>
      <c r="D1687" t="str">
        <f>VLOOKUP(B1687,Products!$A:$E,2,FALSE)</f>
        <v>Product_437</v>
      </c>
      <c r="E1687" t="str">
        <f>VLOOKUP(B1687,Products!$A:$E,3,FALSE)</f>
        <v>Accessories</v>
      </c>
    </row>
    <row r="1688" spans="1:5" x14ac:dyDescent="0.3">
      <c r="A1688" t="s">
        <v>7700</v>
      </c>
      <c r="B1688" t="s">
        <v>96</v>
      </c>
      <c r="C1688">
        <v>13</v>
      </c>
      <c r="D1688" t="str">
        <f>VLOOKUP(B1688,Products!$A:$E,2,FALSE)</f>
        <v>Product_44</v>
      </c>
      <c r="E1688" t="str">
        <f>VLOOKUP(B1688,Products!$A:$E,3,FALSE)</f>
        <v>Storage</v>
      </c>
    </row>
    <row r="1689" spans="1:5" x14ac:dyDescent="0.3">
      <c r="A1689" t="s">
        <v>7701</v>
      </c>
      <c r="B1689" t="s">
        <v>152</v>
      </c>
      <c r="C1689">
        <v>31</v>
      </c>
      <c r="D1689" t="str">
        <f>VLOOKUP(B1689,Products!$A:$E,2,FALSE)</f>
        <v>Product_72</v>
      </c>
      <c r="E1689" t="str">
        <f>VLOOKUP(B1689,Products!$A:$E,3,FALSE)</f>
        <v>Networking</v>
      </c>
    </row>
    <row r="1690" spans="1:5" x14ac:dyDescent="0.3">
      <c r="A1690" t="s">
        <v>7702</v>
      </c>
      <c r="B1690" t="s">
        <v>786</v>
      </c>
      <c r="C1690">
        <v>37</v>
      </c>
      <c r="D1690" t="str">
        <f>VLOOKUP(B1690,Products!$A:$E,2,FALSE)</f>
        <v>Product_389</v>
      </c>
      <c r="E1690" t="str">
        <f>VLOOKUP(B1690,Products!$A:$E,3,FALSE)</f>
        <v>Networking</v>
      </c>
    </row>
    <row r="1691" spans="1:5" x14ac:dyDescent="0.3">
      <c r="A1691" t="s">
        <v>7703</v>
      </c>
      <c r="B1691" t="s">
        <v>922</v>
      </c>
      <c r="C1691">
        <v>29</v>
      </c>
      <c r="D1691" t="str">
        <f>VLOOKUP(B1691,Products!$A:$E,2,FALSE)</f>
        <v>Product_457</v>
      </c>
      <c r="E1691" t="str">
        <f>VLOOKUP(B1691,Products!$A:$E,3,FALSE)</f>
        <v>Networking</v>
      </c>
    </row>
    <row r="1692" spans="1:5" x14ac:dyDescent="0.3">
      <c r="A1692" t="s">
        <v>7704</v>
      </c>
      <c r="B1692" t="s">
        <v>844</v>
      </c>
      <c r="C1692">
        <v>11</v>
      </c>
      <c r="D1692" t="str">
        <f>VLOOKUP(B1692,Products!$A:$E,2,FALSE)</f>
        <v>Product_418</v>
      </c>
      <c r="E1692" t="str">
        <f>VLOOKUP(B1692,Products!$A:$E,3,FALSE)</f>
        <v>Office Supplies</v>
      </c>
    </row>
    <row r="1693" spans="1:5" x14ac:dyDescent="0.3">
      <c r="A1693" t="s">
        <v>7705</v>
      </c>
      <c r="B1693" t="s">
        <v>324</v>
      </c>
      <c r="C1693">
        <v>22</v>
      </c>
      <c r="D1693" t="str">
        <f>VLOOKUP(B1693,Products!$A:$E,2,FALSE)</f>
        <v>Product_158</v>
      </c>
      <c r="E1693" t="str">
        <f>VLOOKUP(B1693,Products!$A:$E,3,FALSE)</f>
        <v>Electronics</v>
      </c>
    </row>
    <row r="1694" spans="1:5" x14ac:dyDescent="0.3">
      <c r="A1694" t="s">
        <v>7706</v>
      </c>
      <c r="B1694" t="s">
        <v>500</v>
      </c>
      <c r="C1694">
        <v>10</v>
      </c>
      <c r="D1694" t="str">
        <f>VLOOKUP(B1694,Products!$A:$E,2,FALSE)</f>
        <v>Product_246</v>
      </c>
      <c r="E1694" t="str">
        <f>VLOOKUP(B1694,Products!$A:$E,3,FALSE)</f>
        <v>Electronics</v>
      </c>
    </row>
    <row r="1695" spans="1:5" x14ac:dyDescent="0.3">
      <c r="A1695" t="s">
        <v>7707</v>
      </c>
      <c r="B1695" t="s">
        <v>258</v>
      </c>
      <c r="C1695">
        <v>4</v>
      </c>
      <c r="D1695" t="str">
        <f>VLOOKUP(B1695,Products!$A:$E,2,FALSE)</f>
        <v>Product_125</v>
      </c>
      <c r="E1695" t="str">
        <f>VLOOKUP(B1695,Products!$A:$E,3,FALSE)</f>
        <v>Office Supplies</v>
      </c>
    </row>
    <row r="1696" spans="1:5" x14ac:dyDescent="0.3">
      <c r="A1696" t="s">
        <v>7708</v>
      </c>
      <c r="B1696" t="s">
        <v>566</v>
      </c>
      <c r="C1696">
        <v>45</v>
      </c>
      <c r="D1696" t="str">
        <f>VLOOKUP(B1696,Products!$A:$E,2,FALSE)</f>
        <v>Product_279</v>
      </c>
      <c r="E1696" t="str">
        <f>VLOOKUP(B1696,Products!$A:$E,3,FALSE)</f>
        <v>Networking</v>
      </c>
    </row>
    <row r="1697" spans="1:5" x14ac:dyDescent="0.3">
      <c r="A1697" t="s">
        <v>7709</v>
      </c>
      <c r="B1697" t="s">
        <v>282</v>
      </c>
      <c r="C1697">
        <v>41</v>
      </c>
      <c r="D1697" t="str">
        <f>VLOOKUP(B1697,Products!$A:$E,2,FALSE)</f>
        <v>Product_137</v>
      </c>
      <c r="E1697" t="str">
        <f>VLOOKUP(B1697,Products!$A:$E,3,FALSE)</f>
        <v>Storage</v>
      </c>
    </row>
    <row r="1698" spans="1:5" x14ac:dyDescent="0.3">
      <c r="A1698" t="s">
        <v>7710</v>
      </c>
      <c r="B1698" t="s">
        <v>566</v>
      </c>
      <c r="C1698">
        <v>8</v>
      </c>
      <c r="D1698" t="str">
        <f>VLOOKUP(B1698,Products!$A:$E,2,FALSE)</f>
        <v>Product_279</v>
      </c>
      <c r="E1698" t="str">
        <f>VLOOKUP(B1698,Products!$A:$E,3,FALSE)</f>
        <v>Networking</v>
      </c>
    </row>
    <row r="1699" spans="1:5" x14ac:dyDescent="0.3">
      <c r="A1699" t="s">
        <v>7711</v>
      </c>
      <c r="B1699" t="s">
        <v>30</v>
      </c>
      <c r="C1699">
        <v>3</v>
      </c>
      <c r="D1699" t="str">
        <f>VLOOKUP(B1699,Products!$A:$E,2,FALSE)</f>
        <v>Product_11</v>
      </c>
      <c r="E1699" t="str">
        <f>VLOOKUP(B1699,Products!$A:$E,3,FALSE)</f>
        <v>Electronics</v>
      </c>
    </row>
    <row r="1700" spans="1:5" x14ac:dyDescent="0.3">
      <c r="A1700" t="s">
        <v>7712</v>
      </c>
      <c r="B1700" t="s">
        <v>114</v>
      </c>
      <c r="C1700">
        <v>35</v>
      </c>
      <c r="D1700" t="str">
        <f>VLOOKUP(B1700,Products!$A:$E,2,FALSE)</f>
        <v>Product_53</v>
      </c>
      <c r="E1700" t="str">
        <f>VLOOKUP(B1700,Products!$A:$E,3,FALSE)</f>
        <v>Electronics</v>
      </c>
    </row>
    <row r="1701" spans="1:5" x14ac:dyDescent="0.3">
      <c r="A1701" t="s">
        <v>7713</v>
      </c>
      <c r="B1701" t="s">
        <v>312</v>
      </c>
      <c r="C1701">
        <v>7</v>
      </c>
      <c r="D1701" t="str">
        <f>VLOOKUP(B1701,Products!$A:$E,2,FALSE)</f>
        <v>Product_152</v>
      </c>
      <c r="E1701" t="str">
        <f>VLOOKUP(B1701,Products!$A:$E,3,FALSE)</f>
        <v>Storage</v>
      </c>
    </row>
    <row r="1702" spans="1:5" x14ac:dyDescent="0.3">
      <c r="A1702" t="s">
        <v>7714</v>
      </c>
      <c r="B1702" t="s">
        <v>532</v>
      </c>
      <c r="C1702">
        <v>27</v>
      </c>
      <c r="D1702" t="str">
        <f>VLOOKUP(B1702,Products!$A:$E,2,FALSE)</f>
        <v>Product_262</v>
      </c>
      <c r="E1702" t="str">
        <f>VLOOKUP(B1702,Products!$A:$E,3,FALSE)</f>
        <v>Electronics</v>
      </c>
    </row>
    <row r="1703" spans="1:5" x14ac:dyDescent="0.3">
      <c r="A1703" t="s">
        <v>7715</v>
      </c>
      <c r="B1703" t="s">
        <v>154</v>
      </c>
      <c r="C1703">
        <v>1</v>
      </c>
      <c r="D1703" t="str">
        <f>VLOOKUP(B1703,Products!$A:$E,2,FALSE)</f>
        <v>Product_73</v>
      </c>
      <c r="E1703" t="str">
        <f>VLOOKUP(B1703,Products!$A:$E,3,FALSE)</f>
        <v>Office Supplies</v>
      </c>
    </row>
    <row r="1704" spans="1:5" x14ac:dyDescent="0.3">
      <c r="A1704" t="s">
        <v>7716</v>
      </c>
      <c r="B1704" t="s">
        <v>944</v>
      </c>
      <c r="C1704">
        <v>15</v>
      </c>
      <c r="D1704" t="str">
        <f>VLOOKUP(B1704,Products!$A:$E,2,FALSE)</f>
        <v>Product_468</v>
      </c>
      <c r="E1704" t="str">
        <f>VLOOKUP(B1704,Products!$A:$E,3,FALSE)</f>
        <v>Office Supplies</v>
      </c>
    </row>
    <row r="1705" spans="1:5" x14ac:dyDescent="0.3">
      <c r="A1705" t="s">
        <v>7717</v>
      </c>
      <c r="B1705" t="s">
        <v>34</v>
      </c>
      <c r="C1705">
        <v>15</v>
      </c>
      <c r="D1705" t="str">
        <f>VLOOKUP(B1705,Products!$A:$E,2,FALSE)</f>
        <v>Product_13</v>
      </c>
      <c r="E1705" t="str">
        <f>VLOOKUP(B1705,Products!$A:$E,3,FALSE)</f>
        <v>Office Supplies</v>
      </c>
    </row>
    <row r="1706" spans="1:5" x14ac:dyDescent="0.3">
      <c r="A1706" t="s">
        <v>7718</v>
      </c>
      <c r="B1706" t="s">
        <v>446</v>
      </c>
      <c r="C1706">
        <v>25</v>
      </c>
      <c r="D1706" t="str">
        <f>VLOOKUP(B1706,Products!$A:$E,2,FALSE)</f>
        <v>Product_219</v>
      </c>
      <c r="E1706" t="str">
        <f>VLOOKUP(B1706,Products!$A:$E,3,FALSE)</f>
        <v>Accessories</v>
      </c>
    </row>
    <row r="1707" spans="1:5" x14ac:dyDescent="0.3">
      <c r="A1707" t="s">
        <v>7719</v>
      </c>
      <c r="B1707" t="s">
        <v>160</v>
      </c>
      <c r="C1707">
        <v>23</v>
      </c>
      <c r="D1707" t="str">
        <f>VLOOKUP(B1707,Products!$A:$E,2,FALSE)</f>
        <v>Product_76</v>
      </c>
      <c r="E1707" t="str">
        <f>VLOOKUP(B1707,Products!$A:$E,3,FALSE)</f>
        <v>Accessories</v>
      </c>
    </row>
    <row r="1708" spans="1:5" x14ac:dyDescent="0.3">
      <c r="A1708" t="s">
        <v>7720</v>
      </c>
      <c r="B1708" t="s">
        <v>680</v>
      </c>
      <c r="C1708">
        <v>19</v>
      </c>
      <c r="D1708" t="str">
        <f>VLOOKUP(B1708,Products!$A:$E,2,FALSE)</f>
        <v>Product_336</v>
      </c>
      <c r="E1708" t="str">
        <f>VLOOKUP(B1708,Products!$A:$E,3,FALSE)</f>
        <v>Storage</v>
      </c>
    </row>
    <row r="1709" spans="1:5" x14ac:dyDescent="0.3">
      <c r="A1709" t="s">
        <v>7721</v>
      </c>
      <c r="B1709" t="s">
        <v>240</v>
      </c>
      <c r="C1709">
        <v>44</v>
      </c>
      <c r="D1709" t="str">
        <f>VLOOKUP(B1709,Products!$A:$E,2,FALSE)</f>
        <v>Product_116</v>
      </c>
      <c r="E1709" t="str">
        <f>VLOOKUP(B1709,Products!$A:$E,3,FALSE)</f>
        <v>Storage</v>
      </c>
    </row>
    <row r="1710" spans="1:5" x14ac:dyDescent="0.3">
      <c r="A1710" t="s">
        <v>7722</v>
      </c>
      <c r="B1710" t="s">
        <v>402</v>
      </c>
      <c r="C1710">
        <v>44</v>
      </c>
      <c r="D1710" t="str">
        <f>VLOOKUP(B1710,Products!$A:$E,2,FALSE)</f>
        <v>Product_197</v>
      </c>
      <c r="E1710" t="str">
        <f>VLOOKUP(B1710,Products!$A:$E,3,FALSE)</f>
        <v>Electronics</v>
      </c>
    </row>
    <row r="1711" spans="1:5" x14ac:dyDescent="0.3">
      <c r="A1711" t="s">
        <v>7723</v>
      </c>
      <c r="B1711" t="s">
        <v>914</v>
      </c>
      <c r="C1711">
        <v>46</v>
      </c>
      <c r="D1711" t="str">
        <f>VLOOKUP(B1711,Products!$A:$E,2,FALSE)</f>
        <v>Product_453</v>
      </c>
      <c r="E1711" t="str">
        <f>VLOOKUP(B1711,Products!$A:$E,3,FALSE)</f>
        <v>Office Supplies</v>
      </c>
    </row>
    <row r="1712" spans="1:5" x14ac:dyDescent="0.3">
      <c r="A1712" t="s">
        <v>7724</v>
      </c>
      <c r="B1712" t="s">
        <v>852</v>
      </c>
      <c r="C1712">
        <v>8</v>
      </c>
      <c r="D1712" t="str">
        <f>VLOOKUP(B1712,Products!$A:$E,2,FALSE)</f>
        <v>Product_422</v>
      </c>
      <c r="E1712" t="str">
        <f>VLOOKUP(B1712,Products!$A:$E,3,FALSE)</f>
        <v>Accessories</v>
      </c>
    </row>
    <row r="1713" spans="1:5" x14ac:dyDescent="0.3">
      <c r="A1713" t="s">
        <v>7725</v>
      </c>
      <c r="B1713" t="s">
        <v>512</v>
      </c>
      <c r="C1713">
        <v>11</v>
      </c>
      <c r="D1713" t="str">
        <f>VLOOKUP(B1713,Products!$A:$E,2,FALSE)</f>
        <v>Product_252</v>
      </c>
      <c r="E1713" t="str">
        <f>VLOOKUP(B1713,Products!$A:$E,3,FALSE)</f>
        <v>Networking</v>
      </c>
    </row>
    <row r="1714" spans="1:5" x14ac:dyDescent="0.3">
      <c r="A1714" t="s">
        <v>7726</v>
      </c>
      <c r="B1714" t="s">
        <v>122</v>
      </c>
      <c r="C1714">
        <v>15</v>
      </c>
      <c r="D1714" t="str">
        <f>VLOOKUP(B1714,Products!$A:$E,2,FALSE)</f>
        <v>Product_57</v>
      </c>
      <c r="E1714" t="str">
        <f>VLOOKUP(B1714,Products!$A:$E,3,FALSE)</f>
        <v>Electronics</v>
      </c>
    </row>
    <row r="1715" spans="1:5" x14ac:dyDescent="0.3">
      <c r="A1715" t="s">
        <v>7727</v>
      </c>
      <c r="B1715" t="s">
        <v>114</v>
      </c>
      <c r="C1715">
        <v>19</v>
      </c>
      <c r="D1715" t="str">
        <f>VLOOKUP(B1715,Products!$A:$E,2,FALSE)</f>
        <v>Product_53</v>
      </c>
      <c r="E1715" t="str">
        <f>VLOOKUP(B1715,Products!$A:$E,3,FALSE)</f>
        <v>Electronics</v>
      </c>
    </row>
    <row r="1716" spans="1:5" x14ac:dyDescent="0.3">
      <c r="A1716" t="s">
        <v>7728</v>
      </c>
      <c r="B1716" t="s">
        <v>374</v>
      </c>
      <c r="C1716">
        <v>5</v>
      </c>
      <c r="D1716" t="str">
        <f>VLOOKUP(B1716,Products!$A:$E,2,FALSE)</f>
        <v>Product_183</v>
      </c>
      <c r="E1716" t="str">
        <f>VLOOKUP(B1716,Products!$A:$E,3,FALSE)</f>
        <v>Electronics</v>
      </c>
    </row>
    <row r="1717" spans="1:5" x14ac:dyDescent="0.3">
      <c r="A1717" t="s">
        <v>7729</v>
      </c>
      <c r="B1717" t="s">
        <v>640</v>
      </c>
      <c r="C1717">
        <v>22</v>
      </c>
      <c r="D1717" t="str">
        <f>VLOOKUP(B1717,Products!$A:$E,2,FALSE)</f>
        <v>Product_316</v>
      </c>
      <c r="E1717" t="str">
        <f>VLOOKUP(B1717,Products!$A:$E,3,FALSE)</f>
        <v>Networking</v>
      </c>
    </row>
    <row r="1718" spans="1:5" x14ac:dyDescent="0.3">
      <c r="A1718" t="s">
        <v>7730</v>
      </c>
      <c r="B1718" t="s">
        <v>130</v>
      </c>
      <c r="C1718">
        <v>24</v>
      </c>
      <c r="D1718" t="str">
        <f>VLOOKUP(B1718,Products!$A:$E,2,FALSE)</f>
        <v>Product_61</v>
      </c>
      <c r="E1718" t="str">
        <f>VLOOKUP(B1718,Products!$A:$E,3,FALSE)</f>
        <v>Storage</v>
      </c>
    </row>
    <row r="1719" spans="1:5" x14ac:dyDescent="0.3">
      <c r="A1719" t="s">
        <v>7731</v>
      </c>
      <c r="B1719" t="s">
        <v>954</v>
      </c>
      <c r="C1719">
        <v>6</v>
      </c>
      <c r="D1719" t="str">
        <f>VLOOKUP(B1719,Products!$A:$E,2,FALSE)</f>
        <v>Product_473</v>
      </c>
      <c r="E1719" t="str">
        <f>VLOOKUP(B1719,Products!$A:$E,3,FALSE)</f>
        <v>Accessories</v>
      </c>
    </row>
    <row r="1720" spans="1:5" x14ac:dyDescent="0.3">
      <c r="A1720" t="s">
        <v>7732</v>
      </c>
      <c r="B1720" t="s">
        <v>926</v>
      </c>
      <c r="C1720">
        <v>3</v>
      </c>
      <c r="D1720" t="str">
        <f>VLOOKUP(B1720,Products!$A:$E,2,FALSE)</f>
        <v>Product_459</v>
      </c>
      <c r="E1720" t="str">
        <f>VLOOKUP(B1720,Products!$A:$E,3,FALSE)</f>
        <v>Office Supplies</v>
      </c>
    </row>
    <row r="1721" spans="1:5" x14ac:dyDescent="0.3">
      <c r="A1721" t="s">
        <v>7733</v>
      </c>
      <c r="B1721" t="s">
        <v>628</v>
      </c>
      <c r="C1721">
        <v>10</v>
      </c>
      <c r="D1721" t="str">
        <f>VLOOKUP(B1721,Products!$A:$E,2,FALSE)</f>
        <v>Product_310</v>
      </c>
      <c r="E1721" t="str">
        <f>VLOOKUP(B1721,Products!$A:$E,3,FALSE)</f>
        <v>Office Supplies</v>
      </c>
    </row>
    <row r="1722" spans="1:5" x14ac:dyDescent="0.3">
      <c r="A1722" t="s">
        <v>7734</v>
      </c>
      <c r="B1722" t="s">
        <v>192</v>
      </c>
      <c r="C1722">
        <v>28</v>
      </c>
      <c r="D1722" t="str">
        <f>VLOOKUP(B1722,Products!$A:$E,2,FALSE)</f>
        <v>Product_92</v>
      </c>
      <c r="E1722" t="str">
        <f>VLOOKUP(B1722,Products!$A:$E,3,FALSE)</f>
        <v>Electronics</v>
      </c>
    </row>
    <row r="1723" spans="1:5" x14ac:dyDescent="0.3">
      <c r="A1723" t="s">
        <v>7735</v>
      </c>
      <c r="B1723" t="s">
        <v>552</v>
      </c>
      <c r="C1723">
        <v>22</v>
      </c>
      <c r="D1723" t="str">
        <f>VLOOKUP(B1723,Products!$A:$E,2,FALSE)</f>
        <v>Product_272</v>
      </c>
      <c r="E1723" t="str">
        <f>VLOOKUP(B1723,Products!$A:$E,3,FALSE)</f>
        <v>Office Supplies</v>
      </c>
    </row>
    <row r="1724" spans="1:5" x14ac:dyDescent="0.3">
      <c r="A1724" t="s">
        <v>7736</v>
      </c>
      <c r="B1724" t="s">
        <v>624</v>
      </c>
      <c r="C1724">
        <v>12</v>
      </c>
      <c r="D1724" t="str">
        <f>VLOOKUP(B1724,Products!$A:$E,2,FALSE)</f>
        <v>Product_308</v>
      </c>
      <c r="E1724" t="str">
        <f>VLOOKUP(B1724,Products!$A:$E,3,FALSE)</f>
        <v>Storage</v>
      </c>
    </row>
    <row r="1725" spans="1:5" x14ac:dyDescent="0.3">
      <c r="A1725" t="s">
        <v>7737</v>
      </c>
      <c r="B1725" t="s">
        <v>704</v>
      </c>
      <c r="C1725">
        <v>28</v>
      </c>
      <c r="D1725" t="str">
        <f>VLOOKUP(B1725,Products!$A:$E,2,FALSE)</f>
        <v>Product_348</v>
      </c>
      <c r="E1725" t="str">
        <f>VLOOKUP(B1725,Products!$A:$E,3,FALSE)</f>
        <v>Electronics</v>
      </c>
    </row>
    <row r="1726" spans="1:5" x14ac:dyDescent="0.3">
      <c r="A1726" t="s">
        <v>7738</v>
      </c>
      <c r="B1726" t="s">
        <v>162</v>
      </c>
      <c r="C1726">
        <v>43</v>
      </c>
      <c r="D1726" t="str">
        <f>VLOOKUP(B1726,Products!$A:$E,2,FALSE)</f>
        <v>Product_77</v>
      </c>
      <c r="E1726" t="str">
        <f>VLOOKUP(B1726,Products!$A:$E,3,FALSE)</f>
        <v>Networking</v>
      </c>
    </row>
    <row r="1727" spans="1:5" x14ac:dyDescent="0.3">
      <c r="A1727" t="s">
        <v>7739</v>
      </c>
      <c r="B1727" t="s">
        <v>712</v>
      </c>
      <c r="C1727">
        <v>20</v>
      </c>
      <c r="D1727" t="str">
        <f>VLOOKUP(B1727,Products!$A:$E,2,FALSE)</f>
        <v>Product_352</v>
      </c>
      <c r="E1727" t="str">
        <f>VLOOKUP(B1727,Products!$A:$E,3,FALSE)</f>
        <v>Storage</v>
      </c>
    </row>
    <row r="1728" spans="1:5" x14ac:dyDescent="0.3">
      <c r="A1728" t="s">
        <v>7740</v>
      </c>
      <c r="B1728" t="s">
        <v>648</v>
      </c>
      <c r="C1728">
        <v>19</v>
      </c>
      <c r="D1728" t="str">
        <f>VLOOKUP(B1728,Products!$A:$E,2,FALSE)</f>
        <v>Product_320</v>
      </c>
      <c r="E1728" t="str">
        <f>VLOOKUP(B1728,Products!$A:$E,3,FALSE)</f>
        <v>Office Supplies</v>
      </c>
    </row>
    <row r="1729" spans="1:5" x14ac:dyDescent="0.3">
      <c r="A1729" t="s">
        <v>7741</v>
      </c>
      <c r="B1729" t="s">
        <v>366</v>
      </c>
      <c r="C1729">
        <v>7</v>
      </c>
      <c r="D1729" t="str">
        <f>VLOOKUP(B1729,Products!$A:$E,2,FALSE)</f>
        <v>Product_179</v>
      </c>
      <c r="E1729" t="str">
        <f>VLOOKUP(B1729,Products!$A:$E,3,FALSE)</f>
        <v>Storage</v>
      </c>
    </row>
    <row r="1730" spans="1:5" x14ac:dyDescent="0.3">
      <c r="A1730" t="s">
        <v>7742</v>
      </c>
      <c r="B1730" t="s">
        <v>286</v>
      </c>
      <c r="C1730">
        <v>32</v>
      </c>
      <c r="D1730" t="str">
        <f>VLOOKUP(B1730,Products!$A:$E,2,FALSE)</f>
        <v>Product_139</v>
      </c>
      <c r="E1730" t="str">
        <f>VLOOKUP(B1730,Products!$A:$E,3,FALSE)</f>
        <v>Storage</v>
      </c>
    </row>
    <row r="1731" spans="1:5" x14ac:dyDescent="0.3">
      <c r="A1731" t="s">
        <v>7743</v>
      </c>
      <c r="B1731" t="s">
        <v>686</v>
      </c>
      <c r="C1731">
        <v>24</v>
      </c>
      <c r="D1731" t="str">
        <f>VLOOKUP(B1731,Products!$A:$E,2,FALSE)</f>
        <v>Product_339</v>
      </c>
      <c r="E1731" t="str">
        <f>VLOOKUP(B1731,Products!$A:$E,3,FALSE)</f>
        <v>Storage</v>
      </c>
    </row>
    <row r="1732" spans="1:5" x14ac:dyDescent="0.3">
      <c r="A1732" t="s">
        <v>7744</v>
      </c>
      <c r="B1732" t="s">
        <v>964</v>
      </c>
      <c r="C1732">
        <v>17</v>
      </c>
      <c r="D1732" t="str">
        <f>VLOOKUP(B1732,Products!$A:$E,2,FALSE)</f>
        <v>Product_478</v>
      </c>
      <c r="E1732" t="str">
        <f>VLOOKUP(B1732,Products!$A:$E,3,FALSE)</f>
        <v>Office Supplies</v>
      </c>
    </row>
    <row r="1733" spans="1:5" x14ac:dyDescent="0.3">
      <c r="A1733" t="s">
        <v>7745</v>
      </c>
      <c r="B1733" t="s">
        <v>840</v>
      </c>
      <c r="C1733">
        <v>46</v>
      </c>
      <c r="D1733" t="str">
        <f>VLOOKUP(B1733,Products!$A:$E,2,FALSE)</f>
        <v>Product_416</v>
      </c>
      <c r="E1733" t="str">
        <f>VLOOKUP(B1733,Products!$A:$E,3,FALSE)</f>
        <v>Accessories</v>
      </c>
    </row>
    <row r="1734" spans="1:5" x14ac:dyDescent="0.3">
      <c r="A1734" t="s">
        <v>7746</v>
      </c>
      <c r="B1734" t="s">
        <v>826</v>
      </c>
      <c r="C1734">
        <v>5</v>
      </c>
      <c r="D1734" t="str">
        <f>VLOOKUP(B1734,Products!$A:$E,2,FALSE)</f>
        <v>Product_409</v>
      </c>
      <c r="E1734" t="str">
        <f>VLOOKUP(B1734,Products!$A:$E,3,FALSE)</f>
        <v>Office Supplies</v>
      </c>
    </row>
    <row r="1735" spans="1:5" x14ac:dyDescent="0.3">
      <c r="A1735" t="s">
        <v>7747</v>
      </c>
      <c r="B1735" t="s">
        <v>816</v>
      </c>
      <c r="C1735">
        <v>1</v>
      </c>
      <c r="D1735" t="str">
        <f>VLOOKUP(B1735,Products!$A:$E,2,FALSE)</f>
        <v>Product_404</v>
      </c>
      <c r="E1735" t="str">
        <f>VLOOKUP(B1735,Products!$A:$E,3,FALSE)</f>
        <v>Storage</v>
      </c>
    </row>
    <row r="1736" spans="1:5" x14ac:dyDescent="0.3">
      <c r="A1736" t="s">
        <v>7748</v>
      </c>
      <c r="B1736" t="s">
        <v>892</v>
      </c>
      <c r="C1736">
        <v>10</v>
      </c>
      <c r="D1736" t="str">
        <f>VLOOKUP(B1736,Products!$A:$E,2,FALSE)</f>
        <v>Product_442</v>
      </c>
      <c r="E1736" t="str">
        <f>VLOOKUP(B1736,Products!$A:$E,3,FALSE)</f>
        <v>Networking</v>
      </c>
    </row>
    <row r="1737" spans="1:5" x14ac:dyDescent="0.3">
      <c r="A1737" t="s">
        <v>7749</v>
      </c>
      <c r="B1737" t="s">
        <v>806</v>
      </c>
      <c r="C1737">
        <v>42</v>
      </c>
      <c r="D1737" t="str">
        <f>VLOOKUP(B1737,Products!$A:$E,2,FALSE)</f>
        <v>Product_399</v>
      </c>
      <c r="E1737" t="str">
        <f>VLOOKUP(B1737,Products!$A:$E,3,FALSE)</f>
        <v>Networking</v>
      </c>
    </row>
    <row r="1738" spans="1:5" x14ac:dyDescent="0.3">
      <c r="A1738" t="s">
        <v>7750</v>
      </c>
      <c r="B1738" t="s">
        <v>160</v>
      </c>
      <c r="C1738">
        <v>21</v>
      </c>
      <c r="D1738" t="str">
        <f>VLOOKUP(B1738,Products!$A:$E,2,FALSE)</f>
        <v>Product_76</v>
      </c>
      <c r="E1738" t="str">
        <f>VLOOKUP(B1738,Products!$A:$E,3,FALSE)</f>
        <v>Accessories</v>
      </c>
    </row>
    <row r="1739" spans="1:5" x14ac:dyDescent="0.3">
      <c r="A1739" t="s">
        <v>7751</v>
      </c>
      <c r="B1739" t="s">
        <v>160</v>
      </c>
      <c r="C1739">
        <v>25</v>
      </c>
      <c r="D1739" t="str">
        <f>VLOOKUP(B1739,Products!$A:$E,2,FALSE)</f>
        <v>Product_76</v>
      </c>
      <c r="E1739" t="str">
        <f>VLOOKUP(B1739,Products!$A:$E,3,FALSE)</f>
        <v>Accessories</v>
      </c>
    </row>
    <row r="1740" spans="1:5" x14ac:dyDescent="0.3">
      <c r="A1740" t="s">
        <v>7752</v>
      </c>
      <c r="B1740" t="s">
        <v>466</v>
      </c>
      <c r="C1740">
        <v>47</v>
      </c>
      <c r="D1740" t="str">
        <f>VLOOKUP(B1740,Products!$A:$E,2,FALSE)</f>
        <v>Product_229</v>
      </c>
      <c r="E1740" t="str">
        <f>VLOOKUP(B1740,Products!$A:$E,3,FALSE)</f>
        <v>Accessories</v>
      </c>
    </row>
    <row r="1741" spans="1:5" x14ac:dyDescent="0.3">
      <c r="A1741" t="s">
        <v>7753</v>
      </c>
      <c r="B1741" t="s">
        <v>824</v>
      </c>
      <c r="C1741">
        <v>31</v>
      </c>
      <c r="D1741" t="str">
        <f>VLOOKUP(B1741,Products!$A:$E,2,FALSE)</f>
        <v>Product_408</v>
      </c>
      <c r="E1741" t="str">
        <f>VLOOKUP(B1741,Products!$A:$E,3,FALSE)</f>
        <v>Storage</v>
      </c>
    </row>
    <row r="1742" spans="1:5" x14ac:dyDescent="0.3">
      <c r="A1742" t="s">
        <v>7754</v>
      </c>
      <c r="B1742" t="s">
        <v>844</v>
      </c>
      <c r="C1742">
        <v>5</v>
      </c>
      <c r="D1742" t="str">
        <f>VLOOKUP(B1742,Products!$A:$E,2,FALSE)</f>
        <v>Product_418</v>
      </c>
      <c r="E1742" t="str">
        <f>VLOOKUP(B1742,Products!$A:$E,3,FALSE)</f>
        <v>Office Supplies</v>
      </c>
    </row>
    <row r="1743" spans="1:5" x14ac:dyDescent="0.3">
      <c r="A1743" t="s">
        <v>7755</v>
      </c>
      <c r="B1743" t="s">
        <v>124</v>
      </c>
      <c r="C1743">
        <v>37</v>
      </c>
      <c r="D1743" t="str">
        <f>VLOOKUP(B1743,Products!$A:$E,2,FALSE)</f>
        <v>Product_58</v>
      </c>
      <c r="E1743" t="str">
        <f>VLOOKUP(B1743,Products!$A:$E,3,FALSE)</f>
        <v>Office Supplies</v>
      </c>
    </row>
    <row r="1744" spans="1:5" x14ac:dyDescent="0.3">
      <c r="A1744" t="s">
        <v>7756</v>
      </c>
      <c r="B1744" t="s">
        <v>446</v>
      </c>
      <c r="C1744">
        <v>47</v>
      </c>
      <c r="D1744" t="str">
        <f>VLOOKUP(B1744,Products!$A:$E,2,FALSE)</f>
        <v>Product_219</v>
      </c>
      <c r="E1744" t="str">
        <f>VLOOKUP(B1744,Products!$A:$E,3,FALSE)</f>
        <v>Accessories</v>
      </c>
    </row>
    <row r="1745" spans="1:5" x14ac:dyDescent="0.3">
      <c r="A1745" t="s">
        <v>7757</v>
      </c>
      <c r="B1745" t="s">
        <v>294</v>
      </c>
      <c r="C1745">
        <v>10</v>
      </c>
      <c r="D1745" t="str">
        <f>VLOOKUP(B1745,Products!$A:$E,2,FALSE)</f>
        <v>Product_143</v>
      </c>
      <c r="E1745" t="str">
        <f>VLOOKUP(B1745,Products!$A:$E,3,FALSE)</f>
        <v>Office Supplies</v>
      </c>
    </row>
    <row r="1746" spans="1:5" x14ac:dyDescent="0.3">
      <c r="A1746" t="s">
        <v>7758</v>
      </c>
      <c r="B1746" t="s">
        <v>102</v>
      </c>
      <c r="C1746">
        <v>21</v>
      </c>
      <c r="D1746" t="str">
        <f>VLOOKUP(B1746,Products!$A:$E,2,FALSE)</f>
        <v>Product_47</v>
      </c>
      <c r="E1746" t="str">
        <f>VLOOKUP(B1746,Products!$A:$E,3,FALSE)</f>
        <v>Electronics</v>
      </c>
    </row>
    <row r="1747" spans="1:5" x14ac:dyDescent="0.3">
      <c r="A1747" t="s">
        <v>7759</v>
      </c>
      <c r="B1747" t="s">
        <v>140</v>
      </c>
      <c r="C1747">
        <v>12</v>
      </c>
      <c r="D1747" t="str">
        <f>VLOOKUP(B1747,Products!$A:$E,2,FALSE)</f>
        <v>Product_66</v>
      </c>
      <c r="E1747" t="str">
        <f>VLOOKUP(B1747,Products!$A:$E,3,FALSE)</f>
        <v>Electronics</v>
      </c>
    </row>
    <row r="1748" spans="1:5" x14ac:dyDescent="0.3">
      <c r="A1748" t="s">
        <v>7760</v>
      </c>
      <c r="B1748" t="s">
        <v>794</v>
      </c>
      <c r="C1748">
        <v>25</v>
      </c>
      <c r="D1748" t="str">
        <f>VLOOKUP(B1748,Products!$A:$E,2,FALSE)</f>
        <v>Product_393</v>
      </c>
      <c r="E1748" t="str">
        <f>VLOOKUP(B1748,Products!$A:$E,3,FALSE)</f>
        <v>Electronics</v>
      </c>
    </row>
    <row r="1749" spans="1:5" x14ac:dyDescent="0.3">
      <c r="A1749" t="s">
        <v>7761</v>
      </c>
      <c r="B1749" t="s">
        <v>370</v>
      </c>
      <c r="C1749">
        <v>21</v>
      </c>
      <c r="D1749" t="str">
        <f>VLOOKUP(B1749,Products!$A:$E,2,FALSE)</f>
        <v>Product_181</v>
      </c>
      <c r="E1749" t="str">
        <f>VLOOKUP(B1749,Products!$A:$E,3,FALSE)</f>
        <v>Storage</v>
      </c>
    </row>
    <row r="1750" spans="1:5" x14ac:dyDescent="0.3">
      <c r="A1750" t="s">
        <v>7762</v>
      </c>
      <c r="B1750" t="s">
        <v>516</v>
      </c>
      <c r="C1750">
        <v>28</v>
      </c>
      <c r="D1750" t="str">
        <f>VLOOKUP(B1750,Products!$A:$E,2,FALSE)</f>
        <v>Product_254</v>
      </c>
      <c r="E1750" t="str">
        <f>VLOOKUP(B1750,Products!$A:$E,3,FALSE)</f>
        <v>Office Supplies</v>
      </c>
    </row>
    <row r="1751" spans="1:5" x14ac:dyDescent="0.3">
      <c r="A1751" t="s">
        <v>7763</v>
      </c>
      <c r="B1751" t="s">
        <v>502</v>
      </c>
      <c r="C1751">
        <v>45</v>
      </c>
      <c r="D1751" t="str">
        <f>VLOOKUP(B1751,Products!$A:$E,2,FALSE)</f>
        <v>Product_247</v>
      </c>
      <c r="E1751" t="str">
        <f>VLOOKUP(B1751,Products!$A:$E,3,FALSE)</f>
        <v>Networking</v>
      </c>
    </row>
    <row r="1752" spans="1:5" x14ac:dyDescent="0.3">
      <c r="A1752" t="s">
        <v>7764</v>
      </c>
      <c r="B1752" t="s">
        <v>1006</v>
      </c>
      <c r="C1752">
        <v>27</v>
      </c>
      <c r="D1752" t="str">
        <f>VLOOKUP(B1752,Products!$A:$E,2,FALSE)</f>
        <v>Product_499</v>
      </c>
      <c r="E1752" t="str">
        <f>VLOOKUP(B1752,Products!$A:$E,3,FALSE)</f>
        <v>Office Supplies</v>
      </c>
    </row>
    <row r="1753" spans="1:5" x14ac:dyDescent="0.3">
      <c r="A1753" t="s">
        <v>7765</v>
      </c>
      <c r="B1753" t="s">
        <v>626</v>
      </c>
      <c r="C1753">
        <v>41</v>
      </c>
      <c r="D1753" t="str">
        <f>VLOOKUP(B1753,Products!$A:$E,2,FALSE)</f>
        <v>Product_309</v>
      </c>
      <c r="E1753" t="str">
        <f>VLOOKUP(B1753,Products!$A:$E,3,FALSE)</f>
        <v>Networking</v>
      </c>
    </row>
    <row r="1754" spans="1:5" x14ac:dyDescent="0.3">
      <c r="A1754" t="s">
        <v>7766</v>
      </c>
      <c r="B1754" t="s">
        <v>350</v>
      </c>
      <c r="C1754">
        <v>9</v>
      </c>
      <c r="D1754" t="str">
        <f>VLOOKUP(B1754,Products!$A:$E,2,FALSE)</f>
        <v>Product_171</v>
      </c>
      <c r="E1754" t="str">
        <f>VLOOKUP(B1754,Products!$A:$E,3,FALSE)</f>
        <v>Electronics</v>
      </c>
    </row>
    <row r="1755" spans="1:5" x14ac:dyDescent="0.3">
      <c r="A1755" t="s">
        <v>7767</v>
      </c>
      <c r="B1755" t="s">
        <v>830</v>
      </c>
      <c r="C1755">
        <v>42</v>
      </c>
      <c r="D1755" t="str">
        <f>VLOOKUP(B1755,Products!$A:$E,2,FALSE)</f>
        <v>Product_411</v>
      </c>
      <c r="E1755" t="str">
        <f>VLOOKUP(B1755,Products!$A:$E,3,FALSE)</f>
        <v>Office Supplies</v>
      </c>
    </row>
    <row r="1756" spans="1:5" x14ac:dyDescent="0.3">
      <c r="A1756" t="s">
        <v>7768</v>
      </c>
      <c r="B1756" t="s">
        <v>952</v>
      </c>
      <c r="C1756">
        <v>16</v>
      </c>
      <c r="D1756" t="str">
        <f>VLOOKUP(B1756,Products!$A:$E,2,FALSE)</f>
        <v>Product_472</v>
      </c>
      <c r="E1756" t="str">
        <f>VLOOKUP(B1756,Products!$A:$E,3,FALSE)</f>
        <v>Electronics</v>
      </c>
    </row>
    <row r="1757" spans="1:5" x14ac:dyDescent="0.3">
      <c r="A1757" t="s">
        <v>7769</v>
      </c>
      <c r="B1757" t="s">
        <v>402</v>
      </c>
      <c r="C1757">
        <v>27</v>
      </c>
      <c r="D1757" t="str">
        <f>VLOOKUP(B1757,Products!$A:$E,2,FALSE)</f>
        <v>Product_197</v>
      </c>
      <c r="E1757" t="str">
        <f>VLOOKUP(B1757,Products!$A:$E,3,FALSE)</f>
        <v>Electronics</v>
      </c>
    </row>
    <row r="1758" spans="1:5" x14ac:dyDescent="0.3">
      <c r="A1758" t="s">
        <v>7770</v>
      </c>
      <c r="B1758" t="s">
        <v>572</v>
      </c>
      <c r="C1758">
        <v>32</v>
      </c>
      <c r="D1758" t="str">
        <f>VLOOKUP(B1758,Products!$A:$E,2,FALSE)</f>
        <v>Product_282</v>
      </c>
      <c r="E1758" t="str">
        <f>VLOOKUP(B1758,Products!$A:$E,3,FALSE)</f>
        <v>Networking</v>
      </c>
    </row>
    <row r="1759" spans="1:5" x14ac:dyDescent="0.3">
      <c r="A1759" t="s">
        <v>7771</v>
      </c>
      <c r="B1759" t="s">
        <v>560</v>
      </c>
      <c r="C1759">
        <v>35</v>
      </c>
      <c r="D1759" t="str">
        <f>VLOOKUP(B1759,Products!$A:$E,2,FALSE)</f>
        <v>Product_276</v>
      </c>
      <c r="E1759" t="str">
        <f>VLOOKUP(B1759,Products!$A:$E,3,FALSE)</f>
        <v>Office Supplies</v>
      </c>
    </row>
    <row r="1760" spans="1:5" x14ac:dyDescent="0.3">
      <c r="A1760" t="s">
        <v>7772</v>
      </c>
      <c r="B1760" t="s">
        <v>514</v>
      </c>
      <c r="C1760">
        <v>35</v>
      </c>
      <c r="D1760" t="str">
        <f>VLOOKUP(B1760,Products!$A:$E,2,FALSE)</f>
        <v>Product_253</v>
      </c>
      <c r="E1760" t="str">
        <f>VLOOKUP(B1760,Products!$A:$E,3,FALSE)</f>
        <v>Networking</v>
      </c>
    </row>
    <row r="1761" spans="1:5" x14ac:dyDescent="0.3">
      <c r="A1761" t="s">
        <v>7773</v>
      </c>
      <c r="B1761" t="s">
        <v>558</v>
      </c>
      <c r="C1761">
        <v>15</v>
      </c>
      <c r="D1761" t="str">
        <f>VLOOKUP(B1761,Products!$A:$E,2,FALSE)</f>
        <v>Product_275</v>
      </c>
      <c r="E1761" t="str">
        <f>VLOOKUP(B1761,Products!$A:$E,3,FALSE)</f>
        <v>Accessories</v>
      </c>
    </row>
    <row r="1762" spans="1:5" x14ac:dyDescent="0.3">
      <c r="A1762" t="s">
        <v>7774</v>
      </c>
      <c r="B1762" t="s">
        <v>402</v>
      </c>
      <c r="C1762">
        <v>6</v>
      </c>
      <c r="D1762" t="str">
        <f>VLOOKUP(B1762,Products!$A:$E,2,FALSE)</f>
        <v>Product_197</v>
      </c>
      <c r="E1762" t="str">
        <f>VLOOKUP(B1762,Products!$A:$E,3,FALSE)</f>
        <v>Electronics</v>
      </c>
    </row>
    <row r="1763" spans="1:5" x14ac:dyDescent="0.3">
      <c r="A1763" t="s">
        <v>7775</v>
      </c>
      <c r="B1763" t="s">
        <v>604</v>
      </c>
      <c r="C1763">
        <v>46</v>
      </c>
      <c r="D1763" t="str">
        <f>VLOOKUP(B1763,Products!$A:$E,2,FALSE)</f>
        <v>Product_298</v>
      </c>
      <c r="E1763" t="str">
        <f>VLOOKUP(B1763,Products!$A:$E,3,FALSE)</f>
        <v>Office Supplies</v>
      </c>
    </row>
    <row r="1764" spans="1:5" x14ac:dyDescent="0.3">
      <c r="A1764" t="s">
        <v>7776</v>
      </c>
      <c r="B1764" t="s">
        <v>440</v>
      </c>
      <c r="C1764">
        <v>34</v>
      </c>
      <c r="D1764" t="str">
        <f>VLOOKUP(B1764,Products!$A:$E,2,FALSE)</f>
        <v>Product_216</v>
      </c>
      <c r="E1764" t="str">
        <f>VLOOKUP(B1764,Products!$A:$E,3,FALSE)</f>
        <v>Accessories</v>
      </c>
    </row>
    <row r="1765" spans="1:5" x14ac:dyDescent="0.3">
      <c r="A1765" t="s">
        <v>7777</v>
      </c>
      <c r="B1765" t="s">
        <v>600</v>
      </c>
      <c r="C1765">
        <v>50</v>
      </c>
      <c r="D1765" t="str">
        <f>VLOOKUP(B1765,Products!$A:$E,2,FALSE)</f>
        <v>Product_296</v>
      </c>
      <c r="E1765" t="str">
        <f>VLOOKUP(B1765,Products!$A:$E,3,FALSE)</f>
        <v>Office Supplies</v>
      </c>
    </row>
    <row r="1766" spans="1:5" x14ac:dyDescent="0.3">
      <c r="A1766" t="s">
        <v>7778</v>
      </c>
      <c r="B1766" t="s">
        <v>720</v>
      </c>
      <c r="C1766">
        <v>48</v>
      </c>
      <c r="D1766" t="str">
        <f>VLOOKUP(B1766,Products!$A:$E,2,FALSE)</f>
        <v>Product_356</v>
      </c>
      <c r="E1766" t="str">
        <f>VLOOKUP(B1766,Products!$A:$E,3,FALSE)</f>
        <v>Accessories</v>
      </c>
    </row>
    <row r="1767" spans="1:5" x14ac:dyDescent="0.3">
      <c r="A1767" t="s">
        <v>7779</v>
      </c>
      <c r="B1767" t="s">
        <v>234</v>
      </c>
      <c r="C1767">
        <v>45</v>
      </c>
      <c r="D1767" t="str">
        <f>VLOOKUP(B1767,Products!$A:$E,2,FALSE)</f>
        <v>Product_113</v>
      </c>
      <c r="E1767" t="str">
        <f>VLOOKUP(B1767,Products!$A:$E,3,FALSE)</f>
        <v>Electronics</v>
      </c>
    </row>
    <row r="1768" spans="1:5" x14ac:dyDescent="0.3">
      <c r="A1768" t="s">
        <v>7780</v>
      </c>
      <c r="B1768" t="s">
        <v>98</v>
      </c>
      <c r="C1768">
        <v>16</v>
      </c>
      <c r="D1768" t="str">
        <f>VLOOKUP(B1768,Products!$A:$E,2,FALSE)</f>
        <v>Product_45</v>
      </c>
      <c r="E1768" t="str">
        <f>VLOOKUP(B1768,Products!$A:$E,3,FALSE)</f>
        <v>Accessories</v>
      </c>
    </row>
    <row r="1769" spans="1:5" x14ac:dyDescent="0.3">
      <c r="A1769" t="s">
        <v>7781</v>
      </c>
      <c r="B1769" t="s">
        <v>380</v>
      </c>
      <c r="C1769">
        <v>1</v>
      </c>
      <c r="D1769" t="str">
        <f>VLOOKUP(B1769,Products!$A:$E,2,FALSE)</f>
        <v>Product_186</v>
      </c>
      <c r="E1769" t="str">
        <f>VLOOKUP(B1769,Products!$A:$E,3,FALSE)</f>
        <v>Accessories</v>
      </c>
    </row>
    <row r="1770" spans="1:5" x14ac:dyDescent="0.3">
      <c r="A1770" t="s">
        <v>7782</v>
      </c>
      <c r="B1770" t="s">
        <v>218</v>
      </c>
      <c r="C1770">
        <v>2</v>
      </c>
      <c r="D1770" t="str">
        <f>VLOOKUP(B1770,Products!$A:$E,2,FALSE)</f>
        <v>Product_105</v>
      </c>
      <c r="E1770" t="str">
        <f>VLOOKUP(B1770,Products!$A:$E,3,FALSE)</f>
        <v>Networking</v>
      </c>
    </row>
    <row r="1771" spans="1:5" x14ac:dyDescent="0.3">
      <c r="A1771" t="s">
        <v>7783</v>
      </c>
      <c r="B1771" t="s">
        <v>380</v>
      </c>
      <c r="C1771">
        <v>36</v>
      </c>
      <c r="D1771" t="str">
        <f>VLOOKUP(B1771,Products!$A:$E,2,FALSE)</f>
        <v>Product_186</v>
      </c>
      <c r="E1771" t="str">
        <f>VLOOKUP(B1771,Products!$A:$E,3,FALSE)</f>
        <v>Accessories</v>
      </c>
    </row>
    <row r="1772" spans="1:5" x14ac:dyDescent="0.3">
      <c r="A1772" t="s">
        <v>7784</v>
      </c>
      <c r="B1772" t="s">
        <v>494</v>
      </c>
      <c r="C1772">
        <v>9</v>
      </c>
      <c r="D1772" t="str">
        <f>VLOOKUP(B1772,Products!$A:$E,2,FALSE)</f>
        <v>Product_243</v>
      </c>
      <c r="E1772" t="str">
        <f>VLOOKUP(B1772,Products!$A:$E,3,FALSE)</f>
        <v>Storage</v>
      </c>
    </row>
    <row r="1773" spans="1:5" x14ac:dyDescent="0.3">
      <c r="A1773" t="s">
        <v>7785</v>
      </c>
      <c r="B1773" t="s">
        <v>952</v>
      </c>
      <c r="C1773">
        <v>8</v>
      </c>
      <c r="D1773" t="str">
        <f>VLOOKUP(B1773,Products!$A:$E,2,FALSE)</f>
        <v>Product_472</v>
      </c>
      <c r="E1773" t="str">
        <f>VLOOKUP(B1773,Products!$A:$E,3,FALSE)</f>
        <v>Electronics</v>
      </c>
    </row>
    <row r="1774" spans="1:5" x14ac:dyDescent="0.3">
      <c r="A1774" t="s">
        <v>7786</v>
      </c>
      <c r="B1774" t="s">
        <v>70</v>
      </c>
      <c r="C1774">
        <v>23</v>
      </c>
      <c r="D1774" t="str">
        <f>VLOOKUP(B1774,Products!$A:$E,2,FALSE)</f>
        <v>Product_31</v>
      </c>
      <c r="E1774" t="str">
        <f>VLOOKUP(B1774,Products!$A:$E,3,FALSE)</f>
        <v>Accessories</v>
      </c>
    </row>
    <row r="1775" spans="1:5" x14ac:dyDescent="0.3">
      <c r="A1775" t="s">
        <v>7787</v>
      </c>
      <c r="B1775" t="s">
        <v>378</v>
      </c>
      <c r="C1775">
        <v>50</v>
      </c>
      <c r="D1775" t="str">
        <f>VLOOKUP(B1775,Products!$A:$E,2,FALSE)</f>
        <v>Product_185</v>
      </c>
      <c r="E1775" t="str">
        <f>VLOOKUP(B1775,Products!$A:$E,3,FALSE)</f>
        <v>Storage</v>
      </c>
    </row>
    <row r="1776" spans="1:5" x14ac:dyDescent="0.3">
      <c r="A1776" t="s">
        <v>7788</v>
      </c>
      <c r="B1776" t="s">
        <v>848</v>
      </c>
      <c r="C1776">
        <v>9</v>
      </c>
      <c r="D1776" t="str">
        <f>VLOOKUP(B1776,Products!$A:$E,2,FALSE)</f>
        <v>Product_420</v>
      </c>
      <c r="E1776" t="str">
        <f>VLOOKUP(B1776,Products!$A:$E,3,FALSE)</f>
        <v>Networking</v>
      </c>
    </row>
    <row r="1777" spans="1:5" x14ac:dyDescent="0.3">
      <c r="A1777" t="s">
        <v>7789</v>
      </c>
      <c r="B1777" t="s">
        <v>310</v>
      </c>
      <c r="C1777">
        <v>30</v>
      </c>
      <c r="D1777" t="str">
        <f>VLOOKUP(B1777,Products!$A:$E,2,FALSE)</f>
        <v>Product_151</v>
      </c>
      <c r="E1777" t="str">
        <f>VLOOKUP(B1777,Products!$A:$E,3,FALSE)</f>
        <v>Storage</v>
      </c>
    </row>
    <row r="1778" spans="1:5" x14ac:dyDescent="0.3">
      <c r="A1778" t="s">
        <v>7790</v>
      </c>
      <c r="B1778" t="s">
        <v>156</v>
      </c>
      <c r="C1778">
        <v>36</v>
      </c>
      <c r="D1778" t="str">
        <f>VLOOKUP(B1778,Products!$A:$E,2,FALSE)</f>
        <v>Product_74</v>
      </c>
      <c r="E1778" t="str">
        <f>VLOOKUP(B1778,Products!$A:$E,3,FALSE)</f>
        <v>Storage</v>
      </c>
    </row>
    <row r="1779" spans="1:5" x14ac:dyDescent="0.3">
      <c r="A1779" t="s">
        <v>7791</v>
      </c>
      <c r="B1779" t="s">
        <v>1004</v>
      </c>
      <c r="C1779">
        <v>27</v>
      </c>
      <c r="D1779" t="str">
        <f>VLOOKUP(B1779,Products!$A:$E,2,FALSE)</f>
        <v>Product_498</v>
      </c>
      <c r="E1779" t="str">
        <f>VLOOKUP(B1779,Products!$A:$E,3,FALSE)</f>
        <v>Office Supplies</v>
      </c>
    </row>
    <row r="1780" spans="1:5" x14ac:dyDescent="0.3">
      <c r="A1780" t="s">
        <v>7792</v>
      </c>
      <c r="B1780" t="s">
        <v>258</v>
      </c>
      <c r="C1780">
        <v>14</v>
      </c>
      <c r="D1780" t="str">
        <f>VLOOKUP(B1780,Products!$A:$E,2,FALSE)</f>
        <v>Product_125</v>
      </c>
      <c r="E1780" t="str">
        <f>VLOOKUP(B1780,Products!$A:$E,3,FALSE)</f>
        <v>Office Supplies</v>
      </c>
    </row>
    <row r="1781" spans="1:5" x14ac:dyDescent="0.3">
      <c r="A1781" t="s">
        <v>7793</v>
      </c>
      <c r="B1781" t="s">
        <v>856</v>
      </c>
      <c r="C1781">
        <v>15</v>
      </c>
      <c r="D1781" t="str">
        <f>VLOOKUP(B1781,Products!$A:$E,2,FALSE)</f>
        <v>Product_424</v>
      </c>
      <c r="E1781" t="str">
        <f>VLOOKUP(B1781,Products!$A:$E,3,FALSE)</f>
        <v>Networking</v>
      </c>
    </row>
    <row r="1782" spans="1:5" x14ac:dyDescent="0.3">
      <c r="A1782" t="s">
        <v>7794</v>
      </c>
      <c r="B1782" t="s">
        <v>66</v>
      </c>
      <c r="C1782">
        <v>48</v>
      </c>
      <c r="D1782" t="str">
        <f>VLOOKUP(B1782,Products!$A:$E,2,FALSE)</f>
        <v>Product_29</v>
      </c>
      <c r="E1782" t="str">
        <f>VLOOKUP(B1782,Products!$A:$E,3,FALSE)</f>
        <v>Electronics</v>
      </c>
    </row>
    <row r="1783" spans="1:5" x14ac:dyDescent="0.3">
      <c r="A1783" t="s">
        <v>7795</v>
      </c>
      <c r="B1783" t="s">
        <v>150</v>
      </c>
      <c r="C1783">
        <v>8</v>
      </c>
      <c r="D1783" t="str">
        <f>VLOOKUP(B1783,Products!$A:$E,2,FALSE)</f>
        <v>Product_71</v>
      </c>
      <c r="E1783" t="str">
        <f>VLOOKUP(B1783,Products!$A:$E,3,FALSE)</f>
        <v>Accessories</v>
      </c>
    </row>
    <row r="1784" spans="1:5" x14ac:dyDescent="0.3">
      <c r="A1784" t="s">
        <v>7796</v>
      </c>
      <c r="B1784" t="s">
        <v>994</v>
      </c>
      <c r="C1784">
        <v>45</v>
      </c>
      <c r="D1784" t="str">
        <f>VLOOKUP(B1784,Products!$A:$E,2,FALSE)</f>
        <v>Product_493</v>
      </c>
      <c r="E1784" t="str">
        <f>VLOOKUP(B1784,Products!$A:$E,3,FALSE)</f>
        <v>Networking</v>
      </c>
    </row>
    <row r="1785" spans="1:5" x14ac:dyDescent="0.3">
      <c r="A1785" t="s">
        <v>7797</v>
      </c>
      <c r="B1785" t="s">
        <v>730</v>
      </c>
      <c r="C1785">
        <v>10</v>
      </c>
      <c r="D1785" t="str">
        <f>VLOOKUP(B1785,Products!$A:$E,2,FALSE)</f>
        <v>Product_361</v>
      </c>
      <c r="E1785" t="str">
        <f>VLOOKUP(B1785,Products!$A:$E,3,FALSE)</f>
        <v>Office Supplies</v>
      </c>
    </row>
    <row r="1786" spans="1:5" x14ac:dyDescent="0.3">
      <c r="A1786" t="s">
        <v>7798</v>
      </c>
      <c r="B1786" t="s">
        <v>396</v>
      </c>
      <c r="C1786">
        <v>47</v>
      </c>
      <c r="D1786" t="str">
        <f>VLOOKUP(B1786,Products!$A:$E,2,FALSE)</f>
        <v>Product_194</v>
      </c>
      <c r="E1786" t="str">
        <f>VLOOKUP(B1786,Products!$A:$E,3,FALSE)</f>
        <v>Networking</v>
      </c>
    </row>
    <row r="1787" spans="1:5" x14ac:dyDescent="0.3">
      <c r="A1787" t="s">
        <v>7799</v>
      </c>
      <c r="B1787" t="s">
        <v>36</v>
      </c>
      <c r="C1787">
        <v>45</v>
      </c>
      <c r="D1787" t="str">
        <f>VLOOKUP(B1787,Products!$A:$E,2,FALSE)</f>
        <v>Product_14</v>
      </c>
      <c r="E1787" t="str">
        <f>VLOOKUP(B1787,Products!$A:$E,3,FALSE)</f>
        <v>Accessories</v>
      </c>
    </row>
    <row r="1788" spans="1:5" x14ac:dyDescent="0.3">
      <c r="A1788" t="s">
        <v>7800</v>
      </c>
      <c r="B1788" t="s">
        <v>998</v>
      </c>
      <c r="C1788">
        <v>28</v>
      </c>
      <c r="D1788" t="str">
        <f>VLOOKUP(B1788,Products!$A:$E,2,FALSE)</f>
        <v>Product_495</v>
      </c>
      <c r="E1788" t="str">
        <f>VLOOKUP(B1788,Products!$A:$E,3,FALSE)</f>
        <v>Networking</v>
      </c>
    </row>
    <row r="1789" spans="1:5" x14ac:dyDescent="0.3">
      <c r="A1789" t="s">
        <v>7801</v>
      </c>
      <c r="B1789" t="s">
        <v>390</v>
      </c>
      <c r="C1789">
        <v>4</v>
      </c>
      <c r="D1789" t="str">
        <f>VLOOKUP(B1789,Products!$A:$E,2,FALSE)</f>
        <v>Product_191</v>
      </c>
      <c r="E1789" t="str">
        <f>VLOOKUP(B1789,Products!$A:$E,3,FALSE)</f>
        <v>Networking</v>
      </c>
    </row>
    <row r="1790" spans="1:5" x14ac:dyDescent="0.3">
      <c r="A1790" t="s">
        <v>7802</v>
      </c>
      <c r="B1790" t="s">
        <v>728</v>
      </c>
      <c r="C1790">
        <v>7</v>
      </c>
      <c r="D1790" t="str">
        <f>VLOOKUP(B1790,Products!$A:$E,2,FALSE)</f>
        <v>Product_360</v>
      </c>
      <c r="E1790" t="str">
        <f>VLOOKUP(B1790,Products!$A:$E,3,FALSE)</f>
        <v>Office Supplies</v>
      </c>
    </row>
    <row r="1791" spans="1:5" x14ac:dyDescent="0.3">
      <c r="A1791" t="s">
        <v>7803</v>
      </c>
      <c r="B1791" t="s">
        <v>688</v>
      </c>
      <c r="C1791">
        <v>38</v>
      </c>
      <c r="D1791" t="str">
        <f>VLOOKUP(B1791,Products!$A:$E,2,FALSE)</f>
        <v>Product_340</v>
      </c>
      <c r="E1791" t="str">
        <f>VLOOKUP(B1791,Products!$A:$E,3,FALSE)</f>
        <v>Storage</v>
      </c>
    </row>
    <row r="1792" spans="1:5" x14ac:dyDescent="0.3">
      <c r="A1792" t="s">
        <v>7804</v>
      </c>
      <c r="B1792" t="s">
        <v>84</v>
      </c>
      <c r="C1792">
        <v>31</v>
      </c>
      <c r="D1792" t="str">
        <f>VLOOKUP(B1792,Products!$A:$E,2,FALSE)</f>
        <v>Product_38</v>
      </c>
      <c r="E1792" t="str">
        <f>VLOOKUP(B1792,Products!$A:$E,3,FALSE)</f>
        <v>Accessories</v>
      </c>
    </row>
    <row r="1793" spans="1:5" x14ac:dyDescent="0.3">
      <c r="A1793" t="s">
        <v>7805</v>
      </c>
      <c r="B1793" t="s">
        <v>866</v>
      </c>
      <c r="C1793">
        <v>39</v>
      </c>
      <c r="D1793" t="str">
        <f>VLOOKUP(B1793,Products!$A:$E,2,FALSE)</f>
        <v>Product_429</v>
      </c>
      <c r="E1793" t="str">
        <f>VLOOKUP(B1793,Products!$A:$E,3,FALSE)</f>
        <v>Office Supplies</v>
      </c>
    </row>
    <row r="1794" spans="1:5" x14ac:dyDescent="0.3">
      <c r="A1794" t="s">
        <v>7806</v>
      </c>
      <c r="B1794" t="s">
        <v>900</v>
      </c>
      <c r="C1794">
        <v>11</v>
      </c>
      <c r="D1794" t="str">
        <f>VLOOKUP(B1794,Products!$A:$E,2,FALSE)</f>
        <v>Product_446</v>
      </c>
      <c r="E1794" t="str">
        <f>VLOOKUP(B1794,Products!$A:$E,3,FALSE)</f>
        <v>Accessories</v>
      </c>
    </row>
    <row r="1795" spans="1:5" x14ac:dyDescent="0.3">
      <c r="A1795" t="s">
        <v>7807</v>
      </c>
      <c r="B1795" t="s">
        <v>40</v>
      </c>
      <c r="C1795">
        <v>10</v>
      </c>
      <c r="D1795" t="str">
        <f>VLOOKUP(B1795,Products!$A:$E,2,FALSE)</f>
        <v>Product_16</v>
      </c>
      <c r="E1795" t="str">
        <f>VLOOKUP(B1795,Products!$A:$E,3,FALSE)</f>
        <v>Office Supplies</v>
      </c>
    </row>
    <row r="1796" spans="1:5" x14ac:dyDescent="0.3">
      <c r="A1796" t="s">
        <v>7808</v>
      </c>
      <c r="B1796" t="s">
        <v>384</v>
      </c>
      <c r="C1796">
        <v>10</v>
      </c>
      <c r="D1796" t="str">
        <f>VLOOKUP(B1796,Products!$A:$E,2,FALSE)</f>
        <v>Product_188</v>
      </c>
      <c r="E1796" t="str">
        <f>VLOOKUP(B1796,Products!$A:$E,3,FALSE)</f>
        <v>Office Supplies</v>
      </c>
    </row>
    <row r="1797" spans="1:5" x14ac:dyDescent="0.3">
      <c r="A1797" t="s">
        <v>7809</v>
      </c>
      <c r="B1797" t="s">
        <v>90</v>
      </c>
      <c r="C1797">
        <v>16</v>
      </c>
      <c r="D1797" t="str">
        <f>VLOOKUP(B1797,Products!$A:$E,2,FALSE)</f>
        <v>Product_41</v>
      </c>
      <c r="E1797" t="str">
        <f>VLOOKUP(B1797,Products!$A:$E,3,FALSE)</f>
        <v>Accessories</v>
      </c>
    </row>
    <row r="1798" spans="1:5" x14ac:dyDescent="0.3">
      <c r="A1798" t="s">
        <v>7810</v>
      </c>
      <c r="B1798" t="s">
        <v>88</v>
      </c>
      <c r="C1798">
        <v>1</v>
      </c>
      <c r="D1798" t="str">
        <f>VLOOKUP(B1798,Products!$A:$E,2,FALSE)</f>
        <v>Product_40</v>
      </c>
      <c r="E1798" t="str">
        <f>VLOOKUP(B1798,Products!$A:$E,3,FALSE)</f>
        <v>Accessories</v>
      </c>
    </row>
    <row r="1799" spans="1:5" x14ac:dyDescent="0.3">
      <c r="A1799" t="s">
        <v>7811</v>
      </c>
      <c r="B1799" t="s">
        <v>592</v>
      </c>
      <c r="C1799">
        <v>27</v>
      </c>
      <c r="D1799" t="str">
        <f>VLOOKUP(B1799,Products!$A:$E,2,FALSE)</f>
        <v>Product_292</v>
      </c>
      <c r="E1799" t="str">
        <f>VLOOKUP(B1799,Products!$A:$E,3,FALSE)</f>
        <v>Networking</v>
      </c>
    </row>
    <row r="1800" spans="1:5" x14ac:dyDescent="0.3">
      <c r="A1800" t="s">
        <v>7812</v>
      </c>
      <c r="B1800" t="s">
        <v>162</v>
      </c>
      <c r="C1800">
        <v>49</v>
      </c>
      <c r="D1800" t="str">
        <f>VLOOKUP(B1800,Products!$A:$E,2,FALSE)</f>
        <v>Product_77</v>
      </c>
      <c r="E1800" t="str">
        <f>VLOOKUP(B1800,Products!$A:$E,3,FALSE)</f>
        <v>Networking</v>
      </c>
    </row>
    <row r="1801" spans="1:5" x14ac:dyDescent="0.3">
      <c r="A1801" t="s">
        <v>7813</v>
      </c>
      <c r="B1801" t="s">
        <v>196</v>
      </c>
      <c r="C1801">
        <v>31</v>
      </c>
      <c r="D1801" t="str">
        <f>VLOOKUP(B1801,Products!$A:$E,2,FALSE)</f>
        <v>Product_94</v>
      </c>
      <c r="E1801" t="str">
        <f>VLOOKUP(B1801,Products!$A:$E,3,FALSE)</f>
        <v>Networking</v>
      </c>
    </row>
    <row r="1802" spans="1:5" x14ac:dyDescent="0.3">
      <c r="A1802" t="s">
        <v>7814</v>
      </c>
      <c r="B1802" t="s">
        <v>770</v>
      </c>
      <c r="C1802">
        <v>9</v>
      </c>
      <c r="D1802" t="str">
        <f>VLOOKUP(B1802,Products!$A:$E,2,FALSE)</f>
        <v>Product_381</v>
      </c>
      <c r="E1802" t="str">
        <f>VLOOKUP(B1802,Products!$A:$E,3,FALSE)</f>
        <v>Storage</v>
      </c>
    </row>
    <row r="1803" spans="1:5" x14ac:dyDescent="0.3">
      <c r="A1803" t="s">
        <v>7815</v>
      </c>
      <c r="B1803" t="s">
        <v>776</v>
      </c>
      <c r="C1803">
        <v>34</v>
      </c>
      <c r="D1803" t="str">
        <f>VLOOKUP(B1803,Products!$A:$E,2,FALSE)</f>
        <v>Product_384</v>
      </c>
      <c r="E1803" t="str">
        <f>VLOOKUP(B1803,Products!$A:$E,3,FALSE)</f>
        <v>Office Supplies</v>
      </c>
    </row>
    <row r="1804" spans="1:5" x14ac:dyDescent="0.3">
      <c r="A1804" t="s">
        <v>7816</v>
      </c>
      <c r="B1804" t="s">
        <v>724</v>
      </c>
      <c r="C1804">
        <v>20</v>
      </c>
      <c r="D1804" t="str">
        <f>VLOOKUP(B1804,Products!$A:$E,2,FALSE)</f>
        <v>Product_358</v>
      </c>
      <c r="E1804" t="str">
        <f>VLOOKUP(B1804,Products!$A:$E,3,FALSE)</f>
        <v>Storage</v>
      </c>
    </row>
    <row r="1805" spans="1:5" x14ac:dyDescent="0.3">
      <c r="A1805" t="s">
        <v>7817</v>
      </c>
      <c r="B1805" t="s">
        <v>490</v>
      </c>
      <c r="C1805">
        <v>27</v>
      </c>
      <c r="D1805" t="str">
        <f>VLOOKUP(B1805,Products!$A:$E,2,FALSE)</f>
        <v>Product_241</v>
      </c>
      <c r="E1805" t="str">
        <f>VLOOKUP(B1805,Products!$A:$E,3,FALSE)</f>
        <v>Electronics</v>
      </c>
    </row>
    <row r="1806" spans="1:5" x14ac:dyDescent="0.3">
      <c r="A1806" t="s">
        <v>7818</v>
      </c>
      <c r="B1806" t="s">
        <v>748</v>
      </c>
      <c r="C1806">
        <v>22</v>
      </c>
      <c r="D1806" t="str">
        <f>VLOOKUP(B1806,Products!$A:$E,2,FALSE)</f>
        <v>Product_370</v>
      </c>
      <c r="E1806" t="str">
        <f>VLOOKUP(B1806,Products!$A:$E,3,FALSE)</f>
        <v>Networking</v>
      </c>
    </row>
    <row r="1807" spans="1:5" x14ac:dyDescent="0.3">
      <c r="A1807" t="s">
        <v>7819</v>
      </c>
      <c r="B1807" t="s">
        <v>464</v>
      </c>
      <c r="C1807">
        <v>42</v>
      </c>
      <c r="D1807" t="str">
        <f>VLOOKUP(B1807,Products!$A:$E,2,FALSE)</f>
        <v>Product_228</v>
      </c>
      <c r="E1807" t="str">
        <f>VLOOKUP(B1807,Products!$A:$E,3,FALSE)</f>
        <v>Storage</v>
      </c>
    </row>
    <row r="1808" spans="1:5" x14ac:dyDescent="0.3">
      <c r="A1808" t="s">
        <v>7820</v>
      </c>
      <c r="B1808" t="s">
        <v>720</v>
      </c>
      <c r="C1808">
        <v>1</v>
      </c>
      <c r="D1808" t="str">
        <f>VLOOKUP(B1808,Products!$A:$E,2,FALSE)</f>
        <v>Product_356</v>
      </c>
      <c r="E1808" t="str">
        <f>VLOOKUP(B1808,Products!$A:$E,3,FALSE)</f>
        <v>Accessories</v>
      </c>
    </row>
    <row r="1809" spans="1:5" x14ac:dyDescent="0.3">
      <c r="A1809" t="s">
        <v>7821</v>
      </c>
      <c r="B1809" t="s">
        <v>302</v>
      </c>
      <c r="C1809">
        <v>8</v>
      </c>
      <c r="D1809" t="str">
        <f>VLOOKUP(B1809,Products!$A:$E,2,FALSE)</f>
        <v>Product_147</v>
      </c>
      <c r="E1809" t="str">
        <f>VLOOKUP(B1809,Products!$A:$E,3,FALSE)</f>
        <v>Networking</v>
      </c>
    </row>
    <row r="1810" spans="1:5" x14ac:dyDescent="0.3">
      <c r="A1810" t="s">
        <v>7822</v>
      </c>
      <c r="B1810" t="s">
        <v>168</v>
      </c>
      <c r="C1810">
        <v>4</v>
      </c>
      <c r="D1810" t="str">
        <f>VLOOKUP(B1810,Products!$A:$E,2,FALSE)</f>
        <v>Product_80</v>
      </c>
      <c r="E1810" t="str">
        <f>VLOOKUP(B1810,Products!$A:$E,3,FALSE)</f>
        <v>Accessories</v>
      </c>
    </row>
    <row r="1811" spans="1:5" x14ac:dyDescent="0.3">
      <c r="A1811" t="s">
        <v>7823</v>
      </c>
      <c r="B1811" t="s">
        <v>912</v>
      </c>
      <c r="C1811">
        <v>42</v>
      </c>
      <c r="D1811" t="str">
        <f>VLOOKUP(B1811,Products!$A:$E,2,FALSE)</f>
        <v>Product_452</v>
      </c>
      <c r="E1811" t="str">
        <f>VLOOKUP(B1811,Products!$A:$E,3,FALSE)</f>
        <v>Office Supplies</v>
      </c>
    </row>
    <row r="1812" spans="1:5" x14ac:dyDescent="0.3">
      <c r="A1812" t="s">
        <v>7824</v>
      </c>
      <c r="B1812" t="s">
        <v>42</v>
      </c>
      <c r="C1812">
        <v>39</v>
      </c>
      <c r="D1812" t="str">
        <f>VLOOKUP(B1812,Products!$A:$E,2,FALSE)</f>
        <v>Product_17</v>
      </c>
      <c r="E1812" t="str">
        <f>VLOOKUP(B1812,Products!$A:$E,3,FALSE)</f>
        <v>Office Supplies</v>
      </c>
    </row>
    <row r="1813" spans="1:5" x14ac:dyDescent="0.3">
      <c r="A1813" t="s">
        <v>7825</v>
      </c>
      <c r="B1813" t="s">
        <v>778</v>
      </c>
      <c r="C1813">
        <v>12</v>
      </c>
      <c r="D1813" t="str">
        <f>VLOOKUP(B1813,Products!$A:$E,2,FALSE)</f>
        <v>Product_385</v>
      </c>
      <c r="E1813" t="str">
        <f>VLOOKUP(B1813,Products!$A:$E,3,FALSE)</f>
        <v>Networking</v>
      </c>
    </row>
    <row r="1814" spans="1:5" x14ac:dyDescent="0.3">
      <c r="A1814" t="s">
        <v>7826</v>
      </c>
      <c r="B1814" t="s">
        <v>524</v>
      </c>
      <c r="C1814">
        <v>11</v>
      </c>
      <c r="D1814" t="str">
        <f>VLOOKUP(B1814,Products!$A:$E,2,FALSE)</f>
        <v>Product_258</v>
      </c>
      <c r="E1814" t="str">
        <f>VLOOKUP(B1814,Products!$A:$E,3,FALSE)</f>
        <v>Networking</v>
      </c>
    </row>
    <row r="1815" spans="1:5" x14ac:dyDescent="0.3">
      <c r="A1815" t="s">
        <v>7827</v>
      </c>
      <c r="B1815" t="s">
        <v>20</v>
      </c>
      <c r="C1815">
        <v>26</v>
      </c>
      <c r="D1815" t="str">
        <f>VLOOKUP(B1815,Products!$A:$E,2,FALSE)</f>
        <v>Product_6</v>
      </c>
      <c r="E1815" t="str">
        <f>VLOOKUP(B1815,Products!$A:$E,3,FALSE)</f>
        <v>Electronics</v>
      </c>
    </row>
    <row r="1816" spans="1:5" x14ac:dyDescent="0.3">
      <c r="A1816" t="s">
        <v>7828</v>
      </c>
      <c r="B1816" t="s">
        <v>862</v>
      </c>
      <c r="C1816">
        <v>28</v>
      </c>
      <c r="D1816" t="str">
        <f>VLOOKUP(B1816,Products!$A:$E,2,FALSE)</f>
        <v>Product_427</v>
      </c>
      <c r="E1816" t="str">
        <f>VLOOKUP(B1816,Products!$A:$E,3,FALSE)</f>
        <v>Networking</v>
      </c>
    </row>
    <row r="1817" spans="1:5" x14ac:dyDescent="0.3">
      <c r="A1817" t="s">
        <v>7829</v>
      </c>
      <c r="B1817" t="s">
        <v>706</v>
      </c>
      <c r="C1817">
        <v>30</v>
      </c>
      <c r="D1817" t="str">
        <f>VLOOKUP(B1817,Products!$A:$E,2,FALSE)</f>
        <v>Product_349</v>
      </c>
      <c r="E1817" t="str">
        <f>VLOOKUP(B1817,Products!$A:$E,3,FALSE)</f>
        <v>Office Supplies</v>
      </c>
    </row>
    <row r="1818" spans="1:5" x14ac:dyDescent="0.3">
      <c r="A1818" t="s">
        <v>7830</v>
      </c>
      <c r="B1818" t="s">
        <v>576</v>
      </c>
      <c r="C1818">
        <v>46</v>
      </c>
      <c r="D1818" t="str">
        <f>VLOOKUP(B1818,Products!$A:$E,2,FALSE)</f>
        <v>Product_284</v>
      </c>
      <c r="E1818" t="str">
        <f>VLOOKUP(B1818,Products!$A:$E,3,FALSE)</f>
        <v>Networking</v>
      </c>
    </row>
    <row r="1819" spans="1:5" x14ac:dyDescent="0.3">
      <c r="A1819" t="s">
        <v>7831</v>
      </c>
      <c r="B1819" t="s">
        <v>858</v>
      </c>
      <c r="C1819">
        <v>17</v>
      </c>
      <c r="D1819" t="str">
        <f>VLOOKUP(B1819,Products!$A:$E,2,FALSE)</f>
        <v>Product_425</v>
      </c>
      <c r="E1819" t="str">
        <f>VLOOKUP(B1819,Products!$A:$E,3,FALSE)</f>
        <v>Office Supplies</v>
      </c>
    </row>
    <row r="1820" spans="1:5" x14ac:dyDescent="0.3">
      <c r="A1820" t="s">
        <v>7832</v>
      </c>
      <c r="B1820" t="s">
        <v>950</v>
      </c>
      <c r="C1820">
        <v>37</v>
      </c>
      <c r="D1820" t="str">
        <f>VLOOKUP(B1820,Products!$A:$E,2,FALSE)</f>
        <v>Product_471</v>
      </c>
      <c r="E1820" t="str">
        <f>VLOOKUP(B1820,Products!$A:$E,3,FALSE)</f>
        <v>Office Supplies</v>
      </c>
    </row>
    <row r="1821" spans="1:5" x14ac:dyDescent="0.3">
      <c r="A1821" t="s">
        <v>7833</v>
      </c>
      <c r="B1821" t="s">
        <v>522</v>
      </c>
      <c r="C1821">
        <v>20</v>
      </c>
      <c r="D1821" t="str">
        <f>VLOOKUP(B1821,Products!$A:$E,2,FALSE)</f>
        <v>Product_257</v>
      </c>
      <c r="E1821" t="str">
        <f>VLOOKUP(B1821,Products!$A:$E,3,FALSE)</f>
        <v>Networking</v>
      </c>
    </row>
    <row r="1822" spans="1:5" x14ac:dyDescent="0.3">
      <c r="A1822" t="s">
        <v>7834</v>
      </c>
      <c r="B1822" t="s">
        <v>736</v>
      </c>
      <c r="C1822">
        <v>15</v>
      </c>
      <c r="D1822" t="str">
        <f>VLOOKUP(B1822,Products!$A:$E,2,FALSE)</f>
        <v>Product_364</v>
      </c>
      <c r="E1822" t="str">
        <f>VLOOKUP(B1822,Products!$A:$E,3,FALSE)</f>
        <v>Networking</v>
      </c>
    </row>
    <row r="1823" spans="1:5" x14ac:dyDescent="0.3">
      <c r="A1823" t="s">
        <v>7835</v>
      </c>
      <c r="B1823" t="s">
        <v>442</v>
      </c>
      <c r="C1823">
        <v>11</v>
      </c>
      <c r="D1823" t="str">
        <f>VLOOKUP(B1823,Products!$A:$E,2,FALSE)</f>
        <v>Product_217</v>
      </c>
      <c r="E1823" t="str">
        <f>VLOOKUP(B1823,Products!$A:$E,3,FALSE)</f>
        <v>Networking</v>
      </c>
    </row>
    <row r="1824" spans="1:5" x14ac:dyDescent="0.3">
      <c r="A1824" t="s">
        <v>7836</v>
      </c>
      <c r="B1824" t="s">
        <v>288</v>
      </c>
      <c r="C1824">
        <v>6</v>
      </c>
      <c r="D1824" t="str">
        <f>VLOOKUP(B1824,Products!$A:$E,2,FALSE)</f>
        <v>Product_140</v>
      </c>
      <c r="E1824" t="str">
        <f>VLOOKUP(B1824,Products!$A:$E,3,FALSE)</f>
        <v>Electronics</v>
      </c>
    </row>
    <row r="1825" spans="1:5" x14ac:dyDescent="0.3">
      <c r="A1825" t="s">
        <v>7837</v>
      </c>
      <c r="B1825" t="s">
        <v>544</v>
      </c>
      <c r="C1825">
        <v>25</v>
      </c>
      <c r="D1825" t="str">
        <f>VLOOKUP(B1825,Products!$A:$E,2,FALSE)</f>
        <v>Product_268</v>
      </c>
      <c r="E1825" t="str">
        <f>VLOOKUP(B1825,Products!$A:$E,3,FALSE)</f>
        <v>Office Supplies</v>
      </c>
    </row>
    <row r="1826" spans="1:5" x14ac:dyDescent="0.3">
      <c r="A1826" t="s">
        <v>7838</v>
      </c>
      <c r="B1826" t="s">
        <v>982</v>
      </c>
      <c r="C1826">
        <v>9</v>
      </c>
      <c r="D1826" t="str">
        <f>VLOOKUP(B1826,Products!$A:$E,2,FALSE)</f>
        <v>Product_487</v>
      </c>
      <c r="E1826" t="str">
        <f>VLOOKUP(B1826,Products!$A:$E,3,FALSE)</f>
        <v>Networking</v>
      </c>
    </row>
    <row r="1827" spans="1:5" x14ac:dyDescent="0.3">
      <c r="A1827" t="s">
        <v>7839</v>
      </c>
      <c r="B1827" t="s">
        <v>770</v>
      </c>
      <c r="C1827">
        <v>14</v>
      </c>
      <c r="D1827" t="str">
        <f>VLOOKUP(B1827,Products!$A:$E,2,FALSE)</f>
        <v>Product_381</v>
      </c>
      <c r="E1827" t="str">
        <f>VLOOKUP(B1827,Products!$A:$E,3,FALSE)</f>
        <v>Storage</v>
      </c>
    </row>
    <row r="1828" spans="1:5" x14ac:dyDescent="0.3">
      <c r="A1828" t="s">
        <v>7840</v>
      </c>
      <c r="B1828" t="s">
        <v>420</v>
      </c>
      <c r="C1828">
        <v>40</v>
      </c>
      <c r="D1828" t="str">
        <f>VLOOKUP(B1828,Products!$A:$E,2,FALSE)</f>
        <v>Product_206</v>
      </c>
      <c r="E1828" t="str">
        <f>VLOOKUP(B1828,Products!$A:$E,3,FALSE)</f>
        <v>Accessories</v>
      </c>
    </row>
    <row r="1829" spans="1:5" x14ac:dyDescent="0.3">
      <c r="A1829" t="s">
        <v>7841</v>
      </c>
      <c r="B1829" t="s">
        <v>66</v>
      </c>
      <c r="C1829">
        <v>15</v>
      </c>
      <c r="D1829" t="str">
        <f>VLOOKUP(B1829,Products!$A:$E,2,FALSE)</f>
        <v>Product_29</v>
      </c>
      <c r="E1829" t="str">
        <f>VLOOKUP(B1829,Products!$A:$E,3,FALSE)</f>
        <v>Electronics</v>
      </c>
    </row>
    <row r="1830" spans="1:5" x14ac:dyDescent="0.3">
      <c r="A1830" t="s">
        <v>7842</v>
      </c>
      <c r="B1830" t="s">
        <v>410</v>
      </c>
      <c r="C1830">
        <v>12</v>
      </c>
      <c r="D1830" t="str">
        <f>VLOOKUP(B1830,Products!$A:$E,2,FALSE)</f>
        <v>Product_201</v>
      </c>
      <c r="E1830" t="str">
        <f>VLOOKUP(B1830,Products!$A:$E,3,FALSE)</f>
        <v>Networking</v>
      </c>
    </row>
    <row r="1831" spans="1:5" x14ac:dyDescent="0.3">
      <c r="A1831" t="s">
        <v>7843</v>
      </c>
      <c r="B1831" t="s">
        <v>852</v>
      </c>
      <c r="C1831">
        <v>48</v>
      </c>
      <c r="D1831" t="str">
        <f>VLOOKUP(B1831,Products!$A:$E,2,FALSE)</f>
        <v>Product_422</v>
      </c>
      <c r="E1831" t="str">
        <f>VLOOKUP(B1831,Products!$A:$E,3,FALSE)</f>
        <v>Accessories</v>
      </c>
    </row>
    <row r="1832" spans="1:5" x14ac:dyDescent="0.3">
      <c r="A1832" t="s">
        <v>7844</v>
      </c>
      <c r="B1832" t="s">
        <v>1008</v>
      </c>
      <c r="C1832">
        <v>36</v>
      </c>
      <c r="D1832" t="str">
        <f>VLOOKUP(B1832,Products!$A:$E,2,FALSE)</f>
        <v>Product_500</v>
      </c>
      <c r="E1832" t="str">
        <f>VLOOKUP(B1832,Products!$A:$E,3,FALSE)</f>
        <v>Networking</v>
      </c>
    </row>
    <row r="1833" spans="1:5" x14ac:dyDescent="0.3">
      <c r="A1833" t="s">
        <v>7845</v>
      </c>
      <c r="B1833" t="s">
        <v>628</v>
      </c>
      <c r="C1833">
        <v>5</v>
      </c>
      <c r="D1833" t="str">
        <f>VLOOKUP(B1833,Products!$A:$E,2,FALSE)</f>
        <v>Product_310</v>
      </c>
      <c r="E1833" t="str">
        <f>VLOOKUP(B1833,Products!$A:$E,3,FALSE)</f>
        <v>Office Supplies</v>
      </c>
    </row>
    <row r="1834" spans="1:5" x14ac:dyDescent="0.3">
      <c r="A1834" t="s">
        <v>7846</v>
      </c>
      <c r="B1834" t="s">
        <v>846</v>
      </c>
      <c r="C1834">
        <v>45</v>
      </c>
      <c r="D1834" t="str">
        <f>VLOOKUP(B1834,Products!$A:$E,2,FALSE)</f>
        <v>Product_419</v>
      </c>
      <c r="E1834" t="str">
        <f>VLOOKUP(B1834,Products!$A:$E,3,FALSE)</f>
        <v>Networking</v>
      </c>
    </row>
    <row r="1835" spans="1:5" x14ac:dyDescent="0.3">
      <c r="A1835" t="s">
        <v>7847</v>
      </c>
      <c r="B1835" t="s">
        <v>488</v>
      </c>
      <c r="C1835">
        <v>31</v>
      </c>
      <c r="D1835" t="str">
        <f>VLOOKUP(B1835,Products!$A:$E,2,FALSE)</f>
        <v>Product_240</v>
      </c>
      <c r="E1835" t="str">
        <f>VLOOKUP(B1835,Products!$A:$E,3,FALSE)</f>
        <v>Storage</v>
      </c>
    </row>
    <row r="1836" spans="1:5" x14ac:dyDescent="0.3">
      <c r="A1836" t="s">
        <v>7848</v>
      </c>
      <c r="B1836" t="s">
        <v>330</v>
      </c>
      <c r="C1836">
        <v>42</v>
      </c>
      <c r="D1836" t="str">
        <f>VLOOKUP(B1836,Products!$A:$E,2,FALSE)</f>
        <v>Product_161</v>
      </c>
      <c r="E1836" t="str">
        <f>VLOOKUP(B1836,Products!$A:$E,3,FALSE)</f>
        <v>Networking</v>
      </c>
    </row>
    <row r="1837" spans="1:5" x14ac:dyDescent="0.3">
      <c r="A1837" t="s">
        <v>7849</v>
      </c>
      <c r="B1837" t="s">
        <v>666</v>
      </c>
      <c r="C1837">
        <v>26</v>
      </c>
      <c r="D1837" t="str">
        <f>VLOOKUP(B1837,Products!$A:$E,2,FALSE)</f>
        <v>Product_329</v>
      </c>
      <c r="E1837" t="str">
        <f>VLOOKUP(B1837,Products!$A:$E,3,FALSE)</f>
        <v>Office Supplies</v>
      </c>
    </row>
    <row r="1838" spans="1:5" x14ac:dyDescent="0.3">
      <c r="A1838" t="s">
        <v>7850</v>
      </c>
      <c r="B1838" t="s">
        <v>856</v>
      </c>
      <c r="C1838">
        <v>25</v>
      </c>
      <c r="D1838" t="str">
        <f>VLOOKUP(B1838,Products!$A:$E,2,FALSE)</f>
        <v>Product_424</v>
      </c>
      <c r="E1838" t="str">
        <f>VLOOKUP(B1838,Products!$A:$E,3,FALSE)</f>
        <v>Networking</v>
      </c>
    </row>
    <row r="1839" spans="1:5" x14ac:dyDescent="0.3">
      <c r="A1839" t="s">
        <v>7851</v>
      </c>
      <c r="B1839" t="s">
        <v>178</v>
      </c>
      <c r="C1839">
        <v>4</v>
      </c>
      <c r="D1839" t="str">
        <f>VLOOKUP(B1839,Products!$A:$E,2,FALSE)</f>
        <v>Product_85</v>
      </c>
      <c r="E1839" t="str">
        <f>VLOOKUP(B1839,Products!$A:$E,3,FALSE)</f>
        <v>Electronics</v>
      </c>
    </row>
    <row r="1840" spans="1:5" x14ac:dyDescent="0.3">
      <c r="A1840" t="s">
        <v>7852</v>
      </c>
      <c r="B1840" t="s">
        <v>832</v>
      </c>
      <c r="C1840">
        <v>24</v>
      </c>
      <c r="D1840" t="str">
        <f>VLOOKUP(B1840,Products!$A:$E,2,FALSE)</f>
        <v>Product_412</v>
      </c>
      <c r="E1840" t="str">
        <f>VLOOKUP(B1840,Products!$A:$E,3,FALSE)</f>
        <v>Accessories</v>
      </c>
    </row>
    <row r="1841" spans="1:5" x14ac:dyDescent="0.3">
      <c r="A1841" t="s">
        <v>7853</v>
      </c>
      <c r="B1841" t="s">
        <v>672</v>
      </c>
      <c r="C1841">
        <v>28</v>
      </c>
      <c r="D1841" t="str">
        <f>VLOOKUP(B1841,Products!$A:$E,2,FALSE)</f>
        <v>Product_332</v>
      </c>
      <c r="E1841" t="str">
        <f>VLOOKUP(B1841,Products!$A:$E,3,FALSE)</f>
        <v>Electronics</v>
      </c>
    </row>
    <row r="1842" spans="1:5" x14ac:dyDescent="0.3">
      <c r="A1842" t="s">
        <v>7854</v>
      </c>
      <c r="B1842" t="s">
        <v>208</v>
      </c>
      <c r="C1842">
        <v>18</v>
      </c>
      <c r="D1842" t="str">
        <f>VLOOKUP(B1842,Products!$A:$E,2,FALSE)</f>
        <v>Product_100</v>
      </c>
      <c r="E1842" t="str">
        <f>VLOOKUP(B1842,Products!$A:$E,3,FALSE)</f>
        <v>Accessories</v>
      </c>
    </row>
    <row r="1843" spans="1:5" x14ac:dyDescent="0.3">
      <c r="A1843" t="s">
        <v>7855</v>
      </c>
      <c r="B1843" t="s">
        <v>120</v>
      </c>
      <c r="C1843">
        <v>7</v>
      </c>
      <c r="D1843" t="str">
        <f>VLOOKUP(B1843,Products!$A:$E,2,FALSE)</f>
        <v>Product_56</v>
      </c>
      <c r="E1843" t="str">
        <f>VLOOKUP(B1843,Products!$A:$E,3,FALSE)</f>
        <v>Networking</v>
      </c>
    </row>
    <row r="1844" spans="1:5" x14ac:dyDescent="0.3">
      <c r="A1844" t="s">
        <v>7856</v>
      </c>
      <c r="B1844" t="s">
        <v>88</v>
      </c>
      <c r="C1844">
        <v>24</v>
      </c>
      <c r="D1844" t="str">
        <f>VLOOKUP(B1844,Products!$A:$E,2,FALSE)</f>
        <v>Product_40</v>
      </c>
      <c r="E1844" t="str">
        <f>VLOOKUP(B1844,Products!$A:$E,3,FALSE)</f>
        <v>Accessories</v>
      </c>
    </row>
    <row r="1845" spans="1:5" x14ac:dyDescent="0.3">
      <c r="A1845" t="s">
        <v>7857</v>
      </c>
      <c r="B1845" t="s">
        <v>626</v>
      </c>
      <c r="C1845">
        <v>50</v>
      </c>
      <c r="D1845" t="str">
        <f>VLOOKUP(B1845,Products!$A:$E,2,FALSE)</f>
        <v>Product_309</v>
      </c>
      <c r="E1845" t="str">
        <f>VLOOKUP(B1845,Products!$A:$E,3,FALSE)</f>
        <v>Networking</v>
      </c>
    </row>
    <row r="1846" spans="1:5" x14ac:dyDescent="0.3">
      <c r="A1846" t="s">
        <v>7858</v>
      </c>
      <c r="B1846" t="s">
        <v>876</v>
      </c>
      <c r="C1846">
        <v>22</v>
      </c>
      <c r="D1846" t="str">
        <f>VLOOKUP(B1846,Products!$A:$E,2,FALSE)</f>
        <v>Product_434</v>
      </c>
      <c r="E1846" t="str">
        <f>VLOOKUP(B1846,Products!$A:$E,3,FALSE)</f>
        <v>Office Supplies</v>
      </c>
    </row>
    <row r="1847" spans="1:5" x14ac:dyDescent="0.3">
      <c r="A1847" t="s">
        <v>7859</v>
      </c>
      <c r="B1847" t="s">
        <v>38</v>
      </c>
      <c r="C1847">
        <v>16</v>
      </c>
      <c r="D1847" t="str">
        <f>VLOOKUP(B1847,Products!$A:$E,2,FALSE)</f>
        <v>Product_15</v>
      </c>
      <c r="E1847" t="str">
        <f>VLOOKUP(B1847,Products!$A:$E,3,FALSE)</f>
        <v>Electronics</v>
      </c>
    </row>
    <row r="1848" spans="1:5" x14ac:dyDescent="0.3">
      <c r="A1848" t="s">
        <v>7860</v>
      </c>
      <c r="B1848" t="s">
        <v>298</v>
      </c>
      <c r="C1848">
        <v>11</v>
      </c>
      <c r="D1848" t="str">
        <f>VLOOKUP(B1848,Products!$A:$E,2,FALSE)</f>
        <v>Product_145</v>
      </c>
      <c r="E1848" t="str">
        <f>VLOOKUP(B1848,Products!$A:$E,3,FALSE)</f>
        <v>Office Supplies</v>
      </c>
    </row>
    <row r="1849" spans="1:5" x14ac:dyDescent="0.3">
      <c r="A1849" t="s">
        <v>7861</v>
      </c>
      <c r="B1849" t="s">
        <v>564</v>
      </c>
      <c r="C1849">
        <v>7</v>
      </c>
      <c r="D1849" t="str">
        <f>VLOOKUP(B1849,Products!$A:$E,2,FALSE)</f>
        <v>Product_278</v>
      </c>
      <c r="E1849" t="str">
        <f>VLOOKUP(B1849,Products!$A:$E,3,FALSE)</f>
        <v>Electronics</v>
      </c>
    </row>
    <row r="1850" spans="1:5" x14ac:dyDescent="0.3">
      <c r="A1850" t="s">
        <v>7862</v>
      </c>
      <c r="B1850" t="s">
        <v>76</v>
      </c>
      <c r="C1850">
        <v>14</v>
      </c>
      <c r="D1850" t="str">
        <f>VLOOKUP(B1850,Products!$A:$E,2,FALSE)</f>
        <v>Product_34</v>
      </c>
      <c r="E1850" t="str">
        <f>VLOOKUP(B1850,Products!$A:$E,3,FALSE)</f>
        <v>Office Supplies</v>
      </c>
    </row>
    <row r="1851" spans="1:5" x14ac:dyDescent="0.3">
      <c r="A1851" t="s">
        <v>7863</v>
      </c>
      <c r="B1851" t="s">
        <v>620</v>
      </c>
      <c r="C1851">
        <v>1</v>
      </c>
      <c r="D1851" t="str">
        <f>VLOOKUP(B1851,Products!$A:$E,2,FALSE)</f>
        <v>Product_306</v>
      </c>
      <c r="E1851" t="str">
        <f>VLOOKUP(B1851,Products!$A:$E,3,FALSE)</f>
        <v>Accessories</v>
      </c>
    </row>
    <row r="1852" spans="1:5" x14ac:dyDescent="0.3">
      <c r="A1852" t="s">
        <v>7864</v>
      </c>
      <c r="B1852" t="s">
        <v>784</v>
      </c>
      <c r="C1852">
        <v>20</v>
      </c>
      <c r="D1852" t="str">
        <f>VLOOKUP(B1852,Products!$A:$E,2,FALSE)</f>
        <v>Product_388</v>
      </c>
      <c r="E1852" t="str">
        <f>VLOOKUP(B1852,Products!$A:$E,3,FALSE)</f>
        <v>Office Supplies</v>
      </c>
    </row>
    <row r="1853" spans="1:5" x14ac:dyDescent="0.3">
      <c r="A1853" t="s">
        <v>7865</v>
      </c>
      <c r="B1853" t="s">
        <v>202</v>
      </c>
      <c r="C1853">
        <v>36</v>
      </c>
      <c r="D1853" t="str">
        <f>VLOOKUP(B1853,Products!$A:$E,2,FALSE)</f>
        <v>Product_97</v>
      </c>
      <c r="E1853" t="str">
        <f>VLOOKUP(B1853,Products!$A:$E,3,FALSE)</f>
        <v>Accessories</v>
      </c>
    </row>
    <row r="1854" spans="1:5" x14ac:dyDescent="0.3">
      <c r="A1854" t="s">
        <v>7866</v>
      </c>
      <c r="B1854" t="s">
        <v>216</v>
      </c>
      <c r="C1854">
        <v>41</v>
      </c>
      <c r="D1854" t="str">
        <f>VLOOKUP(B1854,Products!$A:$E,2,FALSE)</f>
        <v>Product_104</v>
      </c>
      <c r="E1854" t="str">
        <f>VLOOKUP(B1854,Products!$A:$E,3,FALSE)</f>
        <v>Networking</v>
      </c>
    </row>
    <row r="1855" spans="1:5" x14ac:dyDescent="0.3">
      <c r="A1855" t="s">
        <v>7867</v>
      </c>
      <c r="B1855" t="s">
        <v>960</v>
      </c>
      <c r="C1855">
        <v>3</v>
      </c>
      <c r="D1855" t="str">
        <f>VLOOKUP(B1855,Products!$A:$E,2,FALSE)</f>
        <v>Product_476</v>
      </c>
      <c r="E1855" t="str">
        <f>VLOOKUP(B1855,Products!$A:$E,3,FALSE)</f>
        <v>Office Supplies</v>
      </c>
    </row>
    <row r="1856" spans="1:5" x14ac:dyDescent="0.3">
      <c r="A1856" t="s">
        <v>7868</v>
      </c>
      <c r="B1856" t="s">
        <v>256</v>
      </c>
      <c r="C1856">
        <v>18</v>
      </c>
      <c r="D1856" t="str">
        <f>VLOOKUP(B1856,Products!$A:$E,2,FALSE)</f>
        <v>Product_124</v>
      </c>
      <c r="E1856" t="str">
        <f>VLOOKUP(B1856,Products!$A:$E,3,FALSE)</f>
        <v>Storage</v>
      </c>
    </row>
    <row r="1857" spans="1:5" x14ac:dyDescent="0.3">
      <c r="A1857" t="s">
        <v>7869</v>
      </c>
      <c r="B1857" t="s">
        <v>96</v>
      </c>
      <c r="C1857">
        <v>37</v>
      </c>
      <c r="D1857" t="str">
        <f>VLOOKUP(B1857,Products!$A:$E,2,FALSE)</f>
        <v>Product_44</v>
      </c>
      <c r="E1857" t="str">
        <f>VLOOKUP(B1857,Products!$A:$E,3,FALSE)</f>
        <v>Storage</v>
      </c>
    </row>
    <row r="1858" spans="1:5" x14ac:dyDescent="0.3">
      <c r="A1858" t="s">
        <v>7870</v>
      </c>
      <c r="B1858" t="s">
        <v>588</v>
      </c>
      <c r="C1858">
        <v>3</v>
      </c>
      <c r="D1858" t="str">
        <f>VLOOKUP(B1858,Products!$A:$E,2,FALSE)</f>
        <v>Product_290</v>
      </c>
      <c r="E1858" t="str">
        <f>VLOOKUP(B1858,Products!$A:$E,3,FALSE)</f>
        <v>Accessories</v>
      </c>
    </row>
    <row r="1859" spans="1:5" x14ac:dyDescent="0.3">
      <c r="A1859" t="s">
        <v>7871</v>
      </c>
      <c r="B1859" t="s">
        <v>586</v>
      </c>
      <c r="C1859">
        <v>31</v>
      </c>
      <c r="D1859" t="str">
        <f>VLOOKUP(B1859,Products!$A:$E,2,FALSE)</f>
        <v>Product_289</v>
      </c>
      <c r="E1859" t="str">
        <f>VLOOKUP(B1859,Products!$A:$E,3,FALSE)</f>
        <v>Storage</v>
      </c>
    </row>
    <row r="1860" spans="1:5" x14ac:dyDescent="0.3">
      <c r="A1860" t="s">
        <v>7872</v>
      </c>
      <c r="B1860" t="s">
        <v>56</v>
      </c>
      <c r="C1860">
        <v>4</v>
      </c>
      <c r="D1860" t="str">
        <f>VLOOKUP(B1860,Products!$A:$E,2,FALSE)</f>
        <v>Product_24</v>
      </c>
      <c r="E1860" t="str">
        <f>VLOOKUP(B1860,Products!$A:$E,3,FALSE)</f>
        <v>Accessories</v>
      </c>
    </row>
    <row r="1861" spans="1:5" x14ac:dyDescent="0.3">
      <c r="A1861" t="s">
        <v>7873</v>
      </c>
      <c r="B1861" t="s">
        <v>332</v>
      </c>
      <c r="C1861">
        <v>6</v>
      </c>
      <c r="D1861" t="str">
        <f>VLOOKUP(B1861,Products!$A:$E,2,FALSE)</f>
        <v>Product_162</v>
      </c>
      <c r="E1861" t="str">
        <f>VLOOKUP(B1861,Products!$A:$E,3,FALSE)</f>
        <v>Accessories</v>
      </c>
    </row>
    <row r="1862" spans="1:5" x14ac:dyDescent="0.3">
      <c r="A1862" t="s">
        <v>7874</v>
      </c>
      <c r="B1862" t="s">
        <v>976</v>
      </c>
      <c r="C1862">
        <v>20</v>
      </c>
      <c r="D1862" t="str">
        <f>VLOOKUP(B1862,Products!$A:$E,2,FALSE)</f>
        <v>Product_484</v>
      </c>
      <c r="E1862" t="str">
        <f>VLOOKUP(B1862,Products!$A:$E,3,FALSE)</f>
        <v>Networking</v>
      </c>
    </row>
    <row r="1863" spans="1:5" x14ac:dyDescent="0.3">
      <c r="A1863" t="s">
        <v>7875</v>
      </c>
      <c r="B1863" t="s">
        <v>17</v>
      </c>
      <c r="C1863">
        <v>23</v>
      </c>
      <c r="D1863" t="str">
        <f>VLOOKUP(B1863,Products!$A:$E,2,FALSE)</f>
        <v>Product_5</v>
      </c>
      <c r="E1863" t="str">
        <f>VLOOKUP(B1863,Products!$A:$E,3,FALSE)</f>
        <v>Networking</v>
      </c>
    </row>
    <row r="1864" spans="1:5" x14ac:dyDescent="0.3">
      <c r="A1864" t="s">
        <v>7876</v>
      </c>
      <c r="B1864" t="s">
        <v>778</v>
      </c>
      <c r="C1864">
        <v>19</v>
      </c>
      <c r="D1864" t="str">
        <f>VLOOKUP(B1864,Products!$A:$E,2,FALSE)</f>
        <v>Product_385</v>
      </c>
      <c r="E1864" t="str">
        <f>VLOOKUP(B1864,Products!$A:$E,3,FALSE)</f>
        <v>Networking</v>
      </c>
    </row>
    <row r="1865" spans="1:5" x14ac:dyDescent="0.3">
      <c r="A1865" t="s">
        <v>7877</v>
      </c>
      <c r="B1865" t="s">
        <v>990</v>
      </c>
      <c r="C1865">
        <v>26</v>
      </c>
      <c r="D1865" t="str">
        <f>VLOOKUP(B1865,Products!$A:$E,2,FALSE)</f>
        <v>Product_491</v>
      </c>
      <c r="E1865" t="str">
        <f>VLOOKUP(B1865,Products!$A:$E,3,FALSE)</f>
        <v>Accessories</v>
      </c>
    </row>
    <row r="1866" spans="1:5" x14ac:dyDescent="0.3">
      <c r="A1866" t="s">
        <v>7878</v>
      </c>
      <c r="B1866" t="s">
        <v>522</v>
      </c>
      <c r="C1866">
        <v>13</v>
      </c>
      <c r="D1866" t="str">
        <f>VLOOKUP(B1866,Products!$A:$E,2,FALSE)</f>
        <v>Product_257</v>
      </c>
      <c r="E1866" t="str">
        <f>VLOOKUP(B1866,Products!$A:$E,3,FALSE)</f>
        <v>Networking</v>
      </c>
    </row>
    <row r="1867" spans="1:5" x14ac:dyDescent="0.3">
      <c r="A1867" t="s">
        <v>7879</v>
      </c>
      <c r="B1867" t="s">
        <v>332</v>
      </c>
      <c r="C1867">
        <v>49</v>
      </c>
      <c r="D1867" t="str">
        <f>VLOOKUP(B1867,Products!$A:$E,2,FALSE)</f>
        <v>Product_162</v>
      </c>
      <c r="E1867" t="str">
        <f>VLOOKUP(B1867,Products!$A:$E,3,FALSE)</f>
        <v>Accessories</v>
      </c>
    </row>
    <row r="1868" spans="1:5" x14ac:dyDescent="0.3">
      <c r="A1868" t="s">
        <v>7880</v>
      </c>
      <c r="B1868" t="s">
        <v>410</v>
      </c>
      <c r="C1868">
        <v>47</v>
      </c>
      <c r="D1868" t="str">
        <f>VLOOKUP(B1868,Products!$A:$E,2,FALSE)</f>
        <v>Product_201</v>
      </c>
      <c r="E1868" t="str">
        <f>VLOOKUP(B1868,Products!$A:$E,3,FALSE)</f>
        <v>Networking</v>
      </c>
    </row>
    <row r="1869" spans="1:5" x14ac:dyDescent="0.3">
      <c r="A1869" t="s">
        <v>7881</v>
      </c>
      <c r="B1869" t="s">
        <v>374</v>
      </c>
      <c r="C1869">
        <v>9</v>
      </c>
      <c r="D1869" t="str">
        <f>VLOOKUP(B1869,Products!$A:$E,2,FALSE)</f>
        <v>Product_183</v>
      </c>
      <c r="E1869" t="str">
        <f>VLOOKUP(B1869,Products!$A:$E,3,FALSE)</f>
        <v>Electronics</v>
      </c>
    </row>
    <row r="1870" spans="1:5" x14ac:dyDescent="0.3">
      <c r="A1870" t="s">
        <v>7882</v>
      </c>
      <c r="B1870" t="s">
        <v>728</v>
      </c>
      <c r="C1870">
        <v>44</v>
      </c>
      <c r="D1870" t="str">
        <f>VLOOKUP(B1870,Products!$A:$E,2,FALSE)</f>
        <v>Product_360</v>
      </c>
      <c r="E1870" t="str">
        <f>VLOOKUP(B1870,Products!$A:$E,3,FALSE)</f>
        <v>Office Supplies</v>
      </c>
    </row>
    <row r="1871" spans="1:5" x14ac:dyDescent="0.3">
      <c r="A1871" t="s">
        <v>7883</v>
      </c>
      <c r="B1871" t="s">
        <v>108</v>
      </c>
      <c r="C1871">
        <v>22</v>
      </c>
      <c r="D1871" t="str">
        <f>VLOOKUP(B1871,Products!$A:$E,2,FALSE)</f>
        <v>Product_50</v>
      </c>
      <c r="E1871" t="str">
        <f>VLOOKUP(B1871,Products!$A:$E,3,FALSE)</f>
        <v>Networking</v>
      </c>
    </row>
    <row r="1872" spans="1:5" x14ac:dyDescent="0.3">
      <c r="A1872" t="s">
        <v>7884</v>
      </c>
      <c r="B1872" t="s">
        <v>426</v>
      </c>
      <c r="C1872">
        <v>48</v>
      </c>
      <c r="D1872" t="str">
        <f>VLOOKUP(B1872,Products!$A:$E,2,FALSE)</f>
        <v>Product_209</v>
      </c>
      <c r="E1872" t="str">
        <f>VLOOKUP(B1872,Products!$A:$E,3,FALSE)</f>
        <v>Networking</v>
      </c>
    </row>
    <row r="1873" spans="1:5" x14ac:dyDescent="0.3">
      <c r="A1873" t="s">
        <v>7885</v>
      </c>
      <c r="B1873" t="s">
        <v>524</v>
      </c>
      <c r="C1873">
        <v>7</v>
      </c>
      <c r="D1873" t="str">
        <f>VLOOKUP(B1873,Products!$A:$E,2,FALSE)</f>
        <v>Product_258</v>
      </c>
      <c r="E1873" t="str">
        <f>VLOOKUP(B1873,Products!$A:$E,3,FALSE)</f>
        <v>Networking</v>
      </c>
    </row>
    <row r="1874" spans="1:5" x14ac:dyDescent="0.3">
      <c r="A1874" t="s">
        <v>7886</v>
      </c>
      <c r="B1874" t="s">
        <v>524</v>
      </c>
      <c r="C1874">
        <v>50</v>
      </c>
      <c r="D1874" t="str">
        <f>VLOOKUP(B1874,Products!$A:$E,2,FALSE)</f>
        <v>Product_258</v>
      </c>
      <c r="E1874" t="str">
        <f>VLOOKUP(B1874,Products!$A:$E,3,FALSE)</f>
        <v>Networking</v>
      </c>
    </row>
    <row r="1875" spans="1:5" x14ac:dyDescent="0.3">
      <c r="A1875" t="s">
        <v>7887</v>
      </c>
      <c r="B1875" t="s">
        <v>162</v>
      </c>
      <c r="C1875">
        <v>2</v>
      </c>
      <c r="D1875" t="str">
        <f>VLOOKUP(B1875,Products!$A:$E,2,FALSE)</f>
        <v>Product_77</v>
      </c>
      <c r="E1875" t="str">
        <f>VLOOKUP(B1875,Products!$A:$E,3,FALSE)</f>
        <v>Networking</v>
      </c>
    </row>
    <row r="1876" spans="1:5" x14ac:dyDescent="0.3">
      <c r="A1876" t="s">
        <v>7888</v>
      </c>
      <c r="B1876" t="s">
        <v>610</v>
      </c>
      <c r="C1876">
        <v>25</v>
      </c>
      <c r="D1876" t="str">
        <f>VLOOKUP(B1876,Products!$A:$E,2,FALSE)</f>
        <v>Product_301</v>
      </c>
      <c r="E1876" t="str">
        <f>VLOOKUP(B1876,Products!$A:$E,3,FALSE)</f>
        <v>Networking</v>
      </c>
    </row>
    <row r="1877" spans="1:5" x14ac:dyDescent="0.3">
      <c r="A1877" t="s">
        <v>7889</v>
      </c>
      <c r="B1877" t="s">
        <v>498</v>
      </c>
      <c r="C1877">
        <v>38</v>
      </c>
      <c r="D1877" t="str">
        <f>VLOOKUP(B1877,Products!$A:$E,2,FALSE)</f>
        <v>Product_245</v>
      </c>
      <c r="E1877" t="str">
        <f>VLOOKUP(B1877,Products!$A:$E,3,FALSE)</f>
        <v>Office Supplies</v>
      </c>
    </row>
    <row r="1878" spans="1:5" x14ac:dyDescent="0.3">
      <c r="A1878" t="s">
        <v>7890</v>
      </c>
      <c r="B1878" t="s">
        <v>898</v>
      </c>
      <c r="C1878">
        <v>3</v>
      </c>
      <c r="D1878" t="str">
        <f>VLOOKUP(B1878,Products!$A:$E,2,FALSE)</f>
        <v>Product_445</v>
      </c>
      <c r="E1878" t="str">
        <f>VLOOKUP(B1878,Products!$A:$E,3,FALSE)</f>
        <v>Office Supplies</v>
      </c>
    </row>
    <row r="1879" spans="1:5" x14ac:dyDescent="0.3">
      <c r="A1879" t="s">
        <v>7891</v>
      </c>
      <c r="B1879" t="s">
        <v>306</v>
      </c>
      <c r="C1879">
        <v>11</v>
      </c>
      <c r="D1879" t="str">
        <f>VLOOKUP(B1879,Products!$A:$E,2,FALSE)</f>
        <v>Product_149</v>
      </c>
      <c r="E1879" t="str">
        <f>VLOOKUP(B1879,Products!$A:$E,3,FALSE)</f>
        <v>Accessories</v>
      </c>
    </row>
    <row r="1880" spans="1:5" x14ac:dyDescent="0.3">
      <c r="A1880" t="s">
        <v>7892</v>
      </c>
      <c r="B1880" t="s">
        <v>164</v>
      </c>
      <c r="C1880">
        <v>44</v>
      </c>
      <c r="D1880" t="str">
        <f>VLOOKUP(B1880,Products!$A:$E,2,FALSE)</f>
        <v>Product_78</v>
      </c>
      <c r="E1880" t="str">
        <f>VLOOKUP(B1880,Products!$A:$E,3,FALSE)</f>
        <v>Office Supplies</v>
      </c>
    </row>
    <row r="1881" spans="1:5" x14ac:dyDescent="0.3">
      <c r="A1881" t="s">
        <v>7893</v>
      </c>
      <c r="B1881" t="s">
        <v>484</v>
      </c>
      <c r="C1881">
        <v>6</v>
      </c>
      <c r="D1881" t="str">
        <f>VLOOKUP(B1881,Products!$A:$E,2,FALSE)</f>
        <v>Product_238</v>
      </c>
      <c r="E1881" t="str">
        <f>VLOOKUP(B1881,Products!$A:$E,3,FALSE)</f>
        <v>Accessories</v>
      </c>
    </row>
    <row r="1882" spans="1:5" x14ac:dyDescent="0.3">
      <c r="A1882" t="s">
        <v>7894</v>
      </c>
      <c r="B1882" t="s">
        <v>916</v>
      </c>
      <c r="C1882">
        <v>41</v>
      </c>
      <c r="D1882" t="str">
        <f>VLOOKUP(B1882,Products!$A:$E,2,FALSE)</f>
        <v>Product_454</v>
      </c>
      <c r="E1882" t="str">
        <f>VLOOKUP(B1882,Products!$A:$E,3,FALSE)</f>
        <v>Networking</v>
      </c>
    </row>
    <row r="1883" spans="1:5" x14ac:dyDescent="0.3">
      <c r="A1883" t="s">
        <v>7895</v>
      </c>
      <c r="B1883" t="s">
        <v>104</v>
      </c>
      <c r="C1883">
        <v>46</v>
      </c>
      <c r="D1883" t="str">
        <f>VLOOKUP(B1883,Products!$A:$E,2,FALSE)</f>
        <v>Product_48</v>
      </c>
      <c r="E1883" t="str">
        <f>VLOOKUP(B1883,Products!$A:$E,3,FALSE)</f>
        <v>Accessories</v>
      </c>
    </row>
    <row r="1884" spans="1:5" x14ac:dyDescent="0.3">
      <c r="A1884" t="s">
        <v>7896</v>
      </c>
      <c r="B1884" t="s">
        <v>246</v>
      </c>
      <c r="C1884">
        <v>14</v>
      </c>
      <c r="D1884" t="str">
        <f>VLOOKUP(B1884,Products!$A:$E,2,FALSE)</f>
        <v>Product_119</v>
      </c>
      <c r="E1884" t="str">
        <f>VLOOKUP(B1884,Products!$A:$E,3,FALSE)</f>
        <v>Electronics</v>
      </c>
    </row>
    <row r="1885" spans="1:5" x14ac:dyDescent="0.3">
      <c r="A1885" t="s">
        <v>7897</v>
      </c>
      <c r="B1885" t="s">
        <v>836</v>
      </c>
      <c r="C1885">
        <v>44</v>
      </c>
      <c r="D1885" t="str">
        <f>VLOOKUP(B1885,Products!$A:$E,2,FALSE)</f>
        <v>Product_414</v>
      </c>
      <c r="E1885" t="str">
        <f>VLOOKUP(B1885,Products!$A:$E,3,FALSE)</f>
        <v>Office Supplies</v>
      </c>
    </row>
    <row r="1886" spans="1:5" x14ac:dyDescent="0.3">
      <c r="A1886" t="s">
        <v>7898</v>
      </c>
      <c r="B1886" t="s">
        <v>678</v>
      </c>
      <c r="C1886">
        <v>10</v>
      </c>
      <c r="D1886" t="str">
        <f>VLOOKUP(B1886,Products!$A:$E,2,FALSE)</f>
        <v>Product_335</v>
      </c>
      <c r="E1886" t="str">
        <f>VLOOKUP(B1886,Products!$A:$E,3,FALSE)</f>
        <v>Networking</v>
      </c>
    </row>
    <row r="1887" spans="1:5" x14ac:dyDescent="0.3">
      <c r="A1887" t="s">
        <v>7899</v>
      </c>
      <c r="B1887" t="s">
        <v>796</v>
      </c>
      <c r="C1887">
        <v>46</v>
      </c>
      <c r="D1887" t="str">
        <f>VLOOKUP(B1887,Products!$A:$E,2,FALSE)</f>
        <v>Product_394</v>
      </c>
      <c r="E1887" t="str">
        <f>VLOOKUP(B1887,Products!$A:$E,3,FALSE)</f>
        <v>Electronics</v>
      </c>
    </row>
    <row r="1888" spans="1:5" x14ac:dyDescent="0.3">
      <c r="A1888" t="s">
        <v>7900</v>
      </c>
      <c r="B1888" t="s">
        <v>174</v>
      </c>
      <c r="C1888">
        <v>33</v>
      </c>
      <c r="D1888" t="str">
        <f>VLOOKUP(B1888,Products!$A:$E,2,FALSE)</f>
        <v>Product_83</v>
      </c>
      <c r="E1888" t="str">
        <f>VLOOKUP(B1888,Products!$A:$E,3,FALSE)</f>
        <v>Accessories</v>
      </c>
    </row>
    <row r="1889" spans="1:5" x14ac:dyDescent="0.3">
      <c r="A1889" t="s">
        <v>7901</v>
      </c>
      <c r="B1889" t="s">
        <v>538</v>
      </c>
      <c r="C1889">
        <v>47</v>
      </c>
      <c r="D1889" t="str">
        <f>VLOOKUP(B1889,Products!$A:$E,2,FALSE)</f>
        <v>Product_265</v>
      </c>
      <c r="E1889" t="str">
        <f>VLOOKUP(B1889,Products!$A:$E,3,FALSE)</f>
        <v>Accessories</v>
      </c>
    </row>
    <row r="1890" spans="1:5" x14ac:dyDescent="0.3">
      <c r="A1890" t="s">
        <v>7902</v>
      </c>
      <c r="B1890" t="s">
        <v>632</v>
      </c>
      <c r="C1890">
        <v>42</v>
      </c>
      <c r="D1890" t="str">
        <f>VLOOKUP(B1890,Products!$A:$E,2,FALSE)</f>
        <v>Product_312</v>
      </c>
      <c r="E1890" t="str">
        <f>VLOOKUP(B1890,Products!$A:$E,3,FALSE)</f>
        <v>Office Supplies</v>
      </c>
    </row>
    <row r="1891" spans="1:5" x14ac:dyDescent="0.3">
      <c r="A1891" t="s">
        <v>7903</v>
      </c>
      <c r="B1891" t="s">
        <v>544</v>
      </c>
      <c r="C1891">
        <v>50</v>
      </c>
      <c r="D1891" t="str">
        <f>VLOOKUP(B1891,Products!$A:$E,2,FALSE)</f>
        <v>Product_268</v>
      </c>
      <c r="E1891" t="str">
        <f>VLOOKUP(B1891,Products!$A:$E,3,FALSE)</f>
        <v>Office Supplies</v>
      </c>
    </row>
    <row r="1892" spans="1:5" x14ac:dyDescent="0.3">
      <c r="A1892" t="s">
        <v>7904</v>
      </c>
      <c r="B1892" t="s">
        <v>358</v>
      </c>
      <c r="C1892">
        <v>29</v>
      </c>
      <c r="D1892" t="str">
        <f>VLOOKUP(B1892,Products!$A:$E,2,FALSE)</f>
        <v>Product_175</v>
      </c>
      <c r="E1892" t="str">
        <f>VLOOKUP(B1892,Products!$A:$E,3,FALSE)</f>
        <v>Storage</v>
      </c>
    </row>
    <row r="1893" spans="1:5" x14ac:dyDescent="0.3">
      <c r="A1893" t="s">
        <v>7905</v>
      </c>
      <c r="B1893" t="s">
        <v>814</v>
      </c>
      <c r="C1893">
        <v>9</v>
      </c>
      <c r="D1893" t="str">
        <f>VLOOKUP(B1893,Products!$A:$E,2,FALSE)</f>
        <v>Product_403</v>
      </c>
      <c r="E1893" t="str">
        <f>VLOOKUP(B1893,Products!$A:$E,3,FALSE)</f>
        <v>Networking</v>
      </c>
    </row>
    <row r="1894" spans="1:5" x14ac:dyDescent="0.3">
      <c r="A1894" t="s">
        <v>7906</v>
      </c>
      <c r="B1894" t="s">
        <v>356</v>
      </c>
      <c r="C1894">
        <v>19</v>
      </c>
      <c r="D1894" t="str">
        <f>VLOOKUP(B1894,Products!$A:$E,2,FALSE)</f>
        <v>Product_174</v>
      </c>
      <c r="E1894" t="str">
        <f>VLOOKUP(B1894,Products!$A:$E,3,FALSE)</f>
        <v>Storage</v>
      </c>
    </row>
    <row r="1895" spans="1:5" x14ac:dyDescent="0.3">
      <c r="A1895" t="s">
        <v>7907</v>
      </c>
      <c r="B1895" t="s">
        <v>378</v>
      </c>
      <c r="C1895">
        <v>40</v>
      </c>
      <c r="D1895" t="str">
        <f>VLOOKUP(B1895,Products!$A:$E,2,FALSE)</f>
        <v>Product_185</v>
      </c>
      <c r="E1895" t="str">
        <f>VLOOKUP(B1895,Products!$A:$E,3,FALSE)</f>
        <v>Storage</v>
      </c>
    </row>
    <row r="1896" spans="1:5" x14ac:dyDescent="0.3">
      <c r="A1896" t="s">
        <v>7908</v>
      </c>
      <c r="B1896" t="s">
        <v>886</v>
      </c>
      <c r="C1896">
        <v>28</v>
      </c>
      <c r="D1896" t="str">
        <f>VLOOKUP(B1896,Products!$A:$E,2,FALSE)</f>
        <v>Product_439</v>
      </c>
      <c r="E1896" t="str">
        <f>VLOOKUP(B1896,Products!$A:$E,3,FALSE)</f>
        <v>Networking</v>
      </c>
    </row>
    <row r="1897" spans="1:5" x14ac:dyDescent="0.3">
      <c r="A1897" t="s">
        <v>7909</v>
      </c>
      <c r="B1897" t="s">
        <v>50</v>
      </c>
      <c r="C1897">
        <v>46</v>
      </c>
      <c r="D1897" t="str">
        <f>VLOOKUP(B1897,Products!$A:$E,2,FALSE)</f>
        <v>Product_21</v>
      </c>
      <c r="E1897" t="str">
        <f>VLOOKUP(B1897,Products!$A:$E,3,FALSE)</f>
        <v>Office Supplies</v>
      </c>
    </row>
    <row r="1898" spans="1:5" x14ac:dyDescent="0.3">
      <c r="A1898" t="s">
        <v>7910</v>
      </c>
      <c r="B1898" t="s">
        <v>802</v>
      </c>
      <c r="C1898">
        <v>44</v>
      </c>
      <c r="D1898" t="str">
        <f>VLOOKUP(B1898,Products!$A:$E,2,FALSE)</f>
        <v>Product_397</v>
      </c>
      <c r="E1898" t="str">
        <f>VLOOKUP(B1898,Products!$A:$E,3,FALSE)</f>
        <v>Office Supplies</v>
      </c>
    </row>
    <row r="1899" spans="1:5" x14ac:dyDescent="0.3">
      <c r="A1899" t="s">
        <v>7911</v>
      </c>
      <c r="B1899" t="s">
        <v>406</v>
      </c>
      <c r="C1899">
        <v>16</v>
      </c>
      <c r="D1899" t="str">
        <f>VLOOKUP(B1899,Products!$A:$E,2,FALSE)</f>
        <v>Product_199</v>
      </c>
      <c r="E1899" t="str">
        <f>VLOOKUP(B1899,Products!$A:$E,3,FALSE)</f>
        <v>Storage</v>
      </c>
    </row>
    <row r="1900" spans="1:5" x14ac:dyDescent="0.3">
      <c r="A1900" t="s">
        <v>7912</v>
      </c>
      <c r="B1900" t="s">
        <v>222</v>
      </c>
      <c r="C1900">
        <v>40</v>
      </c>
      <c r="D1900" t="str">
        <f>VLOOKUP(B1900,Products!$A:$E,2,FALSE)</f>
        <v>Product_107</v>
      </c>
      <c r="E1900" t="str">
        <f>VLOOKUP(B1900,Products!$A:$E,3,FALSE)</f>
        <v>Office Supplies</v>
      </c>
    </row>
    <row r="1901" spans="1:5" x14ac:dyDescent="0.3">
      <c r="A1901" t="s">
        <v>7913</v>
      </c>
      <c r="B1901" t="s">
        <v>630</v>
      </c>
      <c r="C1901">
        <v>5</v>
      </c>
      <c r="D1901" t="str">
        <f>VLOOKUP(B1901,Products!$A:$E,2,FALSE)</f>
        <v>Product_311</v>
      </c>
      <c r="E1901" t="str">
        <f>VLOOKUP(B1901,Products!$A:$E,3,FALSE)</f>
        <v>Networking</v>
      </c>
    </row>
    <row r="1902" spans="1:5" x14ac:dyDescent="0.3">
      <c r="A1902" t="s">
        <v>7914</v>
      </c>
      <c r="B1902" t="s">
        <v>990</v>
      </c>
      <c r="C1902">
        <v>10</v>
      </c>
      <c r="D1902" t="str">
        <f>VLOOKUP(B1902,Products!$A:$E,2,FALSE)</f>
        <v>Product_491</v>
      </c>
      <c r="E1902" t="str">
        <f>VLOOKUP(B1902,Products!$A:$E,3,FALSE)</f>
        <v>Accessories</v>
      </c>
    </row>
    <row r="1903" spans="1:5" x14ac:dyDescent="0.3">
      <c r="A1903" t="s">
        <v>7915</v>
      </c>
      <c r="B1903" t="s">
        <v>590</v>
      </c>
      <c r="C1903">
        <v>41</v>
      </c>
      <c r="D1903" t="str">
        <f>VLOOKUP(B1903,Products!$A:$E,2,FALSE)</f>
        <v>Product_291</v>
      </c>
      <c r="E1903" t="str">
        <f>VLOOKUP(B1903,Products!$A:$E,3,FALSE)</f>
        <v>Networking</v>
      </c>
    </row>
    <row r="1904" spans="1:5" x14ac:dyDescent="0.3">
      <c r="A1904" t="s">
        <v>7916</v>
      </c>
      <c r="B1904" t="s">
        <v>518</v>
      </c>
      <c r="C1904">
        <v>7</v>
      </c>
      <c r="D1904" t="str">
        <f>VLOOKUP(B1904,Products!$A:$E,2,FALSE)</f>
        <v>Product_255</v>
      </c>
      <c r="E1904" t="str">
        <f>VLOOKUP(B1904,Products!$A:$E,3,FALSE)</f>
        <v>Accessories</v>
      </c>
    </row>
    <row r="1905" spans="1:5" x14ac:dyDescent="0.3">
      <c r="A1905" t="s">
        <v>7917</v>
      </c>
      <c r="B1905" t="s">
        <v>834</v>
      </c>
      <c r="C1905">
        <v>1</v>
      </c>
      <c r="D1905" t="str">
        <f>VLOOKUP(B1905,Products!$A:$E,2,FALSE)</f>
        <v>Product_413</v>
      </c>
      <c r="E1905" t="str">
        <f>VLOOKUP(B1905,Products!$A:$E,3,FALSE)</f>
        <v>Accessories</v>
      </c>
    </row>
    <row r="1906" spans="1:5" x14ac:dyDescent="0.3">
      <c r="A1906" t="s">
        <v>7918</v>
      </c>
      <c r="B1906" t="s">
        <v>156</v>
      </c>
      <c r="C1906">
        <v>50</v>
      </c>
      <c r="D1906" t="str">
        <f>VLOOKUP(B1906,Products!$A:$E,2,FALSE)</f>
        <v>Product_74</v>
      </c>
      <c r="E1906" t="str">
        <f>VLOOKUP(B1906,Products!$A:$E,3,FALSE)</f>
        <v>Storage</v>
      </c>
    </row>
    <row r="1907" spans="1:5" x14ac:dyDescent="0.3">
      <c r="A1907" t="s">
        <v>7919</v>
      </c>
      <c r="B1907" t="s">
        <v>900</v>
      </c>
      <c r="C1907">
        <v>20</v>
      </c>
      <c r="D1907" t="str">
        <f>VLOOKUP(B1907,Products!$A:$E,2,FALSE)</f>
        <v>Product_446</v>
      </c>
      <c r="E1907" t="str">
        <f>VLOOKUP(B1907,Products!$A:$E,3,FALSE)</f>
        <v>Accessories</v>
      </c>
    </row>
    <row r="1908" spans="1:5" x14ac:dyDescent="0.3">
      <c r="A1908" t="s">
        <v>7920</v>
      </c>
      <c r="B1908" t="s">
        <v>570</v>
      </c>
      <c r="C1908">
        <v>6</v>
      </c>
      <c r="D1908" t="str">
        <f>VLOOKUP(B1908,Products!$A:$E,2,FALSE)</f>
        <v>Product_281</v>
      </c>
      <c r="E1908" t="str">
        <f>VLOOKUP(B1908,Products!$A:$E,3,FALSE)</f>
        <v>Office Supplies</v>
      </c>
    </row>
    <row r="1909" spans="1:5" x14ac:dyDescent="0.3">
      <c r="A1909" t="s">
        <v>7921</v>
      </c>
      <c r="B1909" t="s">
        <v>520</v>
      </c>
      <c r="C1909">
        <v>7</v>
      </c>
      <c r="D1909" t="str">
        <f>VLOOKUP(B1909,Products!$A:$E,2,FALSE)</f>
        <v>Product_256</v>
      </c>
      <c r="E1909" t="str">
        <f>VLOOKUP(B1909,Products!$A:$E,3,FALSE)</f>
        <v>Office Supplies</v>
      </c>
    </row>
    <row r="1910" spans="1:5" x14ac:dyDescent="0.3">
      <c r="A1910" t="s">
        <v>7922</v>
      </c>
      <c r="B1910" t="s">
        <v>474</v>
      </c>
      <c r="C1910">
        <v>21</v>
      </c>
      <c r="D1910" t="str">
        <f>VLOOKUP(B1910,Products!$A:$E,2,FALSE)</f>
        <v>Product_233</v>
      </c>
      <c r="E1910" t="str">
        <f>VLOOKUP(B1910,Products!$A:$E,3,FALSE)</f>
        <v>Accessories</v>
      </c>
    </row>
    <row r="1911" spans="1:5" x14ac:dyDescent="0.3">
      <c r="A1911" t="s">
        <v>7923</v>
      </c>
      <c r="B1911" t="s">
        <v>182</v>
      </c>
      <c r="C1911">
        <v>19</v>
      </c>
      <c r="D1911" t="str">
        <f>VLOOKUP(B1911,Products!$A:$E,2,FALSE)</f>
        <v>Product_87</v>
      </c>
      <c r="E1911" t="str">
        <f>VLOOKUP(B1911,Products!$A:$E,3,FALSE)</f>
        <v>Networking</v>
      </c>
    </row>
    <row r="1912" spans="1:5" x14ac:dyDescent="0.3">
      <c r="A1912" t="s">
        <v>7924</v>
      </c>
      <c r="B1912" t="s">
        <v>174</v>
      </c>
      <c r="C1912">
        <v>5</v>
      </c>
      <c r="D1912" t="str">
        <f>VLOOKUP(B1912,Products!$A:$E,2,FALSE)</f>
        <v>Product_83</v>
      </c>
      <c r="E1912" t="str">
        <f>VLOOKUP(B1912,Products!$A:$E,3,FALSE)</f>
        <v>Accessories</v>
      </c>
    </row>
    <row r="1913" spans="1:5" x14ac:dyDescent="0.3">
      <c r="A1913" t="s">
        <v>7925</v>
      </c>
      <c r="B1913" t="s">
        <v>296</v>
      </c>
      <c r="C1913">
        <v>37</v>
      </c>
      <c r="D1913" t="str">
        <f>VLOOKUP(B1913,Products!$A:$E,2,FALSE)</f>
        <v>Product_144</v>
      </c>
      <c r="E1913" t="str">
        <f>VLOOKUP(B1913,Products!$A:$E,3,FALSE)</f>
        <v>Office Supplies</v>
      </c>
    </row>
    <row r="1914" spans="1:5" x14ac:dyDescent="0.3">
      <c r="A1914" t="s">
        <v>7926</v>
      </c>
      <c r="B1914" t="s">
        <v>382</v>
      </c>
      <c r="C1914">
        <v>23</v>
      </c>
      <c r="D1914" t="str">
        <f>VLOOKUP(B1914,Products!$A:$E,2,FALSE)</f>
        <v>Product_187</v>
      </c>
      <c r="E1914" t="str">
        <f>VLOOKUP(B1914,Products!$A:$E,3,FALSE)</f>
        <v>Electronics</v>
      </c>
    </row>
    <row r="1915" spans="1:5" x14ac:dyDescent="0.3">
      <c r="A1915" t="s">
        <v>7927</v>
      </c>
      <c r="B1915" t="s">
        <v>100</v>
      </c>
      <c r="C1915">
        <v>5</v>
      </c>
      <c r="D1915" t="str">
        <f>VLOOKUP(B1915,Products!$A:$E,2,FALSE)</f>
        <v>Product_46</v>
      </c>
      <c r="E1915" t="str">
        <f>VLOOKUP(B1915,Products!$A:$E,3,FALSE)</f>
        <v>Networking</v>
      </c>
    </row>
    <row r="1916" spans="1:5" x14ac:dyDescent="0.3">
      <c r="A1916" t="s">
        <v>7928</v>
      </c>
      <c r="B1916" t="s">
        <v>192</v>
      </c>
      <c r="C1916">
        <v>46</v>
      </c>
      <c r="D1916" t="str">
        <f>VLOOKUP(B1916,Products!$A:$E,2,FALSE)</f>
        <v>Product_92</v>
      </c>
      <c r="E1916" t="str">
        <f>VLOOKUP(B1916,Products!$A:$E,3,FALSE)</f>
        <v>Electronics</v>
      </c>
    </row>
    <row r="1917" spans="1:5" x14ac:dyDescent="0.3">
      <c r="A1917" t="s">
        <v>7929</v>
      </c>
      <c r="B1917" t="s">
        <v>800</v>
      </c>
      <c r="C1917">
        <v>30</v>
      </c>
      <c r="D1917" t="str">
        <f>VLOOKUP(B1917,Products!$A:$E,2,FALSE)</f>
        <v>Product_396</v>
      </c>
      <c r="E1917" t="str">
        <f>VLOOKUP(B1917,Products!$A:$E,3,FALSE)</f>
        <v>Office Supplies</v>
      </c>
    </row>
    <row r="1918" spans="1:5" x14ac:dyDescent="0.3">
      <c r="A1918" t="s">
        <v>7930</v>
      </c>
      <c r="B1918" t="s">
        <v>274</v>
      </c>
      <c r="C1918">
        <v>31</v>
      </c>
      <c r="D1918" t="str">
        <f>VLOOKUP(B1918,Products!$A:$E,2,FALSE)</f>
        <v>Product_133</v>
      </c>
      <c r="E1918" t="str">
        <f>VLOOKUP(B1918,Products!$A:$E,3,FALSE)</f>
        <v>Office Supplies</v>
      </c>
    </row>
    <row r="1919" spans="1:5" x14ac:dyDescent="0.3">
      <c r="A1919" t="s">
        <v>7931</v>
      </c>
      <c r="B1919" t="s">
        <v>272</v>
      </c>
      <c r="C1919">
        <v>49</v>
      </c>
      <c r="D1919" t="str">
        <f>VLOOKUP(B1919,Products!$A:$E,2,FALSE)</f>
        <v>Product_132</v>
      </c>
      <c r="E1919" t="str">
        <f>VLOOKUP(B1919,Products!$A:$E,3,FALSE)</f>
        <v>Storage</v>
      </c>
    </row>
    <row r="1920" spans="1:5" x14ac:dyDescent="0.3">
      <c r="A1920" t="s">
        <v>7932</v>
      </c>
      <c r="B1920" t="s">
        <v>906</v>
      </c>
      <c r="C1920">
        <v>29</v>
      </c>
      <c r="D1920" t="str">
        <f>VLOOKUP(B1920,Products!$A:$E,2,FALSE)</f>
        <v>Product_449</v>
      </c>
      <c r="E1920" t="str">
        <f>VLOOKUP(B1920,Products!$A:$E,3,FALSE)</f>
        <v>Networking</v>
      </c>
    </row>
    <row r="1921" spans="1:5" x14ac:dyDescent="0.3">
      <c r="A1921" t="s">
        <v>7933</v>
      </c>
      <c r="B1921" t="s">
        <v>674</v>
      </c>
      <c r="C1921">
        <v>9</v>
      </c>
      <c r="D1921" t="str">
        <f>VLOOKUP(B1921,Products!$A:$E,2,FALSE)</f>
        <v>Product_333</v>
      </c>
      <c r="E1921" t="str">
        <f>VLOOKUP(B1921,Products!$A:$E,3,FALSE)</f>
        <v>Storage</v>
      </c>
    </row>
    <row r="1922" spans="1:5" x14ac:dyDescent="0.3">
      <c r="A1922" t="s">
        <v>7934</v>
      </c>
      <c r="B1922" t="s">
        <v>972</v>
      </c>
      <c r="C1922">
        <v>8</v>
      </c>
      <c r="D1922" t="str">
        <f>VLOOKUP(B1922,Products!$A:$E,2,FALSE)</f>
        <v>Product_482</v>
      </c>
      <c r="E1922" t="str">
        <f>VLOOKUP(B1922,Products!$A:$E,3,FALSE)</f>
        <v>Storage</v>
      </c>
    </row>
    <row r="1923" spans="1:5" x14ac:dyDescent="0.3">
      <c r="A1923" t="s">
        <v>7935</v>
      </c>
      <c r="B1923" t="s">
        <v>1004</v>
      </c>
      <c r="C1923">
        <v>37</v>
      </c>
      <c r="D1923" t="str">
        <f>VLOOKUP(B1923,Products!$A:$E,2,FALSE)</f>
        <v>Product_498</v>
      </c>
      <c r="E1923" t="str">
        <f>VLOOKUP(B1923,Products!$A:$E,3,FALSE)</f>
        <v>Office Supplies</v>
      </c>
    </row>
    <row r="1924" spans="1:5" x14ac:dyDescent="0.3">
      <c r="A1924" t="s">
        <v>7936</v>
      </c>
      <c r="B1924" t="s">
        <v>508</v>
      </c>
      <c r="C1924">
        <v>3</v>
      </c>
      <c r="D1924" t="str">
        <f>VLOOKUP(B1924,Products!$A:$E,2,FALSE)</f>
        <v>Product_250</v>
      </c>
      <c r="E1924" t="str">
        <f>VLOOKUP(B1924,Products!$A:$E,3,FALSE)</f>
        <v>Networking</v>
      </c>
    </row>
    <row r="1925" spans="1:5" x14ac:dyDescent="0.3">
      <c r="A1925" t="s">
        <v>7937</v>
      </c>
      <c r="B1925" t="s">
        <v>382</v>
      </c>
      <c r="C1925">
        <v>19</v>
      </c>
      <c r="D1925" t="str">
        <f>VLOOKUP(B1925,Products!$A:$E,2,FALSE)</f>
        <v>Product_187</v>
      </c>
      <c r="E1925" t="str">
        <f>VLOOKUP(B1925,Products!$A:$E,3,FALSE)</f>
        <v>Electronics</v>
      </c>
    </row>
    <row r="1926" spans="1:5" x14ac:dyDescent="0.3">
      <c r="A1926" t="s">
        <v>7938</v>
      </c>
      <c r="B1926" t="s">
        <v>420</v>
      </c>
      <c r="C1926">
        <v>27</v>
      </c>
      <c r="D1926" t="str">
        <f>VLOOKUP(B1926,Products!$A:$E,2,FALSE)</f>
        <v>Product_206</v>
      </c>
      <c r="E1926" t="str">
        <f>VLOOKUP(B1926,Products!$A:$E,3,FALSE)</f>
        <v>Accessories</v>
      </c>
    </row>
    <row r="1927" spans="1:5" x14ac:dyDescent="0.3">
      <c r="A1927" t="s">
        <v>7939</v>
      </c>
      <c r="B1927" t="s">
        <v>886</v>
      </c>
      <c r="C1927">
        <v>40</v>
      </c>
      <c r="D1927" t="str">
        <f>VLOOKUP(B1927,Products!$A:$E,2,FALSE)</f>
        <v>Product_439</v>
      </c>
      <c r="E1927" t="str">
        <f>VLOOKUP(B1927,Products!$A:$E,3,FALSE)</f>
        <v>Networking</v>
      </c>
    </row>
    <row r="1928" spans="1:5" x14ac:dyDescent="0.3">
      <c r="A1928" t="s">
        <v>7940</v>
      </c>
      <c r="B1928" t="s">
        <v>948</v>
      </c>
      <c r="C1928">
        <v>44</v>
      </c>
      <c r="D1928" t="str">
        <f>VLOOKUP(B1928,Products!$A:$E,2,FALSE)</f>
        <v>Product_470</v>
      </c>
      <c r="E1928" t="str">
        <f>VLOOKUP(B1928,Products!$A:$E,3,FALSE)</f>
        <v>Networking</v>
      </c>
    </row>
    <row r="1929" spans="1:5" x14ac:dyDescent="0.3">
      <c r="A1929" t="s">
        <v>7941</v>
      </c>
      <c r="B1929" t="s">
        <v>142</v>
      </c>
      <c r="C1929">
        <v>29</v>
      </c>
      <c r="D1929" t="str">
        <f>VLOOKUP(B1929,Products!$A:$E,2,FALSE)</f>
        <v>Product_67</v>
      </c>
      <c r="E1929" t="str">
        <f>VLOOKUP(B1929,Products!$A:$E,3,FALSE)</f>
        <v>Office Supplies</v>
      </c>
    </row>
    <row r="1930" spans="1:5" x14ac:dyDescent="0.3">
      <c r="A1930" t="s">
        <v>7942</v>
      </c>
      <c r="B1930" t="s">
        <v>384</v>
      </c>
      <c r="C1930">
        <v>33</v>
      </c>
      <c r="D1930" t="str">
        <f>VLOOKUP(B1930,Products!$A:$E,2,FALSE)</f>
        <v>Product_188</v>
      </c>
      <c r="E1930" t="str">
        <f>VLOOKUP(B1930,Products!$A:$E,3,FALSE)</f>
        <v>Office Supplies</v>
      </c>
    </row>
    <row r="1931" spans="1:5" x14ac:dyDescent="0.3">
      <c r="A1931" t="s">
        <v>7943</v>
      </c>
      <c r="B1931" t="s">
        <v>874</v>
      </c>
      <c r="C1931">
        <v>40</v>
      </c>
      <c r="D1931" t="str">
        <f>VLOOKUP(B1931,Products!$A:$E,2,FALSE)</f>
        <v>Product_433</v>
      </c>
      <c r="E1931" t="str">
        <f>VLOOKUP(B1931,Products!$A:$E,3,FALSE)</f>
        <v>Office Supplies</v>
      </c>
    </row>
    <row r="1932" spans="1:5" x14ac:dyDescent="0.3">
      <c r="A1932" t="s">
        <v>7944</v>
      </c>
      <c r="B1932" t="s">
        <v>984</v>
      </c>
      <c r="C1932">
        <v>21</v>
      </c>
      <c r="D1932" t="str">
        <f>VLOOKUP(B1932,Products!$A:$E,2,FALSE)</f>
        <v>Product_488</v>
      </c>
      <c r="E1932" t="str">
        <f>VLOOKUP(B1932,Products!$A:$E,3,FALSE)</f>
        <v>Accessories</v>
      </c>
    </row>
    <row r="1933" spans="1:5" x14ac:dyDescent="0.3">
      <c r="A1933" t="s">
        <v>7945</v>
      </c>
      <c r="B1933" t="s">
        <v>392</v>
      </c>
      <c r="C1933">
        <v>6</v>
      </c>
      <c r="D1933" t="str">
        <f>VLOOKUP(B1933,Products!$A:$E,2,FALSE)</f>
        <v>Product_192</v>
      </c>
      <c r="E1933" t="str">
        <f>VLOOKUP(B1933,Products!$A:$E,3,FALSE)</f>
        <v>Office Supplies</v>
      </c>
    </row>
    <row r="1934" spans="1:5" x14ac:dyDescent="0.3">
      <c r="A1934" t="s">
        <v>7946</v>
      </c>
      <c r="B1934" t="s">
        <v>708</v>
      </c>
      <c r="C1934">
        <v>27</v>
      </c>
      <c r="D1934" t="str">
        <f>VLOOKUP(B1934,Products!$A:$E,2,FALSE)</f>
        <v>Product_350</v>
      </c>
      <c r="E1934" t="str">
        <f>VLOOKUP(B1934,Products!$A:$E,3,FALSE)</f>
        <v>Networking</v>
      </c>
    </row>
    <row r="1935" spans="1:5" x14ac:dyDescent="0.3">
      <c r="A1935" t="s">
        <v>7947</v>
      </c>
      <c r="B1935" t="s">
        <v>528</v>
      </c>
      <c r="C1935">
        <v>29</v>
      </c>
      <c r="D1935" t="str">
        <f>VLOOKUP(B1935,Products!$A:$E,2,FALSE)</f>
        <v>Product_260</v>
      </c>
      <c r="E1935" t="str">
        <f>VLOOKUP(B1935,Products!$A:$E,3,FALSE)</f>
        <v>Storage</v>
      </c>
    </row>
    <row r="1936" spans="1:5" x14ac:dyDescent="0.3">
      <c r="A1936" t="s">
        <v>7948</v>
      </c>
      <c r="B1936" t="s">
        <v>278</v>
      </c>
      <c r="C1936">
        <v>44</v>
      </c>
      <c r="D1936" t="str">
        <f>VLOOKUP(B1936,Products!$A:$E,2,FALSE)</f>
        <v>Product_135</v>
      </c>
      <c r="E1936" t="str">
        <f>VLOOKUP(B1936,Products!$A:$E,3,FALSE)</f>
        <v>Accessories</v>
      </c>
    </row>
    <row r="1937" spans="1:5" x14ac:dyDescent="0.3">
      <c r="A1937" t="s">
        <v>7949</v>
      </c>
      <c r="B1937" t="s">
        <v>52</v>
      </c>
      <c r="C1937">
        <v>40</v>
      </c>
      <c r="D1937" t="str">
        <f>VLOOKUP(B1937,Products!$A:$E,2,FALSE)</f>
        <v>Product_22</v>
      </c>
      <c r="E1937" t="str">
        <f>VLOOKUP(B1937,Products!$A:$E,3,FALSE)</f>
        <v>Electronics</v>
      </c>
    </row>
    <row r="1938" spans="1:5" x14ac:dyDescent="0.3">
      <c r="A1938" t="s">
        <v>7950</v>
      </c>
      <c r="B1938" t="s">
        <v>668</v>
      </c>
      <c r="C1938">
        <v>4</v>
      </c>
      <c r="D1938" t="str">
        <f>VLOOKUP(B1938,Products!$A:$E,2,FALSE)</f>
        <v>Product_330</v>
      </c>
      <c r="E1938" t="str">
        <f>VLOOKUP(B1938,Products!$A:$E,3,FALSE)</f>
        <v>Electronics</v>
      </c>
    </row>
    <row r="1939" spans="1:5" x14ac:dyDescent="0.3">
      <c r="A1939" t="s">
        <v>7951</v>
      </c>
      <c r="B1939" t="s">
        <v>768</v>
      </c>
      <c r="C1939">
        <v>16</v>
      </c>
      <c r="D1939" t="str">
        <f>VLOOKUP(B1939,Products!$A:$E,2,FALSE)</f>
        <v>Product_380</v>
      </c>
      <c r="E1939" t="str">
        <f>VLOOKUP(B1939,Products!$A:$E,3,FALSE)</f>
        <v>Electronics</v>
      </c>
    </row>
    <row r="1940" spans="1:5" x14ac:dyDescent="0.3">
      <c r="A1940" t="s">
        <v>7952</v>
      </c>
      <c r="B1940" t="s">
        <v>726</v>
      </c>
      <c r="C1940">
        <v>36</v>
      </c>
      <c r="D1940" t="str">
        <f>VLOOKUP(B1940,Products!$A:$E,2,FALSE)</f>
        <v>Product_359</v>
      </c>
      <c r="E1940" t="str">
        <f>VLOOKUP(B1940,Products!$A:$E,3,FALSE)</f>
        <v>Electronics</v>
      </c>
    </row>
    <row r="1941" spans="1:5" x14ac:dyDescent="0.3">
      <c r="A1941" t="s">
        <v>7953</v>
      </c>
      <c r="B1941" t="s">
        <v>17</v>
      </c>
      <c r="C1941">
        <v>10</v>
      </c>
      <c r="D1941" t="str">
        <f>VLOOKUP(B1941,Products!$A:$E,2,FALSE)</f>
        <v>Product_5</v>
      </c>
      <c r="E1941" t="str">
        <f>VLOOKUP(B1941,Products!$A:$E,3,FALSE)</f>
        <v>Networking</v>
      </c>
    </row>
    <row r="1942" spans="1:5" x14ac:dyDescent="0.3">
      <c r="A1942" t="s">
        <v>7954</v>
      </c>
      <c r="B1942" t="s">
        <v>882</v>
      </c>
      <c r="C1942">
        <v>7</v>
      </c>
      <c r="D1942" t="str">
        <f>VLOOKUP(B1942,Products!$A:$E,2,FALSE)</f>
        <v>Product_437</v>
      </c>
      <c r="E1942" t="str">
        <f>VLOOKUP(B1942,Products!$A:$E,3,FALSE)</f>
        <v>Accessories</v>
      </c>
    </row>
    <row r="1943" spans="1:5" x14ac:dyDescent="0.3">
      <c r="A1943" t="s">
        <v>7955</v>
      </c>
      <c r="B1943" t="s">
        <v>306</v>
      </c>
      <c r="C1943">
        <v>25</v>
      </c>
      <c r="D1943" t="str">
        <f>VLOOKUP(B1943,Products!$A:$E,2,FALSE)</f>
        <v>Product_149</v>
      </c>
      <c r="E1943" t="str">
        <f>VLOOKUP(B1943,Products!$A:$E,3,FALSE)</f>
        <v>Accessories</v>
      </c>
    </row>
    <row r="1944" spans="1:5" x14ac:dyDescent="0.3">
      <c r="A1944" t="s">
        <v>7956</v>
      </c>
      <c r="B1944" t="s">
        <v>172</v>
      </c>
      <c r="C1944">
        <v>37</v>
      </c>
      <c r="D1944" t="str">
        <f>VLOOKUP(B1944,Products!$A:$E,2,FALSE)</f>
        <v>Product_82</v>
      </c>
      <c r="E1944" t="str">
        <f>VLOOKUP(B1944,Products!$A:$E,3,FALSE)</f>
        <v>Storage</v>
      </c>
    </row>
    <row r="1945" spans="1:5" x14ac:dyDescent="0.3">
      <c r="A1945" t="s">
        <v>7957</v>
      </c>
      <c r="B1945" t="s">
        <v>418</v>
      </c>
      <c r="C1945">
        <v>5</v>
      </c>
      <c r="D1945" t="str">
        <f>VLOOKUP(B1945,Products!$A:$E,2,FALSE)</f>
        <v>Product_205</v>
      </c>
      <c r="E1945" t="str">
        <f>VLOOKUP(B1945,Products!$A:$E,3,FALSE)</f>
        <v>Storage</v>
      </c>
    </row>
    <row r="1946" spans="1:5" x14ac:dyDescent="0.3">
      <c r="A1946" t="s">
        <v>7958</v>
      </c>
      <c r="B1946" t="s">
        <v>238</v>
      </c>
      <c r="C1946">
        <v>25</v>
      </c>
      <c r="D1946" t="str">
        <f>VLOOKUP(B1946,Products!$A:$E,2,FALSE)</f>
        <v>Product_115</v>
      </c>
      <c r="E1946" t="str">
        <f>VLOOKUP(B1946,Products!$A:$E,3,FALSE)</f>
        <v>Networking</v>
      </c>
    </row>
    <row r="1947" spans="1:5" x14ac:dyDescent="0.3">
      <c r="A1947" t="s">
        <v>7959</v>
      </c>
      <c r="B1947" t="s">
        <v>904</v>
      </c>
      <c r="C1947">
        <v>30</v>
      </c>
      <c r="D1947" t="str">
        <f>VLOOKUP(B1947,Products!$A:$E,2,FALSE)</f>
        <v>Product_448</v>
      </c>
      <c r="E1947" t="str">
        <f>VLOOKUP(B1947,Products!$A:$E,3,FALSE)</f>
        <v>Networking</v>
      </c>
    </row>
    <row r="1948" spans="1:5" x14ac:dyDescent="0.3">
      <c r="A1948" t="s">
        <v>7960</v>
      </c>
      <c r="B1948" t="s">
        <v>694</v>
      </c>
      <c r="C1948">
        <v>6</v>
      </c>
      <c r="D1948" t="str">
        <f>VLOOKUP(B1948,Products!$A:$E,2,FALSE)</f>
        <v>Product_343</v>
      </c>
      <c r="E1948" t="str">
        <f>VLOOKUP(B1948,Products!$A:$E,3,FALSE)</f>
        <v>Office Supplies</v>
      </c>
    </row>
    <row r="1949" spans="1:5" x14ac:dyDescent="0.3">
      <c r="A1949" t="s">
        <v>7961</v>
      </c>
      <c r="B1949" t="s">
        <v>366</v>
      </c>
      <c r="C1949">
        <v>30</v>
      </c>
      <c r="D1949" t="str">
        <f>VLOOKUP(B1949,Products!$A:$E,2,FALSE)</f>
        <v>Product_179</v>
      </c>
      <c r="E1949" t="str">
        <f>VLOOKUP(B1949,Products!$A:$E,3,FALSE)</f>
        <v>Storage</v>
      </c>
    </row>
    <row r="1950" spans="1:5" x14ac:dyDescent="0.3">
      <c r="A1950" t="s">
        <v>7962</v>
      </c>
      <c r="B1950" t="s">
        <v>488</v>
      </c>
      <c r="C1950">
        <v>42</v>
      </c>
      <c r="D1950" t="str">
        <f>VLOOKUP(B1950,Products!$A:$E,2,FALSE)</f>
        <v>Product_240</v>
      </c>
      <c r="E1950" t="str">
        <f>VLOOKUP(B1950,Products!$A:$E,3,FALSE)</f>
        <v>Storage</v>
      </c>
    </row>
    <row r="1951" spans="1:5" x14ac:dyDescent="0.3">
      <c r="A1951" t="s">
        <v>7963</v>
      </c>
      <c r="B1951" t="s">
        <v>556</v>
      </c>
      <c r="C1951">
        <v>30</v>
      </c>
      <c r="D1951" t="str">
        <f>VLOOKUP(B1951,Products!$A:$E,2,FALSE)</f>
        <v>Product_274</v>
      </c>
      <c r="E1951" t="str">
        <f>VLOOKUP(B1951,Products!$A:$E,3,FALSE)</f>
        <v>Accessories</v>
      </c>
    </row>
    <row r="1952" spans="1:5" x14ac:dyDescent="0.3">
      <c r="A1952" t="s">
        <v>7964</v>
      </c>
      <c r="B1952" t="s">
        <v>120</v>
      </c>
      <c r="C1952">
        <v>6</v>
      </c>
      <c r="D1952" t="str">
        <f>VLOOKUP(B1952,Products!$A:$E,2,FALSE)</f>
        <v>Product_56</v>
      </c>
      <c r="E1952" t="str">
        <f>VLOOKUP(B1952,Products!$A:$E,3,FALSE)</f>
        <v>Networking</v>
      </c>
    </row>
    <row r="1953" spans="1:5" x14ac:dyDescent="0.3">
      <c r="A1953" t="s">
        <v>7965</v>
      </c>
      <c r="B1953" t="s">
        <v>194</v>
      </c>
      <c r="C1953">
        <v>47</v>
      </c>
      <c r="D1953" t="str">
        <f>VLOOKUP(B1953,Products!$A:$E,2,FALSE)</f>
        <v>Product_93</v>
      </c>
      <c r="E1953" t="str">
        <f>VLOOKUP(B1953,Products!$A:$E,3,FALSE)</f>
        <v>Office Supplies</v>
      </c>
    </row>
    <row r="1954" spans="1:5" x14ac:dyDescent="0.3">
      <c r="A1954" t="s">
        <v>7966</v>
      </c>
      <c r="B1954" t="s">
        <v>120</v>
      </c>
      <c r="C1954">
        <v>26</v>
      </c>
      <c r="D1954" t="str">
        <f>VLOOKUP(B1954,Products!$A:$E,2,FALSE)</f>
        <v>Product_56</v>
      </c>
      <c r="E1954" t="str">
        <f>VLOOKUP(B1954,Products!$A:$E,3,FALSE)</f>
        <v>Networking</v>
      </c>
    </row>
    <row r="1955" spans="1:5" x14ac:dyDescent="0.3">
      <c r="A1955" t="s">
        <v>7967</v>
      </c>
      <c r="B1955" t="s">
        <v>796</v>
      </c>
      <c r="C1955">
        <v>28</v>
      </c>
      <c r="D1955" t="str">
        <f>VLOOKUP(B1955,Products!$A:$E,2,FALSE)</f>
        <v>Product_394</v>
      </c>
      <c r="E1955" t="str">
        <f>VLOOKUP(B1955,Products!$A:$E,3,FALSE)</f>
        <v>Electronics</v>
      </c>
    </row>
    <row r="1956" spans="1:5" x14ac:dyDescent="0.3">
      <c r="A1956" t="s">
        <v>7968</v>
      </c>
      <c r="B1956" t="s">
        <v>214</v>
      </c>
      <c r="C1956">
        <v>26</v>
      </c>
      <c r="D1956" t="str">
        <f>VLOOKUP(B1956,Products!$A:$E,2,FALSE)</f>
        <v>Product_103</v>
      </c>
      <c r="E1956" t="str">
        <f>VLOOKUP(B1956,Products!$A:$E,3,FALSE)</f>
        <v>Accessories</v>
      </c>
    </row>
    <row r="1957" spans="1:5" x14ac:dyDescent="0.3">
      <c r="A1957" t="s">
        <v>7969</v>
      </c>
      <c r="B1957" t="s">
        <v>346</v>
      </c>
      <c r="C1957">
        <v>5</v>
      </c>
      <c r="D1957" t="str">
        <f>VLOOKUP(B1957,Products!$A:$E,2,FALSE)</f>
        <v>Product_169</v>
      </c>
      <c r="E1957" t="str">
        <f>VLOOKUP(B1957,Products!$A:$E,3,FALSE)</f>
        <v>Accessories</v>
      </c>
    </row>
    <row r="1958" spans="1:5" x14ac:dyDescent="0.3">
      <c r="A1958" t="s">
        <v>7970</v>
      </c>
      <c r="B1958" t="s">
        <v>334</v>
      </c>
      <c r="C1958">
        <v>22</v>
      </c>
      <c r="D1958" t="str">
        <f>VLOOKUP(B1958,Products!$A:$E,2,FALSE)</f>
        <v>Product_163</v>
      </c>
      <c r="E1958" t="str">
        <f>VLOOKUP(B1958,Products!$A:$E,3,FALSE)</f>
        <v>Accessories</v>
      </c>
    </row>
    <row r="1959" spans="1:5" x14ac:dyDescent="0.3">
      <c r="A1959" t="s">
        <v>7971</v>
      </c>
      <c r="B1959" t="s">
        <v>628</v>
      </c>
      <c r="C1959">
        <v>32</v>
      </c>
      <c r="D1959" t="str">
        <f>VLOOKUP(B1959,Products!$A:$E,2,FALSE)</f>
        <v>Product_310</v>
      </c>
      <c r="E1959" t="str">
        <f>VLOOKUP(B1959,Products!$A:$E,3,FALSE)</f>
        <v>Office Supplies</v>
      </c>
    </row>
    <row r="1960" spans="1:5" x14ac:dyDescent="0.3">
      <c r="A1960" t="s">
        <v>7972</v>
      </c>
      <c r="B1960" t="s">
        <v>226</v>
      </c>
      <c r="C1960">
        <v>45</v>
      </c>
      <c r="D1960" t="str">
        <f>VLOOKUP(B1960,Products!$A:$E,2,FALSE)</f>
        <v>Product_109</v>
      </c>
      <c r="E1960" t="str">
        <f>VLOOKUP(B1960,Products!$A:$E,3,FALSE)</f>
        <v>Storage</v>
      </c>
    </row>
    <row r="1961" spans="1:5" x14ac:dyDescent="0.3">
      <c r="A1961" t="s">
        <v>7973</v>
      </c>
      <c r="B1961" t="s">
        <v>768</v>
      </c>
      <c r="C1961">
        <v>31</v>
      </c>
      <c r="D1961" t="str">
        <f>VLOOKUP(B1961,Products!$A:$E,2,FALSE)</f>
        <v>Product_380</v>
      </c>
      <c r="E1961" t="str">
        <f>VLOOKUP(B1961,Products!$A:$E,3,FALSE)</f>
        <v>Electronics</v>
      </c>
    </row>
    <row r="1962" spans="1:5" x14ac:dyDescent="0.3">
      <c r="A1962" t="s">
        <v>7974</v>
      </c>
      <c r="B1962" t="s">
        <v>126</v>
      </c>
      <c r="C1962">
        <v>18</v>
      </c>
      <c r="D1962" t="str">
        <f>VLOOKUP(B1962,Products!$A:$E,2,FALSE)</f>
        <v>Product_59</v>
      </c>
      <c r="E1962" t="str">
        <f>VLOOKUP(B1962,Products!$A:$E,3,FALSE)</f>
        <v>Accessories</v>
      </c>
    </row>
    <row r="1963" spans="1:5" x14ac:dyDescent="0.3">
      <c r="A1963" t="s">
        <v>7975</v>
      </c>
      <c r="B1963" t="s">
        <v>474</v>
      </c>
      <c r="C1963">
        <v>3</v>
      </c>
      <c r="D1963" t="str">
        <f>VLOOKUP(B1963,Products!$A:$E,2,FALSE)</f>
        <v>Product_233</v>
      </c>
      <c r="E1963" t="str">
        <f>VLOOKUP(B1963,Products!$A:$E,3,FALSE)</f>
        <v>Accessories</v>
      </c>
    </row>
    <row r="1964" spans="1:5" x14ac:dyDescent="0.3">
      <c r="A1964" t="s">
        <v>7976</v>
      </c>
      <c r="B1964" t="s">
        <v>568</v>
      </c>
      <c r="C1964">
        <v>10</v>
      </c>
      <c r="D1964" t="str">
        <f>VLOOKUP(B1964,Products!$A:$E,2,FALSE)</f>
        <v>Product_280</v>
      </c>
      <c r="E1964" t="str">
        <f>VLOOKUP(B1964,Products!$A:$E,3,FALSE)</f>
        <v>Electronics</v>
      </c>
    </row>
    <row r="1965" spans="1:5" x14ac:dyDescent="0.3">
      <c r="A1965" t="s">
        <v>7977</v>
      </c>
      <c r="B1965" t="s">
        <v>980</v>
      </c>
      <c r="C1965">
        <v>31</v>
      </c>
      <c r="D1965" t="str">
        <f>VLOOKUP(B1965,Products!$A:$E,2,FALSE)</f>
        <v>Product_486</v>
      </c>
      <c r="E1965" t="str">
        <f>VLOOKUP(B1965,Products!$A:$E,3,FALSE)</f>
        <v>Electronics</v>
      </c>
    </row>
    <row r="1966" spans="1:5" x14ac:dyDescent="0.3">
      <c r="A1966" t="s">
        <v>7978</v>
      </c>
      <c r="B1966" t="s">
        <v>158</v>
      </c>
      <c r="C1966">
        <v>41</v>
      </c>
      <c r="D1966" t="str">
        <f>VLOOKUP(B1966,Products!$A:$E,2,FALSE)</f>
        <v>Product_75</v>
      </c>
      <c r="E1966" t="str">
        <f>VLOOKUP(B1966,Products!$A:$E,3,FALSE)</f>
        <v>Storage</v>
      </c>
    </row>
    <row r="1967" spans="1:5" x14ac:dyDescent="0.3">
      <c r="A1967" t="s">
        <v>7979</v>
      </c>
      <c r="B1967" t="s">
        <v>228</v>
      </c>
      <c r="C1967">
        <v>21</v>
      </c>
      <c r="D1967" t="str">
        <f>VLOOKUP(B1967,Products!$A:$E,2,FALSE)</f>
        <v>Product_110</v>
      </c>
      <c r="E1967" t="str">
        <f>VLOOKUP(B1967,Products!$A:$E,3,FALSE)</f>
        <v>Networking</v>
      </c>
    </row>
    <row r="1968" spans="1:5" x14ac:dyDescent="0.3">
      <c r="A1968" t="s">
        <v>7980</v>
      </c>
      <c r="B1968" t="s">
        <v>590</v>
      </c>
      <c r="C1968">
        <v>3</v>
      </c>
      <c r="D1968" t="str">
        <f>VLOOKUP(B1968,Products!$A:$E,2,FALSE)</f>
        <v>Product_291</v>
      </c>
      <c r="E1968" t="str">
        <f>VLOOKUP(B1968,Products!$A:$E,3,FALSE)</f>
        <v>Networking</v>
      </c>
    </row>
    <row r="1969" spans="1:5" x14ac:dyDescent="0.3">
      <c r="A1969" t="s">
        <v>7981</v>
      </c>
      <c r="B1969" t="s">
        <v>624</v>
      </c>
      <c r="C1969">
        <v>50</v>
      </c>
      <c r="D1969" t="str">
        <f>VLOOKUP(B1969,Products!$A:$E,2,FALSE)</f>
        <v>Product_308</v>
      </c>
      <c r="E1969" t="str">
        <f>VLOOKUP(B1969,Products!$A:$E,3,FALSE)</f>
        <v>Storage</v>
      </c>
    </row>
    <row r="1970" spans="1:5" x14ac:dyDescent="0.3">
      <c r="A1970" t="s">
        <v>7982</v>
      </c>
      <c r="B1970" t="s">
        <v>398</v>
      </c>
      <c r="C1970">
        <v>4</v>
      </c>
      <c r="D1970" t="str">
        <f>VLOOKUP(B1970,Products!$A:$E,2,FALSE)</f>
        <v>Product_195</v>
      </c>
      <c r="E1970" t="str">
        <f>VLOOKUP(B1970,Products!$A:$E,3,FALSE)</f>
        <v>Accessories</v>
      </c>
    </row>
    <row r="1971" spans="1:5" x14ac:dyDescent="0.3">
      <c r="A1971" t="s">
        <v>7983</v>
      </c>
      <c r="B1971" t="s">
        <v>968</v>
      </c>
      <c r="C1971">
        <v>24</v>
      </c>
      <c r="D1971" t="str">
        <f>VLOOKUP(B1971,Products!$A:$E,2,FALSE)</f>
        <v>Product_480</v>
      </c>
      <c r="E1971" t="str">
        <f>VLOOKUP(B1971,Products!$A:$E,3,FALSE)</f>
        <v>Accessories</v>
      </c>
    </row>
    <row r="1972" spans="1:5" x14ac:dyDescent="0.3">
      <c r="A1972" t="s">
        <v>7984</v>
      </c>
      <c r="B1972" t="s">
        <v>818</v>
      </c>
      <c r="C1972">
        <v>28</v>
      </c>
      <c r="D1972" t="str">
        <f>VLOOKUP(B1972,Products!$A:$E,2,FALSE)</f>
        <v>Product_405</v>
      </c>
      <c r="E1972" t="str">
        <f>VLOOKUP(B1972,Products!$A:$E,3,FALSE)</f>
        <v>Electronics</v>
      </c>
    </row>
    <row r="1973" spans="1:5" x14ac:dyDescent="0.3">
      <c r="A1973" t="s">
        <v>7985</v>
      </c>
      <c r="B1973" t="s">
        <v>494</v>
      </c>
      <c r="C1973">
        <v>14</v>
      </c>
      <c r="D1973" t="str">
        <f>VLOOKUP(B1973,Products!$A:$E,2,FALSE)</f>
        <v>Product_243</v>
      </c>
      <c r="E1973" t="str">
        <f>VLOOKUP(B1973,Products!$A:$E,3,FALSE)</f>
        <v>Storage</v>
      </c>
    </row>
    <row r="1974" spans="1:5" x14ac:dyDescent="0.3">
      <c r="A1974" t="s">
        <v>7986</v>
      </c>
      <c r="B1974" t="s">
        <v>64</v>
      </c>
      <c r="C1974">
        <v>14</v>
      </c>
      <c r="D1974" t="str">
        <f>VLOOKUP(B1974,Products!$A:$E,2,FALSE)</f>
        <v>Product_28</v>
      </c>
      <c r="E1974" t="str">
        <f>VLOOKUP(B1974,Products!$A:$E,3,FALSE)</f>
        <v>Office Supplies</v>
      </c>
    </row>
    <row r="1975" spans="1:5" x14ac:dyDescent="0.3">
      <c r="A1975" t="s">
        <v>7987</v>
      </c>
      <c r="B1975" t="s">
        <v>898</v>
      </c>
      <c r="C1975">
        <v>2</v>
      </c>
      <c r="D1975" t="str">
        <f>VLOOKUP(B1975,Products!$A:$E,2,FALSE)</f>
        <v>Product_445</v>
      </c>
      <c r="E1975" t="str">
        <f>VLOOKUP(B1975,Products!$A:$E,3,FALSE)</f>
        <v>Office Supplies</v>
      </c>
    </row>
    <row r="1976" spans="1:5" x14ac:dyDescent="0.3">
      <c r="A1976" t="s">
        <v>7988</v>
      </c>
      <c r="B1976" t="s">
        <v>984</v>
      </c>
      <c r="C1976">
        <v>49</v>
      </c>
      <c r="D1976" t="str">
        <f>VLOOKUP(B1976,Products!$A:$E,2,FALSE)</f>
        <v>Product_488</v>
      </c>
      <c r="E1976" t="str">
        <f>VLOOKUP(B1976,Products!$A:$E,3,FALSE)</f>
        <v>Accessories</v>
      </c>
    </row>
    <row r="1977" spans="1:5" x14ac:dyDescent="0.3">
      <c r="A1977" t="s">
        <v>7989</v>
      </c>
      <c r="B1977" t="s">
        <v>710</v>
      </c>
      <c r="C1977">
        <v>28</v>
      </c>
      <c r="D1977" t="str">
        <f>VLOOKUP(B1977,Products!$A:$E,2,FALSE)</f>
        <v>Product_351</v>
      </c>
      <c r="E1977" t="str">
        <f>VLOOKUP(B1977,Products!$A:$E,3,FALSE)</f>
        <v>Accessories</v>
      </c>
    </row>
    <row r="1978" spans="1:5" x14ac:dyDescent="0.3">
      <c r="A1978" t="s">
        <v>7990</v>
      </c>
      <c r="B1978" t="s">
        <v>286</v>
      </c>
      <c r="C1978">
        <v>17</v>
      </c>
      <c r="D1978" t="str">
        <f>VLOOKUP(B1978,Products!$A:$E,2,FALSE)</f>
        <v>Product_139</v>
      </c>
      <c r="E1978" t="str">
        <f>VLOOKUP(B1978,Products!$A:$E,3,FALSE)</f>
        <v>Storage</v>
      </c>
    </row>
    <row r="1979" spans="1:5" x14ac:dyDescent="0.3">
      <c r="A1979" t="s">
        <v>7991</v>
      </c>
      <c r="B1979" t="s">
        <v>660</v>
      </c>
      <c r="C1979">
        <v>12</v>
      </c>
      <c r="D1979" t="str">
        <f>VLOOKUP(B1979,Products!$A:$E,2,FALSE)</f>
        <v>Product_326</v>
      </c>
      <c r="E1979" t="str">
        <f>VLOOKUP(B1979,Products!$A:$E,3,FALSE)</f>
        <v>Electronics</v>
      </c>
    </row>
    <row r="1980" spans="1:5" x14ac:dyDescent="0.3">
      <c r="A1980" t="s">
        <v>7992</v>
      </c>
      <c r="B1980" t="s">
        <v>94</v>
      </c>
      <c r="C1980">
        <v>10</v>
      </c>
      <c r="D1980" t="str">
        <f>VLOOKUP(B1980,Products!$A:$E,2,FALSE)</f>
        <v>Product_43</v>
      </c>
      <c r="E1980" t="str">
        <f>VLOOKUP(B1980,Products!$A:$E,3,FALSE)</f>
        <v>Storage</v>
      </c>
    </row>
    <row r="1981" spans="1:5" x14ac:dyDescent="0.3">
      <c r="A1981" t="s">
        <v>7993</v>
      </c>
      <c r="B1981" t="s">
        <v>80</v>
      </c>
      <c r="C1981">
        <v>18</v>
      </c>
      <c r="D1981" t="str">
        <f>VLOOKUP(B1981,Products!$A:$E,2,FALSE)</f>
        <v>Product_36</v>
      </c>
      <c r="E1981" t="str">
        <f>VLOOKUP(B1981,Products!$A:$E,3,FALSE)</f>
        <v>Office Supplies</v>
      </c>
    </row>
    <row r="1982" spans="1:5" x14ac:dyDescent="0.3">
      <c r="A1982" t="s">
        <v>7994</v>
      </c>
      <c r="B1982" t="s">
        <v>424</v>
      </c>
      <c r="C1982">
        <v>6</v>
      </c>
      <c r="D1982" t="str">
        <f>VLOOKUP(B1982,Products!$A:$E,2,FALSE)</f>
        <v>Product_208</v>
      </c>
      <c r="E1982" t="str">
        <f>VLOOKUP(B1982,Products!$A:$E,3,FALSE)</f>
        <v>Electronics</v>
      </c>
    </row>
    <row r="1983" spans="1:5" x14ac:dyDescent="0.3">
      <c r="A1983" t="s">
        <v>7995</v>
      </c>
      <c r="B1983" t="s">
        <v>314</v>
      </c>
      <c r="C1983">
        <v>46</v>
      </c>
      <c r="D1983" t="str">
        <f>VLOOKUP(B1983,Products!$A:$E,2,FALSE)</f>
        <v>Product_153</v>
      </c>
      <c r="E1983" t="str">
        <f>VLOOKUP(B1983,Products!$A:$E,3,FALSE)</f>
        <v>Electronics</v>
      </c>
    </row>
    <row r="1984" spans="1:5" x14ac:dyDescent="0.3">
      <c r="A1984" t="s">
        <v>7996</v>
      </c>
      <c r="B1984" t="s">
        <v>472</v>
      </c>
      <c r="C1984">
        <v>27</v>
      </c>
      <c r="D1984" t="str">
        <f>VLOOKUP(B1984,Products!$A:$E,2,FALSE)</f>
        <v>Product_232</v>
      </c>
      <c r="E1984" t="str">
        <f>VLOOKUP(B1984,Products!$A:$E,3,FALSE)</f>
        <v>Office Supplies</v>
      </c>
    </row>
    <row r="1985" spans="1:5" x14ac:dyDescent="0.3">
      <c r="A1985" t="s">
        <v>7997</v>
      </c>
      <c r="B1985" t="s">
        <v>546</v>
      </c>
      <c r="C1985">
        <v>14</v>
      </c>
      <c r="D1985" t="str">
        <f>VLOOKUP(B1985,Products!$A:$E,2,FALSE)</f>
        <v>Product_269</v>
      </c>
      <c r="E1985" t="str">
        <f>VLOOKUP(B1985,Products!$A:$E,3,FALSE)</f>
        <v>Storage</v>
      </c>
    </row>
    <row r="1986" spans="1:5" x14ac:dyDescent="0.3">
      <c r="A1986" t="s">
        <v>7998</v>
      </c>
      <c r="B1986" t="s">
        <v>694</v>
      </c>
      <c r="C1986">
        <v>17</v>
      </c>
      <c r="D1986" t="str">
        <f>VLOOKUP(B1986,Products!$A:$E,2,FALSE)</f>
        <v>Product_343</v>
      </c>
      <c r="E1986" t="str">
        <f>VLOOKUP(B1986,Products!$A:$E,3,FALSE)</f>
        <v>Office Supplies</v>
      </c>
    </row>
    <row r="1987" spans="1:5" x14ac:dyDescent="0.3">
      <c r="A1987" t="s">
        <v>7999</v>
      </c>
      <c r="B1987" t="s">
        <v>198</v>
      </c>
      <c r="C1987">
        <v>4</v>
      </c>
      <c r="D1987" t="str">
        <f>VLOOKUP(B1987,Products!$A:$E,2,FALSE)</f>
        <v>Product_95</v>
      </c>
      <c r="E1987" t="str">
        <f>VLOOKUP(B1987,Products!$A:$E,3,FALSE)</f>
        <v>Electronics</v>
      </c>
    </row>
    <row r="1988" spans="1:5" x14ac:dyDescent="0.3">
      <c r="A1988" t="s">
        <v>8000</v>
      </c>
      <c r="B1988" t="s">
        <v>104</v>
      </c>
      <c r="C1988">
        <v>28</v>
      </c>
      <c r="D1988" t="str">
        <f>VLOOKUP(B1988,Products!$A:$E,2,FALSE)</f>
        <v>Product_48</v>
      </c>
      <c r="E1988" t="str">
        <f>VLOOKUP(B1988,Products!$A:$E,3,FALSE)</f>
        <v>Accessories</v>
      </c>
    </row>
    <row r="1989" spans="1:5" x14ac:dyDescent="0.3">
      <c r="A1989" t="s">
        <v>8001</v>
      </c>
      <c r="B1989" t="s">
        <v>360</v>
      </c>
      <c r="C1989">
        <v>49</v>
      </c>
      <c r="D1989" t="str">
        <f>VLOOKUP(B1989,Products!$A:$E,2,FALSE)</f>
        <v>Product_176</v>
      </c>
      <c r="E1989" t="str">
        <f>VLOOKUP(B1989,Products!$A:$E,3,FALSE)</f>
        <v>Electronics</v>
      </c>
    </row>
    <row r="1990" spans="1:5" x14ac:dyDescent="0.3">
      <c r="A1990" t="s">
        <v>8002</v>
      </c>
      <c r="B1990" t="s">
        <v>314</v>
      </c>
      <c r="C1990">
        <v>11</v>
      </c>
      <c r="D1990" t="str">
        <f>VLOOKUP(B1990,Products!$A:$E,2,FALSE)</f>
        <v>Product_153</v>
      </c>
      <c r="E1990" t="str">
        <f>VLOOKUP(B1990,Products!$A:$E,3,FALSE)</f>
        <v>Electronics</v>
      </c>
    </row>
    <row r="1991" spans="1:5" x14ac:dyDescent="0.3">
      <c r="A1991" t="s">
        <v>8003</v>
      </c>
      <c r="B1991" t="s">
        <v>212</v>
      </c>
      <c r="C1991">
        <v>23</v>
      </c>
      <c r="D1991" t="str">
        <f>VLOOKUP(B1991,Products!$A:$E,2,FALSE)</f>
        <v>Product_102</v>
      </c>
      <c r="E1991" t="str">
        <f>VLOOKUP(B1991,Products!$A:$E,3,FALSE)</f>
        <v>Storage</v>
      </c>
    </row>
    <row r="1992" spans="1:5" x14ac:dyDescent="0.3">
      <c r="A1992" t="s">
        <v>8004</v>
      </c>
      <c r="B1992" t="s">
        <v>974</v>
      </c>
      <c r="C1992">
        <v>27</v>
      </c>
      <c r="D1992" t="str">
        <f>VLOOKUP(B1992,Products!$A:$E,2,FALSE)</f>
        <v>Product_483</v>
      </c>
      <c r="E1992" t="str">
        <f>VLOOKUP(B1992,Products!$A:$E,3,FALSE)</f>
        <v>Electronics</v>
      </c>
    </row>
    <row r="1993" spans="1:5" x14ac:dyDescent="0.3">
      <c r="A1993" t="s">
        <v>8005</v>
      </c>
      <c r="B1993" t="s">
        <v>502</v>
      </c>
      <c r="C1993">
        <v>31</v>
      </c>
      <c r="D1993" t="str">
        <f>VLOOKUP(B1993,Products!$A:$E,2,FALSE)</f>
        <v>Product_247</v>
      </c>
      <c r="E1993" t="str">
        <f>VLOOKUP(B1993,Products!$A:$E,3,FALSE)</f>
        <v>Networking</v>
      </c>
    </row>
    <row r="1994" spans="1:5" x14ac:dyDescent="0.3">
      <c r="A1994" t="s">
        <v>8006</v>
      </c>
      <c r="B1994" t="s">
        <v>558</v>
      </c>
      <c r="C1994">
        <v>45</v>
      </c>
      <c r="D1994" t="str">
        <f>VLOOKUP(B1994,Products!$A:$E,2,FALSE)</f>
        <v>Product_275</v>
      </c>
      <c r="E1994" t="str">
        <f>VLOOKUP(B1994,Products!$A:$E,3,FALSE)</f>
        <v>Accessories</v>
      </c>
    </row>
    <row r="1995" spans="1:5" x14ac:dyDescent="0.3">
      <c r="A1995" t="s">
        <v>8007</v>
      </c>
      <c r="B1995" t="s">
        <v>812</v>
      </c>
      <c r="C1995">
        <v>11</v>
      </c>
      <c r="D1995" t="str">
        <f>VLOOKUP(B1995,Products!$A:$E,2,FALSE)</f>
        <v>Product_402</v>
      </c>
      <c r="E1995" t="str">
        <f>VLOOKUP(B1995,Products!$A:$E,3,FALSE)</f>
        <v>Accessories</v>
      </c>
    </row>
    <row r="1996" spans="1:5" x14ac:dyDescent="0.3">
      <c r="A1996" t="s">
        <v>8008</v>
      </c>
      <c r="B1996" t="s">
        <v>998</v>
      </c>
      <c r="C1996">
        <v>45</v>
      </c>
      <c r="D1996" t="str">
        <f>VLOOKUP(B1996,Products!$A:$E,2,FALSE)</f>
        <v>Product_495</v>
      </c>
      <c r="E1996" t="str">
        <f>VLOOKUP(B1996,Products!$A:$E,3,FALSE)</f>
        <v>Networking</v>
      </c>
    </row>
    <row r="1997" spans="1:5" x14ac:dyDescent="0.3">
      <c r="A1997" t="s">
        <v>8009</v>
      </c>
      <c r="B1997" t="s">
        <v>456</v>
      </c>
      <c r="C1997">
        <v>23</v>
      </c>
      <c r="D1997" t="str">
        <f>VLOOKUP(B1997,Products!$A:$E,2,FALSE)</f>
        <v>Product_224</v>
      </c>
      <c r="E1997" t="str">
        <f>VLOOKUP(B1997,Products!$A:$E,3,FALSE)</f>
        <v>Storage</v>
      </c>
    </row>
    <row r="1998" spans="1:5" x14ac:dyDescent="0.3">
      <c r="A1998" t="s">
        <v>8010</v>
      </c>
      <c r="B1998" t="s">
        <v>944</v>
      </c>
      <c r="C1998">
        <v>45</v>
      </c>
      <c r="D1998" t="str">
        <f>VLOOKUP(B1998,Products!$A:$E,2,FALSE)</f>
        <v>Product_468</v>
      </c>
      <c r="E1998" t="str">
        <f>VLOOKUP(B1998,Products!$A:$E,3,FALSE)</f>
        <v>Office Supplies</v>
      </c>
    </row>
    <row r="1999" spans="1:5" x14ac:dyDescent="0.3">
      <c r="A1999" t="s">
        <v>8011</v>
      </c>
      <c r="B1999" t="s">
        <v>594</v>
      </c>
      <c r="C1999">
        <v>25</v>
      </c>
      <c r="D1999" t="str">
        <f>VLOOKUP(B1999,Products!$A:$E,2,FALSE)</f>
        <v>Product_293</v>
      </c>
      <c r="E1999" t="str">
        <f>VLOOKUP(B1999,Products!$A:$E,3,FALSE)</f>
        <v>Networking</v>
      </c>
    </row>
    <row r="2000" spans="1:5" x14ac:dyDescent="0.3">
      <c r="A2000" t="s">
        <v>8012</v>
      </c>
      <c r="B2000" t="s">
        <v>852</v>
      </c>
      <c r="C2000">
        <v>1</v>
      </c>
      <c r="D2000" t="str">
        <f>VLOOKUP(B2000,Products!$A:$E,2,FALSE)</f>
        <v>Product_422</v>
      </c>
      <c r="E2000" t="str">
        <f>VLOOKUP(B2000,Products!$A:$E,3,FALSE)</f>
        <v>Accessories</v>
      </c>
    </row>
    <row r="2001" spans="1:5" x14ac:dyDescent="0.3">
      <c r="A2001" t="s">
        <v>8013</v>
      </c>
      <c r="B2001" t="s">
        <v>584</v>
      </c>
      <c r="C2001">
        <v>39</v>
      </c>
      <c r="D2001" t="str">
        <f>VLOOKUP(B2001,Products!$A:$E,2,FALSE)</f>
        <v>Product_288</v>
      </c>
      <c r="E2001" t="str">
        <f>VLOOKUP(B2001,Products!$A:$E,3,FALSE)</f>
        <v>Networking</v>
      </c>
    </row>
    <row r="2002" spans="1:5" x14ac:dyDescent="0.3">
      <c r="A2002" t="s">
        <v>8014</v>
      </c>
      <c r="B2002" t="s">
        <v>212</v>
      </c>
      <c r="C2002">
        <v>5</v>
      </c>
      <c r="D2002" t="str">
        <f>VLOOKUP(B2002,Products!$A:$E,2,FALSE)</f>
        <v>Product_102</v>
      </c>
      <c r="E2002" t="str">
        <f>VLOOKUP(B2002,Products!$A:$E,3,FALSE)</f>
        <v>Storage</v>
      </c>
    </row>
    <row r="2003" spans="1:5" x14ac:dyDescent="0.3">
      <c r="A2003" t="s">
        <v>8015</v>
      </c>
      <c r="B2003" t="s">
        <v>750</v>
      </c>
      <c r="C2003">
        <v>43</v>
      </c>
      <c r="D2003" t="str">
        <f>VLOOKUP(B2003,Products!$A:$E,2,FALSE)</f>
        <v>Product_371</v>
      </c>
      <c r="E2003" t="str">
        <f>VLOOKUP(B2003,Products!$A:$E,3,FALSE)</f>
        <v>Storage</v>
      </c>
    </row>
    <row r="2004" spans="1:5" x14ac:dyDescent="0.3">
      <c r="A2004" t="s">
        <v>8016</v>
      </c>
      <c r="B2004" t="s">
        <v>602</v>
      </c>
      <c r="C2004">
        <v>40</v>
      </c>
      <c r="D2004" t="str">
        <f>VLOOKUP(B2004,Products!$A:$E,2,FALSE)</f>
        <v>Product_297</v>
      </c>
      <c r="E2004" t="str">
        <f>VLOOKUP(B2004,Products!$A:$E,3,FALSE)</f>
        <v>Storage</v>
      </c>
    </row>
    <row r="2005" spans="1:5" x14ac:dyDescent="0.3">
      <c r="A2005" t="s">
        <v>8017</v>
      </c>
      <c r="B2005" t="s">
        <v>158</v>
      </c>
      <c r="C2005">
        <v>21</v>
      </c>
      <c r="D2005" t="str">
        <f>VLOOKUP(B2005,Products!$A:$E,2,FALSE)</f>
        <v>Product_75</v>
      </c>
      <c r="E2005" t="str">
        <f>VLOOKUP(B2005,Products!$A:$E,3,FALSE)</f>
        <v>Storage</v>
      </c>
    </row>
    <row r="2006" spans="1:5" x14ac:dyDescent="0.3">
      <c r="A2006" t="s">
        <v>8018</v>
      </c>
      <c r="B2006" t="s">
        <v>690</v>
      </c>
      <c r="C2006">
        <v>47</v>
      </c>
      <c r="D2006" t="str">
        <f>VLOOKUP(B2006,Products!$A:$E,2,FALSE)</f>
        <v>Product_341</v>
      </c>
      <c r="E2006" t="str">
        <f>VLOOKUP(B2006,Products!$A:$E,3,FALSE)</f>
        <v>Storage</v>
      </c>
    </row>
    <row r="2007" spans="1:5" x14ac:dyDescent="0.3">
      <c r="A2007" t="s">
        <v>8019</v>
      </c>
      <c r="B2007" t="s">
        <v>770</v>
      </c>
      <c r="C2007">
        <v>48</v>
      </c>
      <c r="D2007" t="str">
        <f>VLOOKUP(B2007,Products!$A:$E,2,FALSE)</f>
        <v>Product_381</v>
      </c>
      <c r="E2007" t="str">
        <f>VLOOKUP(B2007,Products!$A:$E,3,FALSE)</f>
        <v>Storage</v>
      </c>
    </row>
    <row r="2008" spans="1:5" x14ac:dyDescent="0.3">
      <c r="A2008" t="s">
        <v>8020</v>
      </c>
      <c r="B2008" t="s">
        <v>760</v>
      </c>
      <c r="C2008">
        <v>21</v>
      </c>
      <c r="D2008" t="str">
        <f>VLOOKUP(B2008,Products!$A:$E,2,FALSE)</f>
        <v>Product_376</v>
      </c>
      <c r="E2008" t="str">
        <f>VLOOKUP(B2008,Products!$A:$E,3,FALSE)</f>
        <v>Networking</v>
      </c>
    </row>
    <row r="2009" spans="1:5" x14ac:dyDescent="0.3">
      <c r="A2009" t="s">
        <v>8021</v>
      </c>
      <c r="B2009" t="s">
        <v>24</v>
      </c>
      <c r="C2009">
        <v>10</v>
      </c>
      <c r="D2009" t="str">
        <f>VLOOKUP(B2009,Products!$A:$E,2,FALSE)</f>
        <v>Product_8</v>
      </c>
      <c r="E2009" t="str">
        <f>VLOOKUP(B2009,Products!$A:$E,3,FALSE)</f>
        <v>Storage</v>
      </c>
    </row>
    <row r="2010" spans="1:5" x14ac:dyDescent="0.3">
      <c r="A2010" t="s">
        <v>8022</v>
      </c>
      <c r="B2010" t="s">
        <v>928</v>
      </c>
      <c r="C2010">
        <v>30</v>
      </c>
      <c r="D2010" t="str">
        <f>VLOOKUP(B2010,Products!$A:$E,2,FALSE)</f>
        <v>Product_460</v>
      </c>
      <c r="E2010" t="str">
        <f>VLOOKUP(B2010,Products!$A:$E,3,FALSE)</f>
        <v>Accessories</v>
      </c>
    </row>
    <row r="2011" spans="1:5" x14ac:dyDescent="0.3">
      <c r="A2011" t="s">
        <v>8023</v>
      </c>
      <c r="B2011" t="s">
        <v>966</v>
      </c>
      <c r="C2011">
        <v>10</v>
      </c>
      <c r="D2011" t="str">
        <f>VLOOKUP(B2011,Products!$A:$E,2,FALSE)</f>
        <v>Product_479</v>
      </c>
      <c r="E2011" t="str">
        <f>VLOOKUP(B2011,Products!$A:$E,3,FALSE)</f>
        <v>Office Supplies</v>
      </c>
    </row>
    <row r="2012" spans="1:5" x14ac:dyDescent="0.3">
      <c r="A2012" t="s">
        <v>8024</v>
      </c>
      <c r="B2012" t="s">
        <v>520</v>
      </c>
      <c r="C2012">
        <v>21</v>
      </c>
      <c r="D2012" t="str">
        <f>VLOOKUP(B2012,Products!$A:$E,2,FALSE)</f>
        <v>Product_256</v>
      </c>
      <c r="E2012" t="str">
        <f>VLOOKUP(B2012,Products!$A:$E,3,FALSE)</f>
        <v>Office Supplies</v>
      </c>
    </row>
    <row r="2013" spans="1:5" x14ac:dyDescent="0.3">
      <c r="A2013" t="s">
        <v>8025</v>
      </c>
      <c r="B2013" t="s">
        <v>126</v>
      </c>
      <c r="C2013">
        <v>44</v>
      </c>
      <c r="D2013" t="str">
        <f>VLOOKUP(B2013,Products!$A:$E,2,FALSE)</f>
        <v>Product_59</v>
      </c>
      <c r="E2013" t="str">
        <f>VLOOKUP(B2013,Products!$A:$E,3,FALSE)</f>
        <v>Accessories</v>
      </c>
    </row>
    <row r="2014" spans="1:5" x14ac:dyDescent="0.3">
      <c r="A2014" t="s">
        <v>8026</v>
      </c>
      <c r="B2014" t="s">
        <v>426</v>
      </c>
      <c r="C2014">
        <v>17</v>
      </c>
      <c r="D2014" t="str">
        <f>VLOOKUP(B2014,Products!$A:$E,2,FALSE)</f>
        <v>Product_209</v>
      </c>
      <c r="E2014" t="str">
        <f>VLOOKUP(B2014,Products!$A:$E,3,FALSE)</f>
        <v>Networking</v>
      </c>
    </row>
    <row r="2015" spans="1:5" x14ac:dyDescent="0.3">
      <c r="A2015" t="s">
        <v>8027</v>
      </c>
      <c r="B2015" t="s">
        <v>542</v>
      </c>
      <c r="C2015">
        <v>47</v>
      </c>
      <c r="D2015" t="str">
        <f>VLOOKUP(B2015,Products!$A:$E,2,FALSE)</f>
        <v>Product_267</v>
      </c>
      <c r="E2015" t="str">
        <f>VLOOKUP(B2015,Products!$A:$E,3,FALSE)</f>
        <v>Networking</v>
      </c>
    </row>
    <row r="2016" spans="1:5" x14ac:dyDescent="0.3">
      <c r="A2016" t="s">
        <v>8028</v>
      </c>
      <c r="B2016" t="s">
        <v>8</v>
      </c>
      <c r="C2016">
        <v>29</v>
      </c>
      <c r="D2016" t="str">
        <f>VLOOKUP(B2016,Products!$A:$E,2,FALSE)</f>
        <v>Product_2</v>
      </c>
      <c r="E2016" t="str">
        <f>VLOOKUP(B2016,Products!$A:$E,3,FALSE)</f>
        <v>Office Supplies</v>
      </c>
    </row>
    <row r="2017" spans="1:5" x14ac:dyDescent="0.3">
      <c r="A2017" t="s">
        <v>8029</v>
      </c>
      <c r="B2017" t="s">
        <v>974</v>
      </c>
      <c r="C2017">
        <v>9</v>
      </c>
      <c r="D2017" t="str">
        <f>VLOOKUP(B2017,Products!$A:$E,2,FALSE)</f>
        <v>Product_483</v>
      </c>
      <c r="E2017" t="str">
        <f>VLOOKUP(B2017,Products!$A:$E,3,FALSE)</f>
        <v>Electronics</v>
      </c>
    </row>
    <row r="2018" spans="1:5" x14ac:dyDescent="0.3">
      <c r="A2018" t="s">
        <v>8030</v>
      </c>
      <c r="B2018" t="s">
        <v>658</v>
      </c>
      <c r="C2018">
        <v>29</v>
      </c>
      <c r="D2018" t="str">
        <f>VLOOKUP(B2018,Products!$A:$E,2,FALSE)</f>
        <v>Product_325</v>
      </c>
      <c r="E2018" t="str">
        <f>VLOOKUP(B2018,Products!$A:$E,3,FALSE)</f>
        <v>Networking</v>
      </c>
    </row>
    <row r="2019" spans="1:5" x14ac:dyDescent="0.3">
      <c r="A2019" t="s">
        <v>8031</v>
      </c>
      <c r="B2019" t="s">
        <v>664</v>
      </c>
      <c r="C2019">
        <v>38</v>
      </c>
      <c r="D2019" t="str">
        <f>VLOOKUP(B2019,Products!$A:$E,2,FALSE)</f>
        <v>Product_328</v>
      </c>
      <c r="E2019" t="str">
        <f>VLOOKUP(B2019,Products!$A:$E,3,FALSE)</f>
        <v>Office Supplies</v>
      </c>
    </row>
    <row r="2020" spans="1:5" x14ac:dyDescent="0.3">
      <c r="A2020" t="s">
        <v>8032</v>
      </c>
      <c r="B2020" t="s">
        <v>108</v>
      </c>
      <c r="C2020">
        <v>3</v>
      </c>
      <c r="D2020" t="str">
        <f>VLOOKUP(B2020,Products!$A:$E,2,FALSE)</f>
        <v>Product_50</v>
      </c>
      <c r="E2020" t="str">
        <f>VLOOKUP(B2020,Products!$A:$E,3,FALSE)</f>
        <v>Networking</v>
      </c>
    </row>
    <row r="2021" spans="1:5" x14ac:dyDescent="0.3">
      <c r="A2021" t="s">
        <v>8033</v>
      </c>
      <c r="B2021" t="s">
        <v>232</v>
      </c>
      <c r="C2021">
        <v>48</v>
      </c>
      <c r="D2021" t="str">
        <f>VLOOKUP(B2021,Products!$A:$E,2,FALSE)</f>
        <v>Product_112</v>
      </c>
      <c r="E2021" t="str">
        <f>VLOOKUP(B2021,Products!$A:$E,3,FALSE)</f>
        <v>Storage</v>
      </c>
    </row>
    <row r="2022" spans="1:5" x14ac:dyDescent="0.3">
      <c r="A2022" t="s">
        <v>8034</v>
      </c>
      <c r="B2022" t="s">
        <v>202</v>
      </c>
      <c r="C2022">
        <v>27</v>
      </c>
      <c r="D2022" t="str">
        <f>VLOOKUP(B2022,Products!$A:$E,2,FALSE)</f>
        <v>Product_97</v>
      </c>
      <c r="E2022" t="str">
        <f>VLOOKUP(B2022,Products!$A:$E,3,FALSE)</f>
        <v>Accessories</v>
      </c>
    </row>
    <row r="2023" spans="1:5" x14ac:dyDescent="0.3">
      <c r="A2023" t="s">
        <v>8035</v>
      </c>
      <c r="B2023" t="s">
        <v>722</v>
      </c>
      <c r="C2023">
        <v>35</v>
      </c>
      <c r="D2023" t="str">
        <f>VLOOKUP(B2023,Products!$A:$E,2,FALSE)</f>
        <v>Product_357</v>
      </c>
      <c r="E2023" t="str">
        <f>VLOOKUP(B2023,Products!$A:$E,3,FALSE)</f>
        <v>Accessories</v>
      </c>
    </row>
    <row r="2024" spans="1:5" x14ac:dyDescent="0.3">
      <c r="A2024" t="s">
        <v>8036</v>
      </c>
      <c r="B2024" t="s">
        <v>802</v>
      </c>
      <c r="C2024">
        <v>11</v>
      </c>
      <c r="D2024" t="str">
        <f>VLOOKUP(B2024,Products!$A:$E,2,FALSE)</f>
        <v>Product_397</v>
      </c>
      <c r="E2024" t="str">
        <f>VLOOKUP(B2024,Products!$A:$E,3,FALSE)</f>
        <v>Office Supplies</v>
      </c>
    </row>
    <row r="2025" spans="1:5" x14ac:dyDescent="0.3">
      <c r="A2025" t="s">
        <v>8037</v>
      </c>
      <c r="B2025" t="s">
        <v>624</v>
      </c>
      <c r="C2025">
        <v>25</v>
      </c>
      <c r="D2025" t="str">
        <f>VLOOKUP(B2025,Products!$A:$E,2,FALSE)</f>
        <v>Product_308</v>
      </c>
      <c r="E2025" t="str">
        <f>VLOOKUP(B2025,Products!$A:$E,3,FALSE)</f>
        <v>Storage</v>
      </c>
    </row>
    <row r="2026" spans="1:5" x14ac:dyDescent="0.3">
      <c r="A2026" t="s">
        <v>8038</v>
      </c>
      <c r="B2026" t="s">
        <v>230</v>
      </c>
      <c r="C2026">
        <v>23</v>
      </c>
      <c r="D2026" t="str">
        <f>VLOOKUP(B2026,Products!$A:$E,2,FALSE)</f>
        <v>Product_111</v>
      </c>
      <c r="E2026" t="str">
        <f>VLOOKUP(B2026,Products!$A:$E,3,FALSE)</f>
        <v>Office Supplies</v>
      </c>
    </row>
    <row r="2027" spans="1:5" x14ac:dyDescent="0.3">
      <c r="A2027" t="s">
        <v>8039</v>
      </c>
      <c r="B2027" t="s">
        <v>224</v>
      </c>
      <c r="C2027">
        <v>13</v>
      </c>
      <c r="D2027" t="str">
        <f>VLOOKUP(B2027,Products!$A:$E,2,FALSE)</f>
        <v>Product_108</v>
      </c>
      <c r="E2027" t="str">
        <f>VLOOKUP(B2027,Products!$A:$E,3,FALSE)</f>
        <v>Networking</v>
      </c>
    </row>
    <row r="2028" spans="1:5" x14ac:dyDescent="0.3">
      <c r="A2028" t="s">
        <v>8040</v>
      </c>
      <c r="B2028" t="s">
        <v>1004</v>
      </c>
      <c r="C2028">
        <v>44</v>
      </c>
      <c r="D2028" t="str">
        <f>VLOOKUP(B2028,Products!$A:$E,2,FALSE)</f>
        <v>Product_498</v>
      </c>
      <c r="E2028" t="str">
        <f>VLOOKUP(B2028,Products!$A:$E,3,FALSE)</f>
        <v>Office Supplies</v>
      </c>
    </row>
    <row r="2029" spans="1:5" x14ac:dyDescent="0.3">
      <c r="A2029" t="s">
        <v>8041</v>
      </c>
      <c r="B2029" t="s">
        <v>600</v>
      </c>
      <c r="C2029">
        <v>1</v>
      </c>
      <c r="D2029" t="str">
        <f>VLOOKUP(B2029,Products!$A:$E,2,FALSE)</f>
        <v>Product_296</v>
      </c>
      <c r="E2029" t="str">
        <f>VLOOKUP(B2029,Products!$A:$E,3,FALSE)</f>
        <v>Office Supplies</v>
      </c>
    </row>
    <row r="2030" spans="1:5" x14ac:dyDescent="0.3">
      <c r="A2030" t="s">
        <v>8042</v>
      </c>
      <c r="B2030" t="s">
        <v>388</v>
      </c>
      <c r="C2030">
        <v>24</v>
      </c>
      <c r="D2030" t="str">
        <f>VLOOKUP(B2030,Products!$A:$E,2,FALSE)</f>
        <v>Product_190</v>
      </c>
      <c r="E2030" t="str">
        <f>VLOOKUP(B2030,Products!$A:$E,3,FALSE)</f>
        <v>Office Supplies</v>
      </c>
    </row>
    <row r="2031" spans="1:5" x14ac:dyDescent="0.3">
      <c r="A2031" t="s">
        <v>8043</v>
      </c>
      <c r="B2031" t="s">
        <v>26</v>
      </c>
      <c r="C2031">
        <v>20</v>
      </c>
      <c r="D2031" t="str">
        <f>VLOOKUP(B2031,Products!$A:$E,2,FALSE)</f>
        <v>Product_9</v>
      </c>
      <c r="E2031" t="str">
        <f>VLOOKUP(B2031,Products!$A:$E,3,FALSE)</f>
        <v>Storage</v>
      </c>
    </row>
    <row r="2032" spans="1:5" x14ac:dyDescent="0.3">
      <c r="A2032" t="s">
        <v>8044</v>
      </c>
      <c r="B2032" t="s">
        <v>928</v>
      </c>
      <c r="C2032">
        <v>20</v>
      </c>
      <c r="D2032" t="str">
        <f>VLOOKUP(B2032,Products!$A:$E,2,FALSE)</f>
        <v>Product_460</v>
      </c>
      <c r="E2032" t="str">
        <f>VLOOKUP(B2032,Products!$A:$E,3,FALSE)</f>
        <v>Accessories</v>
      </c>
    </row>
    <row r="2033" spans="1:5" x14ac:dyDescent="0.3">
      <c r="A2033" t="s">
        <v>8045</v>
      </c>
      <c r="B2033" t="s">
        <v>524</v>
      </c>
      <c r="C2033">
        <v>8</v>
      </c>
      <c r="D2033" t="str">
        <f>VLOOKUP(B2033,Products!$A:$E,2,FALSE)</f>
        <v>Product_258</v>
      </c>
      <c r="E2033" t="str">
        <f>VLOOKUP(B2033,Products!$A:$E,3,FALSE)</f>
        <v>Networking</v>
      </c>
    </row>
    <row r="2034" spans="1:5" x14ac:dyDescent="0.3">
      <c r="A2034" t="s">
        <v>8046</v>
      </c>
      <c r="B2034" t="s">
        <v>726</v>
      </c>
      <c r="C2034">
        <v>32</v>
      </c>
      <c r="D2034" t="str">
        <f>VLOOKUP(B2034,Products!$A:$E,2,FALSE)</f>
        <v>Product_359</v>
      </c>
      <c r="E2034" t="str">
        <f>VLOOKUP(B2034,Products!$A:$E,3,FALSE)</f>
        <v>Electronics</v>
      </c>
    </row>
    <row r="2035" spans="1:5" x14ac:dyDescent="0.3">
      <c r="A2035" t="s">
        <v>8047</v>
      </c>
      <c r="B2035" t="s">
        <v>674</v>
      </c>
      <c r="C2035">
        <v>30</v>
      </c>
      <c r="D2035" t="str">
        <f>VLOOKUP(B2035,Products!$A:$E,2,FALSE)</f>
        <v>Product_333</v>
      </c>
      <c r="E2035" t="str">
        <f>VLOOKUP(B2035,Products!$A:$E,3,FALSE)</f>
        <v>Storage</v>
      </c>
    </row>
    <row r="2036" spans="1:5" x14ac:dyDescent="0.3">
      <c r="A2036" t="s">
        <v>8048</v>
      </c>
      <c r="B2036" t="s">
        <v>432</v>
      </c>
      <c r="C2036">
        <v>27</v>
      </c>
      <c r="D2036" t="str">
        <f>VLOOKUP(B2036,Products!$A:$E,2,FALSE)</f>
        <v>Product_212</v>
      </c>
      <c r="E2036" t="str">
        <f>VLOOKUP(B2036,Products!$A:$E,3,FALSE)</f>
        <v>Networking</v>
      </c>
    </row>
    <row r="2037" spans="1:5" x14ac:dyDescent="0.3">
      <c r="A2037" t="s">
        <v>8049</v>
      </c>
      <c r="B2037" t="s">
        <v>370</v>
      </c>
      <c r="C2037">
        <v>23</v>
      </c>
      <c r="D2037" t="str">
        <f>VLOOKUP(B2037,Products!$A:$E,2,FALSE)</f>
        <v>Product_181</v>
      </c>
      <c r="E2037" t="str">
        <f>VLOOKUP(B2037,Products!$A:$E,3,FALSE)</f>
        <v>Storage</v>
      </c>
    </row>
    <row r="2038" spans="1:5" x14ac:dyDescent="0.3">
      <c r="A2038" t="s">
        <v>8050</v>
      </c>
      <c r="B2038" t="s">
        <v>858</v>
      </c>
      <c r="C2038">
        <v>35</v>
      </c>
      <c r="D2038" t="str">
        <f>VLOOKUP(B2038,Products!$A:$E,2,FALSE)</f>
        <v>Product_425</v>
      </c>
      <c r="E2038" t="str">
        <f>VLOOKUP(B2038,Products!$A:$E,3,FALSE)</f>
        <v>Office Supplies</v>
      </c>
    </row>
    <row r="2039" spans="1:5" x14ac:dyDescent="0.3">
      <c r="A2039" t="s">
        <v>8051</v>
      </c>
      <c r="B2039" t="s">
        <v>446</v>
      </c>
      <c r="C2039">
        <v>34</v>
      </c>
      <c r="D2039" t="str">
        <f>VLOOKUP(B2039,Products!$A:$E,2,FALSE)</f>
        <v>Product_219</v>
      </c>
      <c r="E2039" t="str">
        <f>VLOOKUP(B2039,Products!$A:$E,3,FALSE)</f>
        <v>Accessories</v>
      </c>
    </row>
    <row r="2040" spans="1:5" x14ac:dyDescent="0.3">
      <c r="A2040" t="s">
        <v>8052</v>
      </c>
      <c r="B2040" t="s">
        <v>1006</v>
      </c>
      <c r="C2040">
        <v>49</v>
      </c>
      <c r="D2040" t="str">
        <f>VLOOKUP(B2040,Products!$A:$E,2,FALSE)</f>
        <v>Product_499</v>
      </c>
      <c r="E2040" t="str">
        <f>VLOOKUP(B2040,Products!$A:$E,3,FALSE)</f>
        <v>Office Supplies</v>
      </c>
    </row>
    <row r="2041" spans="1:5" x14ac:dyDescent="0.3">
      <c r="A2041" t="s">
        <v>8053</v>
      </c>
      <c r="B2041" t="s">
        <v>352</v>
      </c>
      <c r="C2041">
        <v>8</v>
      </c>
      <c r="D2041" t="str">
        <f>VLOOKUP(B2041,Products!$A:$E,2,FALSE)</f>
        <v>Product_172</v>
      </c>
      <c r="E2041" t="str">
        <f>VLOOKUP(B2041,Products!$A:$E,3,FALSE)</f>
        <v>Networking</v>
      </c>
    </row>
    <row r="2042" spans="1:5" x14ac:dyDescent="0.3">
      <c r="A2042" t="s">
        <v>8054</v>
      </c>
      <c r="B2042" t="s">
        <v>958</v>
      </c>
      <c r="C2042">
        <v>12</v>
      </c>
      <c r="D2042" t="str">
        <f>VLOOKUP(B2042,Products!$A:$E,2,FALSE)</f>
        <v>Product_475</v>
      </c>
      <c r="E2042" t="str">
        <f>VLOOKUP(B2042,Products!$A:$E,3,FALSE)</f>
        <v>Electronics</v>
      </c>
    </row>
    <row r="2043" spans="1:5" x14ac:dyDescent="0.3">
      <c r="A2043" t="s">
        <v>8055</v>
      </c>
      <c r="B2043" t="s">
        <v>478</v>
      </c>
      <c r="C2043">
        <v>28</v>
      </c>
      <c r="D2043" t="str">
        <f>VLOOKUP(B2043,Products!$A:$E,2,FALSE)</f>
        <v>Product_235</v>
      </c>
      <c r="E2043" t="str">
        <f>VLOOKUP(B2043,Products!$A:$E,3,FALSE)</f>
        <v>Accessories</v>
      </c>
    </row>
    <row r="2044" spans="1:5" x14ac:dyDescent="0.3">
      <c r="A2044" t="s">
        <v>8056</v>
      </c>
      <c r="B2044" t="s">
        <v>392</v>
      </c>
      <c r="C2044">
        <v>12</v>
      </c>
      <c r="D2044" t="str">
        <f>VLOOKUP(B2044,Products!$A:$E,2,FALSE)</f>
        <v>Product_192</v>
      </c>
      <c r="E2044" t="str">
        <f>VLOOKUP(B2044,Products!$A:$E,3,FALSE)</f>
        <v>Office Supplies</v>
      </c>
    </row>
    <row r="2045" spans="1:5" x14ac:dyDescent="0.3">
      <c r="A2045" t="s">
        <v>8057</v>
      </c>
      <c r="B2045" t="s">
        <v>576</v>
      </c>
      <c r="C2045">
        <v>39</v>
      </c>
      <c r="D2045" t="str">
        <f>VLOOKUP(B2045,Products!$A:$E,2,FALSE)</f>
        <v>Product_284</v>
      </c>
      <c r="E2045" t="str">
        <f>VLOOKUP(B2045,Products!$A:$E,3,FALSE)</f>
        <v>Networking</v>
      </c>
    </row>
    <row r="2046" spans="1:5" x14ac:dyDescent="0.3">
      <c r="A2046" t="s">
        <v>8058</v>
      </c>
      <c r="B2046" t="s">
        <v>176</v>
      </c>
      <c r="C2046">
        <v>35</v>
      </c>
      <c r="D2046" t="str">
        <f>VLOOKUP(B2046,Products!$A:$E,2,FALSE)</f>
        <v>Product_84</v>
      </c>
      <c r="E2046" t="str">
        <f>VLOOKUP(B2046,Products!$A:$E,3,FALSE)</f>
        <v>Electronics</v>
      </c>
    </row>
    <row r="2047" spans="1:5" x14ac:dyDescent="0.3">
      <c r="A2047" t="s">
        <v>8059</v>
      </c>
      <c r="B2047" t="s">
        <v>456</v>
      </c>
      <c r="C2047">
        <v>25</v>
      </c>
      <c r="D2047" t="str">
        <f>VLOOKUP(B2047,Products!$A:$E,2,FALSE)</f>
        <v>Product_224</v>
      </c>
      <c r="E2047" t="str">
        <f>VLOOKUP(B2047,Products!$A:$E,3,FALSE)</f>
        <v>Storage</v>
      </c>
    </row>
    <row r="2048" spans="1:5" x14ac:dyDescent="0.3">
      <c r="A2048" t="s">
        <v>8060</v>
      </c>
      <c r="B2048" t="s">
        <v>300</v>
      </c>
      <c r="C2048">
        <v>43</v>
      </c>
      <c r="D2048" t="str">
        <f>VLOOKUP(B2048,Products!$A:$E,2,FALSE)</f>
        <v>Product_146</v>
      </c>
      <c r="E2048" t="str">
        <f>VLOOKUP(B2048,Products!$A:$E,3,FALSE)</f>
        <v>Office Supplies</v>
      </c>
    </row>
    <row r="2049" spans="1:5" x14ac:dyDescent="0.3">
      <c r="A2049" t="s">
        <v>8061</v>
      </c>
      <c r="B2049" t="s">
        <v>714</v>
      </c>
      <c r="C2049">
        <v>44</v>
      </c>
      <c r="D2049" t="str">
        <f>VLOOKUP(B2049,Products!$A:$E,2,FALSE)</f>
        <v>Product_353</v>
      </c>
      <c r="E2049" t="str">
        <f>VLOOKUP(B2049,Products!$A:$E,3,FALSE)</f>
        <v>Accessories</v>
      </c>
    </row>
    <row r="2050" spans="1:5" x14ac:dyDescent="0.3">
      <c r="A2050" t="s">
        <v>8062</v>
      </c>
      <c r="B2050" t="s">
        <v>456</v>
      </c>
      <c r="C2050">
        <v>41</v>
      </c>
      <c r="D2050" t="str">
        <f>VLOOKUP(B2050,Products!$A:$E,2,FALSE)</f>
        <v>Product_224</v>
      </c>
      <c r="E2050" t="str">
        <f>VLOOKUP(B2050,Products!$A:$E,3,FALSE)</f>
        <v>Storage</v>
      </c>
    </row>
    <row r="2051" spans="1:5" x14ac:dyDescent="0.3">
      <c r="A2051" t="s">
        <v>8063</v>
      </c>
      <c r="B2051" t="s">
        <v>300</v>
      </c>
      <c r="C2051">
        <v>45</v>
      </c>
      <c r="D2051" t="str">
        <f>VLOOKUP(B2051,Products!$A:$E,2,FALSE)</f>
        <v>Product_146</v>
      </c>
      <c r="E2051" t="str">
        <f>VLOOKUP(B2051,Products!$A:$E,3,FALSE)</f>
        <v>Office Supplies</v>
      </c>
    </row>
    <row r="2052" spans="1:5" x14ac:dyDescent="0.3">
      <c r="A2052" t="s">
        <v>8064</v>
      </c>
      <c r="B2052" t="s">
        <v>644</v>
      </c>
      <c r="C2052">
        <v>7</v>
      </c>
      <c r="D2052" t="str">
        <f>VLOOKUP(B2052,Products!$A:$E,2,FALSE)</f>
        <v>Product_318</v>
      </c>
      <c r="E2052" t="str">
        <f>VLOOKUP(B2052,Products!$A:$E,3,FALSE)</f>
        <v>Storage</v>
      </c>
    </row>
    <row r="2053" spans="1:5" x14ac:dyDescent="0.3">
      <c r="A2053" t="s">
        <v>8065</v>
      </c>
      <c r="B2053" t="s">
        <v>98</v>
      </c>
      <c r="C2053">
        <v>7</v>
      </c>
      <c r="D2053" t="str">
        <f>VLOOKUP(B2053,Products!$A:$E,2,FALSE)</f>
        <v>Product_45</v>
      </c>
      <c r="E2053" t="str">
        <f>VLOOKUP(B2053,Products!$A:$E,3,FALSE)</f>
        <v>Accessories</v>
      </c>
    </row>
    <row r="2054" spans="1:5" x14ac:dyDescent="0.3">
      <c r="A2054" t="s">
        <v>8066</v>
      </c>
      <c r="B2054" t="s">
        <v>100</v>
      </c>
      <c r="C2054">
        <v>42</v>
      </c>
      <c r="D2054" t="str">
        <f>VLOOKUP(B2054,Products!$A:$E,2,FALSE)</f>
        <v>Product_46</v>
      </c>
      <c r="E2054" t="str">
        <f>VLOOKUP(B2054,Products!$A:$E,3,FALSE)</f>
        <v>Networking</v>
      </c>
    </row>
    <row r="2055" spans="1:5" x14ac:dyDescent="0.3">
      <c r="A2055" t="s">
        <v>8067</v>
      </c>
      <c r="B2055" t="s">
        <v>26</v>
      </c>
      <c r="C2055">
        <v>40</v>
      </c>
      <c r="D2055" t="str">
        <f>VLOOKUP(B2055,Products!$A:$E,2,FALSE)</f>
        <v>Product_9</v>
      </c>
      <c r="E2055" t="str">
        <f>VLOOKUP(B2055,Products!$A:$E,3,FALSE)</f>
        <v>Storage</v>
      </c>
    </row>
    <row r="2056" spans="1:5" x14ac:dyDescent="0.3">
      <c r="A2056" t="s">
        <v>8068</v>
      </c>
      <c r="B2056" t="s">
        <v>964</v>
      </c>
      <c r="C2056">
        <v>27</v>
      </c>
      <c r="D2056" t="str">
        <f>VLOOKUP(B2056,Products!$A:$E,2,FALSE)</f>
        <v>Product_478</v>
      </c>
      <c r="E2056" t="str">
        <f>VLOOKUP(B2056,Products!$A:$E,3,FALSE)</f>
        <v>Office Supplies</v>
      </c>
    </row>
    <row r="2057" spans="1:5" x14ac:dyDescent="0.3">
      <c r="A2057" t="s">
        <v>8069</v>
      </c>
      <c r="B2057" t="s">
        <v>116</v>
      </c>
      <c r="C2057">
        <v>32</v>
      </c>
      <c r="D2057" t="str">
        <f>VLOOKUP(B2057,Products!$A:$E,2,FALSE)</f>
        <v>Product_54</v>
      </c>
      <c r="E2057" t="str">
        <f>VLOOKUP(B2057,Products!$A:$E,3,FALSE)</f>
        <v>Storage</v>
      </c>
    </row>
    <row r="2058" spans="1:5" x14ac:dyDescent="0.3">
      <c r="A2058" t="s">
        <v>8070</v>
      </c>
      <c r="B2058" t="s">
        <v>776</v>
      </c>
      <c r="C2058">
        <v>49</v>
      </c>
      <c r="D2058" t="str">
        <f>VLOOKUP(B2058,Products!$A:$E,2,FALSE)</f>
        <v>Product_384</v>
      </c>
      <c r="E2058" t="str">
        <f>VLOOKUP(B2058,Products!$A:$E,3,FALSE)</f>
        <v>Office Supplies</v>
      </c>
    </row>
    <row r="2059" spans="1:5" x14ac:dyDescent="0.3">
      <c r="A2059" t="s">
        <v>8071</v>
      </c>
      <c r="B2059" t="s">
        <v>648</v>
      </c>
      <c r="C2059">
        <v>35</v>
      </c>
      <c r="D2059" t="str">
        <f>VLOOKUP(B2059,Products!$A:$E,2,FALSE)</f>
        <v>Product_320</v>
      </c>
      <c r="E2059" t="str">
        <f>VLOOKUP(B2059,Products!$A:$E,3,FALSE)</f>
        <v>Office Supplies</v>
      </c>
    </row>
    <row r="2060" spans="1:5" x14ac:dyDescent="0.3">
      <c r="A2060" t="s">
        <v>8072</v>
      </c>
      <c r="B2060" t="s">
        <v>112</v>
      </c>
      <c r="C2060">
        <v>41</v>
      </c>
      <c r="D2060" t="str">
        <f>VLOOKUP(B2060,Products!$A:$E,2,FALSE)</f>
        <v>Product_52</v>
      </c>
      <c r="E2060" t="str">
        <f>VLOOKUP(B2060,Products!$A:$E,3,FALSE)</f>
        <v>Electronics</v>
      </c>
    </row>
    <row r="2061" spans="1:5" x14ac:dyDescent="0.3">
      <c r="A2061" t="s">
        <v>8073</v>
      </c>
      <c r="B2061" t="s">
        <v>464</v>
      </c>
      <c r="C2061">
        <v>33</v>
      </c>
      <c r="D2061" t="str">
        <f>VLOOKUP(B2061,Products!$A:$E,2,FALSE)</f>
        <v>Product_228</v>
      </c>
      <c r="E2061" t="str">
        <f>VLOOKUP(B2061,Products!$A:$E,3,FALSE)</f>
        <v>Storage</v>
      </c>
    </row>
    <row r="2062" spans="1:5" x14ac:dyDescent="0.3">
      <c r="A2062" t="s">
        <v>8074</v>
      </c>
      <c r="B2062" t="s">
        <v>604</v>
      </c>
      <c r="C2062">
        <v>3</v>
      </c>
      <c r="D2062" t="str">
        <f>VLOOKUP(B2062,Products!$A:$E,2,FALSE)</f>
        <v>Product_298</v>
      </c>
      <c r="E2062" t="str">
        <f>VLOOKUP(B2062,Products!$A:$E,3,FALSE)</f>
        <v>Office Supplies</v>
      </c>
    </row>
    <row r="2063" spans="1:5" x14ac:dyDescent="0.3">
      <c r="A2063" t="s">
        <v>8075</v>
      </c>
      <c r="B2063" t="s">
        <v>692</v>
      </c>
      <c r="C2063">
        <v>19</v>
      </c>
      <c r="D2063" t="str">
        <f>VLOOKUP(B2063,Products!$A:$E,2,FALSE)</f>
        <v>Product_342</v>
      </c>
      <c r="E2063" t="str">
        <f>VLOOKUP(B2063,Products!$A:$E,3,FALSE)</f>
        <v>Accessories</v>
      </c>
    </row>
    <row r="2064" spans="1:5" x14ac:dyDescent="0.3">
      <c r="A2064" t="s">
        <v>8076</v>
      </c>
      <c r="B2064" t="s">
        <v>882</v>
      </c>
      <c r="C2064">
        <v>27</v>
      </c>
      <c r="D2064" t="str">
        <f>VLOOKUP(B2064,Products!$A:$E,2,FALSE)</f>
        <v>Product_437</v>
      </c>
      <c r="E2064" t="str">
        <f>VLOOKUP(B2064,Products!$A:$E,3,FALSE)</f>
        <v>Accessories</v>
      </c>
    </row>
    <row r="2065" spans="1:5" x14ac:dyDescent="0.3">
      <c r="A2065" t="s">
        <v>8077</v>
      </c>
      <c r="B2065" t="s">
        <v>226</v>
      </c>
      <c r="C2065">
        <v>15</v>
      </c>
      <c r="D2065" t="str">
        <f>VLOOKUP(B2065,Products!$A:$E,2,FALSE)</f>
        <v>Product_109</v>
      </c>
      <c r="E2065" t="str">
        <f>VLOOKUP(B2065,Products!$A:$E,3,FALSE)</f>
        <v>Storage</v>
      </c>
    </row>
    <row r="2066" spans="1:5" x14ac:dyDescent="0.3">
      <c r="A2066" t="s">
        <v>8078</v>
      </c>
      <c r="B2066" t="s">
        <v>804</v>
      </c>
      <c r="C2066">
        <v>30</v>
      </c>
      <c r="D2066" t="str">
        <f>VLOOKUP(B2066,Products!$A:$E,2,FALSE)</f>
        <v>Product_398</v>
      </c>
      <c r="E2066" t="str">
        <f>VLOOKUP(B2066,Products!$A:$E,3,FALSE)</f>
        <v>Networking</v>
      </c>
    </row>
    <row r="2067" spans="1:5" x14ac:dyDescent="0.3">
      <c r="A2067" t="s">
        <v>8079</v>
      </c>
      <c r="B2067" t="s">
        <v>574</v>
      </c>
      <c r="C2067">
        <v>25</v>
      </c>
      <c r="D2067" t="str">
        <f>VLOOKUP(B2067,Products!$A:$E,2,FALSE)</f>
        <v>Product_283</v>
      </c>
      <c r="E2067" t="str">
        <f>VLOOKUP(B2067,Products!$A:$E,3,FALSE)</f>
        <v>Networking</v>
      </c>
    </row>
    <row r="2068" spans="1:5" x14ac:dyDescent="0.3">
      <c r="A2068" t="s">
        <v>8080</v>
      </c>
      <c r="B2068" t="s">
        <v>126</v>
      </c>
      <c r="C2068">
        <v>13</v>
      </c>
      <c r="D2068" t="str">
        <f>VLOOKUP(B2068,Products!$A:$E,2,FALSE)</f>
        <v>Product_59</v>
      </c>
      <c r="E2068" t="str">
        <f>VLOOKUP(B2068,Products!$A:$E,3,FALSE)</f>
        <v>Accessories</v>
      </c>
    </row>
    <row r="2069" spans="1:5" x14ac:dyDescent="0.3">
      <c r="A2069" t="s">
        <v>8081</v>
      </c>
      <c r="B2069" t="s">
        <v>886</v>
      </c>
      <c r="C2069">
        <v>31</v>
      </c>
      <c r="D2069" t="str">
        <f>VLOOKUP(B2069,Products!$A:$E,2,FALSE)</f>
        <v>Product_439</v>
      </c>
      <c r="E2069" t="str">
        <f>VLOOKUP(B2069,Products!$A:$E,3,FALSE)</f>
        <v>Networking</v>
      </c>
    </row>
    <row r="2070" spans="1:5" x14ac:dyDescent="0.3">
      <c r="A2070" t="s">
        <v>8082</v>
      </c>
      <c r="B2070" t="s">
        <v>982</v>
      </c>
      <c r="C2070">
        <v>8</v>
      </c>
      <c r="D2070" t="str">
        <f>VLOOKUP(B2070,Products!$A:$E,2,FALSE)</f>
        <v>Product_487</v>
      </c>
      <c r="E2070" t="str">
        <f>VLOOKUP(B2070,Products!$A:$E,3,FALSE)</f>
        <v>Networking</v>
      </c>
    </row>
    <row r="2071" spans="1:5" x14ac:dyDescent="0.3">
      <c r="A2071" t="s">
        <v>8083</v>
      </c>
      <c r="B2071" t="s">
        <v>368</v>
      </c>
      <c r="C2071">
        <v>30</v>
      </c>
      <c r="D2071" t="str">
        <f>VLOOKUP(B2071,Products!$A:$E,2,FALSE)</f>
        <v>Product_180</v>
      </c>
      <c r="E2071" t="str">
        <f>VLOOKUP(B2071,Products!$A:$E,3,FALSE)</f>
        <v>Office Supplies</v>
      </c>
    </row>
    <row r="2072" spans="1:5" x14ac:dyDescent="0.3">
      <c r="A2072" t="s">
        <v>8084</v>
      </c>
      <c r="B2072" t="s">
        <v>432</v>
      </c>
      <c r="C2072">
        <v>42</v>
      </c>
      <c r="D2072" t="str">
        <f>VLOOKUP(B2072,Products!$A:$E,2,FALSE)</f>
        <v>Product_212</v>
      </c>
      <c r="E2072" t="str">
        <f>VLOOKUP(B2072,Products!$A:$E,3,FALSE)</f>
        <v>Networking</v>
      </c>
    </row>
    <row r="2073" spans="1:5" x14ac:dyDescent="0.3">
      <c r="A2073" t="s">
        <v>8085</v>
      </c>
      <c r="B2073" t="s">
        <v>730</v>
      </c>
      <c r="C2073">
        <v>48</v>
      </c>
      <c r="D2073" t="str">
        <f>VLOOKUP(B2073,Products!$A:$E,2,FALSE)</f>
        <v>Product_361</v>
      </c>
      <c r="E2073" t="str">
        <f>VLOOKUP(B2073,Products!$A:$E,3,FALSE)</f>
        <v>Office Supplies</v>
      </c>
    </row>
    <row r="2074" spans="1:5" x14ac:dyDescent="0.3">
      <c r="A2074" t="s">
        <v>8086</v>
      </c>
      <c r="B2074" t="s">
        <v>414</v>
      </c>
      <c r="C2074">
        <v>1</v>
      </c>
      <c r="D2074" t="str">
        <f>VLOOKUP(B2074,Products!$A:$E,2,FALSE)</f>
        <v>Product_203</v>
      </c>
      <c r="E2074" t="str">
        <f>VLOOKUP(B2074,Products!$A:$E,3,FALSE)</f>
        <v>Accessories</v>
      </c>
    </row>
    <row r="2075" spans="1:5" x14ac:dyDescent="0.3">
      <c r="A2075" t="s">
        <v>8087</v>
      </c>
      <c r="B2075" t="s">
        <v>972</v>
      </c>
      <c r="C2075">
        <v>24</v>
      </c>
      <c r="D2075" t="str">
        <f>VLOOKUP(B2075,Products!$A:$E,2,FALSE)</f>
        <v>Product_482</v>
      </c>
      <c r="E2075" t="str">
        <f>VLOOKUP(B2075,Products!$A:$E,3,FALSE)</f>
        <v>Storage</v>
      </c>
    </row>
    <row r="2076" spans="1:5" x14ac:dyDescent="0.3">
      <c r="A2076" t="s">
        <v>8088</v>
      </c>
      <c r="B2076" t="s">
        <v>810</v>
      </c>
      <c r="C2076">
        <v>15</v>
      </c>
      <c r="D2076" t="str">
        <f>VLOOKUP(B2076,Products!$A:$E,2,FALSE)</f>
        <v>Product_401</v>
      </c>
      <c r="E2076" t="str">
        <f>VLOOKUP(B2076,Products!$A:$E,3,FALSE)</f>
        <v>Storage</v>
      </c>
    </row>
    <row r="2077" spans="1:5" x14ac:dyDescent="0.3">
      <c r="A2077" t="s">
        <v>8089</v>
      </c>
      <c r="B2077" t="s">
        <v>528</v>
      </c>
      <c r="C2077">
        <v>19</v>
      </c>
      <c r="D2077" t="str">
        <f>VLOOKUP(B2077,Products!$A:$E,2,FALSE)</f>
        <v>Product_260</v>
      </c>
      <c r="E2077" t="str">
        <f>VLOOKUP(B2077,Products!$A:$E,3,FALSE)</f>
        <v>Storage</v>
      </c>
    </row>
    <row r="2078" spans="1:5" x14ac:dyDescent="0.3">
      <c r="A2078" t="s">
        <v>8090</v>
      </c>
      <c r="B2078" t="s">
        <v>284</v>
      </c>
      <c r="C2078">
        <v>43</v>
      </c>
      <c r="D2078" t="str">
        <f>VLOOKUP(B2078,Products!$A:$E,2,FALSE)</f>
        <v>Product_138</v>
      </c>
      <c r="E2078" t="str">
        <f>VLOOKUP(B2078,Products!$A:$E,3,FALSE)</f>
        <v>Electronics</v>
      </c>
    </row>
    <row r="2079" spans="1:5" x14ac:dyDescent="0.3">
      <c r="A2079" t="s">
        <v>8091</v>
      </c>
      <c r="B2079" t="s">
        <v>280</v>
      </c>
      <c r="C2079">
        <v>20</v>
      </c>
      <c r="D2079" t="str">
        <f>VLOOKUP(B2079,Products!$A:$E,2,FALSE)</f>
        <v>Product_136</v>
      </c>
      <c r="E2079" t="str">
        <f>VLOOKUP(B2079,Products!$A:$E,3,FALSE)</f>
        <v>Storage</v>
      </c>
    </row>
    <row r="2080" spans="1:5" x14ac:dyDescent="0.3">
      <c r="A2080" t="s">
        <v>8092</v>
      </c>
      <c r="B2080" t="s">
        <v>868</v>
      </c>
      <c r="C2080">
        <v>27</v>
      </c>
      <c r="D2080" t="str">
        <f>VLOOKUP(B2080,Products!$A:$E,2,FALSE)</f>
        <v>Product_430</v>
      </c>
      <c r="E2080" t="str">
        <f>VLOOKUP(B2080,Products!$A:$E,3,FALSE)</f>
        <v>Electronics</v>
      </c>
    </row>
    <row r="2081" spans="1:5" x14ac:dyDescent="0.3">
      <c r="A2081" t="s">
        <v>8093</v>
      </c>
      <c r="B2081" t="s">
        <v>698</v>
      </c>
      <c r="C2081">
        <v>16</v>
      </c>
      <c r="D2081" t="str">
        <f>VLOOKUP(B2081,Products!$A:$E,2,FALSE)</f>
        <v>Product_345</v>
      </c>
      <c r="E2081" t="str">
        <f>VLOOKUP(B2081,Products!$A:$E,3,FALSE)</f>
        <v>Storage</v>
      </c>
    </row>
    <row r="2082" spans="1:5" x14ac:dyDescent="0.3">
      <c r="A2082" t="s">
        <v>8094</v>
      </c>
      <c r="B2082" t="s">
        <v>11</v>
      </c>
      <c r="C2082">
        <v>27</v>
      </c>
      <c r="D2082" t="str">
        <f>VLOOKUP(B2082,Products!$A:$E,2,FALSE)</f>
        <v>Product_3</v>
      </c>
      <c r="E2082" t="str">
        <f>VLOOKUP(B2082,Products!$A:$E,3,FALSE)</f>
        <v>Accessories</v>
      </c>
    </row>
    <row r="2083" spans="1:5" x14ac:dyDescent="0.3">
      <c r="A2083" t="s">
        <v>8095</v>
      </c>
      <c r="B2083" t="s">
        <v>42</v>
      </c>
      <c r="C2083">
        <v>1</v>
      </c>
      <c r="D2083" t="str">
        <f>VLOOKUP(B2083,Products!$A:$E,2,FALSE)</f>
        <v>Product_17</v>
      </c>
      <c r="E2083" t="str">
        <f>VLOOKUP(B2083,Products!$A:$E,3,FALSE)</f>
        <v>Office Supplies</v>
      </c>
    </row>
    <row r="2084" spans="1:5" x14ac:dyDescent="0.3">
      <c r="A2084" t="s">
        <v>8096</v>
      </c>
      <c r="B2084" t="s">
        <v>36</v>
      </c>
      <c r="C2084">
        <v>10</v>
      </c>
      <c r="D2084" t="str">
        <f>VLOOKUP(B2084,Products!$A:$E,2,FALSE)</f>
        <v>Product_14</v>
      </c>
      <c r="E2084" t="str">
        <f>VLOOKUP(B2084,Products!$A:$E,3,FALSE)</f>
        <v>Accessories</v>
      </c>
    </row>
    <row r="2085" spans="1:5" x14ac:dyDescent="0.3">
      <c r="A2085" t="s">
        <v>8097</v>
      </c>
      <c r="B2085" t="s">
        <v>818</v>
      </c>
      <c r="C2085">
        <v>24</v>
      </c>
      <c r="D2085" t="str">
        <f>VLOOKUP(B2085,Products!$A:$E,2,FALSE)</f>
        <v>Product_405</v>
      </c>
      <c r="E2085" t="str">
        <f>VLOOKUP(B2085,Products!$A:$E,3,FALSE)</f>
        <v>Electronics</v>
      </c>
    </row>
    <row r="2086" spans="1:5" x14ac:dyDescent="0.3">
      <c r="A2086" t="s">
        <v>8098</v>
      </c>
      <c r="B2086" t="s">
        <v>870</v>
      </c>
      <c r="C2086">
        <v>34</v>
      </c>
      <c r="D2086" t="str">
        <f>VLOOKUP(B2086,Products!$A:$E,2,FALSE)</f>
        <v>Product_431</v>
      </c>
      <c r="E2086" t="str">
        <f>VLOOKUP(B2086,Products!$A:$E,3,FALSE)</f>
        <v>Electronics</v>
      </c>
    </row>
    <row r="2087" spans="1:5" x14ac:dyDescent="0.3">
      <c r="A2087" t="s">
        <v>8099</v>
      </c>
      <c r="B2087" t="s">
        <v>848</v>
      </c>
      <c r="C2087">
        <v>48</v>
      </c>
      <c r="D2087" t="str">
        <f>VLOOKUP(B2087,Products!$A:$E,2,FALSE)</f>
        <v>Product_420</v>
      </c>
      <c r="E2087" t="str">
        <f>VLOOKUP(B2087,Products!$A:$E,3,FALSE)</f>
        <v>Networking</v>
      </c>
    </row>
    <row r="2088" spans="1:5" x14ac:dyDescent="0.3">
      <c r="A2088" t="s">
        <v>8100</v>
      </c>
      <c r="B2088" t="s">
        <v>624</v>
      </c>
      <c r="C2088">
        <v>21</v>
      </c>
      <c r="D2088" t="str">
        <f>VLOOKUP(B2088,Products!$A:$E,2,FALSE)</f>
        <v>Product_308</v>
      </c>
      <c r="E2088" t="str">
        <f>VLOOKUP(B2088,Products!$A:$E,3,FALSE)</f>
        <v>Storage</v>
      </c>
    </row>
    <row r="2089" spans="1:5" x14ac:dyDescent="0.3">
      <c r="A2089" t="s">
        <v>8101</v>
      </c>
      <c r="B2089" t="s">
        <v>352</v>
      </c>
      <c r="C2089">
        <v>11</v>
      </c>
      <c r="D2089" t="str">
        <f>VLOOKUP(B2089,Products!$A:$E,2,FALSE)</f>
        <v>Product_172</v>
      </c>
      <c r="E2089" t="str">
        <f>VLOOKUP(B2089,Products!$A:$E,3,FALSE)</f>
        <v>Networking</v>
      </c>
    </row>
    <row r="2090" spans="1:5" x14ac:dyDescent="0.3">
      <c r="A2090" t="s">
        <v>8102</v>
      </c>
      <c r="B2090" t="s">
        <v>992</v>
      </c>
      <c r="C2090">
        <v>37</v>
      </c>
      <c r="D2090" t="str">
        <f>VLOOKUP(B2090,Products!$A:$E,2,FALSE)</f>
        <v>Product_492</v>
      </c>
      <c r="E2090" t="str">
        <f>VLOOKUP(B2090,Products!$A:$E,3,FALSE)</f>
        <v>Electronics</v>
      </c>
    </row>
    <row r="2091" spans="1:5" x14ac:dyDescent="0.3">
      <c r="A2091" t="s">
        <v>8103</v>
      </c>
      <c r="B2091" t="s">
        <v>450</v>
      </c>
      <c r="C2091">
        <v>16</v>
      </c>
      <c r="D2091" t="str">
        <f>VLOOKUP(B2091,Products!$A:$E,2,FALSE)</f>
        <v>Product_221</v>
      </c>
      <c r="E2091" t="str">
        <f>VLOOKUP(B2091,Products!$A:$E,3,FALSE)</f>
        <v>Office Supplies</v>
      </c>
    </row>
    <row r="2092" spans="1:5" x14ac:dyDescent="0.3">
      <c r="A2092" t="s">
        <v>8104</v>
      </c>
      <c r="B2092" t="s">
        <v>578</v>
      </c>
      <c r="C2092">
        <v>26</v>
      </c>
      <c r="D2092" t="str">
        <f>VLOOKUP(B2092,Products!$A:$E,2,FALSE)</f>
        <v>Product_285</v>
      </c>
      <c r="E2092" t="str">
        <f>VLOOKUP(B2092,Products!$A:$E,3,FALSE)</f>
        <v>Networking</v>
      </c>
    </row>
    <row r="2093" spans="1:5" x14ac:dyDescent="0.3">
      <c r="A2093" t="s">
        <v>8105</v>
      </c>
      <c r="B2093" t="s">
        <v>206</v>
      </c>
      <c r="C2093">
        <v>40</v>
      </c>
      <c r="D2093" t="str">
        <f>VLOOKUP(B2093,Products!$A:$E,2,FALSE)</f>
        <v>Product_99</v>
      </c>
      <c r="E2093" t="str">
        <f>VLOOKUP(B2093,Products!$A:$E,3,FALSE)</f>
        <v>Accessories</v>
      </c>
    </row>
    <row r="2094" spans="1:5" x14ac:dyDescent="0.3">
      <c r="A2094" t="s">
        <v>8106</v>
      </c>
      <c r="B2094" t="s">
        <v>668</v>
      </c>
      <c r="C2094">
        <v>26</v>
      </c>
      <c r="D2094" t="str">
        <f>VLOOKUP(B2094,Products!$A:$E,2,FALSE)</f>
        <v>Product_330</v>
      </c>
      <c r="E2094" t="str">
        <f>VLOOKUP(B2094,Products!$A:$E,3,FALSE)</f>
        <v>Electronics</v>
      </c>
    </row>
    <row r="2095" spans="1:5" x14ac:dyDescent="0.3">
      <c r="A2095" t="s">
        <v>8107</v>
      </c>
      <c r="B2095" t="s">
        <v>858</v>
      </c>
      <c r="C2095">
        <v>4</v>
      </c>
      <c r="D2095" t="str">
        <f>VLOOKUP(B2095,Products!$A:$E,2,FALSE)</f>
        <v>Product_425</v>
      </c>
      <c r="E2095" t="str">
        <f>VLOOKUP(B2095,Products!$A:$E,3,FALSE)</f>
        <v>Office Supplies</v>
      </c>
    </row>
    <row r="2096" spans="1:5" x14ac:dyDescent="0.3">
      <c r="A2096" t="s">
        <v>8108</v>
      </c>
      <c r="B2096" t="s">
        <v>830</v>
      </c>
      <c r="C2096">
        <v>37</v>
      </c>
      <c r="D2096" t="str">
        <f>VLOOKUP(B2096,Products!$A:$E,2,FALSE)</f>
        <v>Product_411</v>
      </c>
      <c r="E2096" t="str">
        <f>VLOOKUP(B2096,Products!$A:$E,3,FALSE)</f>
        <v>Office Supplies</v>
      </c>
    </row>
    <row r="2097" spans="1:5" x14ac:dyDescent="0.3">
      <c r="A2097" t="s">
        <v>8109</v>
      </c>
      <c r="B2097" t="s">
        <v>448</v>
      </c>
      <c r="C2097">
        <v>9</v>
      </c>
      <c r="D2097" t="str">
        <f>VLOOKUP(B2097,Products!$A:$E,2,FALSE)</f>
        <v>Product_220</v>
      </c>
      <c r="E2097" t="str">
        <f>VLOOKUP(B2097,Products!$A:$E,3,FALSE)</f>
        <v>Storage</v>
      </c>
    </row>
    <row r="2098" spans="1:5" x14ac:dyDescent="0.3">
      <c r="A2098" t="s">
        <v>8110</v>
      </c>
      <c r="B2098" t="s">
        <v>970</v>
      </c>
      <c r="C2098">
        <v>41</v>
      </c>
      <c r="D2098" t="str">
        <f>VLOOKUP(B2098,Products!$A:$E,2,FALSE)</f>
        <v>Product_481</v>
      </c>
      <c r="E2098" t="str">
        <f>VLOOKUP(B2098,Products!$A:$E,3,FALSE)</f>
        <v>Storage</v>
      </c>
    </row>
    <row r="2099" spans="1:5" x14ac:dyDescent="0.3">
      <c r="A2099" t="s">
        <v>8111</v>
      </c>
      <c r="B2099" t="s">
        <v>408</v>
      </c>
      <c r="C2099">
        <v>47</v>
      </c>
      <c r="D2099" t="str">
        <f>VLOOKUP(B2099,Products!$A:$E,2,FALSE)</f>
        <v>Product_200</v>
      </c>
      <c r="E2099" t="str">
        <f>VLOOKUP(B2099,Products!$A:$E,3,FALSE)</f>
        <v>Office Supplies</v>
      </c>
    </row>
    <row r="2100" spans="1:5" x14ac:dyDescent="0.3">
      <c r="A2100" t="s">
        <v>8112</v>
      </c>
      <c r="B2100" t="s">
        <v>186</v>
      </c>
      <c r="C2100">
        <v>26</v>
      </c>
      <c r="D2100" t="str">
        <f>VLOOKUP(B2100,Products!$A:$E,2,FALSE)</f>
        <v>Product_89</v>
      </c>
      <c r="E2100" t="str">
        <f>VLOOKUP(B2100,Products!$A:$E,3,FALSE)</f>
        <v>Storage</v>
      </c>
    </row>
    <row r="2101" spans="1:5" x14ac:dyDescent="0.3">
      <c r="A2101" t="s">
        <v>8113</v>
      </c>
      <c r="B2101" t="s">
        <v>934</v>
      </c>
      <c r="C2101">
        <v>21</v>
      </c>
      <c r="D2101" t="str">
        <f>VLOOKUP(B2101,Products!$A:$E,2,FALSE)</f>
        <v>Product_463</v>
      </c>
      <c r="E2101" t="str">
        <f>VLOOKUP(B2101,Products!$A:$E,3,FALSE)</f>
        <v>Networking</v>
      </c>
    </row>
    <row r="2102" spans="1:5" x14ac:dyDescent="0.3">
      <c r="A2102" t="s">
        <v>8114</v>
      </c>
      <c r="B2102" t="s">
        <v>538</v>
      </c>
      <c r="C2102">
        <v>11</v>
      </c>
      <c r="D2102" t="str">
        <f>VLOOKUP(B2102,Products!$A:$E,2,FALSE)</f>
        <v>Product_265</v>
      </c>
      <c r="E2102" t="str">
        <f>VLOOKUP(B2102,Products!$A:$E,3,FALSE)</f>
        <v>Accessories</v>
      </c>
    </row>
    <row r="2103" spans="1:5" x14ac:dyDescent="0.3">
      <c r="A2103" t="s">
        <v>8115</v>
      </c>
      <c r="B2103" t="s">
        <v>456</v>
      </c>
      <c r="C2103">
        <v>15</v>
      </c>
      <c r="D2103" t="str">
        <f>VLOOKUP(B2103,Products!$A:$E,2,FALSE)</f>
        <v>Product_224</v>
      </c>
      <c r="E2103" t="str">
        <f>VLOOKUP(B2103,Products!$A:$E,3,FALSE)</f>
        <v>Storage</v>
      </c>
    </row>
    <row r="2104" spans="1:5" x14ac:dyDescent="0.3">
      <c r="A2104" t="s">
        <v>8116</v>
      </c>
      <c r="B2104" t="s">
        <v>110</v>
      </c>
      <c r="C2104">
        <v>46</v>
      </c>
      <c r="D2104" t="str">
        <f>VLOOKUP(B2104,Products!$A:$E,2,FALSE)</f>
        <v>Product_51</v>
      </c>
      <c r="E2104" t="str">
        <f>VLOOKUP(B2104,Products!$A:$E,3,FALSE)</f>
        <v>Storage</v>
      </c>
    </row>
    <row r="2105" spans="1:5" x14ac:dyDescent="0.3">
      <c r="A2105" t="s">
        <v>8117</v>
      </c>
      <c r="B2105" t="s">
        <v>830</v>
      </c>
      <c r="C2105">
        <v>9</v>
      </c>
      <c r="D2105" t="str">
        <f>VLOOKUP(B2105,Products!$A:$E,2,FALSE)</f>
        <v>Product_411</v>
      </c>
      <c r="E2105" t="str">
        <f>VLOOKUP(B2105,Products!$A:$E,3,FALSE)</f>
        <v>Office Supplies</v>
      </c>
    </row>
    <row r="2106" spans="1:5" x14ac:dyDescent="0.3">
      <c r="A2106" t="s">
        <v>8118</v>
      </c>
      <c r="B2106" t="s">
        <v>526</v>
      </c>
      <c r="C2106">
        <v>8</v>
      </c>
      <c r="D2106" t="str">
        <f>VLOOKUP(B2106,Products!$A:$E,2,FALSE)</f>
        <v>Product_259</v>
      </c>
      <c r="E2106" t="str">
        <f>VLOOKUP(B2106,Products!$A:$E,3,FALSE)</f>
        <v>Electronics</v>
      </c>
    </row>
    <row r="2107" spans="1:5" x14ac:dyDescent="0.3">
      <c r="A2107" t="s">
        <v>8119</v>
      </c>
      <c r="B2107" t="s">
        <v>656</v>
      </c>
      <c r="C2107">
        <v>37</v>
      </c>
      <c r="D2107" t="str">
        <f>VLOOKUP(B2107,Products!$A:$E,2,FALSE)</f>
        <v>Product_324</v>
      </c>
      <c r="E2107" t="str">
        <f>VLOOKUP(B2107,Products!$A:$E,3,FALSE)</f>
        <v>Accessories</v>
      </c>
    </row>
    <row r="2108" spans="1:5" x14ac:dyDescent="0.3">
      <c r="A2108" t="s">
        <v>8120</v>
      </c>
      <c r="B2108" t="s">
        <v>812</v>
      </c>
      <c r="C2108">
        <v>26</v>
      </c>
      <c r="D2108" t="str">
        <f>VLOOKUP(B2108,Products!$A:$E,2,FALSE)</f>
        <v>Product_402</v>
      </c>
      <c r="E2108" t="str">
        <f>VLOOKUP(B2108,Products!$A:$E,3,FALSE)</f>
        <v>Accessories</v>
      </c>
    </row>
    <row r="2109" spans="1:5" x14ac:dyDescent="0.3">
      <c r="A2109" t="s">
        <v>8121</v>
      </c>
      <c r="B2109" t="s">
        <v>872</v>
      </c>
      <c r="C2109">
        <v>49</v>
      </c>
      <c r="D2109" t="str">
        <f>VLOOKUP(B2109,Products!$A:$E,2,FALSE)</f>
        <v>Product_432</v>
      </c>
      <c r="E2109" t="str">
        <f>VLOOKUP(B2109,Products!$A:$E,3,FALSE)</f>
        <v>Office Supplies</v>
      </c>
    </row>
    <row r="2110" spans="1:5" x14ac:dyDescent="0.3">
      <c r="A2110" t="s">
        <v>8122</v>
      </c>
      <c r="B2110" t="s">
        <v>652</v>
      </c>
      <c r="C2110">
        <v>17</v>
      </c>
      <c r="D2110" t="str">
        <f>VLOOKUP(B2110,Products!$A:$E,2,FALSE)</f>
        <v>Product_322</v>
      </c>
      <c r="E2110" t="str">
        <f>VLOOKUP(B2110,Products!$A:$E,3,FALSE)</f>
        <v>Accessories</v>
      </c>
    </row>
    <row r="2111" spans="1:5" x14ac:dyDescent="0.3">
      <c r="A2111" t="s">
        <v>8123</v>
      </c>
      <c r="B2111" t="s">
        <v>866</v>
      </c>
      <c r="C2111">
        <v>36</v>
      </c>
      <c r="D2111" t="str">
        <f>VLOOKUP(B2111,Products!$A:$E,2,FALSE)</f>
        <v>Product_429</v>
      </c>
      <c r="E2111" t="str">
        <f>VLOOKUP(B2111,Products!$A:$E,3,FALSE)</f>
        <v>Office Supplies</v>
      </c>
    </row>
    <row r="2112" spans="1:5" x14ac:dyDescent="0.3">
      <c r="A2112" t="s">
        <v>8124</v>
      </c>
      <c r="B2112" t="s">
        <v>172</v>
      </c>
      <c r="C2112">
        <v>21</v>
      </c>
      <c r="D2112" t="str">
        <f>VLOOKUP(B2112,Products!$A:$E,2,FALSE)</f>
        <v>Product_82</v>
      </c>
      <c r="E2112" t="str">
        <f>VLOOKUP(B2112,Products!$A:$E,3,FALSE)</f>
        <v>Storage</v>
      </c>
    </row>
    <row r="2113" spans="1:5" x14ac:dyDescent="0.3">
      <c r="A2113" t="s">
        <v>8125</v>
      </c>
      <c r="B2113" t="s">
        <v>218</v>
      </c>
      <c r="C2113">
        <v>6</v>
      </c>
      <c r="D2113" t="str">
        <f>VLOOKUP(B2113,Products!$A:$E,2,FALSE)</f>
        <v>Product_105</v>
      </c>
      <c r="E2113" t="str">
        <f>VLOOKUP(B2113,Products!$A:$E,3,FALSE)</f>
        <v>Networking</v>
      </c>
    </row>
    <row r="2114" spans="1:5" x14ac:dyDescent="0.3">
      <c r="A2114" t="s">
        <v>8126</v>
      </c>
      <c r="B2114" t="s">
        <v>104</v>
      </c>
      <c r="C2114">
        <v>2</v>
      </c>
      <c r="D2114" t="str">
        <f>VLOOKUP(B2114,Products!$A:$E,2,FALSE)</f>
        <v>Product_48</v>
      </c>
      <c r="E2114" t="str">
        <f>VLOOKUP(B2114,Products!$A:$E,3,FALSE)</f>
        <v>Accessories</v>
      </c>
    </row>
    <row r="2115" spans="1:5" x14ac:dyDescent="0.3">
      <c r="A2115" t="s">
        <v>8127</v>
      </c>
      <c r="B2115" t="s">
        <v>456</v>
      </c>
      <c r="C2115">
        <v>1</v>
      </c>
      <c r="D2115" t="str">
        <f>VLOOKUP(B2115,Products!$A:$E,2,FALSE)</f>
        <v>Product_224</v>
      </c>
      <c r="E2115" t="str">
        <f>VLOOKUP(B2115,Products!$A:$E,3,FALSE)</f>
        <v>Storage</v>
      </c>
    </row>
    <row r="2116" spans="1:5" x14ac:dyDescent="0.3">
      <c r="A2116" t="s">
        <v>8128</v>
      </c>
      <c r="B2116" t="s">
        <v>652</v>
      </c>
      <c r="C2116">
        <v>50</v>
      </c>
      <c r="D2116" t="str">
        <f>VLOOKUP(B2116,Products!$A:$E,2,FALSE)</f>
        <v>Product_322</v>
      </c>
      <c r="E2116" t="str">
        <f>VLOOKUP(B2116,Products!$A:$E,3,FALSE)</f>
        <v>Accessories</v>
      </c>
    </row>
    <row r="2117" spans="1:5" x14ac:dyDescent="0.3">
      <c r="A2117" t="s">
        <v>8129</v>
      </c>
      <c r="B2117" t="s">
        <v>616</v>
      </c>
      <c r="C2117">
        <v>10</v>
      </c>
      <c r="D2117" t="str">
        <f>VLOOKUP(B2117,Products!$A:$E,2,FALSE)</f>
        <v>Product_304</v>
      </c>
      <c r="E2117" t="str">
        <f>VLOOKUP(B2117,Products!$A:$E,3,FALSE)</f>
        <v>Electronics</v>
      </c>
    </row>
    <row r="2118" spans="1:5" x14ac:dyDescent="0.3">
      <c r="A2118" t="s">
        <v>8130</v>
      </c>
      <c r="B2118" t="s">
        <v>38</v>
      </c>
      <c r="C2118">
        <v>40</v>
      </c>
      <c r="D2118" t="str">
        <f>VLOOKUP(B2118,Products!$A:$E,2,FALSE)</f>
        <v>Product_15</v>
      </c>
      <c r="E2118" t="str">
        <f>VLOOKUP(B2118,Products!$A:$E,3,FALSE)</f>
        <v>Electronics</v>
      </c>
    </row>
    <row r="2119" spans="1:5" x14ac:dyDescent="0.3">
      <c r="A2119" t="s">
        <v>8131</v>
      </c>
      <c r="B2119" t="s">
        <v>734</v>
      </c>
      <c r="C2119">
        <v>35</v>
      </c>
      <c r="D2119" t="str">
        <f>VLOOKUP(B2119,Products!$A:$E,2,FALSE)</f>
        <v>Product_363</v>
      </c>
      <c r="E2119" t="str">
        <f>VLOOKUP(B2119,Products!$A:$E,3,FALSE)</f>
        <v>Storage</v>
      </c>
    </row>
    <row r="2120" spans="1:5" x14ac:dyDescent="0.3">
      <c r="A2120" t="s">
        <v>8132</v>
      </c>
      <c r="B2120" t="s">
        <v>952</v>
      </c>
      <c r="C2120">
        <v>6</v>
      </c>
      <c r="D2120" t="str">
        <f>VLOOKUP(B2120,Products!$A:$E,2,FALSE)</f>
        <v>Product_472</v>
      </c>
      <c r="E2120" t="str">
        <f>VLOOKUP(B2120,Products!$A:$E,3,FALSE)</f>
        <v>Electronics</v>
      </c>
    </row>
    <row r="2121" spans="1:5" x14ac:dyDescent="0.3">
      <c r="A2121" t="s">
        <v>8133</v>
      </c>
      <c r="B2121" t="s">
        <v>594</v>
      </c>
      <c r="C2121">
        <v>25</v>
      </c>
      <c r="D2121" t="str">
        <f>VLOOKUP(B2121,Products!$A:$E,2,FALSE)</f>
        <v>Product_293</v>
      </c>
      <c r="E2121" t="str">
        <f>VLOOKUP(B2121,Products!$A:$E,3,FALSE)</f>
        <v>Networking</v>
      </c>
    </row>
    <row r="2122" spans="1:5" x14ac:dyDescent="0.3">
      <c r="A2122" t="s">
        <v>8134</v>
      </c>
      <c r="B2122" t="s">
        <v>34</v>
      </c>
      <c r="C2122">
        <v>48</v>
      </c>
      <c r="D2122" t="str">
        <f>VLOOKUP(B2122,Products!$A:$E,2,FALSE)</f>
        <v>Product_13</v>
      </c>
      <c r="E2122" t="str">
        <f>VLOOKUP(B2122,Products!$A:$E,3,FALSE)</f>
        <v>Office Supplies</v>
      </c>
    </row>
    <row r="2123" spans="1:5" x14ac:dyDescent="0.3">
      <c r="A2123" t="s">
        <v>8135</v>
      </c>
      <c r="B2123" t="s">
        <v>760</v>
      </c>
      <c r="C2123">
        <v>9</v>
      </c>
      <c r="D2123" t="str">
        <f>VLOOKUP(B2123,Products!$A:$E,2,FALSE)</f>
        <v>Product_376</v>
      </c>
      <c r="E2123" t="str">
        <f>VLOOKUP(B2123,Products!$A:$E,3,FALSE)</f>
        <v>Networking</v>
      </c>
    </row>
    <row r="2124" spans="1:5" x14ac:dyDescent="0.3">
      <c r="A2124" t="s">
        <v>8136</v>
      </c>
      <c r="B2124" t="s">
        <v>474</v>
      </c>
      <c r="C2124">
        <v>41</v>
      </c>
      <c r="D2124" t="str">
        <f>VLOOKUP(B2124,Products!$A:$E,2,FALSE)</f>
        <v>Product_233</v>
      </c>
      <c r="E2124" t="str">
        <f>VLOOKUP(B2124,Products!$A:$E,3,FALSE)</f>
        <v>Accessories</v>
      </c>
    </row>
    <row r="2125" spans="1:5" x14ac:dyDescent="0.3">
      <c r="A2125" t="s">
        <v>8137</v>
      </c>
      <c r="B2125" t="s">
        <v>656</v>
      </c>
      <c r="C2125">
        <v>50</v>
      </c>
      <c r="D2125" t="str">
        <f>VLOOKUP(B2125,Products!$A:$E,2,FALSE)</f>
        <v>Product_324</v>
      </c>
      <c r="E2125" t="str">
        <f>VLOOKUP(B2125,Products!$A:$E,3,FALSE)</f>
        <v>Accessories</v>
      </c>
    </row>
    <row r="2126" spans="1:5" x14ac:dyDescent="0.3">
      <c r="A2126" t="s">
        <v>8138</v>
      </c>
      <c r="B2126" t="s">
        <v>376</v>
      </c>
      <c r="C2126">
        <v>12</v>
      </c>
      <c r="D2126" t="str">
        <f>VLOOKUP(B2126,Products!$A:$E,2,FALSE)</f>
        <v>Product_184</v>
      </c>
      <c r="E2126" t="str">
        <f>VLOOKUP(B2126,Products!$A:$E,3,FALSE)</f>
        <v>Electronics</v>
      </c>
    </row>
    <row r="2127" spans="1:5" x14ac:dyDescent="0.3">
      <c r="A2127" t="s">
        <v>8139</v>
      </c>
      <c r="B2127" t="s">
        <v>254</v>
      </c>
      <c r="C2127">
        <v>42</v>
      </c>
      <c r="D2127" t="str">
        <f>VLOOKUP(B2127,Products!$A:$E,2,FALSE)</f>
        <v>Product_123</v>
      </c>
      <c r="E2127" t="str">
        <f>VLOOKUP(B2127,Products!$A:$E,3,FALSE)</f>
        <v>Electronics</v>
      </c>
    </row>
    <row r="2128" spans="1:5" x14ac:dyDescent="0.3">
      <c r="A2128" t="s">
        <v>8140</v>
      </c>
      <c r="B2128" t="s">
        <v>928</v>
      </c>
      <c r="C2128">
        <v>15</v>
      </c>
      <c r="D2128" t="str">
        <f>VLOOKUP(B2128,Products!$A:$E,2,FALSE)</f>
        <v>Product_460</v>
      </c>
      <c r="E2128" t="str">
        <f>VLOOKUP(B2128,Products!$A:$E,3,FALSE)</f>
        <v>Accessories</v>
      </c>
    </row>
    <row r="2129" spans="1:5" x14ac:dyDescent="0.3">
      <c r="A2129" t="s">
        <v>8141</v>
      </c>
      <c r="B2129" t="s">
        <v>314</v>
      </c>
      <c r="C2129">
        <v>13</v>
      </c>
      <c r="D2129" t="str">
        <f>VLOOKUP(B2129,Products!$A:$E,2,FALSE)</f>
        <v>Product_153</v>
      </c>
      <c r="E2129" t="str">
        <f>VLOOKUP(B2129,Products!$A:$E,3,FALSE)</f>
        <v>Electronics</v>
      </c>
    </row>
    <row r="2130" spans="1:5" x14ac:dyDescent="0.3">
      <c r="A2130" t="s">
        <v>8142</v>
      </c>
      <c r="B2130" t="s">
        <v>558</v>
      </c>
      <c r="C2130">
        <v>16</v>
      </c>
      <c r="D2130" t="str">
        <f>VLOOKUP(B2130,Products!$A:$E,2,FALSE)</f>
        <v>Product_275</v>
      </c>
      <c r="E2130" t="str">
        <f>VLOOKUP(B2130,Products!$A:$E,3,FALSE)</f>
        <v>Accessories</v>
      </c>
    </row>
    <row r="2131" spans="1:5" x14ac:dyDescent="0.3">
      <c r="A2131" t="s">
        <v>8143</v>
      </c>
      <c r="B2131" t="s">
        <v>752</v>
      </c>
      <c r="C2131">
        <v>50</v>
      </c>
      <c r="D2131" t="str">
        <f>VLOOKUP(B2131,Products!$A:$E,2,FALSE)</f>
        <v>Product_372</v>
      </c>
      <c r="E2131" t="str">
        <f>VLOOKUP(B2131,Products!$A:$E,3,FALSE)</f>
        <v>Networking</v>
      </c>
    </row>
    <row r="2132" spans="1:5" x14ac:dyDescent="0.3">
      <c r="A2132" t="s">
        <v>8144</v>
      </c>
      <c r="B2132" t="s">
        <v>836</v>
      </c>
      <c r="C2132">
        <v>25</v>
      </c>
      <c r="D2132" t="str">
        <f>VLOOKUP(B2132,Products!$A:$E,2,FALSE)</f>
        <v>Product_414</v>
      </c>
      <c r="E2132" t="str">
        <f>VLOOKUP(B2132,Products!$A:$E,3,FALSE)</f>
        <v>Office Supplies</v>
      </c>
    </row>
    <row r="2133" spans="1:5" x14ac:dyDescent="0.3">
      <c r="A2133" t="s">
        <v>8145</v>
      </c>
      <c r="B2133" t="s">
        <v>798</v>
      </c>
      <c r="C2133">
        <v>17</v>
      </c>
      <c r="D2133" t="str">
        <f>VLOOKUP(B2133,Products!$A:$E,2,FALSE)</f>
        <v>Product_395</v>
      </c>
      <c r="E2133" t="str">
        <f>VLOOKUP(B2133,Products!$A:$E,3,FALSE)</f>
        <v>Accessories</v>
      </c>
    </row>
    <row r="2134" spans="1:5" x14ac:dyDescent="0.3">
      <c r="A2134" t="s">
        <v>8146</v>
      </c>
      <c r="B2134" t="s">
        <v>684</v>
      </c>
      <c r="C2134">
        <v>4</v>
      </c>
      <c r="D2134" t="str">
        <f>VLOOKUP(B2134,Products!$A:$E,2,FALSE)</f>
        <v>Product_338</v>
      </c>
      <c r="E2134" t="str">
        <f>VLOOKUP(B2134,Products!$A:$E,3,FALSE)</f>
        <v>Networking</v>
      </c>
    </row>
    <row r="2135" spans="1:5" x14ac:dyDescent="0.3">
      <c r="A2135" t="s">
        <v>8147</v>
      </c>
      <c r="B2135" t="s">
        <v>290</v>
      </c>
      <c r="C2135">
        <v>6</v>
      </c>
      <c r="D2135" t="str">
        <f>VLOOKUP(B2135,Products!$A:$E,2,FALSE)</f>
        <v>Product_141</v>
      </c>
      <c r="E2135" t="str">
        <f>VLOOKUP(B2135,Products!$A:$E,3,FALSE)</f>
        <v>Electronics</v>
      </c>
    </row>
    <row r="2136" spans="1:5" x14ac:dyDescent="0.3">
      <c r="A2136" t="s">
        <v>8148</v>
      </c>
      <c r="B2136" t="s">
        <v>966</v>
      </c>
      <c r="C2136">
        <v>10</v>
      </c>
      <c r="D2136" t="str">
        <f>VLOOKUP(B2136,Products!$A:$E,2,FALSE)</f>
        <v>Product_479</v>
      </c>
      <c r="E2136" t="str">
        <f>VLOOKUP(B2136,Products!$A:$E,3,FALSE)</f>
        <v>Office Supplies</v>
      </c>
    </row>
    <row r="2137" spans="1:5" x14ac:dyDescent="0.3">
      <c r="A2137" t="s">
        <v>8149</v>
      </c>
      <c r="B2137" t="s">
        <v>652</v>
      </c>
      <c r="C2137">
        <v>2</v>
      </c>
      <c r="D2137" t="str">
        <f>VLOOKUP(B2137,Products!$A:$E,2,FALSE)</f>
        <v>Product_322</v>
      </c>
      <c r="E2137" t="str">
        <f>VLOOKUP(B2137,Products!$A:$E,3,FALSE)</f>
        <v>Accessories</v>
      </c>
    </row>
    <row r="2138" spans="1:5" x14ac:dyDescent="0.3">
      <c r="A2138" t="s">
        <v>8150</v>
      </c>
      <c r="B2138" t="s">
        <v>662</v>
      </c>
      <c r="C2138">
        <v>38</v>
      </c>
      <c r="D2138" t="str">
        <f>VLOOKUP(B2138,Products!$A:$E,2,FALSE)</f>
        <v>Product_327</v>
      </c>
      <c r="E2138" t="str">
        <f>VLOOKUP(B2138,Products!$A:$E,3,FALSE)</f>
        <v>Networking</v>
      </c>
    </row>
    <row r="2139" spans="1:5" x14ac:dyDescent="0.3">
      <c r="A2139" t="s">
        <v>8151</v>
      </c>
      <c r="B2139" t="s">
        <v>896</v>
      </c>
      <c r="C2139">
        <v>7</v>
      </c>
      <c r="D2139" t="str">
        <f>VLOOKUP(B2139,Products!$A:$E,2,FALSE)</f>
        <v>Product_444</v>
      </c>
      <c r="E2139" t="str">
        <f>VLOOKUP(B2139,Products!$A:$E,3,FALSE)</f>
        <v>Electronics</v>
      </c>
    </row>
    <row r="2140" spans="1:5" x14ac:dyDescent="0.3">
      <c r="A2140" t="s">
        <v>8152</v>
      </c>
      <c r="B2140" t="s">
        <v>122</v>
      </c>
      <c r="C2140">
        <v>30</v>
      </c>
      <c r="D2140" t="str">
        <f>VLOOKUP(B2140,Products!$A:$E,2,FALSE)</f>
        <v>Product_57</v>
      </c>
      <c r="E2140" t="str">
        <f>VLOOKUP(B2140,Products!$A:$E,3,FALSE)</f>
        <v>Electronics</v>
      </c>
    </row>
    <row r="2141" spans="1:5" x14ac:dyDescent="0.3">
      <c r="A2141" t="s">
        <v>8153</v>
      </c>
      <c r="B2141" t="s">
        <v>958</v>
      </c>
      <c r="C2141">
        <v>39</v>
      </c>
      <c r="D2141" t="str">
        <f>VLOOKUP(B2141,Products!$A:$E,2,FALSE)</f>
        <v>Product_475</v>
      </c>
      <c r="E2141" t="str">
        <f>VLOOKUP(B2141,Products!$A:$E,3,FALSE)</f>
        <v>Electronics</v>
      </c>
    </row>
    <row r="2142" spans="1:5" x14ac:dyDescent="0.3">
      <c r="A2142" t="s">
        <v>8154</v>
      </c>
      <c r="B2142" t="s">
        <v>134</v>
      </c>
      <c r="C2142">
        <v>7</v>
      </c>
      <c r="D2142" t="str">
        <f>VLOOKUP(B2142,Products!$A:$E,2,FALSE)</f>
        <v>Product_63</v>
      </c>
      <c r="E2142" t="str">
        <f>VLOOKUP(B2142,Products!$A:$E,3,FALSE)</f>
        <v>Accessories</v>
      </c>
    </row>
    <row r="2143" spans="1:5" x14ac:dyDescent="0.3">
      <c r="A2143" t="s">
        <v>8155</v>
      </c>
      <c r="B2143" t="s">
        <v>154</v>
      </c>
      <c r="C2143">
        <v>19</v>
      </c>
      <c r="D2143" t="str">
        <f>VLOOKUP(B2143,Products!$A:$E,2,FALSE)</f>
        <v>Product_73</v>
      </c>
      <c r="E2143" t="str">
        <f>VLOOKUP(B2143,Products!$A:$E,3,FALSE)</f>
        <v>Office Supplies</v>
      </c>
    </row>
    <row r="2144" spans="1:5" x14ac:dyDescent="0.3">
      <c r="A2144" t="s">
        <v>8156</v>
      </c>
      <c r="B2144" t="s">
        <v>278</v>
      </c>
      <c r="C2144">
        <v>12</v>
      </c>
      <c r="D2144" t="str">
        <f>VLOOKUP(B2144,Products!$A:$E,2,FALSE)</f>
        <v>Product_135</v>
      </c>
      <c r="E2144" t="str">
        <f>VLOOKUP(B2144,Products!$A:$E,3,FALSE)</f>
        <v>Accessories</v>
      </c>
    </row>
    <row r="2145" spans="1:5" x14ac:dyDescent="0.3">
      <c r="A2145" t="s">
        <v>8157</v>
      </c>
      <c r="B2145" t="s">
        <v>104</v>
      </c>
      <c r="C2145">
        <v>5</v>
      </c>
      <c r="D2145" t="str">
        <f>VLOOKUP(B2145,Products!$A:$E,2,FALSE)</f>
        <v>Product_48</v>
      </c>
      <c r="E2145" t="str">
        <f>VLOOKUP(B2145,Products!$A:$E,3,FALSE)</f>
        <v>Accessories</v>
      </c>
    </row>
    <row r="2146" spans="1:5" x14ac:dyDescent="0.3">
      <c r="A2146" t="s">
        <v>8158</v>
      </c>
      <c r="B2146" t="s">
        <v>516</v>
      </c>
      <c r="C2146">
        <v>24</v>
      </c>
      <c r="D2146" t="str">
        <f>VLOOKUP(B2146,Products!$A:$E,2,FALSE)</f>
        <v>Product_254</v>
      </c>
      <c r="E2146" t="str">
        <f>VLOOKUP(B2146,Products!$A:$E,3,FALSE)</f>
        <v>Office Supplies</v>
      </c>
    </row>
    <row r="2147" spans="1:5" x14ac:dyDescent="0.3">
      <c r="A2147" t="s">
        <v>8159</v>
      </c>
      <c r="B2147" t="s">
        <v>944</v>
      </c>
      <c r="C2147">
        <v>14</v>
      </c>
      <c r="D2147" t="str">
        <f>VLOOKUP(B2147,Products!$A:$E,2,FALSE)</f>
        <v>Product_468</v>
      </c>
      <c r="E2147" t="str">
        <f>VLOOKUP(B2147,Products!$A:$E,3,FALSE)</f>
        <v>Office Supplies</v>
      </c>
    </row>
    <row r="2148" spans="1:5" x14ac:dyDescent="0.3">
      <c r="A2148" t="s">
        <v>8160</v>
      </c>
      <c r="B2148" t="s">
        <v>410</v>
      </c>
      <c r="C2148">
        <v>7</v>
      </c>
      <c r="D2148" t="str">
        <f>VLOOKUP(B2148,Products!$A:$E,2,FALSE)</f>
        <v>Product_201</v>
      </c>
      <c r="E2148" t="str">
        <f>VLOOKUP(B2148,Products!$A:$E,3,FALSE)</f>
        <v>Networking</v>
      </c>
    </row>
    <row r="2149" spans="1:5" x14ac:dyDescent="0.3">
      <c r="A2149" t="s">
        <v>8161</v>
      </c>
      <c r="B2149" t="s">
        <v>512</v>
      </c>
      <c r="C2149">
        <v>2</v>
      </c>
      <c r="D2149" t="str">
        <f>VLOOKUP(B2149,Products!$A:$E,2,FALSE)</f>
        <v>Product_252</v>
      </c>
      <c r="E2149" t="str">
        <f>VLOOKUP(B2149,Products!$A:$E,3,FALSE)</f>
        <v>Networking</v>
      </c>
    </row>
    <row r="2150" spans="1:5" x14ac:dyDescent="0.3">
      <c r="A2150" t="s">
        <v>8162</v>
      </c>
      <c r="B2150" t="s">
        <v>432</v>
      </c>
      <c r="C2150">
        <v>5</v>
      </c>
      <c r="D2150" t="str">
        <f>VLOOKUP(B2150,Products!$A:$E,2,FALSE)</f>
        <v>Product_212</v>
      </c>
      <c r="E2150" t="str">
        <f>VLOOKUP(B2150,Products!$A:$E,3,FALSE)</f>
        <v>Networking</v>
      </c>
    </row>
    <row r="2151" spans="1:5" x14ac:dyDescent="0.3">
      <c r="A2151" t="s">
        <v>8163</v>
      </c>
      <c r="B2151" t="s">
        <v>508</v>
      </c>
      <c r="C2151">
        <v>41</v>
      </c>
      <c r="D2151" t="str">
        <f>VLOOKUP(B2151,Products!$A:$E,2,FALSE)</f>
        <v>Product_250</v>
      </c>
      <c r="E2151" t="str">
        <f>VLOOKUP(B2151,Products!$A:$E,3,FALSE)</f>
        <v>Networking</v>
      </c>
    </row>
    <row r="2152" spans="1:5" x14ac:dyDescent="0.3">
      <c r="A2152" t="s">
        <v>8164</v>
      </c>
      <c r="B2152" t="s">
        <v>88</v>
      </c>
      <c r="C2152">
        <v>14</v>
      </c>
      <c r="D2152" t="str">
        <f>VLOOKUP(B2152,Products!$A:$E,2,FALSE)</f>
        <v>Product_40</v>
      </c>
      <c r="E2152" t="str">
        <f>VLOOKUP(B2152,Products!$A:$E,3,FALSE)</f>
        <v>Accessories</v>
      </c>
    </row>
    <row r="2153" spans="1:5" x14ac:dyDescent="0.3">
      <c r="A2153" t="s">
        <v>8165</v>
      </c>
      <c r="B2153" t="s">
        <v>712</v>
      </c>
      <c r="C2153">
        <v>27</v>
      </c>
      <c r="D2153" t="str">
        <f>VLOOKUP(B2153,Products!$A:$E,2,FALSE)</f>
        <v>Product_352</v>
      </c>
      <c r="E2153" t="str">
        <f>VLOOKUP(B2153,Products!$A:$E,3,FALSE)</f>
        <v>Storage</v>
      </c>
    </row>
    <row r="2154" spans="1:5" x14ac:dyDescent="0.3">
      <c r="A2154" t="s">
        <v>8166</v>
      </c>
      <c r="B2154" t="s">
        <v>394</v>
      </c>
      <c r="C2154">
        <v>21</v>
      </c>
      <c r="D2154" t="str">
        <f>VLOOKUP(B2154,Products!$A:$E,2,FALSE)</f>
        <v>Product_193</v>
      </c>
      <c r="E2154" t="str">
        <f>VLOOKUP(B2154,Products!$A:$E,3,FALSE)</f>
        <v>Accessories</v>
      </c>
    </row>
    <row r="2155" spans="1:5" x14ac:dyDescent="0.3">
      <c r="A2155" t="s">
        <v>8167</v>
      </c>
      <c r="B2155" t="s">
        <v>658</v>
      </c>
      <c r="C2155">
        <v>29</v>
      </c>
      <c r="D2155" t="str">
        <f>VLOOKUP(B2155,Products!$A:$E,2,FALSE)</f>
        <v>Product_325</v>
      </c>
      <c r="E2155" t="str">
        <f>VLOOKUP(B2155,Products!$A:$E,3,FALSE)</f>
        <v>Networking</v>
      </c>
    </row>
    <row r="2156" spans="1:5" x14ac:dyDescent="0.3">
      <c r="A2156" t="s">
        <v>8168</v>
      </c>
      <c r="B2156" t="s">
        <v>836</v>
      </c>
      <c r="C2156">
        <v>11</v>
      </c>
      <c r="D2156" t="str">
        <f>VLOOKUP(B2156,Products!$A:$E,2,FALSE)</f>
        <v>Product_414</v>
      </c>
      <c r="E2156" t="str">
        <f>VLOOKUP(B2156,Products!$A:$E,3,FALSE)</f>
        <v>Office Supplies</v>
      </c>
    </row>
    <row r="2157" spans="1:5" x14ac:dyDescent="0.3">
      <c r="A2157" t="s">
        <v>8169</v>
      </c>
      <c r="B2157" t="s">
        <v>194</v>
      </c>
      <c r="C2157">
        <v>20</v>
      </c>
      <c r="D2157" t="str">
        <f>VLOOKUP(B2157,Products!$A:$E,2,FALSE)</f>
        <v>Product_93</v>
      </c>
      <c r="E2157" t="str">
        <f>VLOOKUP(B2157,Products!$A:$E,3,FALSE)</f>
        <v>Office Supplies</v>
      </c>
    </row>
    <row r="2158" spans="1:5" x14ac:dyDescent="0.3">
      <c r="A2158" t="s">
        <v>8170</v>
      </c>
      <c r="B2158" t="s">
        <v>20</v>
      </c>
      <c r="C2158">
        <v>12</v>
      </c>
      <c r="D2158" t="str">
        <f>VLOOKUP(B2158,Products!$A:$E,2,FALSE)</f>
        <v>Product_6</v>
      </c>
      <c r="E2158" t="str">
        <f>VLOOKUP(B2158,Products!$A:$E,3,FALSE)</f>
        <v>Electronics</v>
      </c>
    </row>
    <row r="2159" spans="1:5" x14ac:dyDescent="0.3">
      <c r="A2159" t="s">
        <v>8171</v>
      </c>
      <c r="B2159" t="s">
        <v>684</v>
      </c>
      <c r="C2159">
        <v>37</v>
      </c>
      <c r="D2159" t="str">
        <f>VLOOKUP(B2159,Products!$A:$E,2,FALSE)</f>
        <v>Product_338</v>
      </c>
      <c r="E2159" t="str">
        <f>VLOOKUP(B2159,Products!$A:$E,3,FALSE)</f>
        <v>Networking</v>
      </c>
    </row>
    <row r="2160" spans="1:5" x14ac:dyDescent="0.3">
      <c r="A2160" t="s">
        <v>8172</v>
      </c>
      <c r="B2160" t="s">
        <v>656</v>
      </c>
      <c r="C2160">
        <v>39</v>
      </c>
      <c r="D2160" t="str">
        <f>VLOOKUP(B2160,Products!$A:$E,2,FALSE)</f>
        <v>Product_324</v>
      </c>
      <c r="E2160" t="str">
        <f>VLOOKUP(B2160,Products!$A:$E,3,FALSE)</f>
        <v>Accessories</v>
      </c>
    </row>
    <row r="2161" spans="1:5" x14ac:dyDescent="0.3">
      <c r="A2161" t="s">
        <v>8173</v>
      </c>
      <c r="B2161" t="s">
        <v>884</v>
      </c>
      <c r="C2161">
        <v>3</v>
      </c>
      <c r="D2161" t="str">
        <f>VLOOKUP(B2161,Products!$A:$E,2,FALSE)</f>
        <v>Product_438</v>
      </c>
      <c r="E2161" t="str">
        <f>VLOOKUP(B2161,Products!$A:$E,3,FALSE)</f>
        <v>Electronics</v>
      </c>
    </row>
    <row r="2162" spans="1:5" x14ac:dyDescent="0.3">
      <c r="A2162" t="s">
        <v>8174</v>
      </c>
      <c r="B2162" t="s">
        <v>130</v>
      </c>
      <c r="C2162">
        <v>22</v>
      </c>
      <c r="D2162" t="str">
        <f>VLOOKUP(B2162,Products!$A:$E,2,FALSE)</f>
        <v>Product_61</v>
      </c>
      <c r="E2162" t="str">
        <f>VLOOKUP(B2162,Products!$A:$E,3,FALSE)</f>
        <v>Storage</v>
      </c>
    </row>
    <row r="2163" spans="1:5" x14ac:dyDescent="0.3">
      <c r="A2163" t="s">
        <v>8175</v>
      </c>
      <c r="B2163" t="s">
        <v>364</v>
      </c>
      <c r="C2163">
        <v>31</v>
      </c>
      <c r="D2163" t="str">
        <f>VLOOKUP(B2163,Products!$A:$E,2,FALSE)</f>
        <v>Product_178</v>
      </c>
      <c r="E2163" t="str">
        <f>VLOOKUP(B2163,Products!$A:$E,3,FALSE)</f>
        <v>Office Supplies</v>
      </c>
    </row>
    <row r="2164" spans="1:5" x14ac:dyDescent="0.3">
      <c r="A2164" t="s">
        <v>8176</v>
      </c>
      <c r="B2164" t="s">
        <v>638</v>
      </c>
      <c r="C2164">
        <v>39</v>
      </c>
      <c r="D2164" t="str">
        <f>VLOOKUP(B2164,Products!$A:$E,2,FALSE)</f>
        <v>Product_315</v>
      </c>
      <c r="E2164" t="str">
        <f>VLOOKUP(B2164,Products!$A:$E,3,FALSE)</f>
        <v>Accessories</v>
      </c>
    </row>
    <row r="2165" spans="1:5" x14ac:dyDescent="0.3">
      <c r="A2165" t="s">
        <v>8177</v>
      </c>
      <c r="B2165" t="s">
        <v>568</v>
      </c>
      <c r="C2165">
        <v>1</v>
      </c>
      <c r="D2165" t="str">
        <f>VLOOKUP(B2165,Products!$A:$E,2,FALSE)</f>
        <v>Product_280</v>
      </c>
      <c r="E2165" t="str">
        <f>VLOOKUP(B2165,Products!$A:$E,3,FALSE)</f>
        <v>Electronics</v>
      </c>
    </row>
    <row r="2166" spans="1:5" x14ac:dyDescent="0.3">
      <c r="A2166" t="s">
        <v>8178</v>
      </c>
      <c r="B2166" t="s">
        <v>172</v>
      </c>
      <c r="C2166">
        <v>34</v>
      </c>
      <c r="D2166" t="str">
        <f>VLOOKUP(B2166,Products!$A:$E,2,FALSE)</f>
        <v>Product_82</v>
      </c>
      <c r="E2166" t="str">
        <f>VLOOKUP(B2166,Products!$A:$E,3,FALSE)</f>
        <v>Storage</v>
      </c>
    </row>
    <row r="2167" spans="1:5" x14ac:dyDescent="0.3">
      <c r="A2167" t="s">
        <v>8179</v>
      </c>
      <c r="B2167" t="s">
        <v>768</v>
      </c>
      <c r="C2167">
        <v>17</v>
      </c>
      <c r="D2167" t="str">
        <f>VLOOKUP(B2167,Products!$A:$E,2,FALSE)</f>
        <v>Product_380</v>
      </c>
      <c r="E2167" t="str">
        <f>VLOOKUP(B2167,Products!$A:$E,3,FALSE)</f>
        <v>Electronics</v>
      </c>
    </row>
    <row r="2168" spans="1:5" x14ac:dyDescent="0.3">
      <c r="A2168" t="s">
        <v>8180</v>
      </c>
      <c r="B2168" t="s">
        <v>958</v>
      </c>
      <c r="C2168">
        <v>8</v>
      </c>
      <c r="D2168" t="str">
        <f>VLOOKUP(B2168,Products!$A:$E,2,FALSE)</f>
        <v>Product_475</v>
      </c>
      <c r="E2168" t="str">
        <f>VLOOKUP(B2168,Products!$A:$E,3,FALSE)</f>
        <v>Electronics</v>
      </c>
    </row>
    <row r="2169" spans="1:5" x14ac:dyDescent="0.3">
      <c r="A2169" t="s">
        <v>8181</v>
      </c>
      <c r="B2169" t="s">
        <v>206</v>
      </c>
      <c r="C2169">
        <v>39</v>
      </c>
      <c r="D2169" t="str">
        <f>VLOOKUP(B2169,Products!$A:$E,2,FALSE)</f>
        <v>Product_99</v>
      </c>
      <c r="E2169" t="str">
        <f>VLOOKUP(B2169,Products!$A:$E,3,FALSE)</f>
        <v>Accessories</v>
      </c>
    </row>
    <row r="2170" spans="1:5" x14ac:dyDescent="0.3">
      <c r="A2170" t="s">
        <v>8182</v>
      </c>
      <c r="B2170" t="s">
        <v>40</v>
      </c>
      <c r="C2170">
        <v>35</v>
      </c>
      <c r="D2170" t="str">
        <f>VLOOKUP(B2170,Products!$A:$E,2,FALSE)</f>
        <v>Product_16</v>
      </c>
      <c r="E2170" t="str">
        <f>VLOOKUP(B2170,Products!$A:$E,3,FALSE)</f>
        <v>Office Supplies</v>
      </c>
    </row>
    <row r="2171" spans="1:5" x14ac:dyDescent="0.3">
      <c r="A2171" t="s">
        <v>8183</v>
      </c>
      <c r="B2171" t="s">
        <v>32</v>
      </c>
      <c r="C2171">
        <v>34</v>
      </c>
      <c r="D2171" t="str">
        <f>VLOOKUP(B2171,Products!$A:$E,2,FALSE)</f>
        <v>Product_12</v>
      </c>
      <c r="E2171" t="str">
        <f>VLOOKUP(B2171,Products!$A:$E,3,FALSE)</f>
        <v>Accessories</v>
      </c>
    </row>
    <row r="2172" spans="1:5" x14ac:dyDescent="0.3">
      <c r="A2172" t="s">
        <v>8184</v>
      </c>
      <c r="B2172" t="s">
        <v>534</v>
      </c>
      <c r="C2172">
        <v>49</v>
      </c>
      <c r="D2172" t="str">
        <f>VLOOKUP(B2172,Products!$A:$E,2,FALSE)</f>
        <v>Product_263</v>
      </c>
      <c r="E2172" t="str">
        <f>VLOOKUP(B2172,Products!$A:$E,3,FALSE)</f>
        <v>Accessories</v>
      </c>
    </row>
    <row r="2173" spans="1:5" x14ac:dyDescent="0.3">
      <c r="A2173" t="s">
        <v>8185</v>
      </c>
      <c r="B2173" t="s">
        <v>166</v>
      </c>
      <c r="C2173">
        <v>14</v>
      </c>
      <c r="D2173" t="str">
        <f>VLOOKUP(B2173,Products!$A:$E,2,FALSE)</f>
        <v>Product_79</v>
      </c>
      <c r="E2173" t="str">
        <f>VLOOKUP(B2173,Products!$A:$E,3,FALSE)</f>
        <v>Storage</v>
      </c>
    </row>
    <row r="2174" spans="1:5" x14ac:dyDescent="0.3">
      <c r="A2174" t="s">
        <v>8186</v>
      </c>
      <c r="B2174" t="s">
        <v>896</v>
      </c>
      <c r="C2174">
        <v>24</v>
      </c>
      <c r="D2174" t="str">
        <f>VLOOKUP(B2174,Products!$A:$E,2,FALSE)</f>
        <v>Product_444</v>
      </c>
      <c r="E2174" t="str">
        <f>VLOOKUP(B2174,Products!$A:$E,3,FALSE)</f>
        <v>Electronics</v>
      </c>
    </row>
    <row r="2175" spans="1:5" x14ac:dyDescent="0.3">
      <c r="A2175" t="s">
        <v>8187</v>
      </c>
      <c r="B2175" t="s">
        <v>126</v>
      </c>
      <c r="C2175">
        <v>14</v>
      </c>
      <c r="D2175" t="str">
        <f>VLOOKUP(B2175,Products!$A:$E,2,FALSE)</f>
        <v>Product_59</v>
      </c>
      <c r="E2175" t="str">
        <f>VLOOKUP(B2175,Products!$A:$E,3,FALSE)</f>
        <v>Accessories</v>
      </c>
    </row>
    <row r="2176" spans="1:5" x14ac:dyDescent="0.3">
      <c r="A2176" t="s">
        <v>8188</v>
      </c>
      <c r="B2176" t="s">
        <v>40</v>
      </c>
      <c r="C2176">
        <v>21</v>
      </c>
      <c r="D2176" t="str">
        <f>VLOOKUP(B2176,Products!$A:$E,2,FALSE)</f>
        <v>Product_16</v>
      </c>
      <c r="E2176" t="str">
        <f>VLOOKUP(B2176,Products!$A:$E,3,FALSE)</f>
        <v>Office Supplies</v>
      </c>
    </row>
    <row r="2177" spans="1:5" x14ac:dyDescent="0.3">
      <c r="A2177" t="s">
        <v>8189</v>
      </c>
      <c r="B2177" t="s">
        <v>150</v>
      </c>
      <c r="C2177">
        <v>15</v>
      </c>
      <c r="D2177" t="str">
        <f>VLOOKUP(B2177,Products!$A:$E,2,FALSE)</f>
        <v>Product_71</v>
      </c>
      <c r="E2177" t="str">
        <f>VLOOKUP(B2177,Products!$A:$E,3,FALSE)</f>
        <v>Accessories</v>
      </c>
    </row>
    <row r="2178" spans="1:5" x14ac:dyDescent="0.3">
      <c r="A2178" t="s">
        <v>8190</v>
      </c>
      <c r="B2178" t="s">
        <v>94</v>
      </c>
      <c r="C2178">
        <v>47</v>
      </c>
      <c r="D2178" t="str">
        <f>VLOOKUP(B2178,Products!$A:$E,2,FALSE)</f>
        <v>Product_43</v>
      </c>
      <c r="E2178" t="str">
        <f>VLOOKUP(B2178,Products!$A:$E,3,FALSE)</f>
        <v>Storage</v>
      </c>
    </row>
    <row r="2179" spans="1:5" x14ac:dyDescent="0.3">
      <c r="A2179" t="s">
        <v>8191</v>
      </c>
      <c r="B2179" t="s">
        <v>718</v>
      </c>
      <c r="C2179">
        <v>9</v>
      </c>
      <c r="D2179" t="str">
        <f>VLOOKUP(B2179,Products!$A:$E,2,FALSE)</f>
        <v>Product_355</v>
      </c>
      <c r="E2179" t="str">
        <f>VLOOKUP(B2179,Products!$A:$E,3,FALSE)</f>
        <v>Accessories</v>
      </c>
    </row>
    <row r="2180" spans="1:5" x14ac:dyDescent="0.3">
      <c r="A2180" t="s">
        <v>8192</v>
      </c>
      <c r="B2180" t="s">
        <v>284</v>
      </c>
      <c r="C2180">
        <v>18</v>
      </c>
      <c r="D2180" t="str">
        <f>VLOOKUP(B2180,Products!$A:$E,2,FALSE)</f>
        <v>Product_138</v>
      </c>
      <c r="E2180" t="str">
        <f>VLOOKUP(B2180,Products!$A:$E,3,FALSE)</f>
        <v>Electronics</v>
      </c>
    </row>
    <row r="2181" spans="1:5" x14ac:dyDescent="0.3">
      <c r="A2181" t="s">
        <v>8193</v>
      </c>
      <c r="B2181" t="s">
        <v>502</v>
      </c>
      <c r="C2181">
        <v>13</v>
      </c>
      <c r="D2181" t="str">
        <f>VLOOKUP(B2181,Products!$A:$E,2,FALSE)</f>
        <v>Product_247</v>
      </c>
      <c r="E2181" t="str">
        <f>VLOOKUP(B2181,Products!$A:$E,3,FALSE)</f>
        <v>Networking</v>
      </c>
    </row>
    <row r="2182" spans="1:5" x14ac:dyDescent="0.3">
      <c r="A2182" t="s">
        <v>8194</v>
      </c>
      <c r="B2182" t="s">
        <v>986</v>
      </c>
      <c r="C2182">
        <v>6</v>
      </c>
      <c r="D2182" t="str">
        <f>VLOOKUP(B2182,Products!$A:$E,2,FALSE)</f>
        <v>Product_489</v>
      </c>
      <c r="E2182" t="str">
        <f>VLOOKUP(B2182,Products!$A:$E,3,FALSE)</f>
        <v>Networking</v>
      </c>
    </row>
    <row r="2183" spans="1:5" x14ac:dyDescent="0.3">
      <c r="A2183" t="s">
        <v>8195</v>
      </c>
      <c r="B2183" t="s">
        <v>366</v>
      </c>
      <c r="C2183">
        <v>46</v>
      </c>
      <c r="D2183" t="str">
        <f>VLOOKUP(B2183,Products!$A:$E,2,FALSE)</f>
        <v>Product_179</v>
      </c>
      <c r="E2183" t="str">
        <f>VLOOKUP(B2183,Products!$A:$E,3,FALSE)</f>
        <v>Storage</v>
      </c>
    </row>
    <row r="2184" spans="1:5" x14ac:dyDescent="0.3">
      <c r="A2184" t="s">
        <v>8196</v>
      </c>
      <c r="B2184" t="s">
        <v>574</v>
      </c>
      <c r="C2184">
        <v>42</v>
      </c>
      <c r="D2184" t="str">
        <f>VLOOKUP(B2184,Products!$A:$E,2,FALSE)</f>
        <v>Product_283</v>
      </c>
      <c r="E2184" t="str">
        <f>VLOOKUP(B2184,Products!$A:$E,3,FALSE)</f>
        <v>Networking</v>
      </c>
    </row>
    <row r="2185" spans="1:5" x14ac:dyDescent="0.3">
      <c r="A2185" t="s">
        <v>8197</v>
      </c>
      <c r="B2185" t="s">
        <v>310</v>
      </c>
      <c r="C2185">
        <v>30</v>
      </c>
      <c r="D2185" t="str">
        <f>VLOOKUP(B2185,Products!$A:$E,2,FALSE)</f>
        <v>Product_151</v>
      </c>
      <c r="E2185" t="str">
        <f>VLOOKUP(B2185,Products!$A:$E,3,FALSE)</f>
        <v>Storage</v>
      </c>
    </row>
    <row r="2186" spans="1:5" x14ac:dyDescent="0.3">
      <c r="A2186" t="s">
        <v>8198</v>
      </c>
      <c r="B2186" t="s">
        <v>772</v>
      </c>
      <c r="C2186">
        <v>32</v>
      </c>
      <c r="D2186" t="str">
        <f>VLOOKUP(B2186,Products!$A:$E,2,FALSE)</f>
        <v>Product_382</v>
      </c>
      <c r="E2186" t="str">
        <f>VLOOKUP(B2186,Products!$A:$E,3,FALSE)</f>
        <v>Storage</v>
      </c>
    </row>
    <row r="2187" spans="1:5" x14ac:dyDescent="0.3">
      <c r="A2187" t="s">
        <v>8199</v>
      </c>
      <c r="B2187" t="s">
        <v>456</v>
      </c>
      <c r="C2187">
        <v>33</v>
      </c>
      <c r="D2187" t="str">
        <f>VLOOKUP(B2187,Products!$A:$E,2,FALSE)</f>
        <v>Product_224</v>
      </c>
      <c r="E2187" t="str">
        <f>VLOOKUP(B2187,Products!$A:$E,3,FALSE)</f>
        <v>Storage</v>
      </c>
    </row>
    <row r="2188" spans="1:5" x14ac:dyDescent="0.3">
      <c r="A2188" t="s">
        <v>8200</v>
      </c>
      <c r="B2188" t="s">
        <v>978</v>
      </c>
      <c r="C2188">
        <v>26</v>
      </c>
      <c r="D2188" t="str">
        <f>VLOOKUP(B2188,Products!$A:$E,2,FALSE)</f>
        <v>Product_485</v>
      </c>
      <c r="E2188" t="str">
        <f>VLOOKUP(B2188,Products!$A:$E,3,FALSE)</f>
        <v>Networking</v>
      </c>
    </row>
    <row r="2189" spans="1:5" x14ac:dyDescent="0.3">
      <c r="A2189" t="s">
        <v>8201</v>
      </c>
      <c r="B2189" t="s">
        <v>954</v>
      </c>
      <c r="C2189">
        <v>13</v>
      </c>
      <c r="D2189" t="str">
        <f>VLOOKUP(B2189,Products!$A:$E,2,FALSE)</f>
        <v>Product_473</v>
      </c>
      <c r="E2189" t="str">
        <f>VLOOKUP(B2189,Products!$A:$E,3,FALSE)</f>
        <v>Accessories</v>
      </c>
    </row>
    <row r="2190" spans="1:5" x14ac:dyDescent="0.3">
      <c r="A2190" t="s">
        <v>8202</v>
      </c>
      <c r="B2190" t="s">
        <v>266</v>
      </c>
      <c r="C2190">
        <v>12</v>
      </c>
      <c r="D2190" t="str">
        <f>VLOOKUP(B2190,Products!$A:$E,2,FALSE)</f>
        <v>Product_129</v>
      </c>
      <c r="E2190" t="str">
        <f>VLOOKUP(B2190,Products!$A:$E,3,FALSE)</f>
        <v>Electronics</v>
      </c>
    </row>
    <row r="2191" spans="1:5" x14ac:dyDescent="0.3">
      <c r="A2191" t="s">
        <v>8203</v>
      </c>
      <c r="B2191" t="s">
        <v>212</v>
      </c>
      <c r="C2191">
        <v>44</v>
      </c>
      <c r="D2191" t="str">
        <f>VLOOKUP(B2191,Products!$A:$E,2,FALSE)</f>
        <v>Product_102</v>
      </c>
      <c r="E2191" t="str">
        <f>VLOOKUP(B2191,Products!$A:$E,3,FALSE)</f>
        <v>Storage</v>
      </c>
    </row>
    <row r="2192" spans="1:5" x14ac:dyDescent="0.3">
      <c r="A2192" t="s">
        <v>8204</v>
      </c>
      <c r="B2192" t="s">
        <v>876</v>
      </c>
      <c r="C2192">
        <v>46</v>
      </c>
      <c r="D2192" t="str">
        <f>VLOOKUP(B2192,Products!$A:$E,2,FALSE)</f>
        <v>Product_434</v>
      </c>
      <c r="E2192" t="str">
        <f>VLOOKUP(B2192,Products!$A:$E,3,FALSE)</f>
        <v>Office Supplies</v>
      </c>
    </row>
    <row r="2193" spans="1:5" x14ac:dyDescent="0.3">
      <c r="A2193" t="s">
        <v>8205</v>
      </c>
      <c r="B2193" t="s">
        <v>296</v>
      </c>
      <c r="C2193">
        <v>26</v>
      </c>
      <c r="D2193" t="str">
        <f>VLOOKUP(B2193,Products!$A:$E,2,FALSE)</f>
        <v>Product_144</v>
      </c>
      <c r="E2193" t="str">
        <f>VLOOKUP(B2193,Products!$A:$E,3,FALSE)</f>
        <v>Office Supplies</v>
      </c>
    </row>
    <row r="2194" spans="1:5" x14ac:dyDescent="0.3">
      <c r="A2194" t="s">
        <v>8206</v>
      </c>
      <c r="B2194" t="s">
        <v>114</v>
      </c>
      <c r="C2194">
        <v>38</v>
      </c>
      <c r="D2194" t="str">
        <f>VLOOKUP(B2194,Products!$A:$E,2,FALSE)</f>
        <v>Product_53</v>
      </c>
      <c r="E2194" t="str">
        <f>VLOOKUP(B2194,Products!$A:$E,3,FALSE)</f>
        <v>Electronics</v>
      </c>
    </row>
    <row r="2195" spans="1:5" x14ac:dyDescent="0.3">
      <c r="A2195" t="s">
        <v>8207</v>
      </c>
      <c r="B2195" t="s">
        <v>822</v>
      </c>
      <c r="C2195">
        <v>50</v>
      </c>
      <c r="D2195" t="str">
        <f>VLOOKUP(B2195,Products!$A:$E,2,FALSE)</f>
        <v>Product_407</v>
      </c>
      <c r="E2195" t="str">
        <f>VLOOKUP(B2195,Products!$A:$E,3,FALSE)</f>
        <v>Networking</v>
      </c>
    </row>
    <row r="2196" spans="1:5" x14ac:dyDescent="0.3">
      <c r="A2196" t="s">
        <v>8208</v>
      </c>
      <c r="B2196" t="s">
        <v>610</v>
      </c>
      <c r="C2196">
        <v>20</v>
      </c>
      <c r="D2196" t="str">
        <f>VLOOKUP(B2196,Products!$A:$E,2,FALSE)</f>
        <v>Product_301</v>
      </c>
      <c r="E2196" t="str">
        <f>VLOOKUP(B2196,Products!$A:$E,3,FALSE)</f>
        <v>Networking</v>
      </c>
    </row>
    <row r="2197" spans="1:5" x14ac:dyDescent="0.3">
      <c r="A2197" t="s">
        <v>8209</v>
      </c>
      <c r="B2197" t="s">
        <v>178</v>
      </c>
      <c r="C2197">
        <v>14</v>
      </c>
      <c r="D2197" t="str">
        <f>VLOOKUP(B2197,Products!$A:$E,2,FALSE)</f>
        <v>Product_85</v>
      </c>
      <c r="E2197" t="str">
        <f>VLOOKUP(B2197,Products!$A:$E,3,FALSE)</f>
        <v>Electronics</v>
      </c>
    </row>
    <row r="2198" spans="1:5" x14ac:dyDescent="0.3">
      <c r="A2198" t="s">
        <v>8210</v>
      </c>
      <c r="B2198" t="s">
        <v>986</v>
      </c>
      <c r="C2198">
        <v>47</v>
      </c>
      <c r="D2198" t="str">
        <f>VLOOKUP(B2198,Products!$A:$E,2,FALSE)</f>
        <v>Product_489</v>
      </c>
      <c r="E2198" t="str">
        <f>VLOOKUP(B2198,Products!$A:$E,3,FALSE)</f>
        <v>Networking</v>
      </c>
    </row>
    <row r="2199" spans="1:5" x14ac:dyDescent="0.3">
      <c r="A2199" t="s">
        <v>8211</v>
      </c>
      <c r="B2199" t="s">
        <v>508</v>
      </c>
      <c r="C2199">
        <v>28</v>
      </c>
      <c r="D2199" t="str">
        <f>VLOOKUP(B2199,Products!$A:$E,2,FALSE)</f>
        <v>Product_250</v>
      </c>
      <c r="E2199" t="str">
        <f>VLOOKUP(B2199,Products!$A:$E,3,FALSE)</f>
        <v>Networking</v>
      </c>
    </row>
    <row r="2200" spans="1:5" x14ac:dyDescent="0.3">
      <c r="A2200" t="s">
        <v>8212</v>
      </c>
      <c r="B2200" t="s">
        <v>914</v>
      </c>
      <c r="C2200">
        <v>29</v>
      </c>
      <c r="D2200" t="str">
        <f>VLOOKUP(B2200,Products!$A:$E,2,FALSE)</f>
        <v>Product_453</v>
      </c>
      <c r="E2200" t="str">
        <f>VLOOKUP(B2200,Products!$A:$E,3,FALSE)</f>
        <v>Office Supplies</v>
      </c>
    </row>
    <row r="2201" spans="1:5" x14ac:dyDescent="0.3">
      <c r="A2201" t="s">
        <v>8213</v>
      </c>
      <c r="B2201" t="s">
        <v>442</v>
      </c>
      <c r="C2201">
        <v>39</v>
      </c>
      <c r="D2201" t="str">
        <f>VLOOKUP(B2201,Products!$A:$E,2,FALSE)</f>
        <v>Product_217</v>
      </c>
      <c r="E2201" t="str">
        <f>VLOOKUP(B2201,Products!$A:$E,3,FALSE)</f>
        <v>Networking</v>
      </c>
    </row>
    <row r="2202" spans="1:5" x14ac:dyDescent="0.3">
      <c r="A2202" t="s">
        <v>8214</v>
      </c>
      <c r="B2202" t="s">
        <v>774</v>
      </c>
      <c r="C2202">
        <v>18</v>
      </c>
      <c r="D2202" t="str">
        <f>VLOOKUP(B2202,Products!$A:$E,2,FALSE)</f>
        <v>Product_383</v>
      </c>
      <c r="E2202" t="str">
        <f>VLOOKUP(B2202,Products!$A:$E,3,FALSE)</f>
        <v>Electronics</v>
      </c>
    </row>
    <row r="2203" spans="1:5" x14ac:dyDescent="0.3">
      <c r="A2203" t="s">
        <v>8215</v>
      </c>
      <c r="B2203" t="s">
        <v>844</v>
      </c>
      <c r="C2203">
        <v>21</v>
      </c>
      <c r="D2203" t="str">
        <f>VLOOKUP(B2203,Products!$A:$E,2,FALSE)</f>
        <v>Product_418</v>
      </c>
      <c r="E2203" t="str">
        <f>VLOOKUP(B2203,Products!$A:$E,3,FALSE)</f>
        <v>Office Supplies</v>
      </c>
    </row>
    <row r="2204" spans="1:5" x14ac:dyDescent="0.3">
      <c r="A2204" t="s">
        <v>8216</v>
      </c>
      <c r="B2204" t="s">
        <v>646</v>
      </c>
      <c r="C2204">
        <v>7</v>
      </c>
      <c r="D2204" t="str">
        <f>VLOOKUP(B2204,Products!$A:$E,2,FALSE)</f>
        <v>Product_319</v>
      </c>
      <c r="E2204" t="str">
        <f>VLOOKUP(B2204,Products!$A:$E,3,FALSE)</f>
        <v>Accessories</v>
      </c>
    </row>
    <row r="2205" spans="1:5" x14ac:dyDescent="0.3">
      <c r="A2205" t="s">
        <v>8217</v>
      </c>
      <c r="B2205" t="s">
        <v>630</v>
      </c>
      <c r="C2205">
        <v>25</v>
      </c>
      <c r="D2205" t="str">
        <f>VLOOKUP(B2205,Products!$A:$E,2,FALSE)</f>
        <v>Product_311</v>
      </c>
      <c r="E2205" t="str">
        <f>VLOOKUP(B2205,Products!$A:$E,3,FALSE)</f>
        <v>Networking</v>
      </c>
    </row>
    <row r="2206" spans="1:5" x14ac:dyDescent="0.3">
      <c r="A2206" t="s">
        <v>8218</v>
      </c>
      <c r="B2206" t="s">
        <v>448</v>
      </c>
      <c r="C2206">
        <v>13</v>
      </c>
      <c r="D2206" t="str">
        <f>VLOOKUP(B2206,Products!$A:$E,2,FALSE)</f>
        <v>Product_220</v>
      </c>
      <c r="E2206" t="str">
        <f>VLOOKUP(B2206,Products!$A:$E,3,FALSE)</f>
        <v>Storage</v>
      </c>
    </row>
    <row r="2207" spans="1:5" x14ac:dyDescent="0.3">
      <c r="A2207" t="s">
        <v>8219</v>
      </c>
      <c r="B2207" t="s">
        <v>590</v>
      </c>
      <c r="C2207">
        <v>23</v>
      </c>
      <c r="D2207" t="str">
        <f>VLOOKUP(B2207,Products!$A:$E,2,FALSE)</f>
        <v>Product_291</v>
      </c>
      <c r="E2207" t="str">
        <f>VLOOKUP(B2207,Products!$A:$E,3,FALSE)</f>
        <v>Networking</v>
      </c>
    </row>
    <row r="2208" spans="1:5" x14ac:dyDescent="0.3">
      <c r="A2208" t="s">
        <v>8220</v>
      </c>
      <c r="B2208" t="s">
        <v>392</v>
      </c>
      <c r="C2208">
        <v>41</v>
      </c>
      <c r="D2208" t="str">
        <f>VLOOKUP(B2208,Products!$A:$E,2,FALSE)</f>
        <v>Product_192</v>
      </c>
      <c r="E2208" t="str">
        <f>VLOOKUP(B2208,Products!$A:$E,3,FALSE)</f>
        <v>Office Supplies</v>
      </c>
    </row>
    <row r="2209" spans="1:5" x14ac:dyDescent="0.3">
      <c r="A2209" t="s">
        <v>8221</v>
      </c>
      <c r="B2209" t="s">
        <v>848</v>
      </c>
      <c r="C2209">
        <v>5</v>
      </c>
      <c r="D2209" t="str">
        <f>VLOOKUP(B2209,Products!$A:$E,2,FALSE)</f>
        <v>Product_420</v>
      </c>
      <c r="E2209" t="str">
        <f>VLOOKUP(B2209,Products!$A:$E,3,FALSE)</f>
        <v>Networking</v>
      </c>
    </row>
    <row r="2210" spans="1:5" x14ac:dyDescent="0.3">
      <c r="A2210" t="s">
        <v>8222</v>
      </c>
      <c r="B2210" t="s">
        <v>470</v>
      </c>
      <c r="C2210">
        <v>11</v>
      </c>
      <c r="D2210" t="str">
        <f>VLOOKUP(B2210,Products!$A:$E,2,FALSE)</f>
        <v>Product_231</v>
      </c>
      <c r="E2210" t="str">
        <f>VLOOKUP(B2210,Products!$A:$E,3,FALSE)</f>
        <v>Accessories</v>
      </c>
    </row>
    <row r="2211" spans="1:5" x14ac:dyDescent="0.3">
      <c r="A2211" t="s">
        <v>8223</v>
      </c>
      <c r="B2211" t="s">
        <v>920</v>
      </c>
      <c r="C2211">
        <v>3</v>
      </c>
      <c r="D2211" t="str">
        <f>VLOOKUP(B2211,Products!$A:$E,2,FALSE)</f>
        <v>Product_456</v>
      </c>
      <c r="E2211" t="str">
        <f>VLOOKUP(B2211,Products!$A:$E,3,FALSE)</f>
        <v>Electronics</v>
      </c>
    </row>
    <row r="2212" spans="1:5" x14ac:dyDescent="0.3">
      <c r="A2212" t="s">
        <v>8224</v>
      </c>
      <c r="B2212" t="s">
        <v>990</v>
      </c>
      <c r="C2212">
        <v>33</v>
      </c>
      <c r="D2212" t="str">
        <f>VLOOKUP(B2212,Products!$A:$E,2,FALSE)</f>
        <v>Product_491</v>
      </c>
      <c r="E2212" t="str">
        <f>VLOOKUP(B2212,Products!$A:$E,3,FALSE)</f>
        <v>Accessories</v>
      </c>
    </row>
    <row r="2213" spans="1:5" x14ac:dyDescent="0.3">
      <c r="A2213" t="s">
        <v>8225</v>
      </c>
      <c r="B2213" t="s">
        <v>268</v>
      </c>
      <c r="C2213">
        <v>38</v>
      </c>
      <c r="D2213" t="str">
        <f>VLOOKUP(B2213,Products!$A:$E,2,FALSE)</f>
        <v>Product_130</v>
      </c>
      <c r="E2213" t="str">
        <f>VLOOKUP(B2213,Products!$A:$E,3,FALSE)</f>
        <v>Storage</v>
      </c>
    </row>
    <row r="2214" spans="1:5" x14ac:dyDescent="0.3">
      <c r="A2214" t="s">
        <v>8226</v>
      </c>
      <c r="B2214" t="s">
        <v>428</v>
      </c>
      <c r="C2214">
        <v>19</v>
      </c>
      <c r="D2214" t="str">
        <f>VLOOKUP(B2214,Products!$A:$E,2,FALSE)</f>
        <v>Product_210</v>
      </c>
      <c r="E2214" t="str">
        <f>VLOOKUP(B2214,Products!$A:$E,3,FALSE)</f>
        <v>Electronics</v>
      </c>
    </row>
    <row r="2215" spans="1:5" x14ac:dyDescent="0.3">
      <c r="A2215" t="s">
        <v>8227</v>
      </c>
      <c r="B2215" t="s">
        <v>628</v>
      </c>
      <c r="C2215">
        <v>42</v>
      </c>
      <c r="D2215" t="str">
        <f>VLOOKUP(B2215,Products!$A:$E,2,FALSE)</f>
        <v>Product_310</v>
      </c>
      <c r="E2215" t="str">
        <f>VLOOKUP(B2215,Products!$A:$E,3,FALSE)</f>
        <v>Office Supplies</v>
      </c>
    </row>
    <row r="2216" spans="1:5" x14ac:dyDescent="0.3">
      <c r="A2216" t="s">
        <v>8228</v>
      </c>
      <c r="B2216" t="s">
        <v>982</v>
      </c>
      <c r="C2216">
        <v>34</v>
      </c>
      <c r="D2216" t="str">
        <f>VLOOKUP(B2216,Products!$A:$E,2,FALSE)</f>
        <v>Product_487</v>
      </c>
      <c r="E2216" t="str">
        <f>VLOOKUP(B2216,Products!$A:$E,3,FALSE)</f>
        <v>Networking</v>
      </c>
    </row>
    <row r="2217" spans="1:5" x14ac:dyDescent="0.3">
      <c r="A2217" t="s">
        <v>8229</v>
      </c>
      <c r="B2217" t="s">
        <v>370</v>
      </c>
      <c r="C2217">
        <v>26</v>
      </c>
      <c r="D2217" t="str">
        <f>VLOOKUP(B2217,Products!$A:$E,2,FALSE)</f>
        <v>Product_181</v>
      </c>
      <c r="E2217" t="str">
        <f>VLOOKUP(B2217,Products!$A:$E,3,FALSE)</f>
        <v>Storage</v>
      </c>
    </row>
    <row r="2218" spans="1:5" x14ac:dyDescent="0.3">
      <c r="A2218" t="s">
        <v>8230</v>
      </c>
      <c r="B2218" t="s">
        <v>40</v>
      </c>
      <c r="C2218">
        <v>8</v>
      </c>
      <c r="D2218" t="str">
        <f>VLOOKUP(B2218,Products!$A:$E,2,FALSE)</f>
        <v>Product_16</v>
      </c>
      <c r="E2218" t="str">
        <f>VLOOKUP(B2218,Products!$A:$E,3,FALSE)</f>
        <v>Office Supplies</v>
      </c>
    </row>
    <row r="2219" spans="1:5" x14ac:dyDescent="0.3">
      <c r="A2219" t="s">
        <v>8231</v>
      </c>
      <c r="B2219" t="s">
        <v>194</v>
      </c>
      <c r="C2219">
        <v>21</v>
      </c>
      <c r="D2219" t="str">
        <f>VLOOKUP(B2219,Products!$A:$E,2,FALSE)</f>
        <v>Product_93</v>
      </c>
      <c r="E2219" t="str">
        <f>VLOOKUP(B2219,Products!$A:$E,3,FALSE)</f>
        <v>Office Supplies</v>
      </c>
    </row>
    <row r="2220" spans="1:5" x14ac:dyDescent="0.3">
      <c r="A2220" t="s">
        <v>8232</v>
      </c>
      <c r="B2220" t="s">
        <v>448</v>
      </c>
      <c r="C2220">
        <v>12</v>
      </c>
      <c r="D2220" t="str">
        <f>VLOOKUP(B2220,Products!$A:$E,2,FALSE)</f>
        <v>Product_220</v>
      </c>
      <c r="E2220" t="str">
        <f>VLOOKUP(B2220,Products!$A:$E,3,FALSE)</f>
        <v>Storage</v>
      </c>
    </row>
    <row r="2221" spans="1:5" x14ac:dyDescent="0.3">
      <c r="A2221" t="s">
        <v>8233</v>
      </c>
      <c r="B2221" t="s">
        <v>376</v>
      </c>
      <c r="C2221">
        <v>16</v>
      </c>
      <c r="D2221" t="str">
        <f>VLOOKUP(B2221,Products!$A:$E,2,FALSE)</f>
        <v>Product_184</v>
      </c>
      <c r="E2221" t="str">
        <f>VLOOKUP(B2221,Products!$A:$E,3,FALSE)</f>
        <v>Electronics</v>
      </c>
    </row>
    <row r="2222" spans="1:5" x14ac:dyDescent="0.3">
      <c r="A2222" t="s">
        <v>8234</v>
      </c>
      <c r="B2222" t="s">
        <v>84</v>
      </c>
      <c r="C2222">
        <v>14</v>
      </c>
      <c r="D2222" t="str">
        <f>VLOOKUP(B2222,Products!$A:$E,2,FALSE)</f>
        <v>Product_38</v>
      </c>
      <c r="E2222" t="str">
        <f>VLOOKUP(B2222,Products!$A:$E,3,FALSE)</f>
        <v>Accessories</v>
      </c>
    </row>
    <row r="2223" spans="1:5" x14ac:dyDescent="0.3">
      <c r="A2223" t="s">
        <v>8235</v>
      </c>
      <c r="B2223" t="s">
        <v>682</v>
      </c>
      <c r="C2223">
        <v>24</v>
      </c>
      <c r="D2223" t="str">
        <f>VLOOKUP(B2223,Products!$A:$E,2,FALSE)</f>
        <v>Product_337</v>
      </c>
      <c r="E2223" t="str">
        <f>VLOOKUP(B2223,Products!$A:$E,3,FALSE)</f>
        <v>Storage</v>
      </c>
    </row>
    <row r="2224" spans="1:5" x14ac:dyDescent="0.3">
      <c r="A2224" t="s">
        <v>8236</v>
      </c>
      <c r="B2224" t="s">
        <v>390</v>
      </c>
      <c r="C2224">
        <v>10</v>
      </c>
      <c r="D2224" t="str">
        <f>VLOOKUP(B2224,Products!$A:$E,2,FALSE)</f>
        <v>Product_191</v>
      </c>
      <c r="E2224" t="str">
        <f>VLOOKUP(B2224,Products!$A:$E,3,FALSE)</f>
        <v>Networking</v>
      </c>
    </row>
    <row r="2225" spans="1:5" x14ac:dyDescent="0.3">
      <c r="A2225" t="s">
        <v>8237</v>
      </c>
      <c r="B2225" t="s">
        <v>808</v>
      </c>
      <c r="C2225">
        <v>21</v>
      </c>
      <c r="D2225" t="str">
        <f>VLOOKUP(B2225,Products!$A:$E,2,FALSE)</f>
        <v>Product_400</v>
      </c>
      <c r="E2225" t="str">
        <f>VLOOKUP(B2225,Products!$A:$E,3,FALSE)</f>
        <v>Networking</v>
      </c>
    </row>
    <row r="2226" spans="1:5" x14ac:dyDescent="0.3">
      <c r="A2226" t="s">
        <v>8238</v>
      </c>
      <c r="B2226" t="s">
        <v>134</v>
      </c>
      <c r="C2226">
        <v>1</v>
      </c>
      <c r="D2226" t="str">
        <f>VLOOKUP(B2226,Products!$A:$E,2,FALSE)</f>
        <v>Product_63</v>
      </c>
      <c r="E2226" t="str">
        <f>VLOOKUP(B2226,Products!$A:$E,3,FALSE)</f>
        <v>Accessories</v>
      </c>
    </row>
    <row r="2227" spans="1:5" x14ac:dyDescent="0.3">
      <c r="A2227" t="s">
        <v>8239</v>
      </c>
      <c r="B2227" t="s">
        <v>336</v>
      </c>
      <c r="C2227">
        <v>45</v>
      </c>
      <c r="D2227" t="str">
        <f>VLOOKUP(B2227,Products!$A:$E,2,FALSE)</f>
        <v>Product_164</v>
      </c>
      <c r="E2227" t="str">
        <f>VLOOKUP(B2227,Products!$A:$E,3,FALSE)</f>
        <v>Networking</v>
      </c>
    </row>
    <row r="2228" spans="1:5" x14ac:dyDescent="0.3">
      <c r="A2228" t="s">
        <v>8240</v>
      </c>
      <c r="B2228" t="s">
        <v>20</v>
      </c>
      <c r="C2228">
        <v>46</v>
      </c>
      <c r="D2228" t="str">
        <f>VLOOKUP(B2228,Products!$A:$E,2,FALSE)</f>
        <v>Product_6</v>
      </c>
      <c r="E2228" t="str">
        <f>VLOOKUP(B2228,Products!$A:$E,3,FALSE)</f>
        <v>Electronics</v>
      </c>
    </row>
    <row r="2229" spans="1:5" x14ac:dyDescent="0.3">
      <c r="A2229" t="s">
        <v>8241</v>
      </c>
      <c r="B2229" t="s">
        <v>346</v>
      </c>
      <c r="C2229">
        <v>14</v>
      </c>
      <c r="D2229" t="str">
        <f>VLOOKUP(B2229,Products!$A:$E,2,FALSE)</f>
        <v>Product_169</v>
      </c>
      <c r="E2229" t="str">
        <f>VLOOKUP(B2229,Products!$A:$E,3,FALSE)</f>
        <v>Accessories</v>
      </c>
    </row>
    <row r="2230" spans="1:5" x14ac:dyDescent="0.3">
      <c r="A2230" t="s">
        <v>8242</v>
      </c>
      <c r="B2230" t="s">
        <v>486</v>
      </c>
      <c r="C2230">
        <v>37</v>
      </c>
      <c r="D2230" t="str">
        <f>VLOOKUP(B2230,Products!$A:$E,2,FALSE)</f>
        <v>Product_239</v>
      </c>
      <c r="E2230" t="str">
        <f>VLOOKUP(B2230,Products!$A:$E,3,FALSE)</f>
        <v>Storage</v>
      </c>
    </row>
    <row r="2231" spans="1:5" x14ac:dyDescent="0.3">
      <c r="A2231" t="s">
        <v>8243</v>
      </c>
      <c r="B2231" t="s">
        <v>824</v>
      </c>
      <c r="C2231">
        <v>21</v>
      </c>
      <c r="D2231" t="str">
        <f>VLOOKUP(B2231,Products!$A:$E,2,FALSE)</f>
        <v>Product_408</v>
      </c>
      <c r="E2231" t="str">
        <f>VLOOKUP(B2231,Products!$A:$E,3,FALSE)</f>
        <v>Storage</v>
      </c>
    </row>
    <row r="2232" spans="1:5" x14ac:dyDescent="0.3">
      <c r="A2232" t="s">
        <v>8244</v>
      </c>
      <c r="B2232" t="s">
        <v>930</v>
      </c>
      <c r="C2232">
        <v>15</v>
      </c>
      <c r="D2232" t="str">
        <f>VLOOKUP(B2232,Products!$A:$E,2,FALSE)</f>
        <v>Product_461</v>
      </c>
      <c r="E2232" t="str">
        <f>VLOOKUP(B2232,Products!$A:$E,3,FALSE)</f>
        <v>Accessories</v>
      </c>
    </row>
    <row r="2233" spans="1:5" x14ac:dyDescent="0.3">
      <c r="A2233" t="s">
        <v>8245</v>
      </c>
      <c r="B2233" t="s">
        <v>584</v>
      </c>
      <c r="C2233">
        <v>5</v>
      </c>
      <c r="D2233" t="str">
        <f>VLOOKUP(B2233,Products!$A:$E,2,FALSE)</f>
        <v>Product_288</v>
      </c>
      <c r="E2233" t="str">
        <f>VLOOKUP(B2233,Products!$A:$E,3,FALSE)</f>
        <v>Networking</v>
      </c>
    </row>
    <row r="2234" spans="1:5" x14ac:dyDescent="0.3">
      <c r="A2234" t="s">
        <v>8246</v>
      </c>
      <c r="B2234" t="s">
        <v>404</v>
      </c>
      <c r="C2234">
        <v>19</v>
      </c>
      <c r="D2234" t="str">
        <f>VLOOKUP(B2234,Products!$A:$E,2,FALSE)</f>
        <v>Product_198</v>
      </c>
      <c r="E2234" t="str">
        <f>VLOOKUP(B2234,Products!$A:$E,3,FALSE)</f>
        <v>Accessories</v>
      </c>
    </row>
    <row r="2235" spans="1:5" x14ac:dyDescent="0.3">
      <c r="A2235" t="s">
        <v>8247</v>
      </c>
      <c r="B2235" t="s">
        <v>626</v>
      </c>
      <c r="C2235">
        <v>14</v>
      </c>
      <c r="D2235" t="str">
        <f>VLOOKUP(B2235,Products!$A:$E,2,FALSE)</f>
        <v>Product_309</v>
      </c>
      <c r="E2235" t="str">
        <f>VLOOKUP(B2235,Products!$A:$E,3,FALSE)</f>
        <v>Networking</v>
      </c>
    </row>
    <row r="2236" spans="1:5" x14ac:dyDescent="0.3">
      <c r="A2236" t="s">
        <v>8248</v>
      </c>
      <c r="B2236" t="s">
        <v>548</v>
      </c>
      <c r="C2236">
        <v>14</v>
      </c>
      <c r="D2236" t="str">
        <f>VLOOKUP(B2236,Products!$A:$E,2,FALSE)</f>
        <v>Product_270</v>
      </c>
      <c r="E2236" t="str">
        <f>VLOOKUP(B2236,Products!$A:$E,3,FALSE)</f>
        <v>Electronics</v>
      </c>
    </row>
    <row r="2237" spans="1:5" x14ac:dyDescent="0.3">
      <c r="A2237" t="s">
        <v>8249</v>
      </c>
      <c r="B2237" t="s">
        <v>114</v>
      </c>
      <c r="C2237">
        <v>36</v>
      </c>
      <c r="D2237" t="str">
        <f>VLOOKUP(B2237,Products!$A:$E,2,FALSE)</f>
        <v>Product_53</v>
      </c>
      <c r="E2237" t="str">
        <f>VLOOKUP(B2237,Products!$A:$E,3,FALSE)</f>
        <v>Electronics</v>
      </c>
    </row>
    <row r="2238" spans="1:5" x14ac:dyDescent="0.3">
      <c r="A2238" t="s">
        <v>8250</v>
      </c>
      <c r="B2238" t="s">
        <v>294</v>
      </c>
      <c r="C2238">
        <v>46</v>
      </c>
      <c r="D2238" t="str">
        <f>VLOOKUP(B2238,Products!$A:$E,2,FALSE)</f>
        <v>Product_143</v>
      </c>
      <c r="E2238" t="str">
        <f>VLOOKUP(B2238,Products!$A:$E,3,FALSE)</f>
        <v>Office Supplies</v>
      </c>
    </row>
    <row r="2239" spans="1:5" x14ac:dyDescent="0.3">
      <c r="A2239" t="s">
        <v>8251</v>
      </c>
      <c r="B2239" t="s">
        <v>632</v>
      </c>
      <c r="C2239">
        <v>43</v>
      </c>
      <c r="D2239" t="str">
        <f>VLOOKUP(B2239,Products!$A:$E,2,FALSE)</f>
        <v>Product_312</v>
      </c>
      <c r="E2239" t="str">
        <f>VLOOKUP(B2239,Products!$A:$E,3,FALSE)</f>
        <v>Office Supplies</v>
      </c>
    </row>
    <row r="2240" spans="1:5" x14ac:dyDescent="0.3">
      <c r="A2240" t="s">
        <v>8252</v>
      </c>
      <c r="B2240" t="s">
        <v>86</v>
      </c>
      <c r="C2240">
        <v>37</v>
      </c>
      <c r="D2240" t="str">
        <f>VLOOKUP(B2240,Products!$A:$E,2,FALSE)</f>
        <v>Product_39</v>
      </c>
      <c r="E2240" t="str">
        <f>VLOOKUP(B2240,Products!$A:$E,3,FALSE)</f>
        <v>Networking</v>
      </c>
    </row>
    <row r="2241" spans="1:5" x14ac:dyDescent="0.3">
      <c r="A2241" t="s">
        <v>8253</v>
      </c>
      <c r="B2241" t="s">
        <v>924</v>
      </c>
      <c r="C2241">
        <v>42</v>
      </c>
      <c r="D2241" t="str">
        <f>VLOOKUP(B2241,Products!$A:$E,2,FALSE)</f>
        <v>Product_458</v>
      </c>
      <c r="E2241" t="str">
        <f>VLOOKUP(B2241,Products!$A:$E,3,FALSE)</f>
        <v>Accessories</v>
      </c>
    </row>
    <row r="2242" spans="1:5" x14ac:dyDescent="0.3">
      <c r="A2242" t="s">
        <v>8254</v>
      </c>
      <c r="B2242" t="s">
        <v>440</v>
      </c>
      <c r="C2242">
        <v>44</v>
      </c>
      <c r="D2242" t="str">
        <f>VLOOKUP(B2242,Products!$A:$E,2,FALSE)</f>
        <v>Product_216</v>
      </c>
      <c r="E2242" t="str">
        <f>VLOOKUP(B2242,Products!$A:$E,3,FALSE)</f>
        <v>Accessories</v>
      </c>
    </row>
    <row r="2243" spans="1:5" x14ac:dyDescent="0.3">
      <c r="A2243" t="s">
        <v>8255</v>
      </c>
      <c r="B2243" t="s">
        <v>784</v>
      </c>
      <c r="C2243">
        <v>28</v>
      </c>
      <c r="D2243" t="str">
        <f>VLOOKUP(B2243,Products!$A:$E,2,FALSE)</f>
        <v>Product_388</v>
      </c>
      <c r="E2243" t="str">
        <f>VLOOKUP(B2243,Products!$A:$E,3,FALSE)</f>
        <v>Office Supplies</v>
      </c>
    </row>
    <row r="2244" spans="1:5" x14ac:dyDescent="0.3">
      <c r="A2244" t="s">
        <v>8256</v>
      </c>
      <c r="B2244" t="s">
        <v>334</v>
      </c>
      <c r="C2244">
        <v>21</v>
      </c>
      <c r="D2244" t="str">
        <f>VLOOKUP(B2244,Products!$A:$E,2,FALSE)</f>
        <v>Product_163</v>
      </c>
      <c r="E2244" t="str">
        <f>VLOOKUP(B2244,Products!$A:$E,3,FALSE)</f>
        <v>Accessories</v>
      </c>
    </row>
    <row r="2245" spans="1:5" x14ac:dyDescent="0.3">
      <c r="A2245" t="s">
        <v>8257</v>
      </c>
      <c r="B2245" t="s">
        <v>212</v>
      </c>
      <c r="C2245">
        <v>13</v>
      </c>
      <c r="D2245" t="str">
        <f>VLOOKUP(B2245,Products!$A:$E,2,FALSE)</f>
        <v>Product_102</v>
      </c>
      <c r="E2245" t="str">
        <f>VLOOKUP(B2245,Products!$A:$E,3,FALSE)</f>
        <v>Storage</v>
      </c>
    </row>
    <row r="2246" spans="1:5" x14ac:dyDescent="0.3">
      <c r="A2246" t="s">
        <v>8258</v>
      </c>
      <c r="B2246" t="s">
        <v>60</v>
      </c>
      <c r="C2246">
        <v>32</v>
      </c>
      <c r="D2246" t="str">
        <f>VLOOKUP(B2246,Products!$A:$E,2,FALSE)</f>
        <v>Product_26</v>
      </c>
      <c r="E2246" t="str">
        <f>VLOOKUP(B2246,Products!$A:$E,3,FALSE)</f>
        <v>Office Supplies</v>
      </c>
    </row>
    <row r="2247" spans="1:5" x14ac:dyDescent="0.3">
      <c r="A2247" t="s">
        <v>8259</v>
      </c>
      <c r="B2247" t="s">
        <v>520</v>
      </c>
      <c r="C2247">
        <v>3</v>
      </c>
      <c r="D2247" t="str">
        <f>VLOOKUP(B2247,Products!$A:$E,2,FALSE)</f>
        <v>Product_256</v>
      </c>
      <c r="E2247" t="str">
        <f>VLOOKUP(B2247,Products!$A:$E,3,FALSE)</f>
        <v>Office Supplies</v>
      </c>
    </row>
    <row r="2248" spans="1:5" x14ac:dyDescent="0.3">
      <c r="A2248" t="s">
        <v>8260</v>
      </c>
      <c r="B2248" t="s">
        <v>290</v>
      </c>
      <c r="C2248">
        <v>27</v>
      </c>
      <c r="D2248" t="str">
        <f>VLOOKUP(B2248,Products!$A:$E,2,FALSE)</f>
        <v>Product_141</v>
      </c>
      <c r="E2248" t="str">
        <f>VLOOKUP(B2248,Products!$A:$E,3,FALSE)</f>
        <v>Electronics</v>
      </c>
    </row>
    <row r="2249" spans="1:5" x14ac:dyDescent="0.3">
      <c r="A2249" t="s">
        <v>8261</v>
      </c>
      <c r="B2249" t="s">
        <v>132</v>
      </c>
      <c r="C2249">
        <v>8</v>
      </c>
      <c r="D2249" t="str">
        <f>VLOOKUP(B2249,Products!$A:$E,2,FALSE)</f>
        <v>Product_62</v>
      </c>
      <c r="E2249" t="str">
        <f>VLOOKUP(B2249,Products!$A:$E,3,FALSE)</f>
        <v>Accessories</v>
      </c>
    </row>
    <row r="2250" spans="1:5" x14ac:dyDescent="0.3">
      <c r="A2250" t="s">
        <v>8262</v>
      </c>
      <c r="B2250" t="s">
        <v>472</v>
      </c>
      <c r="C2250">
        <v>11</v>
      </c>
      <c r="D2250" t="str">
        <f>VLOOKUP(B2250,Products!$A:$E,2,FALSE)</f>
        <v>Product_232</v>
      </c>
      <c r="E2250" t="str">
        <f>VLOOKUP(B2250,Products!$A:$E,3,FALSE)</f>
        <v>Office Supplies</v>
      </c>
    </row>
    <row r="2251" spans="1:5" x14ac:dyDescent="0.3">
      <c r="A2251" t="s">
        <v>8263</v>
      </c>
      <c r="B2251" t="s">
        <v>624</v>
      </c>
      <c r="C2251">
        <v>21</v>
      </c>
      <c r="D2251" t="str">
        <f>VLOOKUP(B2251,Products!$A:$E,2,FALSE)</f>
        <v>Product_308</v>
      </c>
      <c r="E2251" t="str">
        <f>VLOOKUP(B2251,Products!$A:$E,3,FALSE)</f>
        <v>Storage</v>
      </c>
    </row>
    <row r="2252" spans="1:5" x14ac:dyDescent="0.3">
      <c r="A2252" t="s">
        <v>8264</v>
      </c>
      <c r="B2252" t="s">
        <v>614</v>
      </c>
      <c r="C2252">
        <v>25</v>
      </c>
      <c r="D2252" t="str">
        <f>VLOOKUP(B2252,Products!$A:$E,2,FALSE)</f>
        <v>Product_303</v>
      </c>
      <c r="E2252" t="str">
        <f>VLOOKUP(B2252,Products!$A:$E,3,FALSE)</f>
        <v>Networking</v>
      </c>
    </row>
    <row r="2253" spans="1:5" x14ac:dyDescent="0.3">
      <c r="A2253" t="s">
        <v>8265</v>
      </c>
      <c r="B2253" t="s">
        <v>252</v>
      </c>
      <c r="C2253">
        <v>37</v>
      </c>
      <c r="D2253" t="str">
        <f>VLOOKUP(B2253,Products!$A:$E,2,FALSE)</f>
        <v>Product_122</v>
      </c>
      <c r="E2253" t="str">
        <f>VLOOKUP(B2253,Products!$A:$E,3,FALSE)</f>
        <v>Storage</v>
      </c>
    </row>
    <row r="2254" spans="1:5" x14ac:dyDescent="0.3">
      <c r="A2254" t="s">
        <v>8266</v>
      </c>
      <c r="B2254" t="s">
        <v>30</v>
      </c>
      <c r="C2254">
        <v>19</v>
      </c>
      <c r="D2254" t="str">
        <f>VLOOKUP(B2254,Products!$A:$E,2,FALSE)</f>
        <v>Product_11</v>
      </c>
      <c r="E2254" t="str">
        <f>VLOOKUP(B2254,Products!$A:$E,3,FALSE)</f>
        <v>Electronics</v>
      </c>
    </row>
    <row r="2255" spans="1:5" x14ac:dyDescent="0.3">
      <c r="A2255" t="s">
        <v>8267</v>
      </c>
      <c r="B2255" t="s">
        <v>28</v>
      </c>
      <c r="C2255">
        <v>42</v>
      </c>
      <c r="D2255" t="str">
        <f>VLOOKUP(B2255,Products!$A:$E,2,FALSE)</f>
        <v>Product_10</v>
      </c>
      <c r="E2255" t="str">
        <f>VLOOKUP(B2255,Products!$A:$E,3,FALSE)</f>
        <v>Networking</v>
      </c>
    </row>
    <row r="2256" spans="1:5" x14ac:dyDescent="0.3">
      <c r="A2256" t="s">
        <v>8268</v>
      </c>
      <c r="B2256" t="s">
        <v>812</v>
      </c>
      <c r="C2256">
        <v>37</v>
      </c>
      <c r="D2256" t="str">
        <f>VLOOKUP(B2256,Products!$A:$E,2,FALSE)</f>
        <v>Product_402</v>
      </c>
      <c r="E2256" t="str">
        <f>VLOOKUP(B2256,Products!$A:$E,3,FALSE)</f>
        <v>Accessories</v>
      </c>
    </row>
    <row r="2257" spans="1:5" x14ac:dyDescent="0.3">
      <c r="A2257" t="s">
        <v>8269</v>
      </c>
      <c r="B2257" t="s">
        <v>11</v>
      </c>
      <c r="C2257">
        <v>30</v>
      </c>
      <c r="D2257" t="str">
        <f>VLOOKUP(B2257,Products!$A:$E,2,FALSE)</f>
        <v>Product_3</v>
      </c>
      <c r="E2257" t="str">
        <f>VLOOKUP(B2257,Products!$A:$E,3,FALSE)</f>
        <v>Accessories</v>
      </c>
    </row>
    <row r="2258" spans="1:5" x14ac:dyDescent="0.3">
      <c r="A2258" t="s">
        <v>8270</v>
      </c>
      <c r="B2258" t="s">
        <v>300</v>
      </c>
      <c r="C2258">
        <v>9</v>
      </c>
      <c r="D2258" t="str">
        <f>VLOOKUP(B2258,Products!$A:$E,2,FALSE)</f>
        <v>Product_146</v>
      </c>
      <c r="E2258" t="str">
        <f>VLOOKUP(B2258,Products!$A:$E,3,FALSE)</f>
        <v>Office Supplies</v>
      </c>
    </row>
    <row r="2259" spans="1:5" x14ac:dyDescent="0.3">
      <c r="A2259" t="s">
        <v>8271</v>
      </c>
      <c r="B2259" t="s">
        <v>870</v>
      </c>
      <c r="C2259">
        <v>26</v>
      </c>
      <c r="D2259" t="str">
        <f>VLOOKUP(B2259,Products!$A:$E,2,FALSE)</f>
        <v>Product_431</v>
      </c>
      <c r="E2259" t="str">
        <f>VLOOKUP(B2259,Products!$A:$E,3,FALSE)</f>
        <v>Electronics</v>
      </c>
    </row>
    <row r="2260" spans="1:5" x14ac:dyDescent="0.3">
      <c r="A2260" t="s">
        <v>8272</v>
      </c>
      <c r="B2260" t="s">
        <v>46</v>
      </c>
      <c r="C2260">
        <v>35</v>
      </c>
      <c r="D2260" t="str">
        <f>VLOOKUP(B2260,Products!$A:$E,2,FALSE)</f>
        <v>Product_19</v>
      </c>
      <c r="E2260" t="str">
        <f>VLOOKUP(B2260,Products!$A:$E,3,FALSE)</f>
        <v>Networking</v>
      </c>
    </row>
    <row r="2261" spans="1:5" x14ac:dyDescent="0.3">
      <c r="A2261" t="s">
        <v>8273</v>
      </c>
      <c r="B2261" t="s">
        <v>950</v>
      </c>
      <c r="C2261">
        <v>34</v>
      </c>
      <c r="D2261" t="str">
        <f>VLOOKUP(B2261,Products!$A:$E,2,FALSE)</f>
        <v>Product_471</v>
      </c>
      <c r="E2261" t="str">
        <f>VLOOKUP(B2261,Products!$A:$E,3,FALSE)</f>
        <v>Office Supplies</v>
      </c>
    </row>
    <row r="2262" spans="1:5" x14ac:dyDescent="0.3">
      <c r="A2262" t="s">
        <v>8274</v>
      </c>
      <c r="B2262" t="s">
        <v>50</v>
      </c>
      <c r="C2262">
        <v>22</v>
      </c>
      <c r="D2262" t="str">
        <f>VLOOKUP(B2262,Products!$A:$E,2,FALSE)</f>
        <v>Product_21</v>
      </c>
      <c r="E2262" t="str">
        <f>VLOOKUP(B2262,Products!$A:$E,3,FALSE)</f>
        <v>Office Supplies</v>
      </c>
    </row>
    <row r="2263" spans="1:5" x14ac:dyDescent="0.3">
      <c r="A2263" t="s">
        <v>8275</v>
      </c>
      <c r="B2263" t="s">
        <v>670</v>
      </c>
      <c r="C2263">
        <v>2</v>
      </c>
      <c r="D2263" t="str">
        <f>VLOOKUP(B2263,Products!$A:$E,2,FALSE)</f>
        <v>Product_331</v>
      </c>
      <c r="E2263" t="str">
        <f>VLOOKUP(B2263,Products!$A:$E,3,FALSE)</f>
        <v>Electronics</v>
      </c>
    </row>
    <row r="2264" spans="1:5" x14ac:dyDescent="0.3">
      <c r="A2264" t="s">
        <v>8276</v>
      </c>
      <c r="B2264" t="s">
        <v>80</v>
      </c>
      <c r="C2264">
        <v>31</v>
      </c>
      <c r="D2264" t="str">
        <f>VLOOKUP(B2264,Products!$A:$E,2,FALSE)</f>
        <v>Product_36</v>
      </c>
      <c r="E2264" t="str">
        <f>VLOOKUP(B2264,Products!$A:$E,3,FALSE)</f>
        <v>Office Supplies</v>
      </c>
    </row>
    <row r="2265" spans="1:5" x14ac:dyDescent="0.3">
      <c r="A2265" t="s">
        <v>8277</v>
      </c>
      <c r="B2265" t="s">
        <v>106</v>
      </c>
      <c r="C2265">
        <v>27</v>
      </c>
      <c r="D2265" t="str">
        <f>VLOOKUP(B2265,Products!$A:$E,2,FALSE)</f>
        <v>Product_49</v>
      </c>
      <c r="E2265" t="str">
        <f>VLOOKUP(B2265,Products!$A:$E,3,FALSE)</f>
        <v>Storage</v>
      </c>
    </row>
    <row r="2266" spans="1:5" x14ac:dyDescent="0.3">
      <c r="A2266" t="s">
        <v>8278</v>
      </c>
      <c r="B2266" t="s">
        <v>750</v>
      </c>
      <c r="C2266">
        <v>20</v>
      </c>
      <c r="D2266" t="str">
        <f>VLOOKUP(B2266,Products!$A:$E,2,FALSE)</f>
        <v>Product_371</v>
      </c>
      <c r="E2266" t="str">
        <f>VLOOKUP(B2266,Products!$A:$E,3,FALSE)</f>
        <v>Storage</v>
      </c>
    </row>
    <row r="2267" spans="1:5" x14ac:dyDescent="0.3">
      <c r="A2267" t="s">
        <v>8279</v>
      </c>
      <c r="B2267" t="s">
        <v>290</v>
      </c>
      <c r="C2267">
        <v>21</v>
      </c>
      <c r="D2267" t="str">
        <f>VLOOKUP(B2267,Products!$A:$E,2,FALSE)</f>
        <v>Product_141</v>
      </c>
      <c r="E2267" t="str">
        <f>VLOOKUP(B2267,Products!$A:$E,3,FALSE)</f>
        <v>Electronics</v>
      </c>
    </row>
    <row r="2268" spans="1:5" x14ac:dyDescent="0.3">
      <c r="A2268" t="s">
        <v>8280</v>
      </c>
      <c r="B2268" t="s">
        <v>780</v>
      </c>
      <c r="C2268">
        <v>23</v>
      </c>
      <c r="D2268" t="str">
        <f>VLOOKUP(B2268,Products!$A:$E,2,FALSE)</f>
        <v>Product_386</v>
      </c>
      <c r="E2268" t="str">
        <f>VLOOKUP(B2268,Products!$A:$E,3,FALSE)</f>
        <v>Electronics</v>
      </c>
    </row>
    <row r="2269" spans="1:5" x14ac:dyDescent="0.3">
      <c r="A2269" t="s">
        <v>8281</v>
      </c>
      <c r="B2269" t="s">
        <v>418</v>
      </c>
      <c r="C2269">
        <v>6</v>
      </c>
      <c r="D2269" t="str">
        <f>VLOOKUP(B2269,Products!$A:$E,2,FALSE)</f>
        <v>Product_205</v>
      </c>
      <c r="E2269" t="str">
        <f>VLOOKUP(B2269,Products!$A:$E,3,FALSE)</f>
        <v>Storage</v>
      </c>
    </row>
    <row r="2270" spans="1:5" x14ac:dyDescent="0.3">
      <c r="A2270" t="s">
        <v>8282</v>
      </c>
      <c r="B2270" t="s">
        <v>578</v>
      </c>
      <c r="C2270">
        <v>50</v>
      </c>
      <c r="D2270" t="str">
        <f>VLOOKUP(B2270,Products!$A:$E,2,FALSE)</f>
        <v>Product_285</v>
      </c>
      <c r="E2270" t="str">
        <f>VLOOKUP(B2270,Products!$A:$E,3,FALSE)</f>
        <v>Networking</v>
      </c>
    </row>
    <row r="2271" spans="1:5" x14ac:dyDescent="0.3">
      <c r="A2271" t="s">
        <v>8283</v>
      </c>
      <c r="B2271" t="s">
        <v>330</v>
      </c>
      <c r="C2271">
        <v>32</v>
      </c>
      <c r="D2271" t="str">
        <f>VLOOKUP(B2271,Products!$A:$E,2,FALSE)</f>
        <v>Product_161</v>
      </c>
      <c r="E2271" t="str">
        <f>VLOOKUP(B2271,Products!$A:$E,3,FALSE)</f>
        <v>Networking</v>
      </c>
    </row>
    <row r="2272" spans="1:5" x14ac:dyDescent="0.3">
      <c r="A2272" t="s">
        <v>8284</v>
      </c>
      <c r="B2272" t="s">
        <v>636</v>
      </c>
      <c r="C2272">
        <v>4</v>
      </c>
      <c r="D2272" t="str">
        <f>VLOOKUP(B2272,Products!$A:$E,2,FALSE)</f>
        <v>Product_314</v>
      </c>
      <c r="E2272" t="str">
        <f>VLOOKUP(B2272,Products!$A:$E,3,FALSE)</f>
        <v>Storage</v>
      </c>
    </row>
    <row r="2273" spans="1:5" x14ac:dyDescent="0.3">
      <c r="A2273" t="s">
        <v>8285</v>
      </c>
      <c r="B2273" t="s">
        <v>412</v>
      </c>
      <c r="C2273">
        <v>20</v>
      </c>
      <c r="D2273" t="str">
        <f>VLOOKUP(B2273,Products!$A:$E,2,FALSE)</f>
        <v>Product_202</v>
      </c>
      <c r="E2273" t="str">
        <f>VLOOKUP(B2273,Products!$A:$E,3,FALSE)</f>
        <v>Storage</v>
      </c>
    </row>
    <row r="2274" spans="1:5" x14ac:dyDescent="0.3">
      <c r="A2274" t="s">
        <v>8286</v>
      </c>
      <c r="B2274" t="s">
        <v>722</v>
      </c>
      <c r="C2274">
        <v>30</v>
      </c>
      <c r="D2274" t="str">
        <f>VLOOKUP(B2274,Products!$A:$E,2,FALSE)</f>
        <v>Product_357</v>
      </c>
      <c r="E2274" t="str">
        <f>VLOOKUP(B2274,Products!$A:$E,3,FALSE)</f>
        <v>Accessories</v>
      </c>
    </row>
    <row r="2275" spans="1:5" x14ac:dyDescent="0.3">
      <c r="A2275" t="s">
        <v>8287</v>
      </c>
      <c r="B2275" t="s">
        <v>514</v>
      </c>
      <c r="C2275">
        <v>42</v>
      </c>
      <c r="D2275" t="str">
        <f>VLOOKUP(B2275,Products!$A:$E,2,FALSE)</f>
        <v>Product_253</v>
      </c>
      <c r="E2275" t="str">
        <f>VLOOKUP(B2275,Products!$A:$E,3,FALSE)</f>
        <v>Networking</v>
      </c>
    </row>
    <row r="2276" spans="1:5" x14ac:dyDescent="0.3">
      <c r="A2276" t="s">
        <v>8288</v>
      </c>
      <c r="B2276" t="s">
        <v>1000</v>
      </c>
      <c r="C2276">
        <v>8</v>
      </c>
      <c r="D2276" t="str">
        <f>VLOOKUP(B2276,Products!$A:$E,2,FALSE)</f>
        <v>Product_496</v>
      </c>
      <c r="E2276" t="str">
        <f>VLOOKUP(B2276,Products!$A:$E,3,FALSE)</f>
        <v>Office Supplies</v>
      </c>
    </row>
    <row r="2277" spans="1:5" x14ac:dyDescent="0.3">
      <c r="A2277" t="s">
        <v>8289</v>
      </c>
      <c r="B2277" t="s">
        <v>872</v>
      </c>
      <c r="C2277">
        <v>24</v>
      </c>
      <c r="D2277" t="str">
        <f>VLOOKUP(B2277,Products!$A:$E,2,FALSE)</f>
        <v>Product_432</v>
      </c>
      <c r="E2277" t="str">
        <f>VLOOKUP(B2277,Products!$A:$E,3,FALSE)</f>
        <v>Office Supplies</v>
      </c>
    </row>
    <row r="2278" spans="1:5" x14ac:dyDescent="0.3">
      <c r="A2278" t="s">
        <v>8290</v>
      </c>
      <c r="B2278" t="s">
        <v>970</v>
      </c>
      <c r="C2278">
        <v>40</v>
      </c>
      <c r="D2278" t="str">
        <f>VLOOKUP(B2278,Products!$A:$E,2,FALSE)</f>
        <v>Product_481</v>
      </c>
      <c r="E2278" t="str">
        <f>VLOOKUP(B2278,Products!$A:$E,3,FALSE)</f>
        <v>Storage</v>
      </c>
    </row>
    <row r="2279" spans="1:5" x14ac:dyDescent="0.3">
      <c r="A2279" t="s">
        <v>8291</v>
      </c>
      <c r="B2279" t="s">
        <v>114</v>
      </c>
      <c r="C2279">
        <v>2</v>
      </c>
      <c r="D2279" t="str">
        <f>VLOOKUP(B2279,Products!$A:$E,2,FALSE)</f>
        <v>Product_53</v>
      </c>
      <c r="E2279" t="str">
        <f>VLOOKUP(B2279,Products!$A:$E,3,FALSE)</f>
        <v>Electronics</v>
      </c>
    </row>
    <row r="2280" spans="1:5" x14ac:dyDescent="0.3">
      <c r="A2280" t="s">
        <v>8292</v>
      </c>
      <c r="B2280" t="s">
        <v>238</v>
      </c>
      <c r="C2280">
        <v>4</v>
      </c>
      <c r="D2280" t="str">
        <f>VLOOKUP(B2280,Products!$A:$E,2,FALSE)</f>
        <v>Product_115</v>
      </c>
      <c r="E2280" t="str">
        <f>VLOOKUP(B2280,Products!$A:$E,3,FALSE)</f>
        <v>Networking</v>
      </c>
    </row>
    <row r="2281" spans="1:5" x14ac:dyDescent="0.3">
      <c r="A2281" t="s">
        <v>8293</v>
      </c>
      <c r="B2281" t="s">
        <v>854</v>
      </c>
      <c r="C2281">
        <v>1</v>
      </c>
      <c r="D2281" t="str">
        <f>VLOOKUP(B2281,Products!$A:$E,2,FALSE)</f>
        <v>Product_423</v>
      </c>
      <c r="E2281" t="str">
        <f>VLOOKUP(B2281,Products!$A:$E,3,FALSE)</f>
        <v>Office Supplies</v>
      </c>
    </row>
    <row r="2282" spans="1:5" x14ac:dyDescent="0.3">
      <c r="A2282" t="s">
        <v>8294</v>
      </c>
      <c r="B2282" t="s">
        <v>152</v>
      </c>
      <c r="C2282">
        <v>7</v>
      </c>
      <c r="D2282" t="str">
        <f>VLOOKUP(B2282,Products!$A:$E,2,FALSE)</f>
        <v>Product_72</v>
      </c>
      <c r="E2282" t="str">
        <f>VLOOKUP(B2282,Products!$A:$E,3,FALSE)</f>
        <v>Networking</v>
      </c>
    </row>
    <row r="2283" spans="1:5" x14ac:dyDescent="0.3">
      <c r="A2283" t="s">
        <v>8295</v>
      </c>
      <c r="B2283" t="s">
        <v>340</v>
      </c>
      <c r="C2283">
        <v>45</v>
      </c>
      <c r="D2283" t="str">
        <f>VLOOKUP(B2283,Products!$A:$E,2,FALSE)</f>
        <v>Product_166</v>
      </c>
      <c r="E2283" t="str">
        <f>VLOOKUP(B2283,Products!$A:$E,3,FALSE)</f>
        <v>Accessories</v>
      </c>
    </row>
    <row r="2284" spans="1:5" x14ac:dyDescent="0.3">
      <c r="A2284" t="s">
        <v>8296</v>
      </c>
      <c r="B2284" t="s">
        <v>750</v>
      </c>
      <c r="C2284">
        <v>28</v>
      </c>
      <c r="D2284" t="str">
        <f>VLOOKUP(B2284,Products!$A:$E,2,FALSE)</f>
        <v>Product_371</v>
      </c>
      <c r="E2284" t="str">
        <f>VLOOKUP(B2284,Products!$A:$E,3,FALSE)</f>
        <v>Storage</v>
      </c>
    </row>
    <row r="2285" spans="1:5" x14ac:dyDescent="0.3">
      <c r="A2285" t="s">
        <v>8297</v>
      </c>
      <c r="B2285" t="s">
        <v>240</v>
      </c>
      <c r="C2285">
        <v>11</v>
      </c>
      <c r="D2285" t="str">
        <f>VLOOKUP(B2285,Products!$A:$E,2,FALSE)</f>
        <v>Product_116</v>
      </c>
      <c r="E2285" t="str">
        <f>VLOOKUP(B2285,Products!$A:$E,3,FALSE)</f>
        <v>Storage</v>
      </c>
    </row>
    <row r="2286" spans="1:5" x14ac:dyDescent="0.3">
      <c r="A2286" t="s">
        <v>8298</v>
      </c>
      <c r="B2286" t="s">
        <v>100</v>
      </c>
      <c r="C2286">
        <v>13</v>
      </c>
      <c r="D2286" t="str">
        <f>VLOOKUP(B2286,Products!$A:$E,2,FALSE)</f>
        <v>Product_46</v>
      </c>
      <c r="E2286" t="str">
        <f>VLOOKUP(B2286,Products!$A:$E,3,FALSE)</f>
        <v>Networking</v>
      </c>
    </row>
    <row r="2287" spans="1:5" x14ac:dyDescent="0.3">
      <c r="A2287" t="s">
        <v>8299</v>
      </c>
      <c r="B2287" t="s">
        <v>750</v>
      </c>
      <c r="C2287">
        <v>24</v>
      </c>
      <c r="D2287" t="str">
        <f>VLOOKUP(B2287,Products!$A:$E,2,FALSE)</f>
        <v>Product_371</v>
      </c>
      <c r="E2287" t="str">
        <f>VLOOKUP(B2287,Products!$A:$E,3,FALSE)</f>
        <v>Storage</v>
      </c>
    </row>
    <row r="2288" spans="1:5" x14ac:dyDescent="0.3">
      <c r="A2288" t="s">
        <v>8300</v>
      </c>
      <c r="B2288" t="s">
        <v>844</v>
      </c>
      <c r="C2288">
        <v>35</v>
      </c>
      <c r="D2288" t="str">
        <f>VLOOKUP(B2288,Products!$A:$E,2,FALSE)</f>
        <v>Product_418</v>
      </c>
      <c r="E2288" t="str">
        <f>VLOOKUP(B2288,Products!$A:$E,3,FALSE)</f>
        <v>Office Supplies</v>
      </c>
    </row>
    <row r="2289" spans="1:5" x14ac:dyDescent="0.3">
      <c r="A2289" t="s">
        <v>8301</v>
      </c>
      <c r="B2289" t="s">
        <v>11</v>
      </c>
      <c r="C2289">
        <v>45</v>
      </c>
      <c r="D2289" t="str">
        <f>VLOOKUP(B2289,Products!$A:$E,2,FALSE)</f>
        <v>Product_3</v>
      </c>
      <c r="E2289" t="str">
        <f>VLOOKUP(B2289,Products!$A:$E,3,FALSE)</f>
        <v>Accessories</v>
      </c>
    </row>
    <row r="2290" spans="1:5" x14ac:dyDescent="0.3">
      <c r="A2290" t="s">
        <v>8302</v>
      </c>
      <c r="B2290" t="s">
        <v>898</v>
      </c>
      <c r="C2290">
        <v>4</v>
      </c>
      <c r="D2290" t="str">
        <f>VLOOKUP(B2290,Products!$A:$E,2,FALSE)</f>
        <v>Product_445</v>
      </c>
      <c r="E2290" t="str">
        <f>VLOOKUP(B2290,Products!$A:$E,3,FALSE)</f>
        <v>Office Supplies</v>
      </c>
    </row>
    <row r="2291" spans="1:5" x14ac:dyDescent="0.3">
      <c r="A2291" t="s">
        <v>8303</v>
      </c>
      <c r="B2291" t="s">
        <v>274</v>
      </c>
      <c r="C2291">
        <v>3</v>
      </c>
      <c r="D2291" t="str">
        <f>VLOOKUP(B2291,Products!$A:$E,2,FALSE)</f>
        <v>Product_133</v>
      </c>
      <c r="E2291" t="str">
        <f>VLOOKUP(B2291,Products!$A:$E,3,FALSE)</f>
        <v>Office Supplies</v>
      </c>
    </row>
    <row r="2292" spans="1:5" x14ac:dyDescent="0.3">
      <c r="A2292" t="s">
        <v>8304</v>
      </c>
      <c r="B2292" t="s">
        <v>122</v>
      </c>
      <c r="C2292">
        <v>4</v>
      </c>
      <c r="D2292" t="str">
        <f>VLOOKUP(B2292,Products!$A:$E,2,FALSE)</f>
        <v>Product_57</v>
      </c>
      <c r="E2292" t="str">
        <f>VLOOKUP(B2292,Products!$A:$E,3,FALSE)</f>
        <v>Electronics</v>
      </c>
    </row>
    <row r="2293" spans="1:5" x14ac:dyDescent="0.3">
      <c r="A2293" t="s">
        <v>8305</v>
      </c>
      <c r="B2293" t="s">
        <v>978</v>
      </c>
      <c r="C2293">
        <v>20</v>
      </c>
      <c r="D2293" t="str">
        <f>VLOOKUP(B2293,Products!$A:$E,2,FALSE)</f>
        <v>Product_485</v>
      </c>
      <c r="E2293" t="str">
        <f>VLOOKUP(B2293,Products!$A:$E,3,FALSE)</f>
        <v>Networking</v>
      </c>
    </row>
    <row r="2294" spans="1:5" x14ac:dyDescent="0.3">
      <c r="A2294" t="s">
        <v>8306</v>
      </c>
      <c r="B2294" t="s">
        <v>86</v>
      </c>
      <c r="C2294">
        <v>17</v>
      </c>
      <c r="D2294" t="str">
        <f>VLOOKUP(B2294,Products!$A:$E,2,FALSE)</f>
        <v>Product_39</v>
      </c>
      <c r="E2294" t="str">
        <f>VLOOKUP(B2294,Products!$A:$E,3,FALSE)</f>
        <v>Networking</v>
      </c>
    </row>
    <row r="2295" spans="1:5" x14ac:dyDescent="0.3">
      <c r="A2295" t="s">
        <v>8307</v>
      </c>
      <c r="B2295" t="s">
        <v>346</v>
      </c>
      <c r="C2295">
        <v>45</v>
      </c>
      <c r="D2295" t="str">
        <f>VLOOKUP(B2295,Products!$A:$E,2,FALSE)</f>
        <v>Product_169</v>
      </c>
      <c r="E2295" t="str">
        <f>VLOOKUP(B2295,Products!$A:$E,3,FALSE)</f>
        <v>Accessories</v>
      </c>
    </row>
    <row r="2296" spans="1:5" x14ac:dyDescent="0.3">
      <c r="A2296" t="s">
        <v>8308</v>
      </c>
      <c r="B2296" t="s">
        <v>636</v>
      </c>
      <c r="C2296">
        <v>25</v>
      </c>
      <c r="D2296" t="str">
        <f>VLOOKUP(B2296,Products!$A:$E,2,FALSE)</f>
        <v>Product_314</v>
      </c>
      <c r="E2296" t="str">
        <f>VLOOKUP(B2296,Products!$A:$E,3,FALSE)</f>
        <v>Storage</v>
      </c>
    </row>
    <row r="2297" spans="1:5" x14ac:dyDescent="0.3">
      <c r="A2297" t="s">
        <v>8309</v>
      </c>
      <c r="B2297" t="s">
        <v>286</v>
      </c>
      <c r="C2297">
        <v>45</v>
      </c>
      <c r="D2297" t="str">
        <f>VLOOKUP(B2297,Products!$A:$E,2,FALSE)</f>
        <v>Product_139</v>
      </c>
      <c r="E2297" t="str">
        <f>VLOOKUP(B2297,Products!$A:$E,3,FALSE)</f>
        <v>Storage</v>
      </c>
    </row>
    <row r="2298" spans="1:5" x14ac:dyDescent="0.3">
      <c r="A2298" t="s">
        <v>8310</v>
      </c>
      <c r="B2298" t="s">
        <v>184</v>
      </c>
      <c r="C2298">
        <v>9</v>
      </c>
      <c r="D2298" t="str">
        <f>VLOOKUP(B2298,Products!$A:$E,2,FALSE)</f>
        <v>Product_88</v>
      </c>
      <c r="E2298" t="str">
        <f>VLOOKUP(B2298,Products!$A:$E,3,FALSE)</f>
        <v>Accessories</v>
      </c>
    </row>
    <row r="2299" spans="1:5" x14ac:dyDescent="0.3">
      <c r="A2299" t="s">
        <v>8311</v>
      </c>
      <c r="B2299" t="s">
        <v>606</v>
      </c>
      <c r="C2299">
        <v>30</v>
      </c>
      <c r="D2299" t="str">
        <f>VLOOKUP(B2299,Products!$A:$E,2,FALSE)</f>
        <v>Product_299</v>
      </c>
      <c r="E2299" t="str">
        <f>VLOOKUP(B2299,Products!$A:$E,3,FALSE)</f>
        <v>Storage</v>
      </c>
    </row>
    <row r="2300" spans="1:5" x14ac:dyDescent="0.3">
      <c r="A2300" t="s">
        <v>8312</v>
      </c>
      <c r="B2300" t="s">
        <v>132</v>
      </c>
      <c r="C2300">
        <v>9</v>
      </c>
      <c r="D2300" t="str">
        <f>VLOOKUP(B2300,Products!$A:$E,2,FALSE)</f>
        <v>Product_62</v>
      </c>
      <c r="E2300" t="str">
        <f>VLOOKUP(B2300,Products!$A:$E,3,FALSE)</f>
        <v>Accessories</v>
      </c>
    </row>
    <row r="2301" spans="1:5" x14ac:dyDescent="0.3">
      <c r="A2301" t="s">
        <v>8313</v>
      </c>
      <c r="B2301" t="s">
        <v>336</v>
      </c>
      <c r="C2301">
        <v>10</v>
      </c>
      <c r="D2301" t="str">
        <f>VLOOKUP(B2301,Products!$A:$E,2,FALSE)</f>
        <v>Product_164</v>
      </c>
      <c r="E2301" t="str">
        <f>VLOOKUP(B2301,Products!$A:$E,3,FALSE)</f>
        <v>Networking</v>
      </c>
    </row>
    <row r="2302" spans="1:5" x14ac:dyDescent="0.3">
      <c r="A2302" t="s">
        <v>8314</v>
      </c>
      <c r="B2302" t="s">
        <v>780</v>
      </c>
      <c r="C2302">
        <v>38</v>
      </c>
      <c r="D2302" t="str">
        <f>VLOOKUP(B2302,Products!$A:$E,2,FALSE)</f>
        <v>Product_386</v>
      </c>
      <c r="E2302" t="str">
        <f>VLOOKUP(B2302,Products!$A:$E,3,FALSE)</f>
        <v>Electronics</v>
      </c>
    </row>
    <row r="2303" spans="1:5" x14ac:dyDescent="0.3">
      <c r="A2303" t="s">
        <v>8315</v>
      </c>
      <c r="B2303" t="s">
        <v>918</v>
      </c>
      <c r="C2303">
        <v>27</v>
      </c>
      <c r="D2303" t="str">
        <f>VLOOKUP(B2303,Products!$A:$E,2,FALSE)</f>
        <v>Product_455</v>
      </c>
      <c r="E2303" t="str">
        <f>VLOOKUP(B2303,Products!$A:$E,3,FALSE)</f>
        <v>Storage</v>
      </c>
    </row>
    <row r="2304" spans="1:5" x14ac:dyDescent="0.3">
      <c r="A2304" t="s">
        <v>8316</v>
      </c>
      <c r="B2304" t="s">
        <v>662</v>
      </c>
      <c r="C2304">
        <v>29</v>
      </c>
      <c r="D2304" t="str">
        <f>VLOOKUP(B2304,Products!$A:$E,2,FALSE)</f>
        <v>Product_327</v>
      </c>
      <c r="E2304" t="str">
        <f>VLOOKUP(B2304,Products!$A:$E,3,FALSE)</f>
        <v>Networking</v>
      </c>
    </row>
    <row r="2305" spans="1:5" x14ac:dyDescent="0.3">
      <c r="A2305" t="s">
        <v>8317</v>
      </c>
      <c r="B2305" t="s">
        <v>694</v>
      </c>
      <c r="C2305">
        <v>8</v>
      </c>
      <c r="D2305" t="str">
        <f>VLOOKUP(B2305,Products!$A:$E,2,FALSE)</f>
        <v>Product_343</v>
      </c>
      <c r="E2305" t="str">
        <f>VLOOKUP(B2305,Products!$A:$E,3,FALSE)</f>
        <v>Office Supplies</v>
      </c>
    </row>
    <row r="2306" spans="1:5" x14ac:dyDescent="0.3">
      <c r="A2306" t="s">
        <v>8318</v>
      </c>
      <c r="B2306" t="s">
        <v>544</v>
      </c>
      <c r="C2306">
        <v>34</v>
      </c>
      <c r="D2306" t="str">
        <f>VLOOKUP(B2306,Products!$A:$E,2,FALSE)</f>
        <v>Product_268</v>
      </c>
      <c r="E2306" t="str">
        <f>VLOOKUP(B2306,Products!$A:$E,3,FALSE)</f>
        <v>Office Supplies</v>
      </c>
    </row>
    <row r="2307" spans="1:5" x14ac:dyDescent="0.3">
      <c r="A2307" t="s">
        <v>8319</v>
      </c>
      <c r="B2307" t="s">
        <v>256</v>
      </c>
      <c r="C2307">
        <v>37</v>
      </c>
      <c r="D2307" t="str">
        <f>VLOOKUP(B2307,Products!$A:$E,2,FALSE)</f>
        <v>Product_124</v>
      </c>
      <c r="E2307" t="str">
        <f>VLOOKUP(B2307,Products!$A:$E,3,FALSE)</f>
        <v>Storage</v>
      </c>
    </row>
    <row r="2308" spans="1:5" x14ac:dyDescent="0.3">
      <c r="A2308" t="s">
        <v>8320</v>
      </c>
      <c r="B2308" t="s">
        <v>498</v>
      </c>
      <c r="C2308">
        <v>43</v>
      </c>
      <c r="D2308" t="str">
        <f>VLOOKUP(B2308,Products!$A:$E,2,FALSE)</f>
        <v>Product_245</v>
      </c>
      <c r="E2308" t="str">
        <f>VLOOKUP(B2308,Products!$A:$E,3,FALSE)</f>
        <v>Office Supplies</v>
      </c>
    </row>
    <row r="2309" spans="1:5" x14ac:dyDescent="0.3">
      <c r="A2309" t="s">
        <v>8321</v>
      </c>
      <c r="B2309" t="s">
        <v>510</v>
      </c>
      <c r="C2309">
        <v>18</v>
      </c>
      <c r="D2309" t="str">
        <f>VLOOKUP(B2309,Products!$A:$E,2,FALSE)</f>
        <v>Product_251</v>
      </c>
      <c r="E2309" t="str">
        <f>VLOOKUP(B2309,Products!$A:$E,3,FALSE)</f>
        <v>Electronics</v>
      </c>
    </row>
    <row r="2310" spans="1:5" x14ac:dyDescent="0.3">
      <c r="A2310" t="s">
        <v>8322</v>
      </c>
      <c r="B2310" t="s">
        <v>338</v>
      </c>
      <c r="C2310">
        <v>50</v>
      </c>
      <c r="D2310" t="str">
        <f>VLOOKUP(B2310,Products!$A:$E,2,FALSE)</f>
        <v>Product_165</v>
      </c>
      <c r="E2310" t="str">
        <f>VLOOKUP(B2310,Products!$A:$E,3,FALSE)</f>
        <v>Office Supplies</v>
      </c>
    </row>
    <row r="2311" spans="1:5" x14ac:dyDescent="0.3">
      <c r="A2311" t="s">
        <v>8323</v>
      </c>
      <c r="B2311" t="s">
        <v>758</v>
      </c>
      <c r="C2311">
        <v>31</v>
      </c>
      <c r="D2311" t="str">
        <f>VLOOKUP(B2311,Products!$A:$E,2,FALSE)</f>
        <v>Product_375</v>
      </c>
      <c r="E2311" t="str">
        <f>VLOOKUP(B2311,Products!$A:$E,3,FALSE)</f>
        <v>Accessories</v>
      </c>
    </row>
    <row r="2312" spans="1:5" x14ac:dyDescent="0.3">
      <c r="A2312" t="s">
        <v>8324</v>
      </c>
      <c r="B2312" t="s">
        <v>240</v>
      </c>
      <c r="C2312">
        <v>6</v>
      </c>
      <c r="D2312" t="str">
        <f>VLOOKUP(B2312,Products!$A:$E,2,FALSE)</f>
        <v>Product_116</v>
      </c>
      <c r="E2312" t="str">
        <f>VLOOKUP(B2312,Products!$A:$E,3,FALSE)</f>
        <v>Storage</v>
      </c>
    </row>
    <row r="2313" spans="1:5" x14ac:dyDescent="0.3">
      <c r="A2313" t="s">
        <v>8325</v>
      </c>
      <c r="B2313" t="s">
        <v>280</v>
      </c>
      <c r="C2313">
        <v>50</v>
      </c>
      <c r="D2313" t="str">
        <f>VLOOKUP(B2313,Products!$A:$E,2,FALSE)</f>
        <v>Product_136</v>
      </c>
      <c r="E2313" t="str">
        <f>VLOOKUP(B2313,Products!$A:$E,3,FALSE)</f>
        <v>Storage</v>
      </c>
    </row>
    <row r="2314" spans="1:5" x14ac:dyDescent="0.3">
      <c r="A2314" t="s">
        <v>8326</v>
      </c>
      <c r="B2314" t="s">
        <v>312</v>
      </c>
      <c r="C2314">
        <v>46</v>
      </c>
      <c r="D2314" t="str">
        <f>VLOOKUP(B2314,Products!$A:$E,2,FALSE)</f>
        <v>Product_152</v>
      </c>
      <c r="E2314" t="str">
        <f>VLOOKUP(B2314,Products!$A:$E,3,FALSE)</f>
        <v>Storage</v>
      </c>
    </row>
    <row r="2315" spans="1:5" x14ac:dyDescent="0.3">
      <c r="A2315" t="s">
        <v>8327</v>
      </c>
      <c r="B2315" t="s">
        <v>94</v>
      </c>
      <c r="C2315">
        <v>23</v>
      </c>
      <c r="D2315" t="str">
        <f>VLOOKUP(B2315,Products!$A:$E,2,FALSE)</f>
        <v>Product_43</v>
      </c>
      <c r="E2315" t="str">
        <f>VLOOKUP(B2315,Products!$A:$E,3,FALSE)</f>
        <v>Storage</v>
      </c>
    </row>
    <row r="2316" spans="1:5" x14ac:dyDescent="0.3">
      <c r="A2316" t="s">
        <v>8328</v>
      </c>
      <c r="B2316" t="s">
        <v>580</v>
      </c>
      <c r="C2316">
        <v>16</v>
      </c>
      <c r="D2316" t="str">
        <f>VLOOKUP(B2316,Products!$A:$E,2,FALSE)</f>
        <v>Product_286</v>
      </c>
      <c r="E2316" t="str">
        <f>VLOOKUP(B2316,Products!$A:$E,3,FALSE)</f>
        <v>Storage</v>
      </c>
    </row>
    <row r="2317" spans="1:5" x14ac:dyDescent="0.3">
      <c r="A2317" t="s">
        <v>8329</v>
      </c>
      <c r="B2317" t="s">
        <v>684</v>
      </c>
      <c r="C2317">
        <v>42</v>
      </c>
      <c r="D2317" t="str">
        <f>VLOOKUP(B2317,Products!$A:$E,2,FALSE)</f>
        <v>Product_338</v>
      </c>
      <c r="E2317" t="str">
        <f>VLOOKUP(B2317,Products!$A:$E,3,FALSE)</f>
        <v>Networking</v>
      </c>
    </row>
    <row r="2318" spans="1:5" x14ac:dyDescent="0.3">
      <c r="A2318" t="s">
        <v>8330</v>
      </c>
      <c r="B2318" t="s">
        <v>762</v>
      </c>
      <c r="C2318">
        <v>14</v>
      </c>
      <c r="D2318" t="str">
        <f>VLOOKUP(B2318,Products!$A:$E,2,FALSE)</f>
        <v>Product_377</v>
      </c>
      <c r="E2318" t="str">
        <f>VLOOKUP(B2318,Products!$A:$E,3,FALSE)</f>
        <v>Networking</v>
      </c>
    </row>
    <row r="2319" spans="1:5" x14ac:dyDescent="0.3">
      <c r="A2319" t="s">
        <v>8331</v>
      </c>
      <c r="B2319" t="s">
        <v>720</v>
      </c>
      <c r="C2319">
        <v>5</v>
      </c>
      <c r="D2319" t="str">
        <f>VLOOKUP(B2319,Products!$A:$E,2,FALSE)</f>
        <v>Product_356</v>
      </c>
      <c r="E2319" t="str">
        <f>VLOOKUP(B2319,Products!$A:$E,3,FALSE)</f>
        <v>Accessories</v>
      </c>
    </row>
    <row r="2320" spans="1:5" x14ac:dyDescent="0.3">
      <c r="A2320" t="s">
        <v>8332</v>
      </c>
      <c r="B2320" t="s">
        <v>86</v>
      </c>
      <c r="C2320">
        <v>32</v>
      </c>
      <c r="D2320" t="str">
        <f>VLOOKUP(B2320,Products!$A:$E,2,FALSE)</f>
        <v>Product_39</v>
      </c>
      <c r="E2320" t="str">
        <f>VLOOKUP(B2320,Products!$A:$E,3,FALSE)</f>
        <v>Networking</v>
      </c>
    </row>
    <row r="2321" spans="1:5" x14ac:dyDescent="0.3">
      <c r="A2321" t="s">
        <v>8333</v>
      </c>
      <c r="B2321" t="s">
        <v>70</v>
      </c>
      <c r="C2321">
        <v>14</v>
      </c>
      <c r="D2321" t="str">
        <f>VLOOKUP(B2321,Products!$A:$E,2,FALSE)</f>
        <v>Product_31</v>
      </c>
      <c r="E2321" t="str">
        <f>VLOOKUP(B2321,Products!$A:$E,3,FALSE)</f>
        <v>Accessories</v>
      </c>
    </row>
    <row r="2322" spans="1:5" x14ac:dyDescent="0.3">
      <c r="A2322" t="s">
        <v>8334</v>
      </c>
      <c r="B2322" t="s">
        <v>22</v>
      </c>
      <c r="C2322">
        <v>43</v>
      </c>
      <c r="D2322" t="str">
        <f>VLOOKUP(B2322,Products!$A:$E,2,FALSE)</f>
        <v>Product_7</v>
      </c>
      <c r="E2322" t="str">
        <f>VLOOKUP(B2322,Products!$A:$E,3,FALSE)</f>
        <v>Storage</v>
      </c>
    </row>
    <row r="2323" spans="1:5" x14ac:dyDescent="0.3">
      <c r="A2323" t="s">
        <v>8335</v>
      </c>
      <c r="B2323" t="s">
        <v>230</v>
      </c>
      <c r="C2323">
        <v>30</v>
      </c>
      <c r="D2323" t="str">
        <f>VLOOKUP(B2323,Products!$A:$E,2,FALSE)</f>
        <v>Product_111</v>
      </c>
      <c r="E2323" t="str">
        <f>VLOOKUP(B2323,Products!$A:$E,3,FALSE)</f>
        <v>Office Supplies</v>
      </c>
    </row>
    <row r="2324" spans="1:5" x14ac:dyDescent="0.3">
      <c r="A2324" t="s">
        <v>8336</v>
      </c>
      <c r="B2324" t="s">
        <v>848</v>
      </c>
      <c r="C2324">
        <v>25</v>
      </c>
      <c r="D2324" t="str">
        <f>VLOOKUP(B2324,Products!$A:$E,2,FALSE)</f>
        <v>Product_420</v>
      </c>
      <c r="E2324" t="str">
        <f>VLOOKUP(B2324,Products!$A:$E,3,FALSE)</f>
        <v>Networking</v>
      </c>
    </row>
    <row r="2325" spans="1:5" x14ac:dyDescent="0.3">
      <c r="A2325" t="s">
        <v>8337</v>
      </c>
      <c r="B2325" t="s">
        <v>202</v>
      </c>
      <c r="C2325">
        <v>32</v>
      </c>
      <c r="D2325" t="str">
        <f>VLOOKUP(B2325,Products!$A:$E,2,FALSE)</f>
        <v>Product_97</v>
      </c>
      <c r="E2325" t="str">
        <f>VLOOKUP(B2325,Products!$A:$E,3,FALSE)</f>
        <v>Accessories</v>
      </c>
    </row>
    <row r="2326" spans="1:5" x14ac:dyDescent="0.3">
      <c r="A2326" t="s">
        <v>8338</v>
      </c>
      <c r="B2326" t="s">
        <v>116</v>
      </c>
      <c r="C2326">
        <v>22</v>
      </c>
      <c r="D2326" t="str">
        <f>VLOOKUP(B2326,Products!$A:$E,2,FALSE)</f>
        <v>Product_54</v>
      </c>
      <c r="E2326" t="str">
        <f>VLOOKUP(B2326,Products!$A:$E,3,FALSE)</f>
        <v>Storage</v>
      </c>
    </row>
    <row r="2327" spans="1:5" x14ac:dyDescent="0.3">
      <c r="A2327" t="s">
        <v>8339</v>
      </c>
      <c r="B2327" t="s">
        <v>222</v>
      </c>
      <c r="C2327">
        <v>38</v>
      </c>
      <c r="D2327" t="str">
        <f>VLOOKUP(B2327,Products!$A:$E,2,FALSE)</f>
        <v>Product_107</v>
      </c>
      <c r="E2327" t="str">
        <f>VLOOKUP(B2327,Products!$A:$E,3,FALSE)</f>
        <v>Office Supplies</v>
      </c>
    </row>
    <row r="2328" spans="1:5" x14ac:dyDescent="0.3">
      <c r="A2328" t="s">
        <v>8340</v>
      </c>
      <c r="B2328" t="s">
        <v>788</v>
      </c>
      <c r="C2328">
        <v>34</v>
      </c>
      <c r="D2328" t="str">
        <f>VLOOKUP(B2328,Products!$A:$E,2,FALSE)</f>
        <v>Product_390</v>
      </c>
      <c r="E2328" t="str">
        <f>VLOOKUP(B2328,Products!$A:$E,3,FALSE)</f>
        <v>Storage</v>
      </c>
    </row>
    <row r="2329" spans="1:5" x14ac:dyDescent="0.3">
      <c r="A2329" t="s">
        <v>8341</v>
      </c>
      <c r="B2329" t="s">
        <v>536</v>
      </c>
      <c r="C2329">
        <v>21</v>
      </c>
      <c r="D2329" t="str">
        <f>VLOOKUP(B2329,Products!$A:$E,2,FALSE)</f>
        <v>Product_264</v>
      </c>
      <c r="E2329" t="str">
        <f>VLOOKUP(B2329,Products!$A:$E,3,FALSE)</f>
        <v>Electronics</v>
      </c>
    </row>
    <row r="2330" spans="1:5" x14ac:dyDescent="0.3">
      <c r="A2330" t="s">
        <v>8342</v>
      </c>
      <c r="B2330" t="s">
        <v>788</v>
      </c>
      <c r="C2330">
        <v>20</v>
      </c>
      <c r="D2330" t="str">
        <f>VLOOKUP(B2330,Products!$A:$E,2,FALSE)</f>
        <v>Product_390</v>
      </c>
      <c r="E2330" t="str">
        <f>VLOOKUP(B2330,Products!$A:$E,3,FALSE)</f>
        <v>Storage</v>
      </c>
    </row>
    <row r="2331" spans="1:5" x14ac:dyDescent="0.3">
      <c r="A2331" t="s">
        <v>8343</v>
      </c>
      <c r="B2331" t="s">
        <v>734</v>
      </c>
      <c r="C2331">
        <v>30</v>
      </c>
      <c r="D2331" t="str">
        <f>VLOOKUP(B2331,Products!$A:$E,2,FALSE)</f>
        <v>Product_363</v>
      </c>
      <c r="E2331" t="str">
        <f>VLOOKUP(B2331,Products!$A:$E,3,FALSE)</f>
        <v>Storage</v>
      </c>
    </row>
    <row r="2332" spans="1:5" x14ac:dyDescent="0.3">
      <c r="A2332" t="s">
        <v>8344</v>
      </c>
      <c r="B2332" t="s">
        <v>680</v>
      </c>
      <c r="C2332">
        <v>10</v>
      </c>
      <c r="D2332" t="str">
        <f>VLOOKUP(B2332,Products!$A:$E,2,FALSE)</f>
        <v>Product_336</v>
      </c>
      <c r="E2332" t="str">
        <f>VLOOKUP(B2332,Products!$A:$E,3,FALSE)</f>
        <v>Storage</v>
      </c>
    </row>
    <row r="2333" spans="1:5" x14ac:dyDescent="0.3">
      <c r="A2333" t="s">
        <v>8345</v>
      </c>
      <c r="B2333" t="s">
        <v>878</v>
      </c>
      <c r="C2333">
        <v>33</v>
      </c>
      <c r="D2333" t="str">
        <f>VLOOKUP(B2333,Products!$A:$E,2,FALSE)</f>
        <v>Product_435</v>
      </c>
      <c r="E2333" t="str">
        <f>VLOOKUP(B2333,Products!$A:$E,3,FALSE)</f>
        <v>Accessories</v>
      </c>
    </row>
    <row r="2334" spans="1:5" x14ac:dyDescent="0.3">
      <c r="A2334" t="s">
        <v>8346</v>
      </c>
      <c r="B2334" t="s">
        <v>118</v>
      </c>
      <c r="C2334">
        <v>9</v>
      </c>
      <c r="D2334" t="str">
        <f>VLOOKUP(B2334,Products!$A:$E,2,FALSE)</f>
        <v>Product_55</v>
      </c>
      <c r="E2334" t="str">
        <f>VLOOKUP(B2334,Products!$A:$E,3,FALSE)</f>
        <v>Office Supplies</v>
      </c>
    </row>
    <row r="2335" spans="1:5" x14ac:dyDescent="0.3">
      <c r="A2335" t="s">
        <v>8347</v>
      </c>
      <c r="B2335" t="s">
        <v>234</v>
      </c>
      <c r="C2335">
        <v>24</v>
      </c>
      <c r="D2335" t="str">
        <f>VLOOKUP(B2335,Products!$A:$E,2,FALSE)</f>
        <v>Product_113</v>
      </c>
      <c r="E2335" t="str">
        <f>VLOOKUP(B2335,Products!$A:$E,3,FALSE)</f>
        <v>Electronics</v>
      </c>
    </row>
    <row r="2336" spans="1:5" x14ac:dyDescent="0.3">
      <c r="A2336" t="s">
        <v>8348</v>
      </c>
      <c r="B2336" t="s">
        <v>404</v>
      </c>
      <c r="C2336">
        <v>29</v>
      </c>
      <c r="D2336" t="str">
        <f>VLOOKUP(B2336,Products!$A:$E,2,FALSE)</f>
        <v>Product_198</v>
      </c>
      <c r="E2336" t="str">
        <f>VLOOKUP(B2336,Products!$A:$E,3,FALSE)</f>
        <v>Accessories</v>
      </c>
    </row>
    <row r="2337" spans="1:5" x14ac:dyDescent="0.3">
      <c r="A2337" t="s">
        <v>8349</v>
      </c>
      <c r="B2337" t="s">
        <v>898</v>
      </c>
      <c r="C2337">
        <v>40</v>
      </c>
      <c r="D2337" t="str">
        <f>VLOOKUP(B2337,Products!$A:$E,2,FALSE)</f>
        <v>Product_445</v>
      </c>
      <c r="E2337" t="str">
        <f>VLOOKUP(B2337,Products!$A:$E,3,FALSE)</f>
        <v>Office Supplies</v>
      </c>
    </row>
    <row r="2338" spans="1:5" x14ac:dyDescent="0.3">
      <c r="A2338" t="s">
        <v>8350</v>
      </c>
      <c r="B2338" t="s">
        <v>534</v>
      </c>
      <c r="C2338">
        <v>13</v>
      </c>
      <c r="D2338" t="str">
        <f>VLOOKUP(B2338,Products!$A:$E,2,FALSE)</f>
        <v>Product_263</v>
      </c>
      <c r="E2338" t="str">
        <f>VLOOKUP(B2338,Products!$A:$E,3,FALSE)</f>
        <v>Accessories</v>
      </c>
    </row>
    <row r="2339" spans="1:5" x14ac:dyDescent="0.3">
      <c r="A2339" t="s">
        <v>8351</v>
      </c>
      <c r="B2339" t="s">
        <v>808</v>
      </c>
      <c r="C2339">
        <v>26</v>
      </c>
      <c r="D2339" t="str">
        <f>VLOOKUP(B2339,Products!$A:$E,2,FALSE)</f>
        <v>Product_400</v>
      </c>
      <c r="E2339" t="str">
        <f>VLOOKUP(B2339,Products!$A:$E,3,FALSE)</f>
        <v>Networking</v>
      </c>
    </row>
    <row r="2340" spans="1:5" x14ac:dyDescent="0.3">
      <c r="A2340" t="s">
        <v>8352</v>
      </c>
      <c r="B2340" t="s">
        <v>202</v>
      </c>
      <c r="C2340">
        <v>5</v>
      </c>
      <c r="D2340" t="str">
        <f>VLOOKUP(B2340,Products!$A:$E,2,FALSE)</f>
        <v>Product_97</v>
      </c>
      <c r="E2340" t="str">
        <f>VLOOKUP(B2340,Products!$A:$E,3,FALSE)</f>
        <v>Accessories</v>
      </c>
    </row>
    <row r="2341" spans="1:5" x14ac:dyDescent="0.3">
      <c r="A2341" t="s">
        <v>8353</v>
      </c>
      <c r="B2341" t="s">
        <v>294</v>
      </c>
      <c r="C2341">
        <v>28</v>
      </c>
      <c r="D2341" t="str">
        <f>VLOOKUP(B2341,Products!$A:$E,2,FALSE)</f>
        <v>Product_143</v>
      </c>
      <c r="E2341" t="str">
        <f>VLOOKUP(B2341,Products!$A:$E,3,FALSE)</f>
        <v>Office Supplies</v>
      </c>
    </row>
    <row r="2342" spans="1:5" x14ac:dyDescent="0.3">
      <c r="A2342" t="s">
        <v>8354</v>
      </c>
      <c r="B2342" t="s">
        <v>178</v>
      </c>
      <c r="C2342">
        <v>44</v>
      </c>
      <c r="D2342" t="str">
        <f>VLOOKUP(B2342,Products!$A:$E,2,FALSE)</f>
        <v>Product_85</v>
      </c>
      <c r="E2342" t="str">
        <f>VLOOKUP(B2342,Products!$A:$E,3,FALSE)</f>
        <v>Electronics</v>
      </c>
    </row>
    <row r="2343" spans="1:5" x14ac:dyDescent="0.3">
      <c r="A2343" t="s">
        <v>8355</v>
      </c>
      <c r="B2343" t="s">
        <v>324</v>
      </c>
      <c r="C2343">
        <v>37</v>
      </c>
      <c r="D2343" t="str">
        <f>VLOOKUP(B2343,Products!$A:$E,2,FALSE)</f>
        <v>Product_158</v>
      </c>
      <c r="E2343" t="str">
        <f>VLOOKUP(B2343,Products!$A:$E,3,FALSE)</f>
        <v>Electronics</v>
      </c>
    </row>
    <row r="2344" spans="1:5" x14ac:dyDescent="0.3">
      <c r="A2344" t="s">
        <v>8356</v>
      </c>
      <c r="B2344" t="s">
        <v>672</v>
      </c>
      <c r="C2344">
        <v>7</v>
      </c>
      <c r="D2344" t="str">
        <f>VLOOKUP(B2344,Products!$A:$E,2,FALSE)</f>
        <v>Product_332</v>
      </c>
      <c r="E2344" t="str">
        <f>VLOOKUP(B2344,Products!$A:$E,3,FALSE)</f>
        <v>Electronics</v>
      </c>
    </row>
    <row r="2345" spans="1:5" x14ac:dyDescent="0.3">
      <c r="A2345" t="s">
        <v>8357</v>
      </c>
      <c r="B2345" t="s">
        <v>160</v>
      </c>
      <c r="C2345">
        <v>30</v>
      </c>
      <c r="D2345" t="str">
        <f>VLOOKUP(B2345,Products!$A:$E,2,FALSE)</f>
        <v>Product_76</v>
      </c>
      <c r="E2345" t="str">
        <f>VLOOKUP(B2345,Products!$A:$E,3,FALSE)</f>
        <v>Accessories</v>
      </c>
    </row>
    <row r="2346" spans="1:5" x14ac:dyDescent="0.3">
      <c r="A2346" t="s">
        <v>8358</v>
      </c>
      <c r="B2346" t="s">
        <v>906</v>
      </c>
      <c r="C2346">
        <v>7</v>
      </c>
      <c r="D2346" t="str">
        <f>VLOOKUP(B2346,Products!$A:$E,2,FALSE)</f>
        <v>Product_449</v>
      </c>
      <c r="E2346" t="str">
        <f>VLOOKUP(B2346,Products!$A:$E,3,FALSE)</f>
        <v>Networking</v>
      </c>
    </row>
    <row r="2347" spans="1:5" x14ac:dyDescent="0.3">
      <c r="A2347" t="s">
        <v>8359</v>
      </c>
      <c r="B2347" t="s">
        <v>772</v>
      </c>
      <c r="C2347">
        <v>8</v>
      </c>
      <c r="D2347" t="str">
        <f>VLOOKUP(B2347,Products!$A:$E,2,FALSE)</f>
        <v>Product_382</v>
      </c>
      <c r="E2347" t="str">
        <f>VLOOKUP(B2347,Products!$A:$E,3,FALSE)</f>
        <v>Storage</v>
      </c>
    </row>
    <row r="2348" spans="1:5" x14ac:dyDescent="0.3">
      <c r="A2348" t="s">
        <v>8360</v>
      </c>
      <c r="B2348" t="s">
        <v>256</v>
      </c>
      <c r="C2348">
        <v>2</v>
      </c>
      <c r="D2348" t="str">
        <f>VLOOKUP(B2348,Products!$A:$E,2,FALSE)</f>
        <v>Product_124</v>
      </c>
      <c r="E2348" t="str">
        <f>VLOOKUP(B2348,Products!$A:$E,3,FALSE)</f>
        <v>Storage</v>
      </c>
    </row>
    <row r="2349" spans="1:5" x14ac:dyDescent="0.3">
      <c r="A2349" t="s">
        <v>8361</v>
      </c>
      <c r="B2349" t="s">
        <v>924</v>
      </c>
      <c r="C2349">
        <v>30</v>
      </c>
      <c r="D2349" t="str">
        <f>VLOOKUP(B2349,Products!$A:$E,2,FALSE)</f>
        <v>Product_458</v>
      </c>
      <c r="E2349" t="str">
        <f>VLOOKUP(B2349,Products!$A:$E,3,FALSE)</f>
        <v>Accessories</v>
      </c>
    </row>
    <row r="2350" spans="1:5" x14ac:dyDescent="0.3">
      <c r="A2350" t="s">
        <v>8362</v>
      </c>
      <c r="B2350" t="s">
        <v>200</v>
      </c>
      <c r="C2350">
        <v>18</v>
      </c>
      <c r="D2350" t="str">
        <f>VLOOKUP(B2350,Products!$A:$E,2,FALSE)</f>
        <v>Product_96</v>
      </c>
      <c r="E2350" t="str">
        <f>VLOOKUP(B2350,Products!$A:$E,3,FALSE)</f>
        <v>Office Supplies</v>
      </c>
    </row>
    <row r="2351" spans="1:5" x14ac:dyDescent="0.3">
      <c r="A2351" t="s">
        <v>8363</v>
      </c>
      <c r="B2351" t="s">
        <v>38</v>
      </c>
      <c r="C2351">
        <v>31</v>
      </c>
      <c r="D2351" t="str">
        <f>VLOOKUP(B2351,Products!$A:$E,2,FALSE)</f>
        <v>Product_15</v>
      </c>
      <c r="E2351" t="str">
        <f>VLOOKUP(B2351,Products!$A:$E,3,FALSE)</f>
        <v>Electronics</v>
      </c>
    </row>
    <row r="2352" spans="1:5" x14ac:dyDescent="0.3">
      <c r="A2352" t="s">
        <v>8364</v>
      </c>
      <c r="B2352" t="s">
        <v>686</v>
      </c>
      <c r="C2352">
        <v>34</v>
      </c>
      <c r="D2352" t="str">
        <f>VLOOKUP(B2352,Products!$A:$E,2,FALSE)</f>
        <v>Product_339</v>
      </c>
      <c r="E2352" t="str">
        <f>VLOOKUP(B2352,Products!$A:$E,3,FALSE)</f>
        <v>Storage</v>
      </c>
    </row>
    <row r="2353" spans="1:5" x14ac:dyDescent="0.3">
      <c r="A2353" t="s">
        <v>8365</v>
      </c>
      <c r="B2353" t="s">
        <v>472</v>
      </c>
      <c r="C2353">
        <v>23</v>
      </c>
      <c r="D2353" t="str">
        <f>VLOOKUP(B2353,Products!$A:$E,2,FALSE)</f>
        <v>Product_232</v>
      </c>
      <c r="E2353" t="str">
        <f>VLOOKUP(B2353,Products!$A:$E,3,FALSE)</f>
        <v>Office Supplies</v>
      </c>
    </row>
    <row r="2354" spans="1:5" x14ac:dyDescent="0.3">
      <c r="A2354" t="s">
        <v>8366</v>
      </c>
      <c r="B2354" t="s">
        <v>280</v>
      </c>
      <c r="C2354">
        <v>8</v>
      </c>
      <c r="D2354" t="str">
        <f>VLOOKUP(B2354,Products!$A:$E,2,FALSE)</f>
        <v>Product_136</v>
      </c>
      <c r="E2354" t="str">
        <f>VLOOKUP(B2354,Products!$A:$E,3,FALSE)</f>
        <v>Storage</v>
      </c>
    </row>
    <row r="2355" spans="1:5" x14ac:dyDescent="0.3">
      <c r="A2355" t="s">
        <v>8367</v>
      </c>
      <c r="B2355" t="s">
        <v>958</v>
      </c>
      <c r="C2355">
        <v>36</v>
      </c>
      <c r="D2355" t="str">
        <f>VLOOKUP(B2355,Products!$A:$E,2,FALSE)</f>
        <v>Product_475</v>
      </c>
      <c r="E2355" t="str">
        <f>VLOOKUP(B2355,Products!$A:$E,3,FALSE)</f>
        <v>Electronics</v>
      </c>
    </row>
    <row r="2356" spans="1:5" x14ac:dyDescent="0.3">
      <c r="A2356" t="s">
        <v>8368</v>
      </c>
      <c r="B2356" t="s">
        <v>96</v>
      </c>
      <c r="C2356">
        <v>23</v>
      </c>
      <c r="D2356" t="str">
        <f>VLOOKUP(B2356,Products!$A:$E,2,FALSE)</f>
        <v>Product_44</v>
      </c>
      <c r="E2356" t="str">
        <f>VLOOKUP(B2356,Products!$A:$E,3,FALSE)</f>
        <v>Storage</v>
      </c>
    </row>
    <row r="2357" spans="1:5" x14ac:dyDescent="0.3">
      <c r="A2357" t="s">
        <v>8369</v>
      </c>
      <c r="B2357" t="s">
        <v>450</v>
      </c>
      <c r="C2357">
        <v>14</v>
      </c>
      <c r="D2357" t="str">
        <f>VLOOKUP(B2357,Products!$A:$E,2,FALSE)</f>
        <v>Product_221</v>
      </c>
      <c r="E2357" t="str">
        <f>VLOOKUP(B2357,Products!$A:$E,3,FALSE)</f>
        <v>Office Supplies</v>
      </c>
    </row>
    <row r="2358" spans="1:5" x14ac:dyDescent="0.3">
      <c r="A2358" t="s">
        <v>8370</v>
      </c>
      <c r="B2358" t="s">
        <v>164</v>
      </c>
      <c r="C2358">
        <v>26</v>
      </c>
      <c r="D2358" t="str">
        <f>VLOOKUP(B2358,Products!$A:$E,2,FALSE)</f>
        <v>Product_78</v>
      </c>
      <c r="E2358" t="str">
        <f>VLOOKUP(B2358,Products!$A:$E,3,FALSE)</f>
        <v>Office Supplies</v>
      </c>
    </row>
    <row r="2359" spans="1:5" x14ac:dyDescent="0.3">
      <c r="A2359" t="s">
        <v>8371</v>
      </c>
      <c r="B2359" t="s">
        <v>524</v>
      </c>
      <c r="C2359">
        <v>28</v>
      </c>
      <c r="D2359" t="str">
        <f>VLOOKUP(B2359,Products!$A:$E,2,FALSE)</f>
        <v>Product_258</v>
      </c>
      <c r="E2359" t="str">
        <f>VLOOKUP(B2359,Products!$A:$E,3,FALSE)</f>
        <v>Networking</v>
      </c>
    </row>
    <row r="2360" spans="1:5" x14ac:dyDescent="0.3">
      <c r="A2360" t="s">
        <v>8372</v>
      </c>
      <c r="B2360" t="s">
        <v>530</v>
      </c>
      <c r="C2360">
        <v>22</v>
      </c>
      <c r="D2360" t="str">
        <f>VLOOKUP(B2360,Products!$A:$E,2,FALSE)</f>
        <v>Product_261</v>
      </c>
      <c r="E2360" t="str">
        <f>VLOOKUP(B2360,Products!$A:$E,3,FALSE)</f>
        <v>Accessories</v>
      </c>
    </row>
    <row r="2361" spans="1:5" x14ac:dyDescent="0.3">
      <c r="A2361" t="s">
        <v>8373</v>
      </c>
      <c r="B2361" t="s">
        <v>64</v>
      </c>
      <c r="C2361">
        <v>29</v>
      </c>
      <c r="D2361" t="str">
        <f>VLOOKUP(B2361,Products!$A:$E,2,FALSE)</f>
        <v>Product_28</v>
      </c>
      <c r="E2361" t="str">
        <f>VLOOKUP(B2361,Products!$A:$E,3,FALSE)</f>
        <v>Office Supplies</v>
      </c>
    </row>
    <row r="2362" spans="1:5" x14ac:dyDescent="0.3">
      <c r="A2362" t="s">
        <v>8374</v>
      </c>
      <c r="B2362" t="s">
        <v>288</v>
      </c>
      <c r="C2362">
        <v>24</v>
      </c>
      <c r="D2362" t="str">
        <f>VLOOKUP(B2362,Products!$A:$E,2,FALSE)</f>
        <v>Product_140</v>
      </c>
      <c r="E2362" t="str">
        <f>VLOOKUP(B2362,Products!$A:$E,3,FALSE)</f>
        <v>Electronics</v>
      </c>
    </row>
    <row r="2363" spans="1:5" x14ac:dyDescent="0.3">
      <c r="A2363" t="s">
        <v>8375</v>
      </c>
      <c r="B2363" t="s">
        <v>110</v>
      </c>
      <c r="C2363">
        <v>4</v>
      </c>
      <c r="D2363" t="str">
        <f>VLOOKUP(B2363,Products!$A:$E,2,FALSE)</f>
        <v>Product_51</v>
      </c>
      <c r="E2363" t="str">
        <f>VLOOKUP(B2363,Products!$A:$E,3,FALSE)</f>
        <v>Storage</v>
      </c>
    </row>
    <row r="2364" spans="1:5" x14ac:dyDescent="0.3">
      <c r="A2364" t="s">
        <v>8376</v>
      </c>
      <c r="B2364" t="s">
        <v>674</v>
      </c>
      <c r="C2364">
        <v>25</v>
      </c>
      <c r="D2364" t="str">
        <f>VLOOKUP(B2364,Products!$A:$E,2,FALSE)</f>
        <v>Product_333</v>
      </c>
      <c r="E2364" t="str">
        <f>VLOOKUP(B2364,Products!$A:$E,3,FALSE)</f>
        <v>Storage</v>
      </c>
    </row>
    <row r="2365" spans="1:5" x14ac:dyDescent="0.3">
      <c r="A2365" t="s">
        <v>8377</v>
      </c>
      <c r="B2365" t="s">
        <v>758</v>
      </c>
      <c r="C2365">
        <v>28</v>
      </c>
      <c r="D2365" t="str">
        <f>VLOOKUP(B2365,Products!$A:$E,2,FALSE)</f>
        <v>Product_375</v>
      </c>
      <c r="E2365" t="str">
        <f>VLOOKUP(B2365,Products!$A:$E,3,FALSE)</f>
        <v>Accessories</v>
      </c>
    </row>
    <row r="2366" spans="1:5" x14ac:dyDescent="0.3">
      <c r="A2366" t="s">
        <v>8378</v>
      </c>
      <c r="B2366" t="s">
        <v>208</v>
      </c>
      <c r="C2366">
        <v>19</v>
      </c>
      <c r="D2366" t="str">
        <f>VLOOKUP(B2366,Products!$A:$E,2,FALSE)</f>
        <v>Product_100</v>
      </c>
      <c r="E2366" t="str">
        <f>VLOOKUP(B2366,Products!$A:$E,3,FALSE)</f>
        <v>Accessories</v>
      </c>
    </row>
    <row r="2367" spans="1:5" x14ac:dyDescent="0.3">
      <c r="A2367" t="s">
        <v>8379</v>
      </c>
      <c r="B2367" t="s">
        <v>202</v>
      </c>
      <c r="C2367">
        <v>26</v>
      </c>
      <c r="D2367" t="str">
        <f>VLOOKUP(B2367,Products!$A:$E,2,FALSE)</f>
        <v>Product_97</v>
      </c>
      <c r="E2367" t="str">
        <f>VLOOKUP(B2367,Products!$A:$E,3,FALSE)</f>
        <v>Accessories</v>
      </c>
    </row>
    <row r="2368" spans="1:5" x14ac:dyDescent="0.3">
      <c r="A2368" t="s">
        <v>8380</v>
      </c>
      <c r="B2368" t="s">
        <v>190</v>
      </c>
      <c r="C2368">
        <v>39</v>
      </c>
      <c r="D2368" t="str">
        <f>VLOOKUP(B2368,Products!$A:$E,2,FALSE)</f>
        <v>Product_91</v>
      </c>
      <c r="E2368" t="str">
        <f>VLOOKUP(B2368,Products!$A:$E,3,FALSE)</f>
        <v>Networking</v>
      </c>
    </row>
    <row r="2369" spans="1:5" x14ac:dyDescent="0.3">
      <c r="A2369" t="s">
        <v>8381</v>
      </c>
      <c r="B2369" t="s">
        <v>292</v>
      </c>
      <c r="C2369">
        <v>34</v>
      </c>
      <c r="D2369" t="str">
        <f>VLOOKUP(B2369,Products!$A:$E,2,FALSE)</f>
        <v>Product_142</v>
      </c>
      <c r="E2369" t="str">
        <f>VLOOKUP(B2369,Products!$A:$E,3,FALSE)</f>
        <v>Storage</v>
      </c>
    </row>
    <row r="2370" spans="1:5" x14ac:dyDescent="0.3">
      <c r="A2370" t="s">
        <v>8382</v>
      </c>
      <c r="B2370" t="s">
        <v>632</v>
      </c>
      <c r="C2370">
        <v>32</v>
      </c>
      <c r="D2370" t="str">
        <f>VLOOKUP(B2370,Products!$A:$E,2,FALSE)</f>
        <v>Product_312</v>
      </c>
      <c r="E2370" t="str">
        <f>VLOOKUP(B2370,Products!$A:$E,3,FALSE)</f>
        <v>Office Supplies</v>
      </c>
    </row>
    <row r="2371" spans="1:5" x14ac:dyDescent="0.3">
      <c r="A2371" t="s">
        <v>8383</v>
      </c>
      <c r="B2371" t="s">
        <v>540</v>
      </c>
      <c r="C2371">
        <v>28</v>
      </c>
      <c r="D2371" t="str">
        <f>VLOOKUP(B2371,Products!$A:$E,2,FALSE)</f>
        <v>Product_266</v>
      </c>
      <c r="E2371" t="str">
        <f>VLOOKUP(B2371,Products!$A:$E,3,FALSE)</f>
        <v>Electronics</v>
      </c>
    </row>
    <row r="2372" spans="1:5" x14ac:dyDescent="0.3">
      <c r="A2372" t="s">
        <v>8384</v>
      </c>
      <c r="B2372" t="s">
        <v>120</v>
      </c>
      <c r="C2372">
        <v>44</v>
      </c>
      <c r="D2372" t="str">
        <f>VLOOKUP(B2372,Products!$A:$E,2,FALSE)</f>
        <v>Product_56</v>
      </c>
      <c r="E2372" t="str">
        <f>VLOOKUP(B2372,Products!$A:$E,3,FALSE)</f>
        <v>Networking</v>
      </c>
    </row>
    <row r="2373" spans="1:5" x14ac:dyDescent="0.3">
      <c r="A2373" t="s">
        <v>8385</v>
      </c>
      <c r="B2373" t="s">
        <v>60</v>
      </c>
      <c r="C2373">
        <v>42</v>
      </c>
      <c r="D2373" t="str">
        <f>VLOOKUP(B2373,Products!$A:$E,2,FALSE)</f>
        <v>Product_26</v>
      </c>
      <c r="E2373" t="str">
        <f>VLOOKUP(B2373,Products!$A:$E,3,FALSE)</f>
        <v>Office Supplies</v>
      </c>
    </row>
    <row r="2374" spans="1:5" x14ac:dyDescent="0.3">
      <c r="A2374" t="s">
        <v>8386</v>
      </c>
      <c r="B2374" t="s">
        <v>264</v>
      </c>
      <c r="C2374">
        <v>8</v>
      </c>
      <c r="D2374" t="str">
        <f>VLOOKUP(B2374,Products!$A:$E,2,FALSE)</f>
        <v>Product_128</v>
      </c>
      <c r="E2374" t="str">
        <f>VLOOKUP(B2374,Products!$A:$E,3,FALSE)</f>
        <v>Office Supplies</v>
      </c>
    </row>
    <row r="2375" spans="1:5" x14ac:dyDescent="0.3">
      <c r="A2375" t="s">
        <v>8387</v>
      </c>
      <c r="B2375" t="s">
        <v>234</v>
      </c>
      <c r="C2375">
        <v>8</v>
      </c>
      <c r="D2375" t="str">
        <f>VLOOKUP(B2375,Products!$A:$E,2,FALSE)</f>
        <v>Product_113</v>
      </c>
      <c r="E2375" t="str">
        <f>VLOOKUP(B2375,Products!$A:$E,3,FALSE)</f>
        <v>Electronics</v>
      </c>
    </row>
    <row r="2376" spans="1:5" x14ac:dyDescent="0.3">
      <c r="A2376" t="s">
        <v>8388</v>
      </c>
      <c r="B2376" t="s">
        <v>64</v>
      </c>
      <c r="C2376">
        <v>3</v>
      </c>
      <c r="D2376" t="str">
        <f>VLOOKUP(B2376,Products!$A:$E,2,FALSE)</f>
        <v>Product_28</v>
      </c>
      <c r="E2376" t="str">
        <f>VLOOKUP(B2376,Products!$A:$E,3,FALSE)</f>
        <v>Office Supplies</v>
      </c>
    </row>
    <row r="2377" spans="1:5" x14ac:dyDescent="0.3">
      <c r="A2377" t="s">
        <v>8389</v>
      </c>
      <c r="B2377" t="s">
        <v>598</v>
      </c>
      <c r="C2377">
        <v>18</v>
      </c>
      <c r="D2377" t="str">
        <f>VLOOKUP(B2377,Products!$A:$E,2,FALSE)</f>
        <v>Product_295</v>
      </c>
      <c r="E2377" t="str">
        <f>VLOOKUP(B2377,Products!$A:$E,3,FALSE)</f>
        <v>Networking</v>
      </c>
    </row>
    <row r="2378" spans="1:5" x14ac:dyDescent="0.3">
      <c r="A2378" t="s">
        <v>8390</v>
      </c>
      <c r="B2378" t="s">
        <v>254</v>
      </c>
      <c r="C2378">
        <v>5</v>
      </c>
      <c r="D2378" t="str">
        <f>VLOOKUP(B2378,Products!$A:$E,2,FALSE)</f>
        <v>Product_123</v>
      </c>
      <c r="E2378" t="str">
        <f>VLOOKUP(B2378,Products!$A:$E,3,FALSE)</f>
        <v>Electronics</v>
      </c>
    </row>
    <row r="2379" spans="1:5" x14ac:dyDescent="0.3">
      <c r="A2379" t="s">
        <v>8391</v>
      </c>
      <c r="B2379" t="s">
        <v>554</v>
      </c>
      <c r="C2379">
        <v>7</v>
      </c>
      <c r="D2379" t="str">
        <f>VLOOKUP(B2379,Products!$A:$E,2,FALSE)</f>
        <v>Product_273</v>
      </c>
      <c r="E2379" t="str">
        <f>VLOOKUP(B2379,Products!$A:$E,3,FALSE)</f>
        <v>Networking</v>
      </c>
    </row>
    <row r="2380" spans="1:5" x14ac:dyDescent="0.3">
      <c r="A2380" t="s">
        <v>8392</v>
      </c>
      <c r="B2380" t="s">
        <v>292</v>
      </c>
      <c r="C2380">
        <v>15</v>
      </c>
      <c r="D2380" t="str">
        <f>VLOOKUP(B2380,Products!$A:$E,2,FALSE)</f>
        <v>Product_142</v>
      </c>
      <c r="E2380" t="str">
        <f>VLOOKUP(B2380,Products!$A:$E,3,FALSE)</f>
        <v>Storage</v>
      </c>
    </row>
    <row r="2381" spans="1:5" x14ac:dyDescent="0.3">
      <c r="A2381" t="s">
        <v>8393</v>
      </c>
      <c r="B2381" t="s">
        <v>912</v>
      </c>
      <c r="C2381">
        <v>40</v>
      </c>
      <c r="D2381" t="str">
        <f>VLOOKUP(B2381,Products!$A:$E,2,FALSE)</f>
        <v>Product_452</v>
      </c>
      <c r="E2381" t="str">
        <f>VLOOKUP(B2381,Products!$A:$E,3,FALSE)</f>
        <v>Office Supplies</v>
      </c>
    </row>
    <row r="2382" spans="1:5" x14ac:dyDescent="0.3">
      <c r="A2382" t="s">
        <v>8394</v>
      </c>
      <c r="B2382" t="s">
        <v>726</v>
      </c>
      <c r="C2382">
        <v>46</v>
      </c>
      <c r="D2382" t="str">
        <f>VLOOKUP(B2382,Products!$A:$E,2,FALSE)</f>
        <v>Product_359</v>
      </c>
      <c r="E2382" t="str">
        <f>VLOOKUP(B2382,Products!$A:$E,3,FALSE)</f>
        <v>Electronics</v>
      </c>
    </row>
    <row r="2383" spans="1:5" x14ac:dyDescent="0.3">
      <c r="A2383" t="s">
        <v>8395</v>
      </c>
      <c r="B2383" t="s">
        <v>424</v>
      </c>
      <c r="C2383">
        <v>26</v>
      </c>
      <c r="D2383" t="str">
        <f>VLOOKUP(B2383,Products!$A:$E,2,FALSE)</f>
        <v>Product_208</v>
      </c>
      <c r="E2383" t="str">
        <f>VLOOKUP(B2383,Products!$A:$E,3,FALSE)</f>
        <v>Electronics</v>
      </c>
    </row>
    <row r="2384" spans="1:5" x14ac:dyDescent="0.3">
      <c r="A2384" t="s">
        <v>8396</v>
      </c>
      <c r="B2384" t="s">
        <v>412</v>
      </c>
      <c r="C2384">
        <v>7</v>
      </c>
      <c r="D2384" t="str">
        <f>VLOOKUP(B2384,Products!$A:$E,2,FALSE)</f>
        <v>Product_202</v>
      </c>
      <c r="E2384" t="str">
        <f>VLOOKUP(B2384,Products!$A:$E,3,FALSE)</f>
        <v>Storage</v>
      </c>
    </row>
    <row r="2385" spans="1:5" x14ac:dyDescent="0.3">
      <c r="A2385" t="s">
        <v>8397</v>
      </c>
      <c r="B2385" t="s">
        <v>234</v>
      </c>
      <c r="C2385">
        <v>47</v>
      </c>
      <c r="D2385" t="str">
        <f>VLOOKUP(B2385,Products!$A:$E,2,FALSE)</f>
        <v>Product_113</v>
      </c>
      <c r="E2385" t="str">
        <f>VLOOKUP(B2385,Products!$A:$E,3,FALSE)</f>
        <v>Electronics</v>
      </c>
    </row>
    <row r="2386" spans="1:5" x14ac:dyDescent="0.3">
      <c r="A2386" t="s">
        <v>8398</v>
      </c>
      <c r="B2386" t="s">
        <v>852</v>
      </c>
      <c r="C2386">
        <v>45</v>
      </c>
      <c r="D2386" t="str">
        <f>VLOOKUP(B2386,Products!$A:$E,2,FALSE)</f>
        <v>Product_422</v>
      </c>
      <c r="E2386" t="str">
        <f>VLOOKUP(B2386,Products!$A:$E,3,FALSE)</f>
        <v>Accessories</v>
      </c>
    </row>
    <row r="2387" spans="1:5" x14ac:dyDescent="0.3">
      <c r="A2387" t="s">
        <v>8399</v>
      </c>
      <c r="B2387" t="s">
        <v>284</v>
      </c>
      <c r="C2387">
        <v>32</v>
      </c>
      <c r="D2387" t="str">
        <f>VLOOKUP(B2387,Products!$A:$E,2,FALSE)</f>
        <v>Product_138</v>
      </c>
      <c r="E2387" t="str">
        <f>VLOOKUP(B2387,Products!$A:$E,3,FALSE)</f>
        <v>Electronics</v>
      </c>
    </row>
    <row r="2388" spans="1:5" x14ac:dyDescent="0.3">
      <c r="A2388" t="s">
        <v>8400</v>
      </c>
      <c r="B2388" t="s">
        <v>220</v>
      </c>
      <c r="C2388">
        <v>11</v>
      </c>
      <c r="D2388" t="str">
        <f>VLOOKUP(B2388,Products!$A:$E,2,FALSE)</f>
        <v>Product_106</v>
      </c>
      <c r="E2388" t="str">
        <f>VLOOKUP(B2388,Products!$A:$E,3,FALSE)</f>
        <v>Networking</v>
      </c>
    </row>
    <row r="2389" spans="1:5" x14ac:dyDescent="0.3">
      <c r="A2389" t="s">
        <v>8401</v>
      </c>
      <c r="B2389" t="s">
        <v>814</v>
      </c>
      <c r="C2389">
        <v>14</v>
      </c>
      <c r="D2389" t="str">
        <f>VLOOKUP(B2389,Products!$A:$E,2,FALSE)</f>
        <v>Product_403</v>
      </c>
      <c r="E2389" t="str">
        <f>VLOOKUP(B2389,Products!$A:$E,3,FALSE)</f>
        <v>Networking</v>
      </c>
    </row>
    <row r="2390" spans="1:5" x14ac:dyDescent="0.3">
      <c r="A2390" t="s">
        <v>8402</v>
      </c>
      <c r="B2390" t="s">
        <v>364</v>
      </c>
      <c r="C2390">
        <v>41</v>
      </c>
      <c r="D2390" t="str">
        <f>VLOOKUP(B2390,Products!$A:$E,2,FALSE)</f>
        <v>Product_178</v>
      </c>
      <c r="E2390" t="str">
        <f>VLOOKUP(B2390,Products!$A:$E,3,FALSE)</f>
        <v>Office Supplies</v>
      </c>
    </row>
    <row r="2391" spans="1:5" x14ac:dyDescent="0.3">
      <c r="A2391" t="s">
        <v>8403</v>
      </c>
      <c r="B2391" t="s">
        <v>304</v>
      </c>
      <c r="C2391">
        <v>46</v>
      </c>
      <c r="D2391" t="str">
        <f>VLOOKUP(B2391,Products!$A:$E,2,FALSE)</f>
        <v>Product_148</v>
      </c>
      <c r="E2391" t="str">
        <f>VLOOKUP(B2391,Products!$A:$E,3,FALSE)</f>
        <v>Electronics</v>
      </c>
    </row>
    <row r="2392" spans="1:5" x14ac:dyDescent="0.3">
      <c r="A2392" t="s">
        <v>8404</v>
      </c>
      <c r="B2392" t="s">
        <v>620</v>
      </c>
      <c r="C2392">
        <v>19</v>
      </c>
      <c r="D2392" t="str">
        <f>VLOOKUP(B2392,Products!$A:$E,2,FALSE)</f>
        <v>Product_306</v>
      </c>
      <c r="E2392" t="str">
        <f>VLOOKUP(B2392,Products!$A:$E,3,FALSE)</f>
        <v>Accessories</v>
      </c>
    </row>
    <row r="2393" spans="1:5" x14ac:dyDescent="0.3">
      <c r="A2393" t="s">
        <v>8405</v>
      </c>
      <c r="B2393" t="s">
        <v>760</v>
      </c>
      <c r="C2393">
        <v>1</v>
      </c>
      <c r="D2393" t="str">
        <f>VLOOKUP(B2393,Products!$A:$E,2,FALSE)</f>
        <v>Product_376</v>
      </c>
      <c r="E2393" t="str">
        <f>VLOOKUP(B2393,Products!$A:$E,3,FALSE)</f>
        <v>Networking</v>
      </c>
    </row>
    <row r="2394" spans="1:5" x14ac:dyDescent="0.3">
      <c r="A2394" t="s">
        <v>8406</v>
      </c>
      <c r="B2394" t="s">
        <v>106</v>
      </c>
      <c r="C2394">
        <v>12</v>
      </c>
      <c r="D2394" t="str">
        <f>VLOOKUP(B2394,Products!$A:$E,2,FALSE)</f>
        <v>Product_49</v>
      </c>
      <c r="E2394" t="str">
        <f>VLOOKUP(B2394,Products!$A:$E,3,FALSE)</f>
        <v>Storage</v>
      </c>
    </row>
    <row r="2395" spans="1:5" x14ac:dyDescent="0.3">
      <c r="A2395" t="s">
        <v>8407</v>
      </c>
      <c r="B2395" t="s">
        <v>524</v>
      </c>
      <c r="C2395">
        <v>45</v>
      </c>
      <c r="D2395" t="str">
        <f>VLOOKUP(B2395,Products!$A:$E,2,FALSE)</f>
        <v>Product_258</v>
      </c>
      <c r="E2395" t="str">
        <f>VLOOKUP(B2395,Products!$A:$E,3,FALSE)</f>
        <v>Networking</v>
      </c>
    </row>
    <row r="2396" spans="1:5" x14ac:dyDescent="0.3">
      <c r="A2396" t="s">
        <v>8408</v>
      </c>
      <c r="B2396" t="s">
        <v>646</v>
      </c>
      <c r="C2396">
        <v>31</v>
      </c>
      <c r="D2396" t="str">
        <f>VLOOKUP(B2396,Products!$A:$E,2,FALSE)</f>
        <v>Product_319</v>
      </c>
      <c r="E2396" t="str">
        <f>VLOOKUP(B2396,Products!$A:$E,3,FALSE)</f>
        <v>Accessories</v>
      </c>
    </row>
    <row r="2397" spans="1:5" x14ac:dyDescent="0.3">
      <c r="A2397" t="s">
        <v>8409</v>
      </c>
      <c r="B2397" t="s">
        <v>766</v>
      </c>
      <c r="C2397">
        <v>20</v>
      </c>
      <c r="D2397" t="str">
        <f>VLOOKUP(B2397,Products!$A:$E,2,FALSE)</f>
        <v>Product_379</v>
      </c>
      <c r="E2397" t="str">
        <f>VLOOKUP(B2397,Products!$A:$E,3,FALSE)</f>
        <v>Office Supplies</v>
      </c>
    </row>
    <row r="2398" spans="1:5" x14ac:dyDescent="0.3">
      <c r="A2398" t="s">
        <v>8410</v>
      </c>
      <c r="B2398" t="s">
        <v>882</v>
      </c>
      <c r="C2398">
        <v>45</v>
      </c>
      <c r="D2398" t="str">
        <f>VLOOKUP(B2398,Products!$A:$E,2,FALSE)</f>
        <v>Product_437</v>
      </c>
      <c r="E2398" t="str">
        <f>VLOOKUP(B2398,Products!$A:$E,3,FALSE)</f>
        <v>Accessories</v>
      </c>
    </row>
    <row r="2399" spans="1:5" x14ac:dyDescent="0.3">
      <c r="A2399" t="s">
        <v>8411</v>
      </c>
      <c r="B2399" t="s">
        <v>254</v>
      </c>
      <c r="C2399">
        <v>11</v>
      </c>
      <c r="D2399" t="str">
        <f>VLOOKUP(B2399,Products!$A:$E,2,FALSE)</f>
        <v>Product_123</v>
      </c>
      <c r="E2399" t="str">
        <f>VLOOKUP(B2399,Products!$A:$E,3,FALSE)</f>
        <v>Electronics</v>
      </c>
    </row>
    <row r="2400" spans="1:5" x14ac:dyDescent="0.3">
      <c r="A2400" t="s">
        <v>8412</v>
      </c>
      <c r="B2400" t="s">
        <v>332</v>
      </c>
      <c r="C2400">
        <v>44</v>
      </c>
      <c r="D2400" t="str">
        <f>VLOOKUP(B2400,Products!$A:$E,2,FALSE)</f>
        <v>Product_162</v>
      </c>
      <c r="E2400" t="str">
        <f>VLOOKUP(B2400,Products!$A:$E,3,FALSE)</f>
        <v>Accessories</v>
      </c>
    </row>
    <row r="2401" spans="1:5" x14ac:dyDescent="0.3">
      <c r="A2401" t="s">
        <v>8413</v>
      </c>
      <c r="B2401" t="s">
        <v>80</v>
      </c>
      <c r="C2401">
        <v>11</v>
      </c>
      <c r="D2401" t="str">
        <f>VLOOKUP(B2401,Products!$A:$E,2,FALSE)</f>
        <v>Product_36</v>
      </c>
      <c r="E2401" t="str">
        <f>VLOOKUP(B2401,Products!$A:$E,3,FALSE)</f>
        <v>Office Supplies</v>
      </c>
    </row>
    <row r="2402" spans="1:5" x14ac:dyDescent="0.3">
      <c r="A2402" t="s">
        <v>8414</v>
      </c>
      <c r="B2402" t="s">
        <v>200</v>
      </c>
      <c r="C2402">
        <v>22</v>
      </c>
      <c r="D2402" t="str">
        <f>VLOOKUP(B2402,Products!$A:$E,2,FALSE)</f>
        <v>Product_96</v>
      </c>
      <c r="E2402" t="str">
        <f>VLOOKUP(B2402,Products!$A:$E,3,FALSE)</f>
        <v>Office Supplies</v>
      </c>
    </row>
    <row r="2403" spans="1:5" x14ac:dyDescent="0.3">
      <c r="A2403" t="s">
        <v>8415</v>
      </c>
      <c r="B2403" t="s">
        <v>930</v>
      </c>
      <c r="C2403">
        <v>30</v>
      </c>
      <c r="D2403" t="str">
        <f>VLOOKUP(B2403,Products!$A:$E,2,FALSE)</f>
        <v>Product_461</v>
      </c>
      <c r="E2403" t="str">
        <f>VLOOKUP(B2403,Products!$A:$E,3,FALSE)</f>
        <v>Accessories</v>
      </c>
    </row>
    <row r="2404" spans="1:5" x14ac:dyDescent="0.3">
      <c r="A2404" t="s">
        <v>8416</v>
      </c>
      <c r="B2404" t="s">
        <v>154</v>
      </c>
      <c r="C2404">
        <v>1</v>
      </c>
      <c r="D2404" t="str">
        <f>VLOOKUP(B2404,Products!$A:$E,2,FALSE)</f>
        <v>Product_73</v>
      </c>
      <c r="E2404" t="str">
        <f>VLOOKUP(B2404,Products!$A:$E,3,FALSE)</f>
        <v>Office Supplies</v>
      </c>
    </row>
    <row r="2405" spans="1:5" x14ac:dyDescent="0.3">
      <c r="A2405" t="s">
        <v>8417</v>
      </c>
      <c r="B2405" t="s">
        <v>692</v>
      </c>
      <c r="C2405">
        <v>31</v>
      </c>
      <c r="D2405" t="str">
        <f>VLOOKUP(B2405,Products!$A:$E,2,FALSE)</f>
        <v>Product_342</v>
      </c>
      <c r="E2405" t="str">
        <f>VLOOKUP(B2405,Products!$A:$E,3,FALSE)</f>
        <v>Accessories</v>
      </c>
    </row>
    <row r="2406" spans="1:5" x14ac:dyDescent="0.3">
      <c r="A2406" t="s">
        <v>8418</v>
      </c>
      <c r="B2406" t="s">
        <v>448</v>
      </c>
      <c r="C2406">
        <v>22</v>
      </c>
      <c r="D2406" t="str">
        <f>VLOOKUP(B2406,Products!$A:$E,2,FALSE)</f>
        <v>Product_220</v>
      </c>
      <c r="E2406" t="str">
        <f>VLOOKUP(B2406,Products!$A:$E,3,FALSE)</f>
        <v>Storage</v>
      </c>
    </row>
    <row r="2407" spans="1:5" x14ac:dyDescent="0.3">
      <c r="A2407" t="s">
        <v>8419</v>
      </c>
      <c r="B2407" t="s">
        <v>30</v>
      </c>
      <c r="C2407">
        <v>12</v>
      </c>
      <c r="D2407" t="str">
        <f>VLOOKUP(B2407,Products!$A:$E,2,FALSE)</f>
        <v>Product_11</v>
      </c>
      <c r="E2407" t="str">
        <f>VLOOKUP(B2407,Products!$A:$E,3,FALSE)</f>
        <v>Electronics</v>
      </c>
    </row>
    <row r="2408" spans="1:5" x14ac:dyDescent="0.3">
      <c r="A2408" t="s">
        <v>8420</v>
      </c>
      <c r="B2408" t="s">
        <v>1006</v>
      </c>
      <c r="C2408">
        <v>17</v>
      </c>
      <c r="D2408" t="str">
        <f>VLOOKUP(B2408,Products!$A:$E,2,FALSE)</f>
        <v>Product_499</v>
      </c>
      <c r="E2408" t="str">
        <f>VLOOKUP(B2408,Products!$A:$E,3,FALSE)</f>
        <v>Office Supplies</v>
      </c>
    </row>
    <row r="2409" spans="1:5" x14ac:dyDescent="0.3">
      <c r="A2409" t="s">
        <v>8421</v>
      </c>
      <c r="B2409" t="s">
        <v>912</v>
      </c>
      <c r="C2409">
        <v>5</v>
      </c>
      <c r="D2409" t="str">
        <f>VLOOKUP(B2409,Products!$A:$E,2,FALSE)</f>
        <v>Product_452</v>
      </c>
      <c r="E2409" t="str">
        <f>VLOOKUP(B2409,Products!$A:$E,3,FALSE)</f>
        <v>Office Supplies</v>
      </c>
    </row>
    <row r="2410" spans="1:5" x14ac:dyDescent="0.3">
      <c r="A2410" t="s">
        <v>8422</v>
      </c>
      <c r="B2410" t="s">
        <v>184</v>
      </c>
      <c r="C2410">
        <v>44</v>
      </c>
      <c r="D2410" t="str">
        <f>VLOOKUP(B2410,Products!$A:$E,2,FALSE)</f>
        <v>Product_88</v>
      </c>
      <c r="E2410" t="str">
        <f>VLOOKUP(B2410,Products!$A:$E,3,FALSE)</f>
        <v>Accessories</v>
      </c>
    </row>
    <row r="2411" spans="1:5" x14ac:dyDescent="0.3">
      <c r="A2411" t="s">
        <v>8423</v>
      </c>
      <c r="B2411" t="s">
        <v>788</v>
      </c>
      <c r="C2411">
        <v>1</v>
      </c>
      <c r="D2411" t="str">
        <f>VLOOKUP(B2411,Products!$A:$E,2,FALSE)</f>
        <v>Product_390</v>
      </c>
      <c r="E2411" t="str">
        <f>VLOOKUP(B2411,Products!$A:$E,3,FALSE)</f>
        <v>Storage</v>
      </c>
    </row>
    <row r="2412" spans="1:5" x14ac:dyDescent="0.3">
      <c r="A2412" t="s">
        <v>8424</v>
      </c>
      <c r="B2412" t="s">
        <v>618</v>
      </c>
      <c r="C2412">
        <v>23</v>
      </c>
      <c r="D2412" t="str">
        <f>VLOOKUP(B2412,Products!$A:$E,2,FALSE)</f>
        <v>Product_305</v>
      </c>
      <c r="E2412" t="str">
        <f>VLOOKUP(B2412,Products!$A:$E,3,FALSE)</f>
        <v>Accessories</v>
      </c>
    </row>
    <row r="2413" spans="1:5" x14ac:dyDescent="0.3">
      <c r="A2413" t="s">
        <v>8425</v>
      </c>
      <c r="B2413" t="s">
        <v>1002</v>
      </c>
      <c r="C2413">
        <v>31</v>
      </c>
      <c r="D2413" t="str">
        <f>VLOOKUP(B2413,Products!$A:$E,2,FALSE)</f>
        <v>Product_497</v>
      </c>
      <c r="E2413" t="str">
        <f>VLOOKUP(B2413,Products!$A:$E,3,FALSE)</f>
        <v>Office Supplies</v>
      </c>
    </row>
    <row r="2414" spans="1:5" x14ac:dyDescent="0.3">
      <c r="A2414" t="s">
        <v>8426</v>
      </c>
      <c r="B2414" t="s">
        <v>606</v>
      </c>
      <c r="C2414">
        <v>1</v>
      </c>
      <c r="D2414" t="str">
        <f>VLOOKUP(B2414,Products!$A:$E,2,FALSE)</f>
        <v>Product_299</v>
      </c>
      <c r="E2414" t="str">
        <f>VLOOKUP(B2414,Products!$A:$E,3,FALSE)</f>
        <v>Storage</v>
      </c>
    </row>
    <row r="2415" spans="1:5" x14ac:dyDescent="0.3">
      <c r="A2415" t="s">
        <v>8427</v>
      </c>
      <c r="B2415" t="s">
        <v>510</v>
      </c>
      <c r="C2415">
        <v>16</v>
      </c>
      <c r="D2415" t="str">
        <f>VLOOKUP(B2415,Products!$A:$E,2,FALSE)</f>
        <v>Product_251</v>
      </c>
      <c r="E2415" t="str">
        <f>VLOOKUP(B2415,Products!$A:$E,3,FALSE)</f>
        <v>Electronics</v>
      </c>
    </row>
    <row r="2416" spans="1:5" x14ac:dyDescent="0.3">
      <c r="A2416" t="s">
        <v>8428</v>
      </c>
      <c r="B2416" t="s">
        <v>492</v>
      </c>
      <c r="C2416">
        <v>8</v>
      </c>
      <c r="D2416" t="str">
        <f>VLOOKUP(B2416,Products!$A:$E,2,FALSE)</f>
        <v>Product_242</v>
      </c>
      <c r="E2416" t="str">
        <f>VLOOKUP(B2416,Products!$A:$E,3,FALSE)</f>
        <v>Networking</v>
      </c>
    </row>
    <row r="2417" spans="1:5" x14ac:dyDescent="0.3">
      <c r="A2417" t="s">
        <v>8429</v>
      </c>
      <c r="B2417" t="s">
        <v>56</v>
      </c>
      <c r="C2417">
        <v>2</v>
      </c>
      <c r="D2417" t="str">
        <f>VLOOKUP(B2417,Products!$A:$E,2,FALSE)</f>
        <v>Product_24</v>
      </c>
      <c r="E2417" t="str">
        <f>VLOOKUP(B2417,Products!$A:$E,3,FALSE)</f>
        <v>Accessories</v>
      </c>
    </row>
    <row r="2418" spans="1:5" x14ac:dyDescent="0.3">
      <c r="A2418" t="s">
        <v>8430</v>
      </c>
      <c r="B2418" t="s">
        <v>590</v>
      </c>
      <c r="C2418">
        <v>44</v>
      </c>
      <c r="D2418" t="str">
        <f>VLOOKUP(B2418,Products!$A:$E,2,FALSE)</f>
        <v>Product_291</v>
      </c>
      <c r="E2418" t="str">
        <f>VLOOKUP(B2418,Products!$A:$E,3,FALSE)</f>
        <v>Networking</v>
      </c>
    </row>
    <row r="2419" spans="1:5" x14ac:dyDescent="0.3">
      <c r="A2419" t="s">
        <v>8431</v>
      </c>
      <c r="B2419" t="s">
        <v>306</v>
      </c>
      <c r="C2419">
        <v>15</v>
      </c>
      <c r="D2419" t="str">
        <f>VLOOKUP(B2419,Products!$A:$E,2,FALSE)</f>
        <v>Product_149</v>
      </c>
      <c r="E2419" t="str">
        <f>VLOOKUP(B2419,Products!$A:$E,3,FALSE)</f>
        <v>Accessories</v>
      </c>
    </row>
    <row r="2420" spans="1:5" x14ac:dyDescent="0.3">
      <c r="A2420" t="s">
        <v>8432</v>
      </c>
      <c r="B2420" t="s">
        <v>546</v>
      </c>
      <c r="C2420">
        <v>33</v>
      </c>
      <c r="D2420" t="str">
        <f>VLOOKUP(B2420,Products!$A:$E,2,FALSE)</f>
        <v>Product_269</v>
      </c>
      <c r="E2420" t="str">
        <f>VLOOKUP(B2420,Products!$A:$E,3,FALSE)</f>
        <v>Storage</v>
      </c>
    </row>
    <row r="2421" spans="1:5" x14ac:dyDescent="0.3">
      <c r="A2421" t="s">
        <v>8433</v>
      </c>
      <c r="B2421" t="s">
        <v>180</v>
      </c>
      <c r="C2421">
        <v>49</v>
      </c>
      <c r="D2421" t="str">
        <f>VLOOKUP(B2421,Products!$A:$E,2,FALSE)</f>
        <v>Product_86</v>
      </c>
      <c r="E2421" t="str">
        <f>VLOOKUP(B2421,Products!$A:$E,3,FALSE)</f>
        <v>Storage</v>
      </c>
    </row>
    <row r="2422" spans="1:5" x14ac:dyDescent="0.3">
      <c r="A2422" t="s">
        <v>8434</v>
      </c>
      <c r="B2422" t="s">
        <v>160</v>
      </c>
      <c r="C2422">
        <v>50</v>
      </c>
      <c r="D2422" t="str">
        <f>VLOOKUP(B2422,Products!$A:$E,2,FALSE)</f>
        <v>Product_76</v>
      </c>
      <c r="E2422" t="str">
        <f>VLOOKUP(B2422,Products!$A:$E,3,FALSE)</f>
        <v>Accessories</v>
      </c>
    </row>
    <row r="2423" spans="1:5" x14ac:dyDescent="0.3">
      <c r="A2423" t="s">
        <v>8435</v>
      </c>
      <c r="B2423" t="s">
        <v>106</v>
      </c>
      <c r="C2423">
        <v>7</v>
      </c>
      <c r="D2423" t="str">
        <f>VLOOKUP(B2423,Products!$A:$E,2,FALSE)</f>
        <v>Product_49</v>
      </c>
      <c r="E2423" t="str">
        <f>VLOOKUP(B2423,Products!$A:$E,3,FALSE)</f>
        <v>Storage</v>
      </c>
    </row>
    <row r="2424" spans="1:5" x14ac:dyDescent="0.3">
      <c r="A2424" t="s">
        <v>8436</v>
      </c>
      <c r="B2424" t="s">
        <v>320</v>
      </c>
      <c r="C2424">
        <v>48</v>
      </c>
      <c r="D2424" t="str">
        <f>VLOOKUP(B2424,Products!$A:$E,2,FALSE)</f>
        <v>Product_156</v>
      </c>
      <c r="E2424" t="str">
        <f>VLOOKUP(B2424,Products!$A:$E,3,FALSE)</f>
        <v>Accessories</v>
      </c>
    </row>
    <row r="2425" spans="1:5" x14ac:dyDescent="0.3">
      <c r="A2425" t="s">
        <v>8437</v>
      </c>
      <c r="B2425" t="s">
        <v>352</v>
      </c>
      <c r="C2425">
        <v>29</v>
      </c>
      <c r="D2425" t="str">
        <f>VLOOKUP(B2425,Products!$A:$E,2,FALSE)</f>
        <v>Product_172</v>
      </c>
      <c r="E2425" t="str">
        <f>VLOOKUP(B2425,Products!$A:$E,3,FALSE)</f>
        <v>Networking</v>
      </c>
    </row>
    <row r="2426" spans="1:5" x14ac:dyDescent="0.3">
      <c r="A2426" t="s">
        <v>8438</v>
      </c>
      <c r="B2426" t="s">
        <v>512</v>
      </c>
      <c r="C2426">
        <v>48</v>
      </c>
      <c r="D2426" t="str">
        <f>VLOOKUP(B2426,Products!$A:$E,2,FALSE)</f>
        <v>Product_252</v>
      </c>
      <c r="E2426" t="str">
        <f>VLOOKUP(B2426,Products!$A:$E,3,FALSE)</f>
        <v>Networking</v>
      </c>
    </row>
    <row r="2427" spans="1:5" x14ac:dyDescent="0.3">
      <c r="A2427" t="s">
        <v>8439</v>
      </c>
      <c r="B2427" t="s">
        <v>368</v>
      </c>
      <c r="C2427">
        <v>35</v>
      </c>
      <c r="D2427" t="str">
        <f>VLOOKUP(B2427,Products!$A:$E,2,FALSE)</f>
        <v>Product_180</v>
      </c>
      <c r="E2427" t="str">
        <f>VLOOKUP(B2427,Products!$A:$E,3,FALSE)</f>
        <v>Office Supplies</v>
      </c>
    </row>
    <row r="2428" spans="1:5" x14ac:dyDescent="0.3">
      <c r="A2428" t="s">
        <v>8440</v>
      </c>
      <c r="B2428" t="s">
        <v>272</v>
      </c>
      <c r="C2428">
        <v>43</v>
      </c>
      <c r="D2428" t="str">
        <f>VLOOKUP(B2428,Products!$A:$E,2,FALSE)</f>
        <v>Product_132</v>
      </c>
      <c r="E2428" t="str">
        <f>VLOOKUP(B2428,Products!$A:$E,3,FALSE)</f>
        <v>Storage</v>
      </c>
    </row>
    <row r="2429" spans="1:5" x14ac:dyDescent="0.3">
      <c r="A2429" t="s">
        <v>8441</v>
      </c>
      <c r="B2429" t="s">
        <v>508</v>
      </c>
      <c r="C2429">
        <v>17</v>
      </c>
      <c r="D2429" t="str">
        <f>VLOOKUP(B2429,Products!$A:$E,2,FALSE)</f>
        <v>Product_250</v>
      </c>
      <c r="E2429" t="str">
        <f>VLOOKUP(B2429,Products!$A:$E,3,FALSE)</f>
        <v>Networking</v>
      </c>
    </row>
    <row r="2430" spans="1:5" x14ac:dyDescent="0.3">
      <c r="A2430" t="s">
        <v>8442</v>
      </c>
      <c r="B2430" t="s">
        <v>382</v>
      </c>
      <c r="C2430">
        <v>30</v>
      </c>
      <c r="D2430" t="str">
        <f>VLOOKUP(B2430,Products!$A:$E,2,FALSE)</f>
        <v>Product_187</v>
      </c>
      <c r="E2430" t="str">
        <f>VLOOKUP(B2430,Products!$A:$E,3,FALSE)</f>
        <v>Electronics</v>
      </c>
    </row>
    <row r="2431" spans="1:5" x14ac:dyDescent="0.3">
      <c r="A2431" t="s">
        <v>8443</v>
      </c>
      <c r="B2431" t="s">
        <v>22</v>
      </c>
      <c r="C2431">
        <v>23</v>
      </c>
      <c r="D2431" t="str">
        <f>VLOOKUP(B2431,Products!$A:$E,2,FALSE)</f>
        <v>Product_7</v>
      </c>
      <c r="E2431" t="str">
        <f>VLOOKUP(B2431,Products!$A:$E,3,FALSE)</f>
        <v>Storage</v>
      </c>
    </row>
    <row r="2432" spans="1:5" x14ac:dyDescent="0.3">
      <c r="A2432" t="s">
        <v>8444</v>
      </c>
      <c r="B2432" t="s">
        <v>318</v>
      </c>
      <c r="C2432">
        <v>46</v>
      </c>
      <c r="D2432" t="str">
        <f>VLOOKUP(B2432,Products!$A:$E,2,FALSE)</f>
        <v>Product_155</v>
      </c>
      <c r="E2432" t="str">
        <f>VLOOKUP(B2432,Products!$A:$E,3,FALSE)</f>
        <v>Office Supplies</v>
      </c>
    </row>
    <row r="2433" spans="1:5" x14ac:dyDescent="0.3">
      <c r="A2433" t="s">
        <v>8445</v>
      </c>
      <c r="B2433" t="s">
        <v>350</v>
      </c>
      <c r="C2433">
        <v>34</v>
      </c>
      <c r="D2433" t="str">
        <f>VLOOKUP(B2433,Products!$A:$E,2,FALSE)</f>
        <v>Product_171</v>
      </c>
      <c r="E2433" t="str">
        <f>VLOOKUP(B2433,Products!$A:$E,3,FALSE)</f>
        <v>Electronics</v>
      </c>
    </row>
    <row r="2434" spans="1:5" x14ac:dyDescent="0.3">
      <c r="A2434" t="s">
        <v>8446</v>
      </c>
      <c r="B2434" t="s">
        <v>802</v>
      </c>
      <c r="C2434">
        <v>43</v>
      </c>
      <c r="D2434" t="str">
        <f>VLOOKUP(B2434,Products!$A:$E,2,FALSE)</f>
        <v>Product_397</v>
      </c>
      <c r="E2434" t="str">
        <f>VLOOKUP(B2434,Products!$A:$E,3,FALSE)</f>
        <v>Office Supplies</v>
      </c>
    </row>
    <row r="2435" spans="1:5" x14ac:dyDescent="0.3">
      <c r="A2435" t="s">
        <v>8447</v>
      </c>
      <c r="B2435" t="s">
        <v>886</v>
      </c>
      <c r="C2435">
        <v>39</v>
      </c>
      <c r="D2435" t="str">
        <f>VLOOKUP(B2435,Products!$A:$E,2,FALSE)</f>
        <v>Product_439</v>
      </c>
      <c r="E2435" t="str">
        <f>VLOOKUP(B2435,Products!$A:$E,3,FALSE)</f>
        <v>Networking</v>
      </c>
    </row>
    <row r="2436" spans="1:5" x14ac:dyDescent="0.3">
      <c r="A2436" t="s">
        <v>8448</v>
      </c>
      <c r="B2436" t="s">
        <v>504</v>
      </c>
      <c r="C2436">
        <v>8</v>
      </c>
      <c r="D2436" t="str">
        <f>VLOOKUP(B2436,Products!$A:$E,2,FALSE)</f>
        <v>Product_248</v>
      </c>
      <c r="E2436" t="str">
        <f>VLOOKUP(B2436,Products!$A:$E,3,FALSE)</f>
        <v>Networking</v>
      </c>
    </row>
    <row r="2437" spans="1:5" x14ac:dyDescent="0.3">
      <c r="A2437" t="s">
        <v>8449</v>
      </c>
      <c r="B2437" t="s">
        <v>286</v>
      </c>
      <c r="C2437">
        <v>44</v>
      </c>
      <c r="D2437" t="str">
        <f>VLOOKUP(B2437,Products!$A:$E,2,FALSE)</f>
        <v>Product_139</v>
      </c>
      <c r="E2437" t="str">
        <f>VLOOKUP(B2437,Products!$A:$E,3,FALSE)</f>
        <v>Storage</v>
      </c>
    </row>
    <row r="2438" spans="1:5" x14ac:dyDescent="0.3">
      <c r="A2438" t="s">
        <v>8450</v>
      </c>
      <c r="B2438" t="s">
        <v>540</v>
      </c>
      <c r="C2438">
        <v>47</v>
      </c>
      <c r="D2438" t="str">
        <f>VLOOKUP(B2438,Products!$A:$E,2,FALSE)</f>
        <v>Product_266</v>
      </c>
      <c r="E2438" t="str">
        <f>VLOOKUP(B2438,Products!$A:$E,3,FALSE)</f>
        <v>Electronics</v>
      </c>
    </row>
    <row r="2439" spans="1:5" x14ac:dyDescent="0.3">
      <c r="A2439" t="s">
        <v>8451</v>
      </c>
      <c r="B2439" t="s">
        <v>664</v>
      </c>
      <c r="C2439">
        <v>2</v>
      </c>
      <c r="D2439" t="str">
        <f>VLOOKUP(B2439,Products!$A:$E,2,FALSE)</f>
        <v>Product_328</v>
      </c>
      <c r="E2439" t="str">
        <f>VLOOKUP(B2439,Products!$A:$E,3,FALSE)</f>
        <v>Office Supplies</v>
      </c>
    </row>
    <row r="2440" spans="1:5" x14ac:dyDescent="0.3">
      <c r="A2440" t="s">
        <v>8452</v>
      </c>
      <c r="B2440" t="s">
        <v>160</v>
      </c>
      <c r="C2440">
        <v>27</v>
      </c>
      <c r="D2440" t="str">
        <f>VLOOKUP(B2440,Products!$A:$E,2,FALSE)</f>
        <v>Product_76</v>
      </c>
      <c r="E2440" t="str">
        <f>VLOOKUP(B2440,Products!$A:$E,3,FALSE)</f>
        <v>Accessories</v>
      </c>
    </row>
    <row r="2441" spans="1:5" x14ac:dyDescent="0.3">
      <c r="A2441" t="s">
        <v>8453</v>
      </c>
      <c r="B2441" t="s">
        <v>886</v>
      </c>
      <c r="C2441">
        <v>15</v>
      </c>
      <c r="D2441" t="str">
        <f>VLOOKUP(B2441,Products!$A:$E,2,FALSE)</f>
        <v>Product_439</v>
      </c>
      <c r="E2441" t="str">
        <f>VLOOKUP(B2441,Products!$A:$E,3,FALSE)</f>
        <v>Networking</v>
      </c>
    </row>
    <row r="2442" spans="1:5" x14ac:dyDescent="0.3">
      <c r="A2442" t="s">
        <v>8454</v>
      </c>
      <c r="B2442" t="s">
        <v>684</v>
      </c>
      <c r="C2442">
        <v>10</v>
      </c>
      <c r="D2442" t="str">
        <f>VLOOKUP(B2442,Products!$A:$E,2,FALSE)</f>
        <v>Product_338</v>
      </c>
      <c r="E2442" t="str">
        <f>VLOOKUP(B2442,Products!$A:$E,3,FALSE)</f>
        <v>Networking</v>
      </c>
    </row>
    <row r="2443" spans="1:5" x14ac:dyDescent="0.3">
      <c r="A2443" t="s">
        <v>8455</v>
      </c>
      <c r="B2443" t="s">
        <v>374</v>
      </c>
      <c r="C2443">
        <v>32</v>
      </c>
      <c r="D2443" t="str">
        <f>VLOOKUP(B2443,Products!$A:$E,2,FALSE)</f>
        <v>Product_183</v>
      </c>
      <c r="E2443" t="str">
        <f>VLOOKUP(B2443,Products!$A:$E,3,FALSE)</f>
        <v>Electronics</v>
      </c>
    </row>
    <row r="2444" spans="1:5" x14ac:dyDescent="0.3">
      <c r="A2444" t="s">
        <v>8456</v>
      </c>
      <c r="B2444" t="s">
        <v>40</v>
      </c>
      <c r="C2444">
        <v>16</v>
      </c>
      <c r="D2444" t="str">
        <f>VLOOKUP(B2444,Products!$A:$E,2,FALSE)</f>
        <v>Product_16</v>
      </c>
      <c r="E2444" t="str">
        <f>VLOOKUP(B2444,Products!$A:$E,3,FALSE)</f>
        <v>Office Supplies</v>
      </c>
    </row>
    <row r="2445" spans="1:5" x14ac:dyDescent="0.3">
      <c r="A2445" t="s">
        <v>8457</v>
      </c>
      <c r="B2445" t="s">
        <v>600</v>
      </c>
      <c r="C2445">
        <v>48</v>
      </c>
      <c r="D2445" t="str">
        <f>VLOOKUP(B2445,Products!$A:$E,2,FALSE)</f>
        <v>Product_296</v>
      </c>
      <c r="E2445" t="str">
        <f>VLOOKUP(B2445,Products!$A:$E,3,FALSE)</f>
        <v>Office Supplies</v>
      </c>
    </row>
    <row r="2446" spans="1:5" x14ac:dyDescent="0.3">
      <c r="A2446" t="s">
        <v>8458</v>
      </c>
      <c r="B2446" t="s">
        <v>722</v>
      </c>
      <c r="C2446">
        <v>28</v>
      </c>
      <c r="D2446" t="str">
        <f>VLOOKUP(B2446,Products!$A:$E,2,FALSE)</f>
        <v>Product_357</v>
      </c>
      <c r="E2446" t="str">
        <f>VLOOKUP(B2446,Products!$A:$E,3,FALSE)</f>
        <v>Accessories</v>
      </c>
    </row>
    <row r="2447" spans="1:5" x14ac:dyDescent="0.3">
      <c r="A2447" t="s">
        <v>8459</v>
      </c>
      <c r="B2447" t="s">
        <v>378</v>
      </c>
      <c r="C2447">
        <v>14</v>
      </c>
      <c r="D2447" t="str">
        <f>VLOOKUP(B2447,Products!$A:$E,2,FALSE)</f>
        <v>Product_185</v>
      </c>
      <c r="E2447" t="str">
        <f>VLOOKUP(B2447,Products!$A:$E,3,FALSE)</f>
        <v>Storage</v>
      </c>
    </row>
    <row r="2448" spans="1:5" x14ac:dyDescent="0.3">
      <c r="A2448" t="s">
        <v>8460</v>
      </c>
      <c r="B2448" t="s">
        <v>772</v>
      </c>
      <c r="C2448">
        <v>6</v>
      </c>
      <c r="D2448" t="str">
        <f>VLOOKUP(B2448,Products!$A:$E,2,FALSE)</f>
        <v>Product_382</v>
      </c>
      <c r="E2448" t="str">
        <f>VLOOKUP(B2448,Products!$A:$E,3,FALSE)</f>
        <v>Storage</v>
      </c>
    </row>
    <row r="2449" spans="1:5" x14ac:dyDescent="0.3">
      <c r="A2449" t="s">
        <v>8461</v>
      </c>
      <c r="B2449" t="s">
        <v>208</v>
      </c>
      <c r="C2449">
        <v>25</v>
      </c>
      <c r="D2449" t="str">
        <f>VLOOKUP(B2449,Products!$A:$E,2,FALSE)</f>
        <v>Product_100</v>
      </c>
      <c r="E2449" t="str">
        <f>VLOOKUP(B2449,Products!$A:$E,3,FALSE)</f>
        <v>Accessories</v>
      </c>
    </row>
    <row r="2450" spans="1:5" x14ac:dyDescent="0.3">
      <c r="A2450" t="s">
        <v>8462</v>
      </c>
      <c r="B2450" t="s">
        <v>664</v>
      </c>
      <c r="C2450">
        <v>7</v>
      </c>
      <c r="D2450" t="str">
        <f>VLOOKUP(B2450,Products!$A:$E,2,FALSE)</f>
        <v>Product_328</v>
      </c>
      <c r="E2450" t="str">
        <f>VLOOKUP(B2450,Products!$A:$E,3,FALSE)</f>
        <v>Office Supplies</v>
      </c>
    </row>
    <row r="2451" spans="1:5" x14ac:dyDescent="0.3">
      <c r="A2451" t="s">
        <v>8463</v>
      </c>
      <c r="B2451" t="s">
        <v>998</v>
      </c>
      <c r="C2451">
        <v>18</v>
      </c>
      <c r="D2451" t="str">
        <f>VLOOKUP(B2451,Products!$A:$E,2,FALSE)</f>
        <v>Product_495</v>
      </c>
      <c r="E2451" t="str">
        <f>VLOOKUP(B2451,Products!$A:$E,3,FALSE)</f>
        <v>Networking</v>
      </c>
    </row>
    <row r="2452" spans="1:5" x14ac:dyDescent="0.3">
      <c r="A2452" t="s">
        <v>8464</v>
      </c>
      <c r="B2452" t="s">
        <v>908</v>
      </c>
      <c r="C2452">
        <v>41</v>
      </c>
      <c r="D2452" t="str">
        <f>VLOOKUP(B2452,Products!$A:$E,2,FALSE)</f>
        <v>Product_450</v>
      </c>
      <c r="E2452" t="str">
        <f>VLOOKUP(B2452,Products!$A:$E,3,FALSE)</f>
        <v>Networking</v>
      </c>
    </row>
    <row r="2453" spans="1:5" x14ac:dyDescent="0.3">
      <c r="A2453" t="s">
        <v>8465</v>
      </c>
      <c r="B2453" t="s">
        <v>704</v>
      </c>
      <c r="C2453">
        <v>35</v>
      </c>
      <c r="D2453" t="str">
        <f>VLOOKUP(B2453,Products!$A:$E,2,FALSE)</f>
        <v>Product_348</v>
      </c>
      <c r="E2453" t="str">
        <f>VLOOKUP(B2453,Products!$A:$E,3,FALSE)</f>
        <v>Electronics</v>
      </c>
    </row>
    <row r="2454" spans="1:5" x14ac:dyDescent="0.3">
      <c r="A2454" t="s">
        <v>8466</v>
      </c>
      <c r="B2454" t="s">
        <v>930</v>
      </c>
      <c r="C2454">
        <v>29</v>
      </c>
      <c r="D2454" t="str">
        <f>VLOOKUP(B2454,Products!$A:$E,2,FALSE)</f>
        <v>Product_461</v>
      </c>
      <c r="E2454" t="str">
        <f>VLOOKUP(B2454,Products!$A:$E,3,FALSE)</f>
        <v>Accessories</v>
      </c>
    </row>
    <row r="2455" spans="1:5" x14ac:dyDescent="0.3">
      <c r="A2455" t="s">
        <v>8467</v>
      </c>
      <c r="B2455" t="s">
        <v>990</v>
      </c>
      <c r="C2455">
        <v>34</v>
      </c>
      <c r="D2455" t="str">
        <f>VLOOKUP(B2455,Products!$A:$E,2,FALSE)</f>
        <v>Product_491</v>
      </c>
      <c r="E2455" t="str">
        <f>VLOOKUP(B2455,Products!$A:$E,3,FALSE)</f>
        <v>Accessories</v>
      </c>
    </row>
    <row r="2456" spans="1:5" x14ac:dyDescent="0.3">
      <c r="A2456" t="s">
        <v>8468</v>
      </c>
      <c r="B2456" t="s">
        <v>188</v>
      </c>
      <c r="C2456">
        <v>17</v>
      </c>
      <c r="D2456" t="str">
        <f>VLOOKUP(B2456,Products!$A:$E,2,FALSE)</f>
        <v>Product_90</v>
      </c>
      <c r="E2456" t="str">
        <f>VLOOKUP(B2456,Products!$A:$E,3,FALSE)</f>
        <v>Accessories</v>
      </c>
    </row>
    <row r="2457" spans="1:5" x14ac:dyDescent="0.3">
      <c r="A2457" t="s">
        <v>8469</v>
      </c>
      <c r="B2457" t="s">
        <v>942</v>
      </c>
      <c r="C2457">
        <v>44</v>
      </c>
      <c r="D2457" t="str">
        <f>VLOOKUP(B2457,Products!$A:$E,2,FALSE)</f>
        <v>Product_467</v>
      </c>
      <c r="E2457" t="str">
        <f>VLOOKUP(B2457,Products!$A:$E,3,FALSE)</f>
        <v>Accessories</v>
      </c>
    </row>
    <row r="2458" spans="1:5" x14ac:dyDescent="0.3">
      <c r="A2458" t="s">
        <v>8470</v>
      </c>
      <c r="B2458" t="s">
        <v>366</v>
      </c>
      <c r="C2458">
        <v>22</v>
      </c>
      <c r="D2458" t="str">
        <f>VLOOKUP(B2458,Products!$A:$E,2,FALSE)</f>
        <v>Product_179</v>
      </c>
      <c r="E2458" t="str">
        <f>VLOOKUP(B2458,Products!$A:$E,3,FALSE)</f>
        <v>Storage</v>
      </c>
    </row>
    <row r="2459" spans="1:5" x14ac:dyDescent="0.3">
      <c r="A2459" t="s">
        <v>8471</v>
      </c>
      <c r="B2459" t="s">
        <v>410</v>
      </c>
      <c r="C2459">
        <v>38</v>
      </c>
      <c r="D2459" t="str">
        <f>VLOOKUP(B2459,Products!$A:$E,2,FALSE)</f>
        <v>Product_201</v>
      </c>
      <c r="E2459" t="str">
        <f>VLOOKUP(B2459,Products!$A:$E,3,FALSE)</f>
        <v>Networking</v>
      </c>
    </row>
    <row r="2460" spans="1:5" x14ac:dyDescent="0.3">
      <c r="A2460" t="s">
        <v>8472</v>
      </c>
      <c r="B2460" t="s">
        <v>436</v>
      </c>
      <c r="C2460">
        <v>18</v>
      </c>
      <c r="D2460" t="str">
        <f>VLOOKUP(B2460,Products!$A:$E,2,FALSE)</f>
        <v>Product_214</v>
      </c>
      <c r="E2460" t="str">
        <f>VLOOKUP(B2460,Products!$A:$E,3,FALSE)</f>
        <v>Electronics</v>
      </c>
    </row>
    <row r="2461" spans="1:5" x14ac:dyDescent="0.3">
      <c r="A2461" t="s">
        <v>8473</v>
      </c>
      <c r="B2461" t="s">
        <v>326</v>
      </c>
      <c r="C2461">
        <v>13</v>
      </c>
      <c r="D2461" t="str">
        <f>VLOOKUP(B2461,Products!$A:$E,2,FALSE)</f>
        <v>Product_159</v>
      </c>
      <c r="E2461" t="str">
        <f>VLOOKUP(B2461,Products!$A:$E,3,FALSE)</f>
        <v>Accessories</v>
      </c>
    </row>
    <row r="2462" spans="1:5" x14ac:dyDescent="0.3">
      <c r="A2462" t="s">
        <v>8474</v>
      </c>
      <c r="B2462" t="s">
        <v>52</v>
      </c>
      <c r="C2462">
        <v>38</v>
      </c>
      <c r="D2462" t="str">
        <f>VLOOKUP(B2462,Products!$A:$E,2,FALSE)</f>
        <v>Product_22</v>
      </c>
      <c r="E2462" t="str">
        <f>VLOOKUP(B2462,Products!$A:$E,3,FALSE)</f>
        <v>Electronics</v>
      </c>
    </row>
    <row r="2463" spans="1:5" x14ac:dyDescent="0.3">
      <c r="A2463" t="s">
        <v>8475</v>
      </c>
      <c r="B2463" t="s">
        <v>542</v>
      </c>
      <c r="C2463">
        <v>45</v>
      </c>
      <c r="D2463" t="str">
        <f>VLOOKUP(B2463,Products!$A:$E,2,FALSE)</f>
        <v>Product_267</v>
      </c>
      <c r="E2463" t="str">
        <f>VLOOKUP(B2463,Products!$A:$E,3,FALSE)</f>
        <v>Networking</v>
      </c>
    </row>
    <row r="2464" spans="1:5" x14ac:dyDescent="0.3">
      <c r="A2464" t="s">
        <v>8476</v>
      </c>
      <c r="B2464" t="s">
        <v>360</v>
      </c>
      <c r="C2464">
        <v>40</v>
      </c>
      <c r="D2464" t="str">
        <f>VLOOKUP(B2464,Products!$A:$E,2,FALSE)</f>
        <v>Product_176</v>
      </c>
      <c r="E2464" t="str">
        <f>VLOOKUP(B2464,Products!$A:$E,3,FALSE)</f>
        <v>Electronics</v>
      </c>
    </row>
    <row r="2465" spans="1:5" x14ac:dyDescent="0.3">
      <c r="A2465" t="s">
        <v>8477</v>
      </c>
      <c r="B2465" t="s">
        <v>134</v>
      </c>
      <c r="C2465">
        <v>28</v>
      </c>
      <c r="D2465" t="str">
        <f>VLOOKUP(B2465,Products!$A:$E,2,FALSE)</f>
        <v>Product_63</v>
      </c>
      <c r="E2465" t="str">
        <f>VLOOKUP(B2465,Products!$A:$E,3,FALSE)</f>
        <v>Accessories</v>
      </c>
    </row>
    <row r="2466" spans="1:5" x14ac:dyDescent="0.3">
      <c r="A2466" t="s">
        <v>8478</v>
      </c>
      <c r="B2466" t="s">
        <v>824</v>
      </c>
      <c r="C2466">
        <v>30</v>
      </c>
      <c r="D2466" t="str">
        <f>VLOOKUP(B2466,Products!$A:$E,2,FALSE)</f>
        <v>Product_408</v>
      </c>
      <c r="E2466" t="str">
        <f>VLOOKUP(B2466,Products!$A:$E,3,FALSE)</f>
        <v>Storage</v>
      </c>
    </row>
    <row r="2467" spans="1:5" x14ac:dyDescent="0.3">
      <c r="A2467" t="s">
        <v>8479</v>
      </c>
      <c r="B2467" t="s">
        <v>590</v>
      </c>
      <c r="C2467">
        <v>23</v>
      </c>
      <c r="D2467" t="str">
        <f>VLOOKUP(B2467,Products!$A:$E,2,FALSE)</f>
        <v>Product_291</v>
      </c>
      <c r="E2467" t="str">
        <f>VLOOKUP(B2467,Products!$A:$E,3,FALSE)</f>
        <v>Networking</v>
      </c>
    </row>
    <row r="2468" spans="1:5" x14ac:dyDescent="0.3">
      <c r="A2468" t="s">
        <v>8480</v>
      </c>
      <c r="B2468" t="s">
        <v>304</v>
      </c>
      <c r="C2468">
        <v>8</v>
      </c>
      <c r="D2468" t="str">
        <f>VLOOKUP(B2468,Products!$A:$E,2,FALSE)</f>
        <v>Product_148</v>
      </c>
      <c r="E2468" t="str">
        <f>VLOOKUP(B2468,Products!$A:$E,3,FALSE)</f>
        <v>Electronics</v>
      </c>
    </row>
    <row r="2469" spans="1:5" x14ac:dyDescent="0.3">
      <c r="A2469" t="s">
        <v>8481</v>
      </c>
      <c r="B2469" t="s">
        <v>1002</v>
      </c>
      <c r="C2469">
        <v>1</v>
      </c>
      <c r="D2469" t="str">
        <f>VLOOKUP(B2469,Products!$A:$E,2,FALSE)</f>
        <v>Product_497</v>
      </c>
      <c r="E2469" t="str">
        <f>VLOOKUP(B2469,Products!$A:$E,3,FALSE)</f>
        <v>Office Supplies</v>
      </c>
    </row>
    <row r="2470" spans="1:5" x14ac:dyDescent="0.3">
      <c r="A2470" t="s">
        <v>8482</v>
      </c>
      <c r="B2470" t="s">
        <v>520</v>
      </c>
      <c r="C2470">
        <v>44</v>
      </c>
      <c r="D2470" t="str">
        <f>VLOOKUP(B2470,Products!$A:$E,2,FALSE)</f>
        <v>Product_256</v>
      </c>
      <c r="E2470" t="str">
        <f>VLOOKUP(B2470,Products!$A:$E,3,FALSE)</f>
        <v>Office Supplies</v>
      </c>
    </row>
    <row r="2471" spans="1:5" x14ac:dyDescent="0.3">
      <c r="A2471" t="s">
        <v>8483</v>
      </c>
      <c r="B2471" t="s">
        <v>160</v>
      </c>
      <c r="C2471">
        <v>30</v>
      </c>
      <c r="D2471" t="str">
        <f>VLOOKUP(B2471,Products!$A:$E,2,FALSE)</f>
        <v>Product_76</v>
      </c>
      <c r="E2471" t="str">
        <f>VLOOKUP(B2471,Products!$A:$E,3,FALSE)</f>
        <v>Accessories</v>
      </c>
    </row>
    <row r="2472" spans="1:5" x14ac:dyDescent="0.3">
      <c r="A2472" t="s">
        <v>8484</v>
      </c>
      <c r="B2472" t="s">
        <v>706</v>
      </c>
      <c r="C2472">
        <v>10</v>
      </c>
      <c r="D2472" t="str">
        <f>VLOOKUP(B2472,Products!$A:$E,2,FALSE)</f>
        <v>Product_349</v>
      </c>
      <c r="E2472" t="str">
        <f>VLOOKUP(B2472,Products!$A:$E,3,FALSE)</f>
        <v>Office Supplies</v>
      </c>
    </row>
    <row r="2473" spans="1:5" x14ac:dyDescent="0.3">
      <c r="A2473" t="s">
        <v>8485</v>
      </c>
      <c r="B2473" t="s">
        <v>544</v>
      </c>
      <c r="C2473">
        <v>19</v>
      </c>
      <c r="D2473" t="str">
        <f>VLOOKUP(B2473,Products!$A:$E,2,FALSE)</f>
        <v>Product_268</v>
      </c>
      <c r="E2473" t="str">
        <f>VLOOKUP(B2473,Products!$A:$E,3,FALSE)</f>
        <v>Office Supplies</v>
      </c>
    </row>
    <row r="2474" spans="1:5" x14ac:dyDescent="0.3">
      <c r="A2474" t="s">
        <v>8486</v>
      </c>
      <c r="B2474" t="s">
        <v>648</v>
      </c>
      <c r="C2474">
        <v>36</v>
      </c>
      <c r="D2474" t="str">
        <f>VLOOKUP(B2474,Products!$A:$E,2,FALSE)</f>
        <v>Product_320</v>
      </c>
      <c r="E2474" t="str">
        <f>VLOOKUP(B2474,Products!$A:$E,3,FALSE)</f>
        <v>Office Supplies</v>
      </c>
    </row>
    <row r="2475" spans="1:5" x14ac:dyDescent="0.3">
      <c r="A2475" t="s">
        <v>8487</v>
      </c>
      <c r="B2475" t="s">
        <v>690</v>
      </c>
      <c r="C2475">
        <v>11</v>
      </c>
      <c r="D2475" t="str">
        <f>VLOOKUP(B2475,Products!$A:$E,2,FALSE)</f>
        <v>Product_341</v>
      </c>
      <c r="E2475" t="str">
        <f>VLOOKUP(B2475,Products!$A:$E,3,FALSE)</f>
        <v>Storage</v>
      </c>
    </row>
    <row r="2476" spans="1:5" x14ac:dyDescent="0.3">
      <c r="A2476" t="s">
        <v>8488</v>
      </c>
      <c r="B2476" t="s">
        <v>320</v>
      </c>
      <c r="C2476">
        <v>32</v>
      </c>
      <c r="D2476" t="str">
        <f>VLOOKUP(B2476,Products!$A:$E,2,FALSE)</f>
        <v>Product_156</v>
      </c>
      <c r="E2476" t="str">
        <f>VLOOKUP(B2476,Products!$A:$E,3,FALSE)</f>
        <v>Accessories</v>
      </c>
    </row>
    <row r="2477" spans="1:5" x14ac:dyDescent="0.3">
      <c r="A2477" t="s">
        <v>8489</v>
      </c>
      <c r="B2477" t="s">
        <v>304</v>
      </c>
      <c r="C2477">
        <v>5</v>
      </c>
      <c r="D2477" t="str">
        <f>VLOOKUP(B2477,Products!$A:$E,2,FALSE)</f>
        <v>Product_148</v>
      </c>
      <c r="E2477" t="str">
        <f>VLOOKUP(B2477,Products!$A:$E,3,FALSE)</f>
        <v>Electronics</v>
      </c>
    </row>
    <row r="2478" spans="1:5" x14ac:dyDescent="0.3">
      <c r="A2478" t="s">
        <v>8490</v>
      </c>
      <c r="B2478" t="s">
        <v>828</v>
      </c>
      <c r="C2478">
        <v>19</v>
      </c>
      <c r="D2478" t="str">
        <f>VLOOKUP(B2478,Products!$A:$E,2,FALSE)</f>
        <v>Product_410</v>
      </c>
      <c r="E2478" t="str">
        <f>VLOOKUP(B2478,Products!$A:$E,3,FALSE)</f>
        <v>Storage</v>
      </c>
    </row>
    <row r="2479" spans="1:5" x14ac:dyDescent="0.3">
      <c r="A2479" t="s">
        <v>8491</v>
      </c>
      <c r="B2479" t="s">
        <v>24</v>
      </c>
      <c r="C2479">
        <v>30</v>
      </c>
      <c r="D2479" t="str">
        <f>VLOOKUP(B2479,Products!$A:$E,2,FALSE)</f>
        <v>Product_8</v>
      </c>
      <c r="E2479" t="str">
        <f>VLOOKUP(B2479,Products!$A:$E,3,FALSE)</f>
        <v>Storage</v>
      </c>
    </row>
    <row r="2480" spans="1:5" x14ac:dyDescent="0.3">
      <c r="A2480" t="s">
        <v>8492</v>
      </c>
      <c r="B2480" t="s">
        <v>50</v>
      </c>
      <c r="C2480">
        <v>14</v>
      </c>
      <c r="D2480" t="str">
        <f>VLOOKUP(B2480,Products!$A:$E,2,FALSE)</f>
        <v>Product_21</v>
      </c>
      <c r="E2480" t="str">
        <f>VLOOKUP(B2480,Products!$A:$E,3,FALSE)</f>
        <v>Office Supplies</v>
      </c>
    </row>
    <row r="2481" spans="1:5" x14ac:dyDescent="0.3">
      <c r="A2481" t="s">
        <v>8493</v>
      </c>
      <c r="B2481" t="s">
        <v>298</v>
      </c>
      <c r="C2481">
        <v>38</v>
      </c>
      <c r="D2481" t="str">
        <f>VLOOKUP(B2481,Products!$A:$E,2,FALSE)</f>
        <v>Product_145</v>
      </c>
      <c r="E2481" t="str">
        <f>VLOOKUP(B2481,Products!$A:$E,3,FALSE)</f>
        <v>Office Supplies</v>
      </c>
    </row>
    <row r="2482" spans="1:5" x14ac:dyDescent="0.3">
      <c r="A2482" t="s">
        <v>8494</v>
      </c>
      <c r="B2482" t="s">
        <v>136</v>
      </c>
      <c r="C2482">
        <v>4</v>
      </c>
      <c r="D2482" t="str">
        <f>VLOOKUP(B2482,Products!$A:$E,2,FALSE)</f>
        <v>Product_64</v>
      </c>
      <c r="E2482" t="str">
        <f>VLOOKUP(B2482,Products!$A:$E,3,FALSE)</f>
        <v>Storage</v>
      </c>
    </row>
    <row r="2483" spans="1:5" x14ac:dyDescent="0.3">
      <c r="A2483" t="s">
        <v>8495</v>
      </c>
      <c r="B2483" t="s">
        <v>510</v>
      </c>
      <c r="C2483">
        <v>20</v>
      </c>
      <c r="D2483" t="str">
        <f>VLOOKUP(B2483,Products!$A:$E,2,FALSE)</f>
        <v>Product_251</v>
      </c>
      <c r="E2483" t="str">
        <f>VLOOKUP(B2483,Products!$A:$E,3,FALSE)</f>
        <v>Electronics</v>
      </c>
    </row>
    <row r="2484" spans="1:5" x14ac:dyDescent="0.3">
      <c r="A2484" t="s">
        <v>8496</v>
      </c>
      <c r="B2484" t="s">
        <v>11</v>
      </c>
      <c r="C2484">
        <v>28</v>
      </c>
      <c r="D2484" t="str">
        <f>VLOOKUP(B2484,Products!$A:$E,2,FALSE)</f>
        <v>Product_3</v>
      </c>
      <c r="E2484" t="str">
        <f>VLOOKUP(B2484,Products!$A:$E,3,FALSE)</f>
        <v>Accessories</v>
      </c>
    </row>
    <row r="2485" spans="1:5" x14ac:dyDescent="0.3">
      <c r="A2485" t="s">
        <v>8497</v>
      </c>
      <c r="B2485" t="s">
        <v>370</v>
      </c>
      <c r="C2485">
        <v>43</v>
      </c>
      <c r="D2485" t="str">
        <f>VLOOKUP(B2485,Products!$A:$E,2,FALSE)</f>
        <v>Product_181</v>
      </c>
      <c r="E2485" t="str">
        <f>VLOOKUP(B2485,Products!$A:$E,3,FALSE)</f>
        <v>Storage</v>
      </c>
    </row>
    <row r="2486" spans="1:5" x14ac:dyDescent="0.3">
      <c r="A2486" t="s">
        <v>8498</v>
      </c>
      <c r="B2486" t="s">
        <v>864</v>
      </c>
      <c r="C2486">
        <v>1</v>
      </c>
      <c r="D2486" t="str">
        <f>VLOOKUP(B2486,Products!$A:$E,2,FALSE)</f>
        <v>Product_428</v>
      </c>
      <c r="E2486" t="str">
        <f>VLOOKUP(B2486,Products!$A:$E,3,FALSE)</f>
        <v>Storage</v>
      </c>
    </row>
    <row r="2487" spans="1:5" x14ac:dyDescent="0.3">
      <c r="A2487" t="s">
        <v>8499</v>
      </c>
      <c r="B2487" t="s">
        <v>60</v>
      </c>
      <c r="C2487">
        <v>17</v>
      </c>
      <c r="D2487" t="str">
        <f>VLOOKUP(B2487,Products!$A:$E,2,FALSE)</f>
        <v>Product_26</v>
      </c>
      <c r="E2487" t="str">
        <f>VLOOKUP(B2487,Products!$A:$E,3,FALSE)</f>
        <v>Office Supplies</v>
      </c>
    </row>
    <row r="2488" spans="1:5" x14ac:dyDescent="0.3">
      <c r="A2488" t="s">
        <v>8500</v>
      </c>
      <c r="B2488" t="s">
        <v>150</v>
      </c>
      <c r="C2488">
        <v>23</v>
      </c>
      <c r="D2488" t="str">
        <f>VLOOKUP(B2488,Products!$A:$E,2,FALSE)</f>
        <v>Product_71</v>
      </c>
      <c r="E2488" t="str">
        <f>VLOOKUP(B2488,Products!$A:$E,3,FALSE)</f>
        <v>Accessories</v>
      </c>
    </row>
    <row r="2489" spans="1:5" x14ac:dyDescent="0.3">
      <c r="A2489" t="s">
        <v>8501</v>
      </c>
      <c r="B2489" t="s">
        <v>908</v>
      </c>
      <c r="C2489">
        <v>19</v>
      </c>
      <c r="D2489" t="str">
        <f>VLOOKUP(B2489,Products!$A:$E,2,FALSE)</f>
        <v>Product_450</v>
      </c>
      <c r="E2489" t="str">
        <f>VLOOKUP(B2489,Products!$A:$E,3,FALSE)</f>
        <v>Networking</v>
      </c>
    </row>
    <row r="2490" spans="1:5" x14ac:dyDescent="0.3">
      <c r="A2490" t="s">
        <v>8502</v>
      </c>
      <c r="B2490" t="s">
        <v>814</v>
      </c>
      <c r="C2490">
        <v>33</v>
      </c>
      <c r="D2490" t="str">
        <f>VLOOKUP(B2490,Products!$A:$E,2,FALSE)</f>
        <v>Product_403</v>
      </c>
      <c r="E2490" t="str">
        <f>VLOOKUP(B2490,Products!$A:$E,3,FALSE)</f>
        <v>Networking</v>
      </c>
    </row>
    <row r="2491" spans="1:5" x14ac:dyDescent="0.3">
      <c r="A2491" t="s">
        <v>8503</v>
      </c>
      <c r="B2491" t="s">
        <v>690</v>
      </c>
      <c r="C2491">
        <v>50</v>
      </c>
      <c r="D2491" t="str">
        <f>VLOOKUP(B2491,Products!$A:$E,2,FALSE)</f>
        <v>Product_341</v>
      </c>
      <c r="E2491" t="str">
        <f>VLOOKUP(B2491,Products!$A:$E,3,FALSE)</f>
        <v>Storage</v>
      </c>
    </row>
    <row r="2492" spans="1:5" x14ac:dyDescent="0.3">
      <c r="A2492" t="s">
        <v>8504</v>
      </c>
      <c r="B2492" t="s">
        <v>584</v>
      </c>
      <c r="C2492">
        <v>10</v>
      </c>
      <c r="D2492" t="str">
        <f>VLOOKUP(B2492,Products!$A:$E,2,FALSE)</f>
        <v>Product_288</v>
      </c>
      <c r="E2492" t="str">
        <f>VLOOKUP(B2492,Products!$A:$E,3,FALSE)</f>
        <v>Networking</v>
      </c>
    </row>
    <row r="2493" spans="1:5" x14ac:dyDescent="0.3">
      <c r="A2493" t="s">
        <v>8505</v>
      </c>
      <c r="B2493" t="s">
        <v>986</v>
      </c>
      <c r="C2493">
        <v>6</v>
      </c>
      <c r="D2493" t="str">
        <f>VLOOKUP(B2493,Products!$A:$E,2,FALSE)</f>
        <v>Product_489</v>
      </c>
      <c r="E2493" t="str">
        <f>VLOOKUP(B2493,Products!$A:$E,3,FALSE)</f>
        <v>Networking</v>
      </c>
    </row>
    <row r="2494" spans="1:5" x14ac:dyDescent="0.3">
      <c r="A2494" t="s">
        <v>8506</v>
      </c>
      <c r="B2494" t="s">
        <v>740</v>
      </c>
      <c r="C2494">
        <v>18</v>
      </c>
      <c r="D2494" t="str">
        <f>VLOOKUP(B2494,Products!$A:$E,2,FALSE)</f>
        <v>Product_366</v>
      </c>
      <c r="E2494" t="str">
        <f>VLOOKUP(B2494,Products!$A:$E,3,FALSE)</f>
        <v>Electronics</v>
      </c>
    </row>
    <row r="2495" spans="1:5" x14ac:dyDescent="0.3">
      <c r="A2495" t="s">
        <v>8507</v>
      </c>
      <c r="B2495" t="s">
        <v>156</v>
      </c>
      <c r="C2495">
        <v>47</v>
      </c>
      <c r="D2495" t="str">
        <f>VLOOKUP(B2495,Products!$A:$E,2,FALSE)</f>
        <v>Product_74</v>
      </c>
      <c r="E2495" t="str">
        <f>VLOOKUP(B2495,Products!$A:$E,3,FALSE)</f>
        <v>Storage</v>
      </c>
    </row>
    <row r="2496" spans="1:5" x14ac:dyDescent="0.3">
      <c r="A2496" t="s">
        <v>8508</v>
      </c>
      <c r="B2496" t="s">
        <v>210</v>
      </c>
      <c r="C2496">
        <v>28</v>
      </c>
      <c r="D2496" t="str">
        <f>VLOOKUP(B2496,Products!$A:$E,2,FALSE)</f>
        <v>Product_101</v>
      </c>
      <c r="E2496" t="str">
        <f>VLOOKUP(B2496,Products!$A:$E,3,FALSE)</f>
        <v>Storage</v>
      </c>
    </row>
    <row r="2497" spans="1:5" x14ac:dyDescent="0.3">
      <c r="A2497" t="s">
        <v>8509</v>
      </c>
      <c r="B2497" t="s">
        <v>608</v>
      </c>
      <c r="C2497">
        <v>6</v>
      </c>
      <c r="D2497" t="str">
        <f>VLOOKUP(B2497,Products!$A:$E,2,FALSE)</f>
        <v>Product_300</v>
      </c>
      <c r="E2497" t="str">
        <f>VLOOKUP(B2497,Products!$A:$E,3,FALSE)</f>
        <v>Accessories</v>
      </c>
    </row>
    <row r="2498" spans="1:5" x14ac:dyDescent="0.3">
      <c r="A2498" t="s">
        <v>8510</v>
      </c>
      <c r="B2498" t="s">
        <v>306</v>
      </c>
      <c r="C2498">
        <v>15</v>
      </c>
      <c r="D2498" t="str">
        <f>VLOOKUP(B2498,Products!$A:$E,2,FALSE)</f>
        <v>Product_149</v>
      </c>
      <c r="E2498" t="str">
        <f>VLOOKUP(B2498,Products!$A:$E,3,FALSE)</f>
        <v>Accessories</v>
      </c>
    </row>
    <row r="2499" spans="1:5" x14ac:dyDescent="0.3">
      <c r="A2499" t="s">
        <v>8511</v>
      </c>
      <c r="B2499" t="s">
        <v>42</v>
      </c>
      <c r="C2499">
        <v>31</v>
      </c>
      <c r="D2499" t="str">
        <f>VLOOKUP(B2499,Products!$A:$E,2,FALSE)</f>
        <v>Product_17</v>
      </c>
      <c r="E2499" t="str">
        <f>VLOOKUP(B2499,Products!$A:$E,3,FALSE)</f>
        <v>Office Supplies</v>
      </c>
    </row>
    <row r="2500" spans="1:5" x14ac:dyDescent="0.3">
      <c r="A2500" t="s">
        <v>8512</v>
      </c>
      <c r="B2500" t="s">
        <v>964</v>
      </c>
      <c r="C2500">
        <v>23</v>
      </c>
      <c r="D2500" t="str">
        <f>VLOOKUP(B2500,Products!$A:$E,2,FALSE)</f>
        <v>Product_478</v>
      </c>
      <c r="E2500" t="str">
        <f>VLOOKUP(B2500,Products!$A:$E,3,FALSE)</f>
        <v>Office Supplies</v>
      </c>
    </row>
    <row r="2501" spans="1:5" x14ac:dyDescent="0.3">
      <c r="A2501" t="s">
        <v>8513</v>
      </c>
      <c r="B2501" t="s">
        <v>264</v>
      </c>
      <c r="C2501">
        <v>44</v>
      </c>
      <c r="D2501" t="str">
        <f>VLOOKUP(B2501,Products!$A:$E,2,FALSE)</f>
        <v>Product_128</v>
      </c>
      <c r="E2501" t="str">
        <f>VLOOKUP(B2501,Products!$A:$E,3,FALSE)</f>
        <v>Office Supplies</v>
      </c>
    </row>
    <row r="2502" spans="1:5" x14ac:dyDescent="0.3">
      <c r="A2502" t="s">
        <v>8514</v>
      </c>
      <c r="B2502" t="s">
        <v>662</v>
      </c>
      <c r="C2502">
        <v>25</v>
      </c>
      <c r="D2502" t="str">
        <f>VLOOKUP(B2502,Products!$A:$E,2,FALSE)</f>
        <v>Product_327</v>
      </c>
      <c r="E2502" t="str">
        <f>VLOOKUP(B2502,Products!$A:$E,3,FALSE)</f>
        <v>Networking</v>
      </c>
    </row>
    <row r="2503" spans="1:5" x14ac:dyDescent="0.3">
      <c r="A2503" t="s">
        <v>8515</v>
      </c>
      <c r="B2503" t="s">
        <v>442</v>
      </c>
      <c r="C2503">
        <v>26</v>
      </c>
      <c r="D2503" t="str">
        <f>VLOOKUP(B2503,Products!$A:$E,2,FALSE)</f>
        <v>Product_217</v>
      </c>
      <c r="E2503" t="str">
        <f>VLOOKUP(B2503,Products!$A:$E,3,FALSE)</f>
        <v>Networking</v>
      </c>
    </row>
    <row r="2504" spans="1:5" x14ac:dyDescent="0.3">
      <c r="A2504" t="s">
        <v>8516</v>
      </c>
      <c r="B2504" t="s">
        <v>1000</v>
      </c>
      <c r="C2504">
        <v>7</v>
      </c>
      <c r="D2504" t="str">
        <f>VLOOKUP(B2504,Products!$A:$E,2,FALSE)</f>
        <v>Product_496</v>
      </c>
      <c r="E2504" t="str">
        <f>VLOOKUP(B2504,Products!$A:$E,3,FALSE)</f>
        <v>Office Supplies</v>
      </c>
    </row>
    <row r="2505" spans="1:5" x14ac:dyDescent="0.3">
      <c r="A2505" t="s">
        <v>8517</v>
      </c>
      <c r="B2505" t="s">
        <v>924</v>
      </c>
      <c r="C2505">
        <v>17</v>
      </c>
      <c r="D2505" t="str">
        <f>VLOOKUP(B2505,Products!$A:$E,2,FALSE)</f>
        <v>Product_458</v>
      </c>
      <c r="E2505" t="str">
        <f>VLOOKUP(B2505,Products!$A:$E,3,FALSE)</f>
        <v>Accessories</v>
      </c>
    </row>
    <row r="2506" spans="1:5" x14ac:dyDescent="0.3">
      <c r="A2506" t="s">
        <v>8518</v>
      </c>
      <c r="B2506" t="s">
        <v>952</v>
      </c>
      <c r="C2506">
        <v>20</v>
      </c>
      <c r="D2506" t="str">
        <f>VLOOKUP(B2506,Products!$A:$E,2,FALSE)</f>
        <v>Product_472</v>
      </c>
      <c r="E2506" t="str">
        <f>VLOOKUP(B2506,Products!$A:$E,3,FALSE)</f>
        <v>Electronics</v>
      </c>
    </row>
    <row r="2507" spans="1:5" x14ac:dyDescent="0.3">
      <c r="A2507" t="s">
        <v>8519</v>
      </c>
      <c r="B2507" t="s">
        <v>620</v>
      </c>
      <c r="C2507">
        <v>20</v>
      </c>
      <c r="D2507" t="str">
        <f>VLOOKUP(B2507,Products!$A:$E,2,FALSE)</f>
        <v>Product_306</v>
      </c>
      <c r="E2507" t="str">
        <f>VLOOKUP(B2507,Products!$A:$E,3,FALSE)</f>
        <v>Accessories</v>
      </c>
    </row>
    <row r="2508" spans="1:5" x14ac:dyDescent="0.3">
      <c r="A2508" t="s">
        <v>8520</v>
      </c>
      <c r="B2508" t="s">
        <v>186</v>
      </c>
      <c r="C2508">
        <v>37</v>
      </c>
      <c r="D2508" t="str">
        <f>VLOOKUP(B2508,Products!$A:$E,2,FALSE)</f>
        <v>Product_89</v>
      </c>
      <c r="E2508" t="str">
        <f>VLOOKUP(B2508,Products!$A:$E,3,FALSE)</f>
        <v>Storage</v>
      </c>
    </row>
    <row r="2509" spans="1:5" x14ac:dyDescent="0.3">
      <c r="A2509" t="s">
        <v>8521</v>
      </c>
      <c r="B2509" t="s">
        <v>456</v>
      </c>
      <c r="C2509">
        <v>44</v>
      </c>
      <c r="D2509" t="str">
        <f>VLOOKUP(B2509,Products!$A:$E,2,FALSE)</f>
        <v>Product_224</v>
      </c>
      <c r="E2509" t="str">
        <f>VLOOKUP(B2509,Products!$A:$E,3,FALSE)</f>
        <v>Storage</v>
      </c>
    </row>
    <row r="2510" spans="1:5" x14ac:dyDescent="0.3">
      <c r="A2510" t="s">
        <v>8522</v>
      </c>
      <c r="B2510" t="s">
        <v>906</v>
      </c>
      <c r="C2510">
        <v>21</v>
      </c>
      <c r="D2510" t="str">
        <f>VLOOKUP(B2510,Products!$A:$E,2,FALSE)</f>
        <v>Product_449</v>
      </c>
      <c r="E2510" t="str">
        <f>VLOOKUP(B2510,Products!$A:$E,3,FALSE)</f>
        <v>Networking</v>
      </c>
    </row>
    <row r="2511" spans="1:5" x14ac:dyDescent="0.3">
      <c r="A2511" t="s">
        <v>8523</v>
      </c>
      <c r="B2511" t="s">
        <v>832</v>
      </c>
      <c r="C2511">
        <v>38</v>
      </c>
      <c r="D2511" t="str">
        <f>VLOOKUP(B2511,Products!$A:$E,2,FALSE)</f>
        <v>Product_412</v>
      </c>
      <c r="E2511" t="str">
        <f>VLOOKUP(B2511,Products!$A:$E,3,FALSE)</f>
        <v>Accessories</v>
      </c>
    </row>
    <row r="2512" spans="1:5" x14ac:dyDescent="0.3">
      <c r="A2512" t="s">
        <v>8524</v>
      </c>
      <c r="B2512" t="s">
        <v>152</v>
      </c>
      <c r="C2512">
        <v>44</v>
      </c>
      <c r="D2512" t="str">
        <f>VLOOKUP(B2512,Products!$A:$E,2,FALSE)</f>
        <v>Product_72</v>
      </c>
      <c r="E2512" t="str">
        <f>VLOOKUP(B2512,Products!$A:$E,3,FALSE)</f>
        <v>Networking</v>
      </c>
    </row>
    <row r="2513" spans="1:5" x14ac:dyDescent="0.3">
      <c r="A2513" t="s">
        <v>8525</v>
      </c>
      <c r="B2513" t="s">
        <v>796</v>
      </c>
      <c r="C2513">
        <v>13</v>
      </c>
      <c r="D2513" t="str">
        <f>VLOOKUP(B2513,Products!$A:$E,2,FALSE)</f>
        <v>Product_394</v>
      </c>
      <c r="E2513" t="str">
        <f>VLOOKUP(B2513,Products!$A:$E,3,FALSE)</f>
        <v>Electronics</v>
      </c>
    </row>
    <row r="2514" spans="1:5" x14ac:dyDescent="0.3">
      <c r="A2514" t="s">
        <v>8526</v>
      </c>
      <c r="B2514" t="s">
        <v>266</v>
      </c>
      <c r="C2514">
        <v>9</v>
      </c>
      <c r="D2514" t="str">
        <f>VLOOKUP(B2514,Products!$A:$E,2,FALSE)</f>
        <v>Product_129</v>
      </c>
      <c r="E2514" t="str">
        <f>VLOOKUP(B2514,Products!$A:$E,3,FALSE)</f>
        <v>Electronics</v>
      </c>
    </row>
    <row r="2515" spans="1:5" x14ac:dyDescent="0.3">
      <c r="A2515" t="s">
        <v>8527</v>
      </c>
      <c r="B2515" t="s">
        <v>436</v>
      </c>
      <c r="C2515">
        <v>36</v>
      </c>
      <c r="D2515" t="str">
        <f>VLOOKUP(B2515,Products!$A:$E,2,FALSE)</f>
        <v>Product_214</v>
      </c>
      <c r="E2515" t="str">
        <f>VLOOKUP(B2515,Products!$A:$E,3,FALSE)</f>
        <v>Electronics</v>
      </c>
    </row>
    <row r="2516" spans="1:5" x14ac:dyDescent="0.3">
      <c r="A2516" t="s">
        <v>8528</v>
      </c>
      <c r="B2516" t="s">
        <v>214</v>
      </c>
      <c r="C2516">
        <v>20</v>
      </c>
      <c r="D2516" t="str">
        <f>VLOOKUP(B2516,Products!$A:$E,2,FALSE)</f>
        <v>Product_103</v>
      </c>
      <c r="E2516" t="str">
        <f>VLOOKUP(B2516,Products!$A:$E,3,FALSE)</f>
        <v>Accessories</v>
      </c>
    </row>
    <row r="2517" spans="1:5" x14ac:dyDescent="0.3">
      <c r="A2517" t="s">
        <v>8529</v>
      </c>
      <c r="B2517" t="s">
        <v>322</v>
      </c>
      <c r="C2517">
        <v>6</v>
      </c>
      <c r="D2517" t="str">
        <f>VLOOKUP(B2517,Products!$A:$E,2,FALSE)</f>
        <v>Product_157</v>
      </c>
      <c r="E2517" t="str">
        <f>VLOOKUP(B2517,Products!$A:$E,3,FALSE)</f>
        <v>Electronics</v>
      </c>
    </row>
    <row r="2518" spans="1:5" x14ac:dyDescent="0.3">
      <c r="A2518" t="s">
        <v>8530</v>
      </c>
      <c r="B2518" t="s">
        <v>314</v>
      </c>
      <c r="C2518">
        <v>37</v>
      </c>
      <c r="D2518" t="str">
        <f>VLOOKUP(B2518,Products!$A:$E,2,FALSE)</f>
        <v>Product_153</v>
      </c>
      <c r="E2518" t="str">
        <f>VLOOKUP(B2518,Products!$A:$E,3,FALSE)</f>
        <v>Electronics</v>
      </c>
    </row>
    <row r="2519" spans="1:5" x14ac:dyDescent="0.3">
      <c r="A2519" t="s">
        <v>8531</v>
      </c>
      <c r="B2519" t="s">
        <v>958</v>
      </c>
      <c r="C2519">
        <v>41</v>
      </c>
      <c r="D2519" t="str">
        <f>VLOOKUP(B2519,Products!$A:$E,2,FALSE)</f>
        <v>Product_475</v>
      </c>
      <c r="E2519" t="str">
        <f>VLOOKUP(B2519,Products!$A:$E,3,FALSE)</f>
        <v>Electronics</v>
      </c>
    </row>
    <row r="2520" spans="1:5" x14ac:dyDescent="0.3">
      <c r="A2520" t="s">
        <v>8532</v>
      </c>
      <c r="B2520" t="s">
        <v>482</v>
      </c>
      <c r="C2520">
        <v>35</v>
      </c>
      <c r="D2520" t="str">
        <f>VLOOKUP(B2520,Products!$A:$E,2,FALSE)</f>
        <v>Product_237</v>
      </c>
      <c r="E2520" t="str">
        <f>VLOOKUP(B2520,Products!$A:$E,3,FALSE)</f>
        <v>Networking</v>
      </c>
    </row>
    <row r="2521" spans="1:5" x14ac:dyDescent="0.3">
      <c r="A2521" t="s">
        <v>8533</v>
      </c>
      <c r="B2521" t="s">
        <v>196</v>
      </c>
      <c r="C2521">
        <v>25</v>
      </c>
      <c r="D2521" t="str">
        <f>VLOOKUP(B2521,Products!$A:$E,2,FALSE)</f>
        <v>Product_94</v>
      </c>
      <c r="E2521" t="str">
        <f>VLOOKUP(B2521,Products!$A:$E,3,FALSE)</f>
        <v>Networking</v>
      </c>
    </row>
    <row r="2522" spans="1:5" x14ac:dyDescent="0.3">
      <c r="A2522" t="s">
        <v>8534</v>
      </c>
      <c r="B2522" t="s">
        <v>810</v>
      </c>
      <c r="C2522">
        <v>28</v>
      </c>
      <c r="D2522" t="str">
        <f>VLOOKUP(B2522,Products!$A:$E,2,FALSE)</f>
        <v>Product_401</v>
      </c>
      <c r="E2522" t="str">
        <f>VLOOKUP(B2522,Products!$A:$E,3,FALSE)</f>
        <v>Storage</v>
      </c>
    </row>
    <row r="2523" spans="1:5" x14ac:dyDescent="0.3">
      <c r="A2523" t="s">
        <v>8535</v>
      </c>
      <c r="B2523" t="s">
        <v>108</v>
      </c>
      <c r="C2523">
        <v>9</v>
      </c>
      <c r="D2523" t="str">
        <f>VLOOKUP(B2523,Products!$A:$E,2,FALSE)</f>
        <v>Product_50</v>
      </c>
      <c r="E2523" t="str">
        <f>VLOOKUP(B2523,Products!$A:$E,3,FALSE)</f>
        <v>Networking</v>
      </c>
    </row>
    <row r="2524" spans="1:5" x14ac:dyDescent="0.3">
      <c r="A2524" t="s">
        <v>8536</v>
      </c>
      <c r="B2524" t="s">
        <v>548</v>
      </c>
      <c r="C2524">
        <v>29</v>
      </c>
      <c r="D2524" t="str">
        <f>VLOOKUP(B2524,Products!$A:$E,2,FALSE)</f>
        <v>Product_270</v>
      </c>
      <c r="E2524" t="str">
        <f>VLOOKUP(B2524,Products!$A:$E,3,FALSE)</f>
        <v>Electronics</v>
      </c>
    </row>
    <row r="2525" spans="1:5" x14ac:dyDescent="0.3">
      <c r="A2525" t="s">
        <v>8537</v>
      </c>
      <c r="B2525" t="s">
        <v>720</v>
      </c>
      <c r="C2525">
        <v>21</v>
      </c>
      <c r="D2525" t="str">
        <f>VLOOKUP(B2525,Products!$A:$E,2,FALSE)</f>
        <v>Product_356</v>
      </c>
      <c r="E2525" t="str">
        <f>VLOOKUP(B2525,Products!$A:$E,3,FALSE)</f>
        <v>Accessories</v>
      </c>
    </row>
    <row r="2526" spans="1:5" x14ac:dyDescent="0.3">
      <c r="A2526" t="s">
        <v>8538</v>
      </c>
      <c r="B2526" t="s">
        <v>524</v>
      </c>
      <c r="C2526">
        <v>44</v>
      </c>
      <c r="D2526" t="str">
        <f>VLOOKUP(B2526,Products!$A:$E,2,FALSE)</f>
        <v>Product_258</v>
      </c>
      <c r="E2526" t="str">
        <f>VLOOKUP(B2526,Products!$A:$E,3,FALSE)</f>
        <v>Networking</v>
      </c>
    </row>
    <row r="2527" spans="1:5" x14ac:dyDescent="0.3">
      <c r="A2527" t="s">
        <v>8539</v>
      </c>
      <c r="B2527" t="s">
        <v>738</v>
      </c>
      <c r="C2527">
        <v>23</v>
      </c>
      <c r="D2527" t="str">
        <f>VLOOKUP(B2527,Products!$A:$E,2,FALSE)</f>
        <v>Product_365</v>
      </c>
      <c r="E2527" t="str">
        <f>VLOOKUP(B2527,Products!$A:$E,3,FALSE)</f>
        <v>Storage</v>
      </c>
    </row>
    <row r="2528" spans="1:5" x14ac:dyDescent="0.3">
      <c r="A2528" t="s">
        <v>8540</v>
      </c>
      <c r="B2528" t="s">
        <v>488</v>
      </c>
      <c r="C2528">
        <v>23</v>
      </c>
      <c r="D2528" t="str">
        <f>VLOOKUP(B2528,Products!$A:$E,2,FALSE)</f>
        <v>Product_240</v>
      </c>
      <c r="E2528" t="str">
        <f>VLOOKUP(B2528,Products!$A:$E,3,FALSE)</f>
        <v>Storage</v>
      </c>
    </row>
    <row r="2529" spans="1:5" x14ac:dyDescent="0.3">
      <c r="A2529" t="s">
        <v>8541</v>
      </c>
      <c r="B2529" t="s">
        <v>446</v>
      </c>
      <c r="C2529">
        <v>30</v>
      </c>
      <c r="D2529" t="str">
        <f>VLOOKUP(B2529,Products!$A:$E,2,FALSE)</f>
        <v>Product_219</v>
      </c>
      <c r="E2529" t="str">
        <f>VLOOKUP(B2529,Products!$A:$E,3,FALSE)</f>
        <v>Accessories</v>
      </c>
    </row>
    <row r="2530" spans="1:5" x14ac:dyDescent="0.3">
      <c r="A2530" t="s">
        <v>8542</v>
      </c>
      <c r="B2530" t="s">
        <v>440</v>
      </c>
      <c r="C2530">
        <v>27</v>
      </c>
      <c r="D2530" t="str">
        <f>VLOOKUP(B2530,Products!$A:$E,2,FALSE)</f>
        <v>Product_216</v>
      </c>
      <c r="E2530" t="str">
        <f>VLOOKUP(B2530,Products!$A:$E,3,FALSE)</f>
        <v>Accessories</v>
      </c>
    </row>
    <row r="2531" spans="1:5" x14ac:dyDescent="0.3">
      <c r="A2531" t="s">
        <v>8543</v>
      </c>
      <c r="B2531" t="s">
        <v>482</v>
      </c>
      <c r="C2531">
        <v>2</v>
      </c>
      <c r="D2531" t="str">
        <f>VLOOKUP(B2531,Products!$A:$E,2,FALSE)</f>
        <v>Product_237</v>
      </c>
      <c r="E2531" t="str">
        <f>VLOOKUP(B2531,Products!$A:$E,3,FALSE)</f>
        <v>Networking</v>
      </c>
    </row>
    <row r="2532" spans="1:5" x14ac:dyDescent="0.3">
      <c r="A2532" t="s">
        <v>8544</v>
      </c>
      <c r="B2532" t="s">
        <v>944</v>
      </c>
      <c r="C2532">
        <v>36</v>
      </c>
      <c r="D2532" t="str">
        <f>VLOOKUP(B2532,Products!$A:$E,2,FALSE)</f>
        <v>Product_468</v>
      </c>
      <c r="E2532" t="str">
        <f>VLOOKUP(B2532,Products!$A:$E,3,FALSE)</f>
        <v>Office Supplies</v>
      </c>
    </row>
    <row r="2533" spans="1:5" x14ac:dyDescent="0.3">
      <c r="A2533" t="s">
        <v>8545</v>
      </c>
      <c r="B2533" t="s">
        <v>36</v>
      </c>
      <c r="C2533">
        <v>50</v>
      </c>
      <c r="D2533" t="str">
        <f>VLOOKUP(B2533,Products!$A:$E,2,FALSE)</f>
        <v>Product_14</v>
      </c>
      <c r="E2533" t="str">
        <f>VLOOKUP(B2533,Products!$A:$E,3,FALSE)</f>
        <v>Accessories</v>
      </c>
    </row>
    <row r="2534" spans="1:5" x14ac:dyDescent="0.3">
      <c r="A2534" t="s">
        <v>8546</v>
      </c>
      <c r="B2534" t="s">
        <v>440</v>
      </c>
      <c r="C2534">
        <v>6</v>
      </c>
      <c r="D2534" t="str">
        <f>VLOOKUP(B2534,Products!$A:$E,2,FALSE)</f>
        <v>Product_216</v>
      </c>
      <c r="E2534" t="str">
        <f>VLOOKUP(B2534,Products!$A:$E,3,FALSE)</f>
        <v>Accessories</v>
      </c>
    </row>
    <row r="2535" spans="1:5" x14ac:dyDescent="0.3">
      <c r="A2535" t="s">
        <v>8547</v>
      </c>
      <c r="B2535" t="s">
        <v>782</v>
      </c>
      <c r="C2535">
        <v>9</v>
      </c>
      <c r="D2535" t="str">
        <f>VLOOKUP(B2535,Products!$A:$E,2,FALSE)</f>
        <v>Product_387</v>
      </c>
      <c r="E2535" t="str">
        <f>VLOOKUP(B2535,Products!$A:$E,3,FALSE)</f>
        <v>Storage</v>
      </c>
    </row>
    <row r="2536" spans="1:5" x14ac:dyDescent="0.3">
      <c r="A2536" t="s">
        <v>8548</v>
      </c>
      <c r="B2536" t="s">
        <v>638</v>
      </c>
      <c r="C2536">
        <v>20</v>
      </c>
      <c r="D2536" t="str">
        <f>VLOOKUP(B2536,Products!$A:$E,2,FALSE)</f>
        <v>Product_315</v>
      </c>
      <c r="E2536" t="str">
        <f>VLOOKUP(B2536,Products!$A:$E,3,FALSE)</f>
        <v>Accessories</v>
      </c>
    </row>
    <row r="2537" spans="1:5" x14ac:dyDescent="0.3">
      <c r="A2537" t="s">
        <v>8549</v>
      </c>
      <c r="B2537" t="s">
        <v>814</v>
      </c>
      <c r="C2537">
        <v>16</v>
      </c>
      <c r="D2537" t="str">
        <f>VLOOKUP(B2537,Products!$A:$E,2,FALSE)</f>
        <v>Product_403</v>
      </c>
      <c r="E2537" t="str">
        <f>VLOOKUP(B2537,Products!$A:$E,3,FALSE)</f>
        <v>Networking</v>
      </c>
    </row>
    <row r="2538" spans="1:5" x14ac:dyDescent="0.3">
      <c r="A2538" t="s">
        <v>8550</v>
      </c>
      <c r="B2538" t="s">
        <v>604</v>
      </c>
      <c r="C2538">
        <v>33</v>
      </c>
      <c r="D2538" t="str">
        <f>VLOOKUP(B2538,Products!$A:$E,2,FALSE)</f>
        <v>Product_298</v>
      </c>
      <c r="E2538" t="str">
        <f>VLOOKUP(B2538,Products!$A:$E,3,FALSE)</f>
        <v>Office Supplies</v>
      </c>
    </row>
    <row r="2539" spans="1:5" x14ac:dyDescent="0.3">
      <c r="A2539" t="s">
        <v>8551</v>
      </c>
      <c r="B2539" t="s">
        <v>392</v>
      </c>
      <c r="C2539">
        <v>9</v>
      </c>
      <c r="D2539" t="str">
        <f>VLOOKUP(B2539,Products!$A:$E,2,FALSE)</f>
        <v>Product_192</v>
      </c>
      <c r="E2539" t="str">
        <f>VLOOKUP(B2539,Products!$A:$E,3,FALSE)</f>
        <v>Office Supplies</v>
      </c>
    </row>
    <row r="2540" spans="1:5" x14ac:dyDescent="0.3">
      <c r="A2540" t="s">
        <v>8552</v>
      </c>
      <c r="B2540" t="s">
        <v>644</v>
      </c>
      <c r="C2540">
        <v>35</v>
      </c>
      <c r="D2540" t="str">
        <f>VLOOKUP(B2540,Products!$A:$E,2,FALSE)</f>
        <v>Product_318</v>
      </c>
      <c r="E2540" t="str">
        <f>VLOOKUP(B2540,Products!$A:$E,3,FALSE)</f>
        <v>Storage</v>
      </c>
    </row>
    <row r="2541" spans="1:5" x14ac:dyDescent="0.3">
      <c r="A2541" t="s">
        <v>8553</v>
      </c>
      <c r="B2541" t="s">
        <v>930</v>
      </c>
      <c r="C2541">
        <v>37</v>
      </c>
      <c r="D2541" t="str">
        <f>VLOOKUP(B2541,Products!$A:$E,2,FALSE)</f>
        <v>Product_461</v>
      </c>
      <c r="E2541" t="str">
        <f>VLOOKUP(B2541,Products!$A:$E,3,FALSE)</f>
        <v>Accessories</v>
      </c>
    </row>
    <row r="2542" spans="1:5" x14ac:dyDescent="0.3">
      <c r="A2542" t="s">
        <v>8554</v>
      </c>
      <c r="B2542" t="s">
        <v>908</v>
      </c>
      <c r="C2542">
        <v>19</v>
      </c>
      <c r="D2542" t="str">
        <f>VLOOKUP(B2542,Products!$A:$E,2,FALSE)</f>
        <v>Product_450</v>
      </c>
      <c r="E2542" t="str">
        <f>VLOOKUP(B2542,Products!$A:$E,3,FALSE)</f>
        <v>Networking</v>
      </c>
    </row>
    <row r="2543" spans="1:5" x14ac:dyDescent="0.3">
      <c r="A2543" t="s">
        <v>8555</v>
      </c>
      <c r="B2543" t="s">
        <v>64</v>
      </c>
      <c r="C2543">
        <v>49</v>
      </c>
      <c r="D2543" t="str">
        <f>VLOOKUP(B2543,Products!$A:$E,2,FALSE)</f>
        <v>Product_28</v>
      </c>
      <c r="E2543" t="str">
        <f>VLOOKUP(B2543,Products!$A:$E,3,FALSE)</f>
        <v>Office Supplies</v>
      </c>
    </row>
    <row r="2544" spans="1:5" x14ac:dyDescent="0.3">
      <c r="A2544" t="s">
        <v>8556</v>
      </c>
      <c r="B2544" t="s">
        <v>874</v>
      </c>
      <c r="C2544">
        <v>26</v>
      </c>
      <c r="D2544" t="str">
        <f>VLOOKUP(B2544,Products!$A:$E,2,FALSE)</f>
        <v>Product_433</v>
      </c>
      <c r="E2544" t="str">
        <f>VLOOKUP(B2544,Products!$A:$E,3,FALSE)</f>
        <v>Office Supplies</v>
      </c>
    </row>
    <row r="2545" spans="1:5" x14ac:dyDescent="0.3">
      <c r="A2545" t="s">
        <v>8557</v>
      </c>
      <c r="B2545" t="s">
        <v>138</v>
      </c>
      <c r="C2545">
        <v>26</v>
      </c>
      <c r="D2545" t="str">
        <f>VLOOKUP(B2545,Products!$A:$E,2,FALSE)</f>
        <v>Product_65</v>
      </c>
      <c r="E2545" t="str">
        <f>VLOOKUP(B2545,Products!$A:$E,3,FALSE)</f>
        <v>Office Supplies</v>
      </c>
    </row>
    <row r="2546" spans="1:5" x14ac:dyDescent="0.3">
      <c r="A2546" t="s">
        <v>8558</v>
      </c>
      <c r="B2546" t="s">
        <v>696</v>
      </c>
      <c r="C2546">
        <v>1</v>
      </c>
      <c r="D2546" t="str">
        <f>VLOOKUP(B2546,Products!$A:$E,2,FALSE)</f>
        <v>Product_344</v>
      </c>
      <c r="E2546" t="str">
        <f>VLOOKUP(B2546,Products!$A:$E,3,FALSE)</f>
        <v>Accessories</v>
      </c>
    </row>
    <row r="2547" spans="1:5" x14ac:dyDescent="0.3">
      <c r="A2547" t="s">
        <v>8559</v>
      </c>
      <c r="B2547" t="s">
        <v>482</v>
      </c>
      <c r="C2547">
        <v>49</v>
      </c>
      <c r="D2547" t="str">
        <f>VLOOKUP(B2547,Products!$A:$E,2,FALSE)</f>
        <v>Product_237</v>
      </c>
      <c r="E2547" t="str">
        <f>VLOOKUP(B2547,Products!$A:$E,3,FALSE)</f>
        <v>Networking</v>
      </c>
    </row>
    <row r="2548" spans="1:5" x14ac:dyDescent="0.3">
      <c r="A2548" t="s">
        <v>8560</v>
      </c>
      <c r="B2548" t="s">
        <v>904</v>
      </c>
      <c r="C2548">
        <v>34</v>
      </c>
      <c r="D2548" t="str">
        <f>VLOOKUP(B2548,Products!$A:$E,2,FALSE)</f>
        <v>Product_448</v>
      </c>
      <c r="E2548" t="str">
        <f>VLOOKUP(B2548,Products!$A:$E,3,FALSE)</f>
        <v>Networking</v>
      </c>
    </row>
    <row r="2549" spans="1:5" x14ac:dyDescent="0.3">
      <c r="A2549" t="s">
        <v>8561</v>
      </c>
      <c r="B2549" t="s">
        <v>480</v>
      </c>
      <c r="C2549">
        <v>4</v>
      </c>
      <c r="D2549" t="str">
        <f>VLOOKUP(B2549,Products!$A:$E,2,FALSE)</f>
        <v>Product_236</v>
      </c>
      <c r="E2549" t="str">
        <f>VLOOKUP(B2549,Products!$A:$E,3,FALSE)</f>
        <v>Networking</v>
      </c>
    </row>
    <row r="2550" spans="1:5" x14ac:dyDescent="0.3">
      <c r="A2550" t="s">
        <v>8562</v>
      </c>
      <c r="B2550" t="s">
        <v>96</v>
      </c>
      <c r="C2550">
        <v>4</v>
      </c>
      <c r="D2550" t="str">
        <f>VLOOKUP(B2550,Products!$A:$E,2,FALSE)</f>
        <v>Product_44</v>
      </c>
      <c r="E2550" t="str">
        <f>VLOOKUP(B2550,Products!$A:$E,3,FALSE)</f>
        <v>Storage</v>
      </c>
    </row>
    <row r="2551" spans="1:5" x14ac:dyDescent="0.3">
      <c r="A2551" t="s">
        <v>8563</v>
      </c>
      <c r="B2551" t="s">
        <v>286</v>
      </c>
      <c r="C2551">
        <v>42</v>
      </c>
      <c r="D2551" t="str">
        <f>VLOOKUP(B2551,Products!$A:$E,2,FALSE)</f>
        <v>Product_139</v>
      </c>
      <c r="E2551" t="str">
        <f>VLOOKUP(B2551,Products!$A:$E,3,FALSE)</f>
        <v>Storage</v>
      </c>
    </row>
    <row r="2552" spans="1:5" x14ac:dyDescent="0.3">
      <c r="A2552" t="s">
        <v>8564</v>
      </c>
      <c r="B2552" t="s">
        <v>118</v>
      </c>
      <c r="C2552">
        <v>22</v>
      </c>
      <c r="D2552" t="str">
        <f>VLOOKUP(B2552,Products!$A:$E,2,FALSE)</f>
        <v>Product_55</v>
      </c>
      <c r="E2552" t="str">
        <f>VLOOKUP(B2552,Products!$A:$E,3,FALSE)</f>
        <v>Office Supplies</v>
      </c>
    </row>
    <row r="2553" spans="1:5" x14ac:dyDescent="0.3">
      <c r="A2553" t="s">
        <v>8565</v>
      </c>
      <c r="B2553" t="s">
        <v>618</v>
      </c>
      <c r="C2553">
        <v>7</v>
      </c>
      <c r="D2553" t="str">
        <f>VLOOKUP(B2553,Products!$A:$E,2,FALSE)</f>
        <v>Product_305</v>
      </c>
      <c r="E2553" t="str">
        <f>VLOOKUP(B2553,Products!$A:$E,3,FALSE)</f>
        <v>Accessories</v>
      </c>
    </row>
    <row r="2554" spans="1:5" x14ac:dyDescent="0.3">
      <c r="A2554" t="s">
        <v>8566</v>
      </c>
      <c r="B2554" t="s">
        <v>850</v>
      </c>
      <c r="C2554">
        <v>19</v>
      </c>
      <c r="D2554" t="str">
        <f>VLOOKUP(B2554,Products!$A:$E,2,FALSE)</f>
        <v>Product_421</v>
      </c>
      <c r="E2554" t="str">
        <f>VLOOKUP(B2554,Products!$A:$E,3,FALSE)</f>
        <v>Accessories</v>
      </c>
    </row>
    <row r="2555" spans="1:5" x14ac:dyDescent="0.3">
      <c r="A2555" t="s">
        <v>8567</v>
      </c>
      <c r="B2555" t="s">
        <v>588</v>
      </c>
      <c r="C2555">
        <v>31</v>
      </c>
      <c r="D2555" t="str">
        <f>VLOOKUP(B2555,Products!$A:$E,2,FALSE)</f>
        <v>Product_290</v>
      </c>
      <c r="E2555" t="str">
        <f>VLOOKUP(B2555,Products!$A:$E,3,FALSE)</f>
        <v>Accessories</v>
      </c>
    </row>
    <row r="2556" spans="1:5" x14ac:dyDescent="0.3">
      <c r="A2556" t="s">
        <v>8568</v>
      </c>
      <c r="B2556" t="s">
        <v>716</v>
      </c>
      <c r="C2556">
        <v>22</v>
      </c>
      <c r="D2556" t="str">
        <f>VLOOKUP(B2556,Products!$A:$E,2,FALSE)</f>
        <v>Product_354</v>
      </c>
      <c r="E2556" t="str">
        <f>VLOOKUP(B2556,Products!$A:$E,3,FALSE)</f>
        <v>Storage</v>
      </c>
    </row>
    <row r="2557" spans="1:5" x14ac:dyDescent="0.3">
      <c r="A2557" t="s">
        <v>8569</v>
      </c>
      <c r="B2557" t="s">
        <v>894</v>
      </c>
      <c r="C2557">
        <v>4</v>
      </c>
      <c r="D2557" t="str">
        <f>VLOOKUP(B2557,Products!$A:$E,2,FALSE)</f>
        <v>Product_443</v>
      </c>
      <c r="E2557" t="str">
        <f>VLOOKUP(B2557,Products!$A:$E,3,FALSE)</f>
        <v>Networking</v>
      </c>
    </row>
    <row r="2558" spans="1:5" x14ac:dyDescent="0.3">
      <c r="A2558" t="s">
        <v>8570</v>
      </c>
      <c r="B2558" t="s">
        <v>134</v>
      </c>
      <c r="C2558">
        <v>48</v>
      </c>
      <c r="D2558" t="str">
        <f>VLOOKUP(B2558,Products!$A:$E,2,FALSE)</f>
        <v>Product_63</v>
      </c>
      <c r="E2558" t="str">
        <f>VLOOKUP(B2558,Products!$A:$E,3,FALSE)</f>
        <v>Accessories</v>
      </c>
    </row>
    <row r="2559" spans="1:5" x14ac:dyDescent="0.3">
      <c r="A2559" t="s">
        <v>8571</v>
      </c>
      <c r="B2559" t="s">
        <v>608</v>
      </c>
      <c r="C2559">
        <v>44</v>
      </c>
      <c r="D2559" t="str">
        <f>VLOOKUP(B2559,Products!$A:$E,2,FALSE)</f>
        <v>Product_300</v>
      </c>
      <c r="E2559" t="str">
        <f>VLOOKUP(B2559,Products!$A:$E,3,FALSE)</f>
        <v>Accessories</v>
      </c>
    </row>
    <row r="2560" spans="1:5" x14ac:dyDescent="0.3">
      <c r="A2560" t="s">
        <v>8572</v>
      </c>
      <c r="B2560" t="s">
        <v>532</v>
      </c>
      <c r="C2560">
        <v>48</v>
      </c>
      <c r="D2560" t="str">
        <f>VLOOKUP(B2560,Products!$A:$E,2,FALSE)</f>
        <v>Product_262</v>
      </c>
      <c r="E2560" t="str">
        <f>VLOOKUP(B2560,Products!$A:$E,3,FALSE)</f>
        <v>Electronics</v>
      </c>
    </row>
    <row r="2561" spans="1:5" x14ac:dyDescent="0.3">
      <c r="A2561" t="s">
        <v>8573</v>
      </c>
      <c r="B2561" t="s">
        <v>744</v>
      </c>
      <c r="C2561">
        <v>4</v>
      </c>
      <c r="D2561" t="str">
        <f>VLOOKUP(B2561,Products!$A:$E,2,FALSE)</f>
        <v>Product_368</v>
      </c>
      <c r="E2561" t="str">
        <f>VLOOKUP(B2561,Products!$A:$E,3,FALSE)</f>
        <v>Office Supplies</v>
      </c>
    </row>
    <row r="2562" spans="1:5" x14ac:dyDescent="0.3">
      <c r="A2562" t="s">
        <v>8574</v>
      </c>
      <c r="B2562" t="s">
        <v>728</v>
      </c>
      <c r="C2562">
        <v>14</v>
      </c>
      <c r="D2562" t="str">
        <f>VLOOKUP(B2562,Products!$A:$E,2,FALSE)</f>
        <v>Product_360</v>
      </c>
      <c r="E2562" t="str">
        <f>VLOOKUP(B2562,Products!$A:$E,3,FALSE)</f>
        <v>Office Supplies</v>
      </c>
    </row>
    <row r="2563" spans="1:5" x14ac:dyDescent="0.3">
      <c r="A2563" t="s">
        <v>8575</v>
      </c>
      <c r="B2563" t="s">
        <v>538</v>
      </c>
      <c r="C2563">
        <v>10</v>
      </c>
      <c r="D2563" t="str">
        <f>VLOOKUP(B2563,Products!$A:$E,2,FALSE)</f>
        <v>Product_265</v>
      </c>
      <c r="E2563" t="str">
        <f>VLOOKUP(B2563,Products!$A:$E,3,FALSE)</f>
        <v>Accessories</v>
      </c>
    </row>
    <row r="2564" spans="1:5" x14ac:dyDescent="0.3">
      <c r="A2564" t="s">
        <v>8576</v>
      </c>
      <c r="B2564" t="s">
        <v>584</v>
      </c>
      <c r="C2564">
        <v>48</v>
      </c>
      <c r="D2564" t="str">
        <f>VLOOKUP(B2564,Products!$A:$E,2,FALSE)</f>
        <v>Product_288</v>
      </c>
      <c r="E2564" t="str">
        <f>VLOOKUP(B2564,Products!$A:$E,3,FALSE)</f>
        <v>Networking</v>
      </c>
    </row>
    <row r="2565" spans="1:5" x14ac:dyDescent="0.3">
      <c r="A2565" t="s">
        <v>8577</v>
      </c>
      <c r="B2565" t="s">
        <v>1000</v>
      </c>
      <c r="C2565">
        <v>32</v>
      </c>
      <c r="D2565" t="str">
        <f>VLOOKUP(B2565,Products!$A:$E,2,FALSE)</f>
        <v>Product_496</v>
      </c>
      <c r="E2565" t="str">
        <f>VLOOKUP(B2565,Products!$A:$E,3,FALSE)</f>
        <v>Office Supplies</v>
      </c>
    </row>
    <row r="2566" spans="1:5" x14ac:dyDescent="0.3">
      <c r="A2566" t="s">
        <v>8578</v>
      </c>
      <c r="B2566" t="s">
        <v>148</v>
      </c>
      <c r="C2566">
        <v>15</v>
      </c>
      <c r="D2566" t="str">
        <f>VLOOKUP(B2566,Products!$A:$E,2,FALSE)</f>
        <v>Product_70</v>
      </c>
      <c r="E2566" t="str">
        <f>VLOOKUP(B2566,Products!$A:$E,3,FALSE)</f>
        <v>Electronics</v>
      </c>
    </row>
    <row r="2567" spans="1:5" x14ac:dyDescent="0.3">
      <c r="A2567" t="s">
        <v>8579</v>
      </c>
      <c r="B2567" t="s">
        <v>926</v>
      </c>
      <c r="C2567">
        <v>44</v>
      </c>
      <c r="D2567" t="str">
        <f>VLOOKUP(B2567,Products!$A:$E,2,FALSE)</f>
        <v>Product_459</v>
      </c>
      <c r="E2567" t="str">
        <f>VLOOKUP(B2567,Products!$A:$E,3,FALSE)</f>
        <v>Office Supplies</v>
      </c>
    </row>
    <row r="2568" spans="1:5" x14ac:dyDescent="0.3">
      <c r="A2568" t="s">
        <v>8580</v>
      </c>
      <c r="B2568" t="s">
        <v>664</v>
      </c>
      <c r="C2568">
        <v>10</v>
      </c>
      <c r="D2568" t="str">
        <f>VLOOKUP(B2568,Products!$A:$E,2,FALSE)</f>
        <v>Product_328</v>
      </c>
      <c r="E2568" t="str">
        <f>VLOOKUP(B2568,Products!$A:$E,3,FALSE)</f>
        <v>Office Supplies</v>
      </c>
    </row>
    <row r="2569" spans="1:5" x14ac:dyDescent="0.3">
      <c r="A2569" t="s">
        <v>8581</v>
      </c>
      <c r="B2569" t="s">
        <v>318</v>
      </c>
      <c r="C2569">
        <v>41</v>
      </c>
      <c r="D2569" t="str">
        <f>VLOOKUP(B2569,Products!$A:$E,2,FALSE)</f>
        <v>Product_155</v>
      </c>
      <c r="E2569" t="str">
        <f>VLOOKUP(B2569,Products!$A:$E,3,FALSE)</f>
        <v>Office Supplies</v>
      </c>
    </row>
    <row r="2570" spans="1:5" x14ac:dyDescent="0.3">
      <c r="A2570" t="s">
        <v>8582</v>
      </c>
      <c r="B2570" t="s">
        <v>328</v>
      </c>
      <c r="C2570">
        <v>47</v>
      </c>
      <c r="D2570" t="str">
        <f>VLOOKUP(B2570,Products!$A:$E,2,FALSE)</f>
        <v>Product_160</v>
      </c>
      <c r="E2570" t="str">
        <f>VLOOKUP(B2570,Products!$A:$E,3,FALSE)</f>
        <v>Office Supplies</v>
      </c>
    </row>
    <row r="2571" spans="1:5" x14ac:dyDescent="0.3">
      <c r="A2571" t="s">
        <v>8583</v>
      </c>
      <c r="B2571" t="s">
        <v>968</v>
      </c>
      <c r="C2571">
        <v>1</v>
      </c>
      <c r="D2571" t="str">
        <f>VLOOKUP(B2571,Products!$A:$E,2,FALSE)</f>
        <v>Product_480</v>
      </c>
      <c r="E2571" t="str">
        <f>VLOOKUP(B2571,Products!$A:$E,3,FALSE)</f>
        <v>Accessories</v>
      </c>
    </row>
    <row r="2572" spans="1:5" x14ac:dyDescent="0.3">
      <c r="A2572" t="s">
        <v>8584</v>
      </c>
      <c r="B2572" t="s">
        <v>834</v>
      </c>
      <c r="C2572">
        <v>32</v>
      </c>
      <c r="D2572" t="str">
        <f>VLOOKUP(B2572,Products!$A:$E,2,FALSE)</f>
        <v>Product_413</v>
      </c>
      <c r="E2572" t="str">
        <f>VLOOKUP(B2572,Products!$A:$E,3,FALSE)</f>
        <v>Accessories</v>
      </c>
    </row>
    <row r="2573" spans="1:5" x14ac:dyDescent="0.3">
      <c r="A2573" t="s">
        <v>8585</v>
      </c>
      <c r="B2573" t="s">
        <v>648</v>
      </c>
      <c r="C2573">
        <v>45</v>
      </c>
      <c r="D2573" t="str">
        <f>VLOOKUP(B2573,Products!$A:$E,2,FALSE)</f>
        <v>Product_320</v>
      </c>
      <c r="E2573" t="str">
        <f>VLOOKUP(B2573,Products!$A:$E,3,FALSE)</f>
        <v>Office Supplies</v>
      </c>
    </row>
    <row r="2574" spans="1:5" x14ac:dyDescent="0.3">
      <c r="A2574" t="s">
        <v>8586</v>
      </c>
      <c r="B2574" t="s">
        <v>214</v>
      </c>
      <c r="C2574">
        <v>8</v>
      </c>
      <c r="D2574" t="str">
        <f>VLOOKUP(B2574,Products!$A:$E,2,FALSE)</f>
        <v>Product_103</v>
      </c>
      <c r="E2574" t="str">
        <f>VLOOKUP(B2574,Products!$A:$E,3,FALSE)</f>
        <v>Accessories</v>
      </c>
    </row>
    <row r="2575" spans="1:5" x14ac:dyDescent="0.3">
      <c r="A2575" t="s">
        <v>8587</v>
      </c>
      <c r="B2575" t="s">
        <v>78</v>
      </c>
      <c r="C2575">
        <v>1</v>
      </c>
      <c r="D2575" t="str">
        <f>VLOOKUP(B2575,Products!$A:$E,2,FALSE)</f>
        <v>Product_35</v>
      </c>
      <c r="E2575" t="str">
        <f>VLOOKUP(B2575,Products!$A:$E,3,FALSE)</f>
        <v>Electronics</v>
      </c>
    </row>
    <row r="2576" spans="1:5" x14ac:dyDescent="0.3">
      <c r="A2576" t="s">
        <v>8588</v>
      </c>
      <c r="B2576" t="s">
        <v>166</v>
      </c>
      <c r="C2576">
        <v>39</v>
      </c>
      <c r="D2576" t="str">
        <f>VLOOKUP(B2576,Products!$A:$E,2,FALSE)</f>
        <v>Product_79</v>
      </c>
      <c r="E2576" t="str">
        <f>VLOOKUP(B2576,Products!$A:$E,3,FALSE)</f>
        <v>Storage</v>
      </c>
    </row>
    <row r="2577" spans="1:5" x14ac:dyDescent="0.3">
      <c r="A2577" t="s">
        <v>8589</v>
      </c>
      <c r="B2577" t="s">
        <v>910</v>
      </c>
      <c r="C2577">
        <v>8</v>
      </c>
      <c r="D2577" t="str">
        <f>VLOOKUP(B2577,Products!$A:$E,2,FALSE)</f>
        <v>Product_451</v>
      </c>
      <c r="E2577" t="str">
        <f>VLOOKUP(B2577,Products!$A:$E,3,FALSE)</f>
        <v>Accessories</v>
      </c>
    </row>
    <row r="2578" spans="1:5" x14ac:dyDescent="0.3">
      <c r="A2578" t="s">
        <v>8590</v>
      </c>
      <c r="B2578" t="s">
        <v>542</v>
      </c>
      <c r="C2578">
        <v>7</v>
      </c>
      <c r="D2578" t="str">
        <f>VLOOKUP(B2578,Products!$A:$E,2,FALSE)</f>
        <v>Product_267</v>
      </c>
      <c r="E2578" t="str">
        <f>VLOOKUP(B2578,Products!$A:$E,3,FALSE)</f>
        <v>Networking</v>
      </c>
    </row>
    <row r="2579" spans="1:5" x14ac:dyDescent="0.3">
      <c r="A2579" t="s">
        <v>8591</v>
      </c>
      <c r="B2579" t="s">
        <v>262</v>
      </c>
      <c r="C2579">
        <v>14</v>
      </c>
      <c r="D2579" t="str">
        <f>VLOOKUP(B2579,Products!$A:$E,2,FALSE)</f>
        <v>Product_127</v>
      </c>
      <c r="E2579" t="str">
        <f>VLOOKUP(B2579,Products!$A:$E,3,FALSE)</f>
        <v>Networking</v>
      </c>
    </row>
    <row r="2580" spans="1:5" x14ac:dyDescent="0.3">
      <c r="A2580" t="s">
        <v>8592</v>
      </c>
      <c r="B2580" t="s">
        <v>116</v>
      </c>
      <c r="C2580">
        <v>31</v>
      </c>
      <c r="D2580" t="str">
        <f>VLOOKUP(B2580,Products!$A:$E,2,FALSE)</f>
        <v>Product_54</v>
      </c>
      <c r="E2580" t="str">
        <f>VLOOKUP(B2580,Products!$A:$E,3,FALSE)</f>
        <v>Storage</v>
      </c>
    </row>
    <row r="2581" spans="1:5" x14ac:dyDescent="0.3">
      <c r="A2581" t="s">
        <v>8593</v>
      </c>
      <c r="B2581" t="s">
        <v>34</v>
      </c>
      <c r="C2581">
        <v>33</v>
      </c>
      <c r="D2581" t="str">
        <f>VLOOKUP(B2581,Products!$A:$E,2,FALSE)</f>
        <v>Product_13</v>
      </c>
      <c r="E2581" t="str">
        <f>VLOOKUP(B2581,Products!$A:$E,3,FALSE)</f>
        <v>Office Supplies</v>
      </c>
    </row>
    <row r="2582" spans="1:5" x14ac:dyDescent="0.3">
      <c r="A2582" t="s">
        <v>8594</v>
      </c>
      <c r="B2582" t="s">
        <v>464</v>
      </c>
      <c r="C2582">
        <v>26</v>
      </c>
      <c r="D2582" t="str">
        <f>VLOOKUP(B2582,Products!$A:$E,2,FALSE)</f>
        <v>Product_228</v>
      </c>
      <c r="E2582" t="str">
        <f>VLOOKUP(B2582,Products!$A:$E,3,FALSE)</f>
        <v>Storage</v>
      </c>
    </row>
    <row r="2583" spans="1:5" x14ac:dyDescent="0.3">
      <c r="A2583" t="s">
        <v>8595</v>
      </c>
      <c r="B2583" t="s">
        <v>66</v>
      </c>
      <c r="C2583">
        <v>8</v>
      </c>
      <c r="D2583" t="str">
        <f>VLOOKUP(B2583,Products!$A:$E,2,FALSE)</f>
        <v>Product_29</v>
      </c>
      <c r="E2583" t="str">
        <f>VLOOKUP(B2583,Products!$A:$E,3,FALSE)</f>
        <v>Electronics</v>
      </c>
    </row>
    <row r="2584" spans="1:5" x14ac:dyDescent="0.3">
      <c r="A2584" t="s">
        <v>8596</v>
      </c>
      <c r="B2584" t="s">
        <v>316</v>
      </c>
      <c r="C2584">
        <v>26</v>
      </c>
      <c r="D2584" t="str">
        <f>VLOOKUP(B2584,Products!$A:$E,2,FALSE)</f>
        <v>Product_154</v>
      </c>
      <c r="E2584" t="str">
        <f>VLOOKUP(B2584,Products!$A:$E,3,FALSE)</f>
        <v>Accessories</v>
      </c>
    </row>
    <row r="2585" spans="1:5" x14ac:dyDescent="0.3">
      <c r="A2585" t="s">
        <v>8597</v>
      </c>
      <c r="B2585" t="s">
        <v>504</v>
      </c>
      <c r="C2585">
        <v>12</v>
      </c>
      <c r="D2585" t="str">
        <f>VLOOKUP(B2585,Products!$A:$E,2,FALSE)</f>
        <v>Product_248</v>
      </c>
      <c r="E2585" t="str">
        <f>VLOOKUP(B2585,Products!$A:$E,3,FALSE)</f>
        <v>Networking</v>
      </c>
    </row>
    <row r="2586" spans="1:5" x14ac:dyDescent="0.3">
      <c r="A2586" t="s">
        <v>8598</v>
      </c>
      <c r="B2586" t="s">
        <v>848</v>
      </c>
      <c r="C2586">
        <v>16</v>
      </c>
      <c r="D2586" t="str">
        <f>VLOOKUP(B2586,Products!$A:$E,2,FALSE)</f>
        <v>Product_420</v>
      </c>
      <c r="E2586" t="str">
        <f>VLOOKUP(B2586,Products!$A:$E,3,FALSE)</f>
        <v>Networking</v>
      </c>
    </row>
    <row r="2587" spans="1:5" x14ac:dyDescent="0.3">
      <c r="A2587" t="s">
        <v>8599</v>
      </c>
      <c r="B2587" t="s">
        <v>870</v>
      </c>
      <c r="C2587">
        <v>35</v>
      </c>
      <c r="D2587" t="str">
        <f>VLOOKUP(B2587,Products!$A:$E,2,FALSE)</f>
        <v>Product_431</v>
      </c>
      <c r="E2587" t="str">
        <f>VLOOKUP(B2587,Products!$A:$E,3,FALSE)</f>
        <v>Electronics</v>
      </c>
    </row>
    <row r="2588" spans="1:5" x14ac:dyDescent="0.3">
      <c r="A2588" t="s">
        <v>8600</v>
      </c>
      <c r="B2588" t="s">
        <v>276</v>
      </c>
      <c r="C2588">
        <v>40</v>
      </c>
      <c r="D2588" t="str">
        <f>VLOOKUP(B2588,Products!$A:$E,2,FALSE)</f>
        <v>Product_134</v>
      </c>
      <c r="E2588" t="str">
        <f>VLOOKUP(B2588,Products!$A:$E,3,FALSE)</f>
        <v>Accessories</v>
      </c>
    </row>
    <row r="2589" spans="1:5" x14ac:dyDescent="0.3">
      <c r="A2589" t="s">
        <v>8601</v>
      </c>
      <c r="B2589" t="s">
        <v>706</v>
      </c>
      <c r="C2589">
        <v>29</v>
      </c>
      <c r="D2589" t="str">
        <f>VLOOKUP(B2589,Products!$A:$E,2,FALSE)</f>
        <v>Product_349</v>
      </c>
      <c r="E2589" t="str">
        <f>VLOOKUP(B2589,Products!$A:$E,3,FALSE)</f>
        <v>Office Supplies</v>
      </c>
    </row>
    <row r="2590" spans="1:5" x14ac:dyDescent="0.3">
      <c r="A2590" t="s">
        <v>8602</v>
      </c>
      <c r="B2590" t="s">
        <v>888</v>
      </c>
      <c r="C2590">
        <v>43</v>
      </c>
      <c r="D2590" t="str">
        <f>VLOOKUP(B2590,Products!$A:$E,2,FALSE)</f>
        <v>Product_440</v>
      </c>
      <c r="E2590" t="str">
        <f>VLOOKUP(B2590,Products!$A:$E,3,FALSE)</f>
        <v>Accessories</v>
      </c>
    </row>
    <row r="2591" spans="1:5" x14ac:dyDescent="0.3">
      <c r="A2591" t="s">
        <v>8603</v>
      </c>
      <c r="B2591" t="s">
        <v>640</v>
      </c>
      <c r="C2591">
        <v>8</v>
      </c>
      <c r="D2591" t="str">
        <f>VLOOKUP(B2591,Products!$A:$E,2,FALSE)</f>
        <v>Product_316</v>
      </c>
      <c r="E2591" t="str">
        <f>VLOOKUP(B2591,Products!$A:$E,3,FALSE)</f>
        <v>Networking</v>
      </c>
    </row>
    <row r="2592" spans="1:5" x14ac:dyDescent="0.3">
      <c r="A2592" t="s">
        <v>8604</v>
      </c>
      <c r="B2592" t="s">
        <v>452</v>
      </c>
      <c r="C2592">
        <v>10</v>
      </c>
      <c r="D2592" t="str">
        <f>VLOOKUP(B2592,Products!$A:$E,2,FALSE)</f>
        <v>Product_222</v>
      </c>
      <c r="E2592" t="str">
        <f>VLOOKUP(B2592,Products!$A:$E,3,FALSE)</f>
        <v>Networking</v>
      </c>
    </row>
    <row r="2593" spans="1:5" x14ac:dyDescent="0.3">
      <c r="A2593" t="s">
        <v>8605</v>
      </c>
      <c r="B2593" t="s">
        <v>660</v>
      </c>
      <c r="C2593">
        <v>2</v>
      </c>
      <c r="D2593" t="str">
        <f>VLOOKUP(B2593,Products!$A:$E,2,FALSE)</f>
        <v>Product_326</v>
      </c>
      <c r="E2593" t="str">
        <f>VLOOKUP(B2593,Products!$A:$E,3,FALSE)</f>
        <v>Electronics</v>
      </c>
    </row>
    <row r="2594" spans="1:5" x14ac:dyDescent="0.3">
      <c r="A2594" t="s">
        <v>8606</v>
      </c>
      <c r="B2594" t="s">
        <v>198</v>
      </c>
      <c r="C2594">
        <v>10</v>
      </c>
      <c r="D2594" t="str">
        <f>VLOOKUP(B2594,Products!$A:$E,2,FALSE)</f>
        <v>Product_95</v>
      </c>
      <c r="E2594" t="str">
        <f>VLOOKUP(B2594,Products!$A:$E,3,FALSE)</f>
        <v>Electronics</v>
      </c>
    </row>
    <row r="2595" spans="1:5" x14ac:dyDescent="0.3">
      <c r="A2595" t="s">
        <v>8607</v>
      </c>
      <c r="B2595" t="s">
        <v>848</v>
      </c>
      <c r="C2595">
        <v>48</v>
      </c>
      <c r="D2595" t="str">
        <f>VLOOKUP(B2595,Products!$A:$E,2,FALSE)</f>
        <v>Product_420</v>
      </c>
      <c r="E2595" t="str">
        <f>VLOOKUP(B2595,Products!$A:$E,3,FALSE)</f>
        <v>Networking</v>
      </c>
    </row>
    <row r="2596" spans="1:5" x14ac:dyDescent="0.3">
      <c r="A2596" t="s">
        <v>8608</v>
      </c>
      <c r="B2596" t="s">
        <v>682</v>
      </c>
      <c r="C2596">
        <v>16</v>
      </c>
      <c r="D2596" t="str">
        <f>VLOOKUP(B2596,Products!$A:$E,2,FALSE)</f>
        <v>Product_337</v>
      </c>
      <c r="E2596" t="str">
        <f>VLOOKUP(B2596,Products!$A:$E,3,FALSE)</f>
        <v>Storage</v>
      </c>
    </row>
    <row r="2597" spans="1:5" x14ac:dyDescent="0.3">
      <c r="A2597" t="s">
        <v>8609</v>
      </c>
      <c r="B2597" t="s">
        <v>184</v>
      </c>
      <c r="C2597">
        <v>33</v>
      </c>
      <c r="D2597" t="str">
        <f>VLOOKUP(B2597,Products!$A:$E,2,FALSE)</f>
        <v>Product_88</v>
      </c>
      <c r="E2597" t="str">
        <f>VLOOKUP(B2597,Products!$A:$E,3,FALSE)</f>
        <v>Accessories</v>
      </c>
    </row>
    <row r="2598" spans="1:5" x14ac:dyDescent="0.3">
      <c r="A2598" t="s">
        <v>8610</v>
      </c>
      <c r="B2598" t="s">
        <v>768</v>
      </c>
      <c r="C2598">
        <v>45</v>
      </c>
      <c r="D2598" t="str">
        <f>VLOOKUP(B2598,Products!$A:$E,2,FALSE)</f>
        <v>Product_380</v>
      </c>
      <c r="E2598" t="str">
        <f>VLOOKUP(B2598,Products!$A:$E,3,FALSE)</f>
        <v>Electronics</v>
      </c>
    </row>
    <row r="2599" spans="1:5" x14ac:dyDescent="0.3">
      <c r="A2599" t="s">
        <v>8611</v>
      </c>
      <c r="B2599" t="s">
        <v>568</v>
      </c>
      <c r="C2599">
        <v>13</v>
      </c>
      <c r="D2599" t="str">
        <f>VLOOKUP(B2599,Products!$A:$E,2,FALSE)</f>
        <v>Product_280</v>
      </c>
      <c r="E2599" t="str">
        <f>VLOOKUP(B2599,Products!$A:$E,3,FALSE)</f>
        <v>Electronics</v>
      </c>
    </row>
    <row r="2600" spans="1:5" x14ac:dyDescent="0.3">
      <c r="A2600" t="s">
        <v>8612</v>
      </c>
      <c r="B2600" t="s">
        <v>496</v>
      </c>
      <c r="C2600">
        <v>31</v>
      </c>
      <c r="D2600" t="str">
        <f>VLOOKUP(B2600,Products!$A:$E,2,FALSE)</f>
        <v>Product_244</v>
      </c>
      <c r="E2600" t="str">
        <f>VLOOKUP(B2600,Products!$A:$E,3,FALSE)</f>
        <v>Accessories</v>
      </c>
    </row>
    <row r="2601" spans="1:5" x14ac:dyDescent="0.3">
      <c r="A2601" t="s">
        <v>8613</v>
      </c>
      <c r="B2601" t="s">
        <v>306</v>
      </c>
      <c r="C2601">
        <v>19</v>
      </c>
      <c r="D2601" t="str">
        <f>VLOOKUP(B2601,Products!$A:$E,2,FALSE)</f>
        <v>Product_149</v>
      </c>
      <c r="E2601" t="str">
        <f>VLOOKUP(B2601,Products!$A:$E,3,FALSE)</f>
        <v>Accessories</v>
      </c>
    </row>
    <row r="2602" spans="1:5" x14ac:dyDescent="0.3">
      <c r="A2602" t="s">
        <v>8614</v>
      </c>
      <c r="B2602" t="s">
        <v>692</v>
      </c>
      <c r="C2602">
        <v>7</v>
      </c>
      <c r="D2602" t="str">
        <f>VLOOKUP(B2602,Products!$A:$E,2,FALSE)</f>
        <v>Product_342</v>
      </c>
      <c r="E2602" t="str">
        <f>VLOOKUP(B2602,Products!$A:$E,3,FALSE)</f>
        <v>Accessories</v>
      </c>
    </row>
    <row r="2603" spans="1:5" x14ac:dyDescent="0.3">
      <c r="A2603" t="s">
        <v>8615</v>
      </c>
      <c r="B2603" t="s">
        <v>992</v>
      </c>
      <c r="C2603">
        <v>38</v>
      </c>
      <c r="D2603" t="str">
        <f>VLOOKUP(B2603,Products!$A:$E,2,FALSE)</f>
        <v>Product_492</v>
      </c>
      <c r="E2603" t="str">
        <f>VLOOKUP(B2603,Products!$A:$E,3,FALSE)</f>
        <v>Electronics</v>
      </c>
    </row>
    <row r="2604" spans="1:5" x14ac:dyDescent="0.3">
      <c r="A2604" t="s">
        <v>8616</v>
      </c>
      <c r="B2604" t="s">
        <v>514</v>
      </c>
      <c r="C2604">
        <v>24</v>
      </c>
      <c r="D2604" t="str">
        <f>VLOOKUP(B2604,Products!$A:$E,2,FALSE)</f>
        <v>Product_253</v>
      </c>
      <c r="E2604" t="str">
        <f>VLOOKUP(B2604,Products!$A:$E,3,FALSE)</f>
        <v>Networking</v>
      </c>
    </row>
    <row r="2605" spans="1:5" x14ac:dyDescent="0.3">
      <c r="A2605" t="s">
        <v>8617</v>
      </c>
      <c r="B2605" t="s">
        <v>692</v>
      </c>
      <c r="C2605">
        <v>18</v>
      </c>
      <c r="D2605" t="str">
        <f>VLOOKUP(B2605,Products!$A:$E,2,FALSE)</f>
        <v>Product_342</v>
      </c>
      <c r="E2605" t="str">
        <f>VLOOKUP(B2605,Products!$A:$E,3,FALSE)</f>
        <v>Accessories</v>
      </c>
    </row>
    <row r="2606" spans="1:5" x14ac:dyDescent="0.3">
      <c r="A2606" t="s">
        <v>8618</v>
      </c>
      <c r="B2606" t="s">
        <v>410</v>
      </c>
      <c r="C2606">
        <v>25</v>
      </c>
      <c r="D2606" t="str">
        <f>VLOOKUP(B2606,Products!$A:$E,2,FALSE)</f>
        <v>Product_201</v>
      </c>
      <c r="E2606" t="str">
        <f>VLOOKUP(B2606,Products!$A:$E,3,FALSE)</f>
        <v>Networking</v>
      </c>
    </row>
    <row r="2607" spans="1:5" x14ac:dyDescent="0.3">
      <c r="A2607" t="s">
        <v>8619</v>
      </c>
      <c r="B2607" t="s">
        <v>724</v>
      </c>
      <c r="C2607">
        <v>7</v>
      </c>
      <c r="D2607" t="str">
        <f>VLOOKUP(B2607,Products!$A:$E,2,FALSE)</f>
        <v>Product_358</v>
      </c>
      <c r="E2607" t="str">
        <f>VLOOKUP(B2607,Products!$A:$E,3,FALSE)</f>
        <v>Storage</v>
      </c>
    </row>
    <row r="2608" spans="1:5" x14ac:dyDescent="0.3">
      <c r="A2608" t="s">
        <v>8620</v>
      </c>
      <c r="B2608" t="s">
        <v>484</v>
      </c>
      <c r="C2608">
        <v>27</v>
      </c>
      <c r="D2608" t="str">
        <f>VLOOKUP(B2608,Products!$A:$E,2,FALSE)</f>
        <v>Product_238</v>
      </c>
      <c r="E2608" t="str">
        <f>VLOOKUP(B2608,Products!$A:$E,3,FALSE)</f>
        <v>Accessories</v>
      </c>
    </row>
    <row r="2609" spans="1:5" x14ac:dyDescent="0.3">
      <c r="A2609" t="s">
        <v>8621</v>
      </c>
      <c r="B2609" t="s">
        <v>842</v>
      </c>
      <c r="C2609">
        <v>28</v>
      </c>
      <c r="D2609" t="str">
        <f>VLOOKUP(B2609,Products!$A:$E,2,FALSE)</f>
        <v>Product_417</v>
      </c>
      <c r="E2609" t="str">
        <f>VLOOKUP(B2609,Products!$A:$E,3,FALSE)</f>
        <v>Accessories</v>
      </c>
    </row>
    <row r="2610" spans="1:5" x14ac:dyDescent="0.3">
      <c r="A2610" t="s">
        <v>8622</v>
      </c>
      <c r="B2610" t="s">
        <v>160</v>
      </c>
      <c r="C2610">
        <v>2</v>
      </c>
      <c r="D2610" t="str">
        <f>VLOOKUP(B2610,Products!$A:$E,2,FALSE)</f>
        <v>Product_76</v>
      </c>
      <c r="E2610" t="str">
        <f>VLOOKUP(B2610,Products!$A:$E,3,FALSE)</f>
        <v>Accessories</v>
      </c>
    </row>
    <row r="2611" spans="1:5" x14ac:dyDescent="0.3">
      <c r="A2611" t="s">
        <v>8623</v>
      </c>
      <c r="B2611" t="s">
        <v>300</v>
      </c>
      <c r="C2611">
        <v>30</v>
      </c>
      <c r="D2611" t="str">
        <f>VLOOKUP(B2611,Products!$A:$E,2,FALSE)</f>
        <v>Product_146</v>
      </c>
      <c r="E2611" t="str">
        <f>VLOOKUP(B2611,Products!$A:$E,3,FALSE)</f>
        <v>Office Supplies</v>
      </c>
    </row>
    <row r="2612" spans="1:5" x14ac:dyDescent="0.3">
      <c r="A2612" t="s">
        <v>8624</v>
      </c>
      <c r="B2612" t="s">
        <v>132</v>
      </c>
      <c r="C2612">
        <v>37</v>
      </c>
      <c r="D2612" t="str">
        <f>VLOOKUP(B2612,Products!$A:$E,2,FALSE)</f>
        <v>Product_62</v>
      </c>
      <c r="E2612" t="str">
        <f>VLOOKUP(B2612,Products!$A:$E,3,FALSE)</f>
        <v>Accessories</v>
      </c>
    </row>
    <row r="2613" spans="1:5" x14ac:dyDescent="0.3">
      <c r="A2613" t="s">
        <v>8625</v>
      </c>
      <c r="B2613" t="s">
        <v>408</v>
      </c>
      <c r="C2613">
        <v>1</v>
      </c>
      <c r="D2613" t="str">
        <f>VLOOKUP(B2613,Products!$A:$E,2,FALSE)</f>
        <v>Product_200</v>
      </c>
      <c r="E2613" t="str">
        <f>VLOOKUP(B2613,Products!$A:$E,3,FALSE)</f>
        <v>Office Supplies</v>
      </c>
    </row>
    <row r="2614" spans="1:5" x14ac:dyDescent="0.3">
      <c r="A2614" t="s">
        <v>8626</v>
      </c>
      <c r="B2614" t="s">
        <v>604</v>
      </c>
      <c r="C2614">
        <v>20</v>
      </c>
      <c r="D2614" t="str">
        <f>VLOOKUP(B2614,Products!$A:$E,2,FALSE)</f>
        <v>Product_298</v>
      </c>
      <c r="E2614" t="str">
        <f>VLOOKUP(B2614,Products!$A:$E,3,FALSE)</f>
        <v>Office Supplies</v>
      </c>
    </row>
    <row r="2615" spans="1:5" x14ac:dyDescent="0.3">
      <c r="A2615" t="s">
        <v>8627</v>
      </c>
      <c r="B2615" t="s">
        <v>44</v>
      </c>
      <c r="C2615">
        <v>42</v>
      </c>
      <c r="D2615" t="str">
        <f>VLOOKUP(B2615,Products!$A:$E,2,FALSE)</f>
        <v>Product_18</v>
      </c>
      <c r="E2615" t="str">
        <f>VLOOKUP(B2615,Products!$A:$E,3,FALSE)</f>
        <v>Networking</v>
      </c>
    </row>
    <row r="2616" spans="1:5" x14ac:dyDescent="0.3">
      <c r="A2616" t="s">
        <v>8628</v>
      </c>
      <c r="B2616" t="s">
        <v>676</v>
      </c>
      <c r="C2616">
        <v>43</v>
      </c>
      <c r="D2616" t="str">
        <f>VLOOKUP(B2616,Products!$A:$E,2,FALSE)</f>
        <v>Product_334</v>
      </c>
      <c r="E2616" t="str">
        <f>VLOOKUP(B2616,Products!$A:$E,3,FALSE)</f>
        <v>Accessories</v>
      </c>
    </row>
    <row r="2617" spans="1:5" x14ac:dyDescent="0.3">
      <c r="A2617" t="s">
        <v>8629</v>
      </c>
      <c r="B2617" t="s">
        <v>644</v>
      </c>
      <c r="C2617">
        <v>29</v>
      </c>
      <c r="D2617" t="str">
        <f>VLOOKUP(B2617,Products!$A:$E,2,FALSE)</f>
        <v>Product_318</v>
      </c>
      <c r="E2617" t="str">
        <f>VLOOKUP(B2617,Products!$A:$E,3,FALSE)</f>
        <v>Storage</v>
      </c>
    </row>
    <row r="2618" spans="1:5" x14ac:dyDescent="0.3">
      <c r="A2618" t="s">
        <v>8630</v>
      </c>
      <c r="B2618" t="s">
        <v>52</v>
      </c>
      <c r="C2618">
        <v>23</v>
      </c>
      <c r="D2618" t="str">
        <f>VLOOKUP(B2618,Products!$A:$E,2,FALSE)</f>
        <v>Product_22</v>
      </c>
      <c r="E2618" t="str">
        <f>VLOOKUP(B2618,Products!$A:$E,3,FALSE)</f>
        <v>Electronics</v>
      </c>
    </row>
    <row r="2619" spans="1:5" x14ac:dyDescent="0.3">
      <c r="A2619" t="s">
        <v>8631</v>
      </c>
      <c r="B2619" t="s">
        <v>994</v>
      </c>
      <c r="C2619">
        <v>9</v>
      </c>
      <c r="D2619" t="str">
        <f>VLOOKUP(B2619,Products!$A:$E,2,FALSE)</f>
        <v>Product_493</v>
      </c>
      <c r="E2619" t="str">
        <f>VLOOKUP(B2619,Products!$A:$E,3,FALSE)</f>
        <v>Networking</v>
      </c>
    </row>
    <row r="2620" spans="1:5" x14ac:dyDescent="0.3">
      <c r="A2620" t="s">
        <v>8632</v>
      </c>
      <c r="B2620" t="s">
        <v>488</v>
      </c>
      <c r="C2620">
        <v>47</v>
      </c>
      <c r="D2620" t="str">
        <f>VLOOKUP(B2620,Products!$A:$E,2,FALSE)</f>
        <v>Product_240</v>
      </c>
      <c r="E2620" t="str">
        <f>VLOOKUP(B2620,Products!$A:$E,3,FALSE)</f>
        <v>Storage</v>
      </c>
    </row>
    <row r="2621" spans="1:5" x14ac:dyDescent="0.3">
      <c r="A2621" t="s">
        <v>8633</v>
      </c>
      <c r="B2621" t="s">
        <v>478</v>
      </c>
      <c r="C2621">
        <v>18</v>
      </c>
      <c r="D2621" t="str">
        <f>VLOOKUP(B2621,Products!$A:$E,2,FALSE)</f>
        <v>Product_235</v>
      </c>
      <c r="E2621" t="str">
        <f>VLOOKUP(B2621,Products!$A:$E,3,FALSE)</f>
        <v>Accessories</v>
      </c>
    </row>
    <row r="2622" spans="1:5" x14ac:dyDescent="0.3">
      <c r="A2622" t="s">
        <v>8634</v>
      </c>
      <c r="B2622" t="s">
        <v>17</v>
      </c>
      <c r="C2622">
        <v>11</v>
      </c>
      <c r="D2622" t="str">
        <f>VLOOKUP(B2622,Products!$A:$E,2,FALSE)</f>
        <v>Product_5</v>
      </c>
      <c r="E2622" t="str">
        <f>VLOOKUP(B2622,Products!$A:$E,3,FALSE)</f>
        <v>Networking</v>
      </c>
    </row>
    <row r="2623" spans="1:5" x14ac:dyDescent="0.3">
      <c r="A2623" t="s">
        <v>8635</v>
      </c>
      <c r="B2623" t="s">
        <v>376</v>
      </c>
      <c r="C2623">
        <v>33</v>
      </c>
      <c r="D2623" t="str">
        <f>VLOOKUP(B2623,Products!$A:$E,2,FALSE)</f>
        <v>Product_184</v>
      </c>
      <c r="E2623" t="str">
        <f>VLOOKUP(B2623,Products!$A:$E,3,FALSE)</f>
        <v>Electronics</v>
      </c>
    </row>
    <row r="2624" spans="1:5" x14ac:dyDescent="0.3">
      <c r="A2624" t="s">
        <v>8636</v>
      </c>
      <c r="B2624" t="s">
        <v>886</v>
      </c>
      <c r="C2624">
        <v>33</v>
      </c>
      <c r="D2624" t="str">
        <f>VLOOKUP(B2624,Products!$A:$E,2,FALSE)</f>
        <v>Product_439</v>
      </c>
      <c r="E2624" t="str">
        <f>VLOOKUP(B2624,Products!$A:$E,3,FALSE)</f>
        <v>Networking</v>
      </c>
    </row>
    <row r="2625" spans="1:5" x14ac:dyDescent="0.3">
      <c r="A2625" t="s">
        <v>8637</v>
      </c>
      <c r="B2625" t="s">
        <v>224</v>
      </c>
      <c r="C2625">
        <v>23</v>
      </c>
      <c r="D2625" t="str">
        <f>VLOOKUP(B2625,Products!$A:$E,2,FALSE)</f>
        <v>Product_108</v>
      </c>
      <c r="E2625" t="str">
        <f>VLOOKUP(B2625,Products!$A:$E,3,FALSE)</f>
        <v>Networking</v>
      </c>
    </row>
    <row r="2626" spans="1:5" x14ac:dyDescent="0.3">
      <c r="A2626" t="s">
        <v>8638</v>
      </c>
      <c r="B2626" t="s">
        <v>934</v>
      </c>
      <c r="C2626">
        <v>46</v>
      </c>
      <c r="D2626" t="str">
        <f>VLOOKUP(B2626,Products!$A:$E,2,FALSE)</f>
        <v>Product_463</v>
      </c>
      <c r="E2626" t="str">
        <f>VLOOKUP(B2626,Products!$A:$E,3,FALSE)</f>
        <v>Networking</v>
      </c>
    </row>
    <row r="2627" spans="1:5" x14ac:dyDescent="0.3">
      <c r="A2627" t="s">
        <v>8639</v>
      </c>
      <c r="B2627" t="s">
        <v>546</v>
      </c>
      <c r="C2627">
        <v>25</v>
      </c>
      <c r="D2627" t="str">
        <f>VLOOKUP(B2627,Products!$A:$E,2,FALSE)</f>
        <v>Product_269</v>
      </c>
      <c r="E2627" t="str">
        <f>VLOOKUP(B2627,Products!$A:$E,3,FALSE)</f>
        <v>Storage</v>
      </c>
    </row>
    <row r="2628" spans="1:5" x14ac:dyDescent="0.3">
      <c r="A2628" t="s">
        <v>8640</v>
      </c>
      <c r="B2628" t="s">
        <v>534</v>
      </c>
      <c r="C2628">
        <v>5</v>
      </c>
      <c r="D2628" t="str">
        <f>VLOOKUP(B2628,Products!$A:$E,2,FALSE)</f>
        <v>Product_263</v>
      </c>
      <c r="E2628" t="str">
        <f>VLOOKUP(B2628,Products!$A:$E,3,FALSE)</f>
        <v>Accessories</v>
      </c>
    </row>
    <row r="2629" spans="1:5" x14ac:dyDescent="0.3">
      <c r="A2629" t="s">
        <v>8641</v>
      </c>
      <c r="B2629" t="s">
        <v>188</v>
      </c>
      <c r="C2629">
        <v>42</v>
      </c>
      <c r="D2629" t="str">
        <f>VLOOKUP(B2629,Products!$A:$E,2,FALSE)</f>
        <v>Product_90</v>
      </c>
      <c r="E2629" t="str">
        <f>VLOOKUP(B2629,Products!$A:$E,3,FALSE)</f>
        <v>Accessories</v>
      </c>
    </row>
    <row r="2630" spans="1:5" x14ac:dyDescent="0.3">
      <c r="A2630" t="s">
        <v>8642</v>
      </c>
      <c r="B2630" t="s">
        <v>164</v>
      </c>
      <c r="C2630">
        <v>23</v>
      </c>
      <c r="D2630" t="str">
        <f>VLOOKUP(B2630,Products!$A:$E,2,FALSE)</f>
        <v>Product_78</v>
      </c>
      <c r="E2630" t="str">
        <f>VLOOKUP(B2630,Products!$A:$E,3,FALSE)</f>
        <v>Office Supplies</v>
      </c>
    </row>
    <row r="2631" spans="1:5" x14ac:dyDescent="0.3">
      <c r="A2631" t="s">
        <v>8643</v>
      </c>
      <c r="B2631" t="s">
        <v>680</v>
      </c>
      <c r="C2631">
        <v>47</v>
      </c>
      <c r="D2631" t="str">
        <f>VLOOKUP(B2631,Products!$A:$E,2,FALSE)</f>
        <v>Product_336</v>
      </c>
      <c r="E2631" t="str">
        <f>VLOOKUP(B2631,Products!$A:$E,3,FALSE)</f>
        <v>Storage</v>
      </c>
    </row>
    <row r="2632" spans="1:5" x14ac:dyDescent="0.3">
      <c r="A2632" t="s">
        <v>8644</v>
      </c>
      <c r="B2632" t="s">
        <v>586</v>
      </c>
      <c r="C2632">
        <v>22</v>
      </c>
      <c r="D2632" t="str">
        <f>VLOOKUP(B2632,Products!$A:$E,2,FALSE)</f>
        <v>Product_289</v>
      </c>
      <c r="E2632" t="str">
        <f>VLOOKUP(B2632,Products!$A:$E,3,FALSE)</f>
        <v>Storage</v>
      </c>
    </row>
    <row r="2633" spans="1:5" x14ac:dyDescent="0.3">
      <c r="A2633" t="s">
        <v>8645</v>
      </c>
      <c r="B2633" t="s">
        <v>480</v>
      </c>
      <c r="C2633">
        <v>46</v>
      </c>
      <c r="D2633" t="str">
        <f>VLOOKUP(B2633,Products!$A:$E,2,FALSE)</f>
        <v>Product_236</v>
      </c>
      <c r="E2633" t="str">
        <f>VLOOKUP(B2633,Products!$A:$E,3,FALSE)</f>
        <v>Networking</v>
      </c>
    </row>
    <row r="2634" spans="1:5" x14ac:dyDescent="0.3">
      <c r="A2634" t="s">
        <v>8646</v>
      </c>
      <c r="B2634" t="s">
        <v>888</v>
      </c>
      <c r="C2634">
        <v>9</v>
      </c>
      <c r="D2634" t="str">
        <f>VLOOKUP(B2634,Products!$A:$E,2,FALSE)</f>
        <v>Product_440</v>
      </c>
      <c r="E2634" t="str">
        <f>VLOOKUP(B2634,Products!$A:$E,3,FALSE)</f>
        <v>Accessories</v>
      </c>
    </row>
    <row r="2635" spans="1:5" x14ac:dyDescent="0.3">
      <c r="A2635" t="s">
        <v>8647</v>
      </c>
      <c r="B2635" t="s">
        <v>294</v>
      </c>
      <c r="C2635">
        <v>49</v>
      </c>
      <c r="D2635" t="str">
        <f>VLOOKUP(B2635,Products!$A:$E,2,FALSE)</f>
        <v>Product_143</v>
      </c>
      <c r="E2635" t="str">
        <f>VLOOKUP(B2635,Products!$A:$E,3,FALSE)</f>
        <v>Office Supplies</v>
      </c>
    </row>
    <row r="2636" spans="1:5" x14ac:dyDescent="0.3">
      <c r="A2636" t="s">
        <v>8648</v>
      </c>
      <c r="B2636" t="s">
        <v>684</v>
      </c>
      <c r="C2636">
        <v>20</v>
      </c>
      <c r="D2636" t="str">
        <f>VLOOKUP(B2636,Products!$A:$E,2,FALSE)</f>
        <v>Product_338</v>
      </c>
      <c r="E2636" t="str">
        <f>VLOOKUP(B2636,Products!$A:$E,3,FALSE)</f>
        <v>Networking</v>
      </c>
    </row>
    <row r="2637" spans="1:5" x14ac:dyDescent="0.3">
      <c r="A2637" t="s">
        <v>8649</v>
      </c>
      <c r="B2637" t="s">
        <v>954</v>
      </c>
      <c r="C2637">
        <v>26</v>
      </c>
      <c r="D2637" t="str">
        <f>VLOOKUP(B2637,Products!$A:$E,2,FALSE)</f>
        <v>Product_473</v>
      </c>
      <c r="E2637" t="str">
        <f>VLOOKUP(B2637,Products!$A:$E,3,FALSE)</f>
        <v>Accessories</v>
      </c>
    </row>
    <row r="2638" spans="1:5" x14ac:dyDescent="0.3">
      <c r="A2638" t="s">
        <v>8650</v>
      </c>
      <c r="B2638" t="s">
        <v>78</v>
      </c>
      <c r="C2638">
        <v>42</v>
      </c>
      <c r="D2638" t="str">
        <f>VLOOKUP(B2638,Products!$A:$E,2,FALSE)</f>
        <v>Product_35</v>
      </c>
      <c r="E2638" t="str">
        <f>VLOOKUP(B2638,Products!$A:$E,3,FALSE)</f>
        <v>Electronics</v>
      </c>
    </row>
    <row r="2639" spans="1:5" x14ac:dyDescent="0.3">
      <c r="A2639" t="s">
        <v>8651</v>
      </c>
      <c r="B2639" t="s">
        <v>504</v>
      </c>
      <c r="C2639">
        <v>25</v>
      </c>
      <c r="D2639" t="str">
        <f>VLOOKUP(B2639,Products!$A:$E,2,FALSE)</f>
        <v>Product_248</v>
      </c>
      <c r="E2639" t="str">
        <f>VLOOKUP(B2639,Products!$A:$E,3,FALSE)</f>
        <v>Networking</v>
      </c>
    </row>
    <row r="2640" spans="1:5" x14ac:dyDescent="0.3">
      <c r="A2640" t="s">
        <v>8652</v>
      </c>
      <c r="B2640" t="s">
        <v>994</v>
      </c>
      <c r="C2640">
        <v>31</v>
      </c>
      <c r="D2640" t="str">
        <f>VLOOKUP(B2640,Products!$A:$E,2,FALSE)</f>
        <v>Product_493</v>
      </c>
      <c r="E2640" t="str">
        <f>VLOOKUP(B2640,Products!$A:$E,3,FALSE)</f>
        <v>Networking</v>
      </c>
    </row>
    <row r="2641" spans="1:5" x14ac:dyDescent="0.3">
      <c r="A2641" t="s">
        <v>8653</v>
      </c>
      <c r="B2641" t="s">
        <v>630</v>
      </c>
      <c r="C2641">
        <v>43</v>
      </c>
      <c r="D2641" t="str">
        <f>VLOOKUP(B2641,Products!$A:$E,2,FALSE)</f>
        <v>Product_311</v>
      </c>
      <c r="E2641" t="str">
        <f>VLOOKUP(B2641,Products!$A:$E,3,FALSE)</f>
        <v>Networking</v>
      </c>
    </row>
    <row r="2642" spans="1:5" x14ac:dyDescent="0.3">
      <c r="A2642" t="s">
        <v>8654</v>
      </c>
      <c r="B2642" t="s">
        <v>194</v>
      </c>
      <c r="C2642">
        <v>37</v>
      </c>
      <c r="D2642" t="str">
        <f>VLOOKUP(B2642,Products!$A:$E,2,FALSE)</f>
        <v>Product_93</v>
      </c>
      <c r="E2642" t="str">
        <f>VLOOKUP(B2642,Products!$A:$E,3,FALSE)</f>
        <v>Office Supplies</v>
      </c>
    </row>
    <row r="2643" spans="1:5" x14ac:dyDescent="0.3">
      <c r="A2643" t="s">
        <v>8655</v>
      </c>
      <c r="B2643" t="s">
        <v>734</v>
      </c>
      <c r="C2643">
        <v>33</v>
      </c>
      <c r="D2643" t="str">
        <f>VLOOKUP(B2643,Products!$A:$E,2,FALSE)</f>
        <v>Product_363</v>
      </c>
      <c r="E2643" t="str">
        <f>VLOOKUP(B2643,Products!$A:$E,3,FALSE)</f>
        <v>Storage</v>
      </c>
    </row>
    <row r="2644" spans="1:5" x14ac:dyDescent="0.3">
      <c r="A2644" t="s">
        <v>8656</v>
      </c>
      <c r="B2644" t="s">
        <v>804</v>
      </c>
      <c r="C2644">
        <v>43</v>
      </c>
      <c r="D2644" t="str">
        <f>VLOOKUP(B2644,Products!$A:$E,2,FALSE)</f>
        <v>Product_398</v>
      </c>
      <c r="E2644" t="str">
        <f>VLOOKUP(B2644,Products!$A:$E,3,FALSE)</f>
        <v>Networking</v>
      </c>
    </row>
    <row r="2645" spans="1:5" x14ac:dyDescent="0.3">
      <c r="A2645" t="s">
        <v>8657</v>
      </c>
      <c r="B2645" t="s">
        <v>548</v>
      </c>
      <c r="C2645">
        <v>17</v>
      </c>
      <c r="D2645" t="str">
        <f>VLOOKUP(B2645,Products!$A:$E,2,FALSE)</f>
        <v>Product_270</v>
      </c>
      <c r="E2645" t="str">
        <f>VLOOKUP(B2645,Products!$A:$E,3,FALSE)</f>
        <v>Electronics</v>
      </c>
    </row>
    <row r="2646" spans="1:5" x14ac:dyDescent="0.3">
      <c r="A2646" t="s">
        <v>8658</v>
      </c>
      <c r="B2646" t="s">
        <v>142</v>
      </c>
      <c r="C2646">
        <v>45</v>
      </c>
      <c r="D2646" t="str">
        <f>VLOOKUP(B2646,Products!$A:$E,2,FALSE)</f>
        <v>Product_67</v>
      </c>
      <c r="E2646" t="str">
        <f>VLOOKUP(B2646,Products!$A:$E,3,FALSE)</f>
        <v>Office Supplies</v>
      </c>
    </row>
    <row r="2647" spans="1:5" x14ac:dyDescent="0.3">
      <c r="A2647" t="s">
        <v>8659</v>
      </c>
      <c r="B2647" t="s">
        <v>340</v>
      </c>
      <c r="C2647">
        <v>38</v>
      </c>
      <c r="D2647" t="str">
        <f>VLOOKUP(B2647,Products!$A:$E,2,FALSE)</f>
        <v>Product_166</v>
      </c>
      <c r="E2647" t="str">
        <f>VLOOKUP(B2647,Products!$A:$E,3,FALSE)</f>
        <v>Accessories</v>
      </c>
    </row>
    <row r="2648" spans="1:5" x14ac:dyDescent="0.3">
      <c r="A2648" t="s">
        <v>8660</v>
      </c>
      <c r="B2648" t="s">
        <v>988</v>
      </c>
      <c r="C2648">
        <v>38</v>
      </c>
      <c r="D2648" t="str">
        <f>VLOOKUP(B2648,Products!$A:$E,2,FALSE)</f>
        <v>Product_490</v>
      </c>
      <c r="E2648" t="str">
        <f>VLOOKUP(B2648,Products!$A:$E,3,FALSE)</f>
        <v>Storage</v>
      </c>
    </row>
    <row r="2649" spans="1:5" x14ac:dyDescent="0.3">
      <c r="A2649" t="s">
        <v>8661</v>
      </c>
      <c r="B2649" t="s">
        <v>366</v>
      </c>
      <c r="C2649">
        <v>38</v>
      </c>
      <c r="D2649" t="str">
        <f>VLOOKUP(B2649,Products!$A:$E,2,FALSE)</f>
        <v>Product_179</v>
      </c>
      <c r="E2649" t="str">
        <f>VLOOKUP(B2649,Products!$A:$E,3,FALSE)</f>
        <v>Storage</v>
      </c>
    </row>
    <row r="2650" spans="1:5" x14ac:dyDescent="0.3">
      <c r="A2650" t="s">
        <v>8662</v>
      </c>
      <c r="B2650" t="s">
        <v>642</v>
      </c>
      <c r="C2650">
        <v>26</v>
      </c>
      <c r="D2650" t="str">
        <f>VLOOKUP(B2650,Products!$A:$E,2,FALSE)</f>
        <v>Product_317</v>
      </c>
      <c r="E2650" t="str">
        <f>VLOOKUP(B2650,Products!$A:$E,3,FALSE)</f>
        <v>Storage</v>
      </c>
    </row>
    <row r="2651" spans="1:5" x14ac:dyDescent="0.3">
      <c r="A2651" t="s">
        <v>8663</v>
      </c>
      <c r="B2651" t="s">
        <v>78</v>
      </c>
      <c r="C2651">
        <v>3</v>
      </c>
      <c r="D2651" t="str">
        <f>VLOOKUP(B2651,Products!$A:$E,2,FALSE)</f>
        <v>Product_35</v>
      </c>
      <c r="E2651" t="str">
        <f>VLOOKUP(B2651,Products!$A:$E,3,FALSE)</f>
        <v>Electronics</v>
      </c>
    </row>
    <row r="2652" spans="1:5" x14ac:dyDescent="0.3">
      <c r="A2652" t="s">
        <v>8664</v>
      </c>
      <c r="B2652" t="s">
        <v>40</v>
      </c>
      <c r="C2652">
        <v>47</v>
      </c>
      <c r="D2652" t="str">
        <f>VLOOKUP(B2652,Products!$A:$E,2,FALSE)</f>
        <v>Product_16</v>
      </c>
      <c r="E2652" t="str">
        <f>VLOOKUP(B2652,Products!$A:$E,3,FALSE)</f>
        <v>Office Supplies</v>
      </c>
    </row>
    <row r="2653" spans="1:5" x14ac:dyDescent="0.3">
      <c r="A2653" t="s">
        <v>8665</v>
      </c>
      <c r="B2653" t="s">
        <v>172</v>
      </c>
      <c r="C2653">
        <v>15</v>
      </c>
      <c r="D2653" t="str">
        <f>VLOOKUP(B2653,Products!$A:$E,2,FALSE)</f>
        <v>Product_82</v>
      </c>
      <c r="E2653" t="str">
        <f>VLOOKUP(B2653,Products!$A:$E,3,FALSE)</f>
        <v>Storage</v>
      </c>
    </row>
    <row r="2654" spans="1:5" x14ac:dyDescent="0.3">
      <c r="A2654" t="s">
        <v>8666</v>
      </c>
      <c r="B2654" t="s">
        <v>108</v>
      </c>
      <c r="C2654">
        <v>43</v>
      </c>
      <c r="D2654" t="str">
        <f>VLOOKUP(B2654,Products!$A:$E,2,FALSE)</f>
        <v>Product_50</v>
      </c>
      <c r="E2654" t="str">
        <f>VLOOKUP(B2654,Products!$A:$E,3,FALSE)</f>
        <v>Networking</v>
      </c>
    </row>
    <row r="2655" spans="1:5" x14ac:dyDescent="0.3">
      <c r="A2655" t="s">
        <v>8667</v>
      </c>
      <c r="B2655" t="s">
        <v>118</v>
      </c>
      <c r="C2655">
        <v>32</v>
      </c>
      <c r="D2655" t="str">
        <f>VLOOKUP(B2655,Products!$A:$E,2,FALSE)</f>
        <v>Product_55</v>
      </c>
      <c r="E2655" t="str">
        <f>VLOOKUP(B2655,Products!$A:$E,3,FALSE)</f>
        <v>Office Supplies</v>
      </c>
    </row>
    <row r="2656" spans="1:5" x14ac:dyDescent="0.3">
      <c r="A2656" t="s">
        <v>8668</v>
      </c>
      <c r="B2656" t="s">
        <v>966</v>
      </c>
      <c r="C2656">
        <v>44</v>
      </c>
      <c r="D2656" t="str">
        <f>VLOOKUP(B2656,Products!$A:$E,2,FALSE)</f>
        <v>Product_479</v>
      </c>
      <c r="E2656" t="str">
        <f>VLOOKUP(B2656,Products!$A:$E,3,FALSE)</f>
        <v>Office Supplies</v>
      </c>
    </row>
    <row r="2657" spans="1:5" x14ac:dyDescent="0.3">
      <c r="A2657" t="s">
        <v>8669</v>
      </c>
      <c r="B2657" t="s">
        <v>496</v>
      </c>
      <c r="C2657">
        <v>21</v>
      </c>
      <c r="D2657" t="str">
        <f>VLOOKUP(B2657,Products!$A:$E,2,FALSE)</f>
        <v>Product_244</v>
      </c>
      <c r="E2657" t="str">
        <f>VLOOKUP(B2657,Products!$A:$E,3,FALSE)</f>
        <v>Accessories</v>
      </c>
    </row>
    <row r="2658" spans="1:5" x14ac:dyDescent="0.3">
      <c r="A2658" t="s">
        <v>8670</v>
      </c>
      <c r="B2658" t="s">
        <v>788</v>
      </c>
      <c r="C2658">
        <v>15</v>
      </c>
      <c r="D2658" t="str">
        <f>VLOOKUP(B2658,Products!$A:$E,2,FALSE)</f>
        <v>Product_390</v>
      </c>
      <c r="E2658" t="str">
        <f>VLOOKUP(B2658,Products!$A:$E,3,FALSE)</f>
        <v>Storage</v>
      </c>
    </row>
    <row r="2659" spans="1:5" x14ac:dyDescent="0.3">
      <c r="A2659" t="s">
        <v>8671</v>
      </c>
      <c r="B2659" t="s">
        <v>800</v>
      </c>
      <c r="C2659">
        <v>47</v>
      </c>
      <c r="D2659" t="str">
        <f>VLOOKUP(B2659,Products!$A:$E,2,FALSE)</f>
        <v>Product_396</v>
      </c>
      <c r="E2659" t="str">
        <f>VLOOKUP(B2659,Products!$A:$E,3,FALSE)</f>
        <v>Office Supplies</v>
      </c>
    </row>
    <row r="2660" spans="1:5" x14ac:dyDescent="0.3">
      <c r="A2660" t="s">
        <v>8672</v>
      </c>
      <c r="B2660" t="s">
        <v>824</v>
      </c>
      <c r="C2660">
        <v>16</v>
      </c>
      <c r="D2660" t="str">
        <f>VLOOKUP(B2660,Products!$A:$E,2,FALSE)</f>
        <v>Product_408</v>
      </c>
      <c r="E2660" t="str">
        <f>VLOOKUP(B2660,Products!$A:$E,3,FALSE)</f>
        <v>Storage</v>
      </c>
    </row>
    <row r="2661" spans="1:5" x14ac:dyDescent="0.3">
      <c r="A2661" t="s">
        <v>8673</v>
      </c>
      <c r="B2661" t="s">
        <v>116</v>
      </c>
      <c r="C2661">
        <v>12</v>
      </c>
      <c r="D2661" t="str">
        <f>VLOOKUP(B2661,Products!$A:$E,2,FALSE)</f>
        <v>Product_54</v>
      </c>
      <c r="E2661" t="str">
        <f>VLOOKUP(B2661,Products!$A:$E,3,FALSE)</f>
        <v>Storage</v>
      </c>
    </row>
    <row r="2662" spans="1:5" x14ac:dyDescent="0.3">
      <c r="A2662" t="s">
        <v>8674</v>
      </c>
      <c r="B2662" t="s">
        <v>754</v>
      </c>
      <c r="C2662">
        <v>25</v>
      </c>
      <c r="D2662" t="str">
        <f>VLOOKUP(B2662,Products!$A:$E,2,FALSE)</f>
        <v>Product_373</v>
      </c>
      <c r="E2662" t="str">
        <f>VLOOKUP(B2662,Products!$A:$E,3,FALSE)</f>
        <v>Office Supplies</v>
      </c>
    </row>
    <row r="2663" spans="1:5" x14ac:dyDescent="0.3">
      <c r="A2663" t="s">
        <v>8675</v>
      </c>
      <c r="B2663" t="s">
        <v>782</v>
      </c>
      <c r="C2663">
        <v>27</v>
      </c>
      <c r="D2663" t="str">
        <f>VLOOKUP(B2663,Products!$A:$E,2,FALSE)</f>
        <v>Product_387</v>
      </c>
      <c r="E2663" t="str">
        <f>VLOOKUP(B2663,Products!$A:$E,3,FALSE)</f>
        <v>Storage</v>
      </c>
    </row>
    <row r="2664" spans="1:5" x14ac:dyDescent="0.3">
      <c r="A2664" t="s">
        <v>8676</v>
      </c>
      <c r="B2664" t="s">
        <v>954</v>
      </c>
      <c r="C2664">
        <v>5</v>
      </c>
      <c r="D2664" t="str">
        <f>VLOOKUP(B2664,Products!$A:$E,2,FALSE)</f>
        <v>Product_473</v>
      </c>
      <c r="E2664" t="str">
        <f>VLOOKUP(B2664,Products!$A:$E,3,FALSE)</f>
        <v>Accessories</v>
      </c>
    </row>
    <row r="2665" spans="1:5" x14ac:dyDescent="0.3">
      <c r="A2665" t="s">
        <v>8677</v>
      </c>
      <c r="B2665" t="s">
        <v>72</v>
      </c>
      <c r="C2665">
        <v>40</v>
      </c>
      <c r="D2665" t="str">
        <f>VLOOKUP(B2665,Products!$A:$E,2,FALSE)</f>
        <v>Product_32</v>
      </c>
      <c r="E2665" t="str">
        <f>VLOOKUP(B2665,Products!$A:$E,3,FALSE)</f>
        <v>Networking</v>
      </c>
    </row>
    <row r="2666" spans="1:5" x14ac:dyDescent="0.3">
      <c r="A2666" t="s">
        <v>8678</v>
      </c>
      <c r="B2666" t="s">
        <v>266</v>
      </c>
      <c r="C2666">
        <v>8</v>
      </c>
      <c r="D2666" t="str">
        <f>VLOOKUP(B2666,Products!$A:$E,2,FALSE)</f>
        <v>Product_129</v>
      </c>
      <c r="E2666" t="str">
        <f>VLOOKUP(B2666,Products!$A:$E,3,FALSE)</f>
        <v>Electronics</v>
      </c>
    </row>
    <row r="2667" spans="1:5" x14ac:dyDescent="0.3">
      <c r="A2667" t="s">
        <v>8679</v>
      </c>
      <c r="B2667" t="s">
        <v>48</v>
      </c>
      <c r="C2667">
        <v>48</v>
      </c>
      <c r="D2667" t="str">
        <f>VLOOKUP(B2667,Products!$A:$E,2,FALSE)</f>
        <v>Product_20</v>
      </c>
      <c r="E2667" t="str">
        <f>VLOOKUP(B2667,Products!$A:$E,3,FALSE)</f>
        <v>Office Supplies</v>
      </c>
    </row>
    <row r="2668" spans="1:5" x14ac:dyDescent="0.3">
      <c r="A2668" t="s">
        <v>8680</v>
      </c>
      <c r="B2668" t="s">
        <v>84</v>
      </c>
      <c r="C2668">
        <v>29</v>
      </c>
      <c r="D2668" t="str">
        <f>VLOOKUP(B2668,Products!$A:$E,2,FALSE)</f>
        <v>Product_38</v>
      </c>
      <c r="E2668" t="str">
        <f>VLOOKUP(B2668,Products!$A:$E,3,FALSE)</f>
        <v>Accessories</v>
      </c>
    </row>
    <row r="2669" spans="1:5" x14ac:dyDescent="0.3">
      <c r="A2669" t="s">
        <v>8681</v>
      </c>
      <c r="B2669" t="s">
        <v>790</v>
      </c>
      <c r="C2669">
        <v>24</v>
      </c>
      <c r="D2669" t="str">
        <f>VLOOKUP(B2669,Products!$A:$E,2,FALSE)</f>
        <v>Product_391</v>
      </c>
      <c r="E2669" t="str">
        <f>VLOOKUP(B2669,Products!$A:$E,3,FALSE)</f>
        <v>Accessories</v>
      </c>
    </row>
    <row r="2670" spans="1:5" x14ac:dyDescent="0.3">
      <c r="A2670" t="s">
        <v>8682</v>
      </c>
      <c r="B2670" t="s">
        <v>630</v>
      </c>
      <c r="C2670">
        <v>41</v>
      </c>
      <c r="D2670" t="str">
        <f>VLOOKUP(B2670,Products!$A:$E,2,FALSE)</f>
        <v>Product_311</v>
      </c>
      <c r="E2670" t="str">
        <f>VLOOKUP(B2670,Products!$A:$E,3,FALSE)</f>
        <v>Networking</v>
      </c>
    </row>
    <row r="2671" spans="1:5" x14ac:dyDescent="0.3">
      <c r="A2671" t="s">
        <v>8683</v>
      </c>
      <c r="B2671" t="s">
        <v>870</v>
      </c>
      <c r="C2671">
        <v>2</v>
      </c>
      <c r="D2671" t="str">
        <f>VLOOKUP(B2671,Products!$A:$E,2,FALSE)</f>
        <v>Product_431</v>
      </c>
      <c r="E2671" t="str">
        <f>VLOOKUP(B2671,Products!$A:$E,3,FALSE)</f>
        <v>Electronics</v>
      </c>
    </row>
    <row r="2672" spans="1:5" x14ac:dyDescent="0.3">
      <c r="A2672" t="s">
        <v>8684</v>
      </c>
      <c r="B2672" t="s">
        <v>954</v>
      </c>
      <c r="C2672">
        <v>12</v>
      </c>
      <c r="D2672" t="str">
        <f>VLOOKUP(B2672,Products!$A:$E,2,FALSE)</f>
        <v>Product_473</v>
      </c>
      <c r="E2672" t="str">
        <f>VLOOKUP(B2672,Products!$A:$E,3,FALSE)</f>
        <v>Accessories</v>
      </c>
    </row>
    <row r="2673" spans="1:5" x14ac:dyDescent="0.3">
      <c r="A2673" t="s">
        <v>8685</v>
      </c>
      <c r="B2673" t="s">
        <v>338</v>
      </c>
      <c r="C2673">
        <v>7</v>
      </c>
      <c r="D2673" t="str">
        <f>VLOOKUP(B2673,Products!$A:$E,2,FALSE)</f>
        <v>Product_165</v>
      </c>
      <c r="E2673" t="str">
        <f>VLOOKUP(B2673,Products!$A:$E,3,FALSE)</f>
        <v>Office Supplies</v>
      </c>
    </row>
    <row r="2674" spans="1:5" x14ac:dyDescent="0.3">
      <c r="A2674" t="s">
        <v>8686</v>
      </c>
      <c r="B2674" t="s">
        <v>724</v>
      </c>
      <c r="C2674">
        <v>29</v>
      </c>
      <c r="D2674" t="str">
        <f>VLOOKUP(B2674,Products!$A:$E,2,FALSE)</f>
        <v>Product_358</v>
      </c>
      <c r="E2674" t="str">
        <f>VLOOKUP(B2674,Products!$A:$E,3,FALSE)</f>
        <v>Storage</v>
      </c>
    </row>
    <row r="2675" spans="1:5" x14ac:dyDescent="0.3">
      <c r="A2675" t="s">
        <v>8687</v>
      </c>
      <c r="B2675" t="s">
        <v>396</v>
      </c>
      <c r="C2675">
        <v>9</v>
      </c>
      <c r="D2675" t="str">
        <f>VLOOKUP(B2675,Products!$A:$E,2,FALSE)</f>
        <v>Product_194</v>
      </c>
      <c r="E2675" t="str">
        <f>VLOOKUP(B2675,Products!$A:$E,3,FALSE)</f>
        <v>Networking</v>
      </c>
    </row>
    <row r="2676" spans="1:5" x14ac:dyDescent="0.3">
      <c r="A2676" t="s">
        <v>8688</v>
      </c>
      <c r="B2676" t="s">
        <v>662</v>
      </c>
      <c r="C2676">
        <v>37</v>
      </c>
      <c r="D2676" t="str">
        <f>VLOOKUP(B2676,Products!$A:$E,2,FALSE)</f>
        <v>Product_327</v>
      </c>
      <c r="E2676" t="str">
        <f>VLOOKUP(B2676,Products!$A:$E,3,FALSE)</f>
        <v>Networking</v>
      </c>
    </row>
    <row r="2677" spans="1:5" x14ac:dyDescent="0.3">
      <c r="A2677" t="s">
        <v>8689</v>
      </c>
      <c r="B2677" t="s">
        <v>578</v>
      </c>
      <c r="C2677">
        <v>13</v>
      </c>
      <c r="D2677" t="str">
        <f>VLOOKUP(B2677,Products!$A:$E,2,FALSE)</f>
        <v>Product_285</v>
      </c>
      <c r="E2677" t="str">
        <f>VLOOKUP(B2677,Products!$A:$E,3,FALSE)</f>
        <v>Networking</v>
      </c>
    </row>
    <row r="2678" spans="1:5" x14ac:dyDescent="0.3">
      <c r="A2678" t="s">
        <v>8690</v>
      </c>
      <c r="B2678" t="s">
        <v>210</v>
      </c>
      <c r="C2678">
        <v>17</v>
      </c>
      <c r="D2678" t="str">
        <f>VLOOKUP(B2678,Products!$A:$E,2,FALSE)</f>
        <v>Product_101</v>
      </c>
      <c r="E2678" t="str">
        <f>VLOOKUP(B2678,Products!$A:$E,3,FALSE)</f>
        <v>Storage</v>
      </c>
    </row>
    <row r="2679" spans="1:5" x14ac:dyDescent="0.3">
      <c r="A2679" t="s">
        <v>8691</v>
      </c>
      <c r="B2679" t="s">
        <v>512</v>
      </c>
      <c r="C2679">
        <v>29</v>
      </c>
      <c r="D2679" t="str">
        <f>VLOOKUP(B2679,Products!$A:$E,2,FALSE)</f>
        <v>Product_252</v>
      </c>
      <c r="E2679" t="str">
        <f>VLOOKUP(B2679,Products!$A:$E,3,FALSE)</f>
        <v>Networking</v>
      </c>
    </row>
    <row r="2680" spans="1:5" x14ac:dyDescent="0.3">
      <c r="A2680" t="s">
        <v>8692</v>
      </c>
      <c r="B2680" t="s">
        <v>704</v>
      </c>
      <c r="C2680">
        <v>19</v>
      </c>
      <c r="D2680" t="str">
        <f>VLOOKUP(B2680,Products!$A:$E,2,FALSE)</f>
        <v>Product_348</v>
      </c>
      <c r="E2680" t="str">
        <f>VLOOKUP(B2680,Products!$A:$E,3,FALSE)</f>
        <v>Electronics</v>
      </c>
    </row>
    <row r="2681" spans="1:5" x14ac:dyDescent="0.3">
      <c r="A2681" t="s">
        <v>8693</v>
      </c>
      <c r="B2681" t="s">
        <v>240</v>
      </c>
      <c r="C2681">
        <v>13</v>
      </c>
      <c r="D2681" t="str">
        <f>VLOOKUP(B2681,Products!$A:$E,2,FALSE)</f>
        <v>Product_116</v>
      </c>
      <c r="E2681" t="str">
        <f>VLOOKUP(B2681,Products!$A:$E,3,FALSE)</f>
        <v>Storage</v>
      </c>
    </row>
    <row r="2682" spans="1:5" x14ac:dyDescent="0.3">
      <c r="A2682" t="s">
        <v>8694</v>
      </c>
      <c r="B2682" t="s">
        <v>768</v>
      </c>
      <c r="C2682">
        <v>11</v>
      </c>
      <c r="D2682" t="str">
        <f>VLOOKUP(B2682,Products!$A:$E,2,FALSE)</f>
        <v>Product_380</v>
      </c>
      <c r="E2682" t="str">
        <f>VLOOKUP(B2682,Products!$A:$E,3,FALSE)</f>
        <v>Electronics</v>
      </c>
    </row>
    <row r="2683" spans="1:5" x14ac:dyDescent="0.3">
      <c r="A2683" t="s">
        <v>8695</v>
      </c>
      <c r="B2683" t="s">
        <v>454</v>
      </c>
      <c r="C2683">
        <v>34</v>
      </c>
      <c r="D2683" t="str">
        <f>VLOOKUP(B2683,Products!$A:$E,2,FALSE)</f>
        <v>Product_223</v>
      </c>
      <c r="E2683" t="str">
        <f>VLOOKUP(B2683,Products!$A:$E,3,FALSE)</f>
        <v>Storage</v>
      </c>
    </row>
    <row r="2684" spans="1:5" x14ac:dyDescent="0.3">
      <c r="A2684" t="s">
        <v>8696</v>
      </c>
      <c r="B2684" t="s">
        <v>838</v>
      </c>
      <c r="C2684">
        <v>13</v>
      </c>
      <c r="D2684" t="str">
        <f>VLOOKUP(B2684,Products!$A:$E,2,FALSE)</f>
        <v>Product_415</v>
      </c>
      <c r="E2684" t="str">
        <f>VLOOKUP(B2684,Products!$A:$E,3,FALSE)</f>
        <v>Networking</v>
      </c>
    </row>
    <row r="2685" spans="1:5" x14ac:dyDescent="0.3">
      <c r="A2685" t="s">
        <v>8697</v>
      </c>
      <c r="B2685" t="s">
        <v>98</v>
      </c>
      <c r="C2685">
        <v>38</v>
      </c>
      <c r="D2685" t="str">
        <f>VLOOKUP(B2685,Products!$A:$E,2,FALSE)</f>
        <v>Product_45</v>
      </c>
      <c r="E2685" t="str">
        <f>VLOOKUP(B2685,Products!$A:$E,3,FALSE)</f>
        <v>Accessories</v>
      </c>
    </row>
    <row r="2686" spans="1:5" x14ac:dyDescent="0.3">
      <c r="A2686" t="s">
        <v>8698</v>
      </c>
      <c r="B2686" t="s">
        <v>34</v>
      </c>
      <c r="C2686">
        <v>41</v>
      </c>
      <c r="D2686" t="str">
        <f>VLOOKUP(B2686,Products!$A:$E,2,FALSE)</f>
        <v>Product_13</v>
      </c>
      <c r="E2686" t="str">
        <f>VLOOKUP(B2686,Products!$A:$E,3,FALSE)</f>
        <v>Office Supplies</v>
      </c>
    </row>
    <row r="2687" spans="1:5" x14ac:dyDescent="0.3">
      <c r="A2687" t="s">
        <v>8699</v>
      </c>
      <c r="B2687" t="s">
        <v>992</v>
      </c>
      <c r="C2687">
        <v>43</v>
      </c>
      <c r="D2687" t="str">
        <f>VLOOKUP(B2687,Products!$A:$E,2,FALSE)</f>
        <v>Product_492</v>
      </c>
      <c r="E2687" t="str">
        <f>VLOOKUP(B2687,Products!$A:$E,3,FALSE)</f>
        <v>Electronics</v>
      </c>
    </row>
    <row r="2688" spans="1:5" x14ac:dyDescent="0.3">
      <c r="A2688" t="s">
        <v>8700</v>
      </c>
      <c r="B2688" t="s">
        <v>108</v>
      </c>
      <c r="C2688">
        <v>14</v>
      </c>
      <c r="D2688" t="str">
        <f>VLOOKUP(B2688,Products!$A:$E,2,FALSE)</f>
        <v>Product_50</v>
      </c>
      <c r="E2688" t="str">
        <f>VLOOKUP(B2688,Products!$A:$E,3,FALSE)</f>
        <v>Networking</v>
      </c>
    </row>
    <row r="2689" spans="1:5" x14ac:dyDescent="0.3">
      <c r="A2689" t="s">
        <v>8701</v>
      </c>
      <c r="B2689" t="s">
        <v>44</v>
      </c>
      <c r="C2689">
        <v>9</v>
      </c>
      <c r="D2689" t="str">
        <f>VLOOKUP(B2689,Products!$A:$E,2,FALSE)</f>
        <v>Product_18</v>
      </c>
      <c r="E2689" t="str">
        <f>VLOOKUP(B2689,Products!$A:$E,3,FALSE)</f>
        <v>Networking</v>
      </c>
    </row>
    <row r="2690" spans="1:5" x14ac:dyDescent="0.3">
      <c r="A2690" t="s">
        <v>8702</v>
      </c>
      <c r="B2690" t="s">
        <v>924</v>
      </c>
      <c r="C2690">
        <v>1</v>
      </c>
      <c r="D2690" t="str">
        <f>VLOOKUP(B2690,Products!$A:$E,2,FALSE)</f>
        <v>Product_458</v>
      </c>
      <c r="E2690" t="str">
        <f>VLOOKUP(B2690,Products!$A:$E,3,FALSE)</f>
        <v>Accessories</v>
      </c>
    </row>
    <row r="2691" spans="1:5" x14ac:dyDescent="0.3">
      <c r="A2691" t="s">
        <v>8703</v>
      </c>
      <c r="B2691" t="s">
        <v>378</v>
      </c>
      <c r="C2691">
        <v>50</v>
      </c>
      <c r="D2691" t="str">
        <f>VLOOKUP(B2691,Products!$A:$E,2,FALSE)</f>
        <v>Product_185</v>
      </c>
      <c r="E2691" t="str">
        <f>VLOOKUP(B2691,Products!$A:$E,3,FALSE)</f>
        <v>Storage</v>
      </c>
    </row>
    <row r="2692" spans="1:5" x14ac:dyDescent="0.3">
      <c r="A2692" t="s">
        <v>8704</v>
      </c>
      <c r="B2692" t="s">
        <v>426</v>
      </c>
      <c r="C2692">
        <v>37</v>
      </c>
      <c r="D2692" t="str">
        <f>VLOOKUP(B2692,Products!$A:$E,2,FALSE)</f>
        <v>Product_209</v>
      </c>
      <c r="E2692" t="str">
        <f>VLOOKUP(B2692,Products!$A:$E,3,FALSE)</f>
        <v>Networking</v>
      </c>
    </row>
    <row r="2693" spans="1:5" x14ac:dyDescent="0.3">
      <c r="A2693" t="s">
        <v>8705</v>
      </c>
      <c r="B2693" t="s">
        <v>568</v>
      </c>
      <c r="C2693">
        <v>5</v>
      </c>
      <c r="D2693" t="str">
        <f>VLOOKUP(B2693,Products!$A:$E,2,FALSE)</f>
        <v>Product_280</v>
      </c>
      <c r="E2693" t="str">
        <f>VLOOKUP(B2693,Products!$A:$E,3,FALSE)</f>
        <v>Electronics</v>
      </c>
    </row>
    <row r="2694" spans="1:5" x14ac:dyDescent="0.3">
      <c r="A2694" t="s">
        <v>8706</v>
      </c>
      <c r="B2694" t="s">
        <v>358</v>
      </c>
      <c r="C2694">
        <v>12</v>
      </c>
      <c r="D2694" t="str">
        <f>VLOOKUP(B2694,Products!$A:$E,2,FALSE)</f>
        <v>Product_175</v>
      </c>
      <c r="E2694" t="str">
        <f>VLOOKUP(B2694,Products!$A:$E,3,FALSE)</f>
        <v>Storage</v>
      </c>
    </row>
    <row r="2695" spans="1:5" x14ac:dyDescent="0.3">
      <c r="A2695" t="s">
        <v>8707</v>
      </c>
      <c r="B2695" t="s">
        <v>708</v>
      </c>
      <c r="C2695">
        <v>47</v>
      </c>
      <c r="D2695" t="str">
        <f>VLOOKUP(B2695,Products!$A:$E,2,FALSE)</f>
        <v>Product_350</v>
      </c>
      <c r="E2695" t="str">
        <f>VLOOKUP(B2695,Products!$A:$E,3,FALSE)</f>
        <v>Networking</v>
      </c>
    </row>
    <row r="2696" spans="1:5" x14ac:dyDescent="0.3">
      <c r="A2696" t="s">
        <v>8708</v>
      </c>
      <c r="B2696" t="s">
        <v>990</v>
      </c>
      <c r="C2696">
        <v>47</v>
      </c>
      <c r="D2696" t="str">
        <f>VLOOKUP(B2696,Products!$A:$E,2,FALSE)</f>
        <v>Product_491</v>
      </c>
      <c r="E2696" t="str">
        <f>VLOOKUP(B2696,Products!$A:$E,3,FALSE)</f>
        <v>Accessories</v>
      </c>
    </row>
    <row r="2697" spans="1:5" x14ac:dyDescent="0.3">
      <c r="A2697" t="s">
        <v>8709</v>
      </c>
      <c r="B2697" t="s">
        <v>666</v>
      </c>
      <c r="C2697">
        <v>34</v>
      </c>
      <c r="D2697" t="str">
        <f>VLOOKUP(B2697,Products!$A:$E,2,FALSE)</f>
        <v>Product_329</v>
      </c>
      <c r="E2697" t="str">
        <f>VLOOKUP(B2697,Products!$A:$E,3,FALSE)</f>
        <v>Office Supplies</v>
      </c>
    </row>
    <row r="2698" spans="1:5" x14ac:dyDescent="0.3">
      <c r="A2698" t="s">
        <v>8710</v>
      </c>
      <c r="B2698" t="s">
        <v>518</v>
      </c>
      <c r="C2698">
        <v>13</v>
      </c>
      <c r="D2698" t="str">
        <f>VLOOKUP(B2698,Products!$A:$E,2,FALSE)</f>
        <v>Product_255</v>
      </c>
      <c r="E2698" t="str">
        <f>VLOOKUP(B2698,Products!$A:$E,3,FALSE)</f>
        <v>Accessories</v>
      </c>
    </row>
    <row r="2699" spans="1:5" x14ac:dyDescent="0.3">
      <c r="A2699" t="s">
        <v>8711</v>
      </c>
      <c r="B2699" t="s">
        <v>862</v>
      </c>
      <c r="C2699">
        <v>14</v>
      </c>
      <c r="D2699" t="str">
        <f>VLOOKUP(B2699,Products!$A:$E,2,FALSE)</f>
        <v>Product_427</v>
      </c>
      <c r="E2699" t="str">
        <f>VLOOKUP(B2699,Products!$A:$E,3,FALSE)</f>
        <v>Networking</v>
      </c>
    </row>
    <row r="2700" spans="1:5" x14ac:dyDescent="0.3">
      <c r="A2700" t="s">
        <v>8712</v>
      </c>
      <c r="B2700" t="s">
        <v>594</v>
      </c>
      <c r="C2700">
        <v>31</v>
      </c>
      <c r="D2700" t="str">
        <f>VLOOKUP(B2700,Products!$A:$E,2,FALSE)</f>
        <v>Product_293</v>
      </c>
      <c r="E2700" t="str">
        <f>VLOOKUP(B2700,Products!$A:$E,3,FALSE)</f>
        <v>Networking</v>
      </c>
    </row>
    <row r="2701" spans="1:5" x14ac:dyDescent="0.3">
      <c r="A2701" t="s">
        <v>8713</v>
      </c>
      <c r="B2701" t="s">
        <v>522</v>
      </c>
      <c r="C2701">
        <v>23</v>
      </c>
      <c r="D2701" t="str">
        <f>VLOOKUP(B2701,Products!$A:$E,2,FALSE)</f>
        <v>Product_257</v>
      </c>
      <c r="E2701" t="str">
        <f>VLOOKUP(B2701,Products!$A:$E,3,FALSE)</f>
        <v>Networking</v>
      </c>
    </row>
    <row r="2702" spans="1:5" x14ac:dyDescent="0.3">
      <c r="A2702" t="s">
        <v>8714</v>
      </c>
      <c r="B2702" t="s">
        <v>374</v>
      </c>
      <c r="C2702">
        <v>40</v>
      </c>
      <c r="D2702" t="str">
        <f>VLOOKUP(B2702,Products!$A:$E,2,FALSE)</f>
        <v>Product_183</v>
      </c>
      <c r="E2702" t="str">
        <f>VLOOKUP(B2702,Products!$A:$E,3,FALSE)</f>
        <v>Electronics</v>
      </c>
    </row>
    <row r="2703" spans="1:5" x14ac:dyDescent="0.3">
      <c r="A2703" t="s">
        <v>8715</v>
      </c>
      <c r="B2703" t="s">
        <v>930</v>
      </c>
      <c r="C2703">
        <v>36</v>
      </c>
      <c r="D2703" t="str">
        <f>VLOOKUP(B2703,Products!$A:$E,2,FALSE)</f>
        <v>Product_461</v>
      </c>
      <c r="E2703" t="str">
        <f>VLOOKUP(B2703,Products!$A:$E,3,FALSE)</f>
        <v>Accessories</v>
      </c>
    </row>
    <row r="2704" spans="1:5" x14ac:dyDescent="0.3">
      <c r="A2704" t="s">
        <v>8716</v>
      </c>
      <c r="B2704" t="s">
        <v>882</v>
      </c>
      <c r="C2704">
        <v>9</v>
      </c>
      <c r="D2704" t="str">
        <f>VLOOKUP(B2704,Products!$A:$E,2,FALSE)</f>
        <v>Product_437</v>
      </c>
      <c r="E2704" t="str">
        <f>VLOOKUP(B2704,Products!$A:$E,3,FALSE)</f>
        <v>Accessories</v>
      </c>
    </row>
    <row r="2705" spans="1:5" x14ac:dyDescent="0.3">
      <c r="A2705" t="s">
        <v>8717</v>
      </c>
      <c r="B2705" t="s">
        <v>830</v>
      </c>
      <c r="C2705">
        <v>5</v>
      </c>
      <c r="D2705" t="str">
        <f>VLOOKUP(B2705,Products!$A:$E,2,FALSE)</f>
        <v>Product_411</v>
      </c>
      <c r="E2705" t="str">
        <f>VLOOKUP(B2705,Products!$A:$E,3,FALSE)</f>
        <v>Office Supplies</v>
      </c>
    </row>
    <row r="2706" spans="1:5" x14ac:dyDescent="0.3">
      <c r="A2706" t="s">
        <v>8718</v>
      </c>
      <c r="B2706" t="s">
        <v>458</v>
      </c>
      <c r="C2706">
        <v>28</v>
      </c>
      <c r="D2706" t="str">
        <f>VLOOKUP(B2706,Products!$A:$E,2,FALSE)</f>
        <v>Product_225</v>
      </c>
      <c r="E2706" t="str">
        <f>VLOOKUP(B2706,Products!$A:$E,3,FALSE)</f>
        <v>Accessories</v>
      </c>
    </row>
    <row r="2707" spans="1:5" x14ac:dyDescent="0.3">
      <c r="A2707" t="s">
        <v>8719</v>
      </c>
      <c r="B2707" t="s">
        <v>650</v>
      </c>
      <c r="C2707">
        <v>25</v>
      </c>
      <c r="D2707" t="str">
        <f>VLOOKUP(B2707,Products!$A:$E,2,FALSE)</f>
        <v>Product_321</v>
      </c>
      <c r="E2707" t="str">
        <f>VLOOKUP(B2707,Products!$A:$E,3,FALSE)</f>
        <v>Electronics</v>
      </c>
    </row>
    <row r="2708" spans="1:5" x14ac:dyDescent="0.3">
      <c r="A2708" t="s">
        <v>8720</v>
      </c>
      <c r="B2708" t="s">
        <v>904</v>
      </c>
      <c r="C2708">
        <v>5</v>
      </c>
      <c r="D2708" t="str">
        <f>VLOOKUP(B2708,Products!$A:$E,2,FALSE)</f>
        <v>Product_448</v>
      </c>
      <c r="E2708" t="str">
        <f>VLOOKUP(B2708,Products!$A:$E,3,FALSE)</f>
        <v>Networking</v>
      </c>
    </row>
    <row r="2709" spans="1:5" x14ac:dyDescent="0.3">
      <c r="A2709" t="s">
        <v>8721</v>
      </c>
      <c r="B2709" t="s">
        <v>592</v>
      </c>
      <c r="C2709">
        <v>6</v>
      </c>
      <c r="D2709" t="str">
        <f>VLOOKUP(B2709,Products!$A:$E,2,FALSE)</f>
        <v>Product_292</v>
      </c>
      <c r="E2709" t="str">
        <f>VLOOKUP(B2709,Products!$A:$E,3,FALSE)</f>
        <v>Networking</v>
      </c>
    </row>
    <row r="2710" spans="1:5" x14ac:dyDescent="0.3">
      <c r="A2710" t="s">
        <v>8722</v>
      </c>
      <c r="B2710" t="s">
        <v>140</v>
      </c>
      <c r="C2710">
        <v>34</v>
      </c>
      <c r="D2710" t="str">
        <f>VLOOKUP(B2710,Products!$A:$E,2,FALSE)</f>
        <v>Product_66</v>
      </c>
      <c r="E2710" t="str">
        <f>VLOOKUP(B2710,Products!$A:$E,3,FALSE)</f>
        <v>Electronics</v>
      </c>
    </row>
    <row r="2711" spans="1:5" x14ac:dyDescent="0.3">
      <c r="A2711" t="s">
        <v>8723</v>
      </c>
      <c r="B2711" t="s">
        <v>314</v>
      </c>
      <c r="C2711">
        <v>7</v>
      </c>
      <c r="D2711" t="str">
        <f>VLOOKUP(B2711,Products!$A:$E,2,FALSE)</f>
        <v>Product_153</v>
      </c>
      <c r="E2711" t="str">
        <f>VLOOKUP(B2711,Products!$A:$E,3,FALSE)</f>
        <v>Electronics</v>
      </c>
    </row>
    <row r="2712" spans="1:5" x14ac:dyDescent="0.3">
      <c r="A2712" t="s">
        <v>8724</v>
      </c>
      <c r="B2712" t="s">
        <v>130</v>
      </c>
      <c r="C2712">
        <v>32</v>
      </c>
      <c r="D2712" t="str">
        <f>VLOOKUP(B2712,Products!$A:$E,2,FALSE)</f>
        <v>Product_61</v>
      </c>
      <c r="E2712" t="str">
        <f>VLOOKUP(B2712,Products!$A:$E,3,FALSE)</f>
        <v>Storage</v>
      </c>
    </row>
    <row r="2713" spans="1:5" x14ac:dyDescent="0.3">
      <c r="A2713" t="s">
        <v>8725</v>
      </c>
      <c r="B2713" t="s">
        <v>246</v>
      </c>
      <c r="C2713">
        <v>4</v>
      </c>
      <c r="D2713" t="str">
        <f>VLOOKUP(B2713,Products!$A:$E,2,FALSE)</f>
        <v>Product_119</v>
      </c>
      <c r="E2713" t="str">
        <f>VLOOKUP(B2713,Products!$A:$E,3,FALSE)</f>
        <v>Electronics</v>
      </c>
    </row>
    <row r="2714" spans="1:5" x14ac:dyDescent="0.3">
      <c r="A2714" t="s">
        <v>8726</v>
      </c>
      <c r="B2714" t="s">
        <v>624</v>
      </c>
      <c r="C2714">
        <v>35</v>
      </c>
      <c r="D2714" t="str">
        <f>VLOOKUP(B2714,Products!$A:$E,2,FALSE)</f>
        <v>Product_308</v>
      </c>
      <c r="E2714" t="str">
        <f>VLOOKUP(B2714,Products!$A:$E,3,FALSE)</f>
        <v>Storage</v>
      </c>
    </row>
    <row r="2715" spans="1:5" x14ac:dyDescent="0.3">
      <c r="A2715" t="s">
        <v>8727</v>
      </c>
      <c r="B2715" t="s">
        <v>348</v>
      </c>
      <c r="C2715">
        <v>2</v>
      </c>
      <c r="D2715" t="str">
        <f>VLOOKUP(B2715,Products!$A:$E,2,FALSE)</f>
        <v>Product_170</v>
      </c>
      <c r="E2715" t="str">
        <f>VLOOKUP(B2715,Products!$A:$E,3,FALSE)</f>
        <v>Office Supplies</v>
      </c>
    </row>
    <row r="2716" spans="1:5" x14ac:dyDescent="0.3">
      <c r="A2716" t="s">
        <v>8728</v>
      </c>
      <c r="B2716" t="s">
        <v>238</v>
      </c>
      <c r="C2716">
        <v>19</v>
      </c>
      <c r="D2716" t="str">
        <f>VLOOKUP(B2716,Products!$A:$E,2,FALSE)</f>
        <v>Product_115</v>
      </c>
      <c r="E2716" t="str">
        <f>VLOOKUP(B2716,Products!$A:$E,3,FALSE)</f>
        <v>Networking</v>
      </c>
    </row>
    <row r="2717" spans="1:5" x14ac:dyDescent="0.3">
      <c r="A2717" t="s">
        <v>8729</v>
      </c>
      <c r="B2717" t="s">
        <v>954</v>
      </c>
      <c r="C2717">
        <v>17</v>
      </c>
      <c r="D2717" t="str">
        <f>VLOOKUP(B2717,Products!$A:$E,2,FALSE)</f>
        <v>Product_473</v>
      </c>
      <c r="E2717" t="str">
        <f>VLOOKUP(B2717,Products!$A:$E,3,FALSE)</f>
        <v>Accessories</v>
      </c>
    </row>
    <row r="2718" spans="1:5" x14ac:dyDescent="0.3">
      <c r="A2718" t="s">
        <v>8730</v>
      </c>
      <c r="B2718" t="s">
        <v>408</v>
      </c>
      <c r="C2718">
        <v>46</v>
      </c>
      <c r="D2718" t="str">
        <f>VLOOKUP(B2718,Products!$A:$E,2,FALSE)</f>
        <v>Product_200</v>
      </c>
      <c r="E2718" t="str">
        <f>VLOOKUP(B2718,Products!$A:$E,3,FALSE)</f>
        <v>Office Supplies</v>
      </c>
    </row>
    <row r="2719" spans="1:5" x14ac:dyDescent="0.3">
      <c r="A2719" t="s">
        <v>8731</v>
      </c>
      <c r="B2719" t="s">
        <v>376</v>
      </c>
      <c r="C2719">
        <v>5</v>
      </c>
      <c r="D2719" t="str">
        <f>VLOOKUP(B2719,Products!$A:$E,2,FALSE)</f>
        <v>Product_184</v>
      </c>
      <c r="E2719" t="str">
        <f>VLOOKUP(B2719,Products!$A:$E,3,FALSE)</f>
        <v>Electronics</v>
      </c>
    </row>
    <row r="2720" spans="1:5" x14ac:dyDescent="0.3">
      <c r="A2720" t="s">
        <v>8732</v>
      </c>
      <c r="B2720" t="s">
        <v>902</v>
      </c>
      <c r="C2720">
        <v>11</v>
      </c>
      <c r="D2720" t="str">
        <f>VLOOKUP(B2720,Products!$A:$E,2,FALSE)</f>
        <v>Product_447</v>
      </c>
      <c r="E2720" t="str">
        <f>VLOOKUP(B2720,Products!$A:$E,3,FALSE)</f>
        <v>Office Supplies</v>
      </c>
    </row>
    <row r="2721" spans="1:5" x14ac:dyDescent="0.3">
      <c r="A2721" t="s">
        <v>8733</v>
      </c>
      <c r="B2721" t="s">
        <v>1000</v>
      </c>
      <c r="C2721">
        <v>19</v>
      </c>
      <c r="D2721" t="str">
        <f>VLOOKUP(B2721,Products!$A:$E,2,FALSE)</f>
        <v>Product_496</v>
      </c>
      <c r="E2721" t="str">
        <f>VLOOKUP(B2721,Products!$A:$E,3,FALSE)</f>
        <v>Office Supplies</v>
      </c>
    </row>
    <row r="2722" spans="1:5" x14ac:dyDescent="0.3">
      <c r="A2722" t="s">
        <v>8734</v>
      </c>
      <c r="B2722" t="s">
        <v>86</v>
      </c>
      <c r="C2722">
        <v>35</v>
      </c>
      <c r="D2722" t="str">
        <f>VLOOKUP(B2722,Products!$A:$E,2,FALSE)</f>
        <v>Product_39</v>
      </c>
      <c r="E2722" t="str">
        <f>VLOOKUP(B2722,Products!$A:$E,3,FALSE)</f>
        <v>Networking</v>
      </c>
    </row>
    <row r="2723" spans="1:5" x14ac:dyDescent="0.3">
      <c r="A2723" t="s">
        <v>8735</v>
      </c>
      <c r="B2723" t="s">
        <v>598</v>
      </c>
      <c r="C2723">
        <v>16</v>
      </c>
      <c r="D2723" t="str">
        <f>VLOOKUP(B2723,Products!$A:$E,2,FALSE)</f>
        <v>Product_295</v>
      </c>
      <c r="E2723" t="str">
        <f>VLOOKUP(B2723,Products!$A:$E,3,FALSE)</f>
        <v>Networking</v>
      </c>
    </row>
    <row r="2724" spans="1:5" x14ac:dyDescent="0.3">
      <c r="A2724" t="s">
        <v>8736</v>
      </c>
      <c r="B2724" t="s">
        <v>882</v>
      </c>
      <c r="C2724">
        <v>34</v>
      </c>
      <c r="D2724" t="str">
        <f>VLOOKUP(B2724,Products!$A:$E,2,FALSE)</f>
        <v>Product_437</v>
      </c>
      <c r="E2724" t="str">
        <f>VLOOKUP(B2724,Products!$A:$E,3,FALSE)</f>
        <v>Accessories</v>
      </c>
    </row>
    <row r="2725" spans="1:5" x14ac:dyDescent="0.3">
      <c r="A2725" t="s">
        <v>8737</v>
      </c>
      <c r="B2725" t="s">
        <v>964</v>
      </c>
      <c r="C2725">
        <v>40</v>
      </c>
      <c r="D2725" t="str">
        <f>VLOOKUP(B2725,Products!$A:$E,2,FALSE)</f>
        <v>Product_478</v>
      </c>
      <c r="E2725" t="str">
        <f>VLOOKUP(B2725,Products!$A:$E,3,FALSE)</f>
        <v>Office Supplies</v>
      </c>
    </row>
    <row r="2726" spans="1:5" x14ac:dyDescent="0.3">
      <c r="A2726" t="s">
        <v>8738</v>
      </c>
      <c r="B2726" t="s">
        <v>522</v>
      </c>
      <c r="C2726">
        <v>20</v>
      </c>
      <c r="D2726" t="str">
        <f>VLOOKUP(B2726,Products!$A:$E,2,FALSE)</f>
        <v>Product_257</v>
      </c>
      <c r="E2726" t="str">
        <f>VLOOKUP(B2726,Products!$A:$E,3,FALSE)</f>
        <v>Networking</v>
      </c>
    </row>
    <row r="2727" spans="1:5" x14ac:dyDescent="0.3">
      <c r="A2727" t="s">
        <v>8739</v>
      </c>
      <c r="B2727" t="s">
        <v>418</v>
      </c>
      <c r="C2727">
        <v>40</v>
      </c>
      <c r="D2727" t="str">
        <f>VLOOKUP(B2727,Products!$A:$E,2,FALSE)</f>
        <v>Product_205</v>
      </c>
      <c r="E2727" t="str">
        <f>VLOOKUP(B2727,Products!$A:$E,3,FALSE)</f>
        <v>Storage</v>
      </c>
    </row>
    <row r="2728" spans="1:5" x14ac:dyDescent="0.3">
      <c r="A2728" t="s">
        <v>8740</v>
      </c>
      <c r="B2728" t="s">
        <v>68</v>
      </c>
      <c r="C2728">
        <v>35</v>
      </c>
      <c r="D2728" t="str">
        <f>VLOOKUP(B2728,Products!$A:$E,2,FALSE)</f>
        <v>Product_30</v>
      </c>
      <c r="E2728" t="str">
        <f>VLOOKUP(B2728,Products!$A:$E,3,FALSE)</f>
        <v>Accessories</v>
      </c>
    </row>
    <row r="2729" spans="1:5" x14ac:dyDescent="0.3">
      <c r="A2729" t="s">
        <v>8741</v>
      </c>
      <c r="B2729" t="s">
        <v>724</v>
      </c>
      <c r="C2729">
        <v>8</v>
      </c>
      <c r="D2729" t="str">
        <f>VLOOKUP(B2729,Products!$A:$E,2,FALSE)</f>
        <v>Product_358</v>
      </c>
      <c r="E2729" t="str">
        <f>VLOOKUP(B2729,Products!$A:$E,3,FALSE)</f>
        <v>Storage</v>
      </c>
    </row>
    <row r="2730" spans="1:5" x14ac:dyDescent="0.3">
      <c r="A2730" t="s">
        <v>8742</v>
      </c>
      <c r="B2730" t="s">
        <v>606</v>
      </c>
      <c r="C2730">
        <v>31</v>
      </c>
      <c r="D2730" t="str">
        <f>VLOOKUP(B2730,Products!$A:$E,2,FALSE)</f>
        <v>Product_299</v>
      </c>
      <c r="E2730" t="str">
        <f>VLOOKUP(B2730,Products!$A:$E,3,FALSE)</f>
        <v>Storage</v>
      </c>
    </row>
    <row r="2731" spans="1:5" x14ac:dyDescent="0.3">
      <c r="A2731" t="s">
        <v>8743</v>
      </c>
      <c r="B2731" t="s">
        <v>968</v>
      </c>
      <c r="C2731">
        <v>17</v>
      </c>
      <c r="D2731" t="str">
        <f>VLOOKUP(B2731,Products!$A:$E,2,FALSE)</f>
        <v>Product_480</v>
      </c>
      <c r="E2731" t="str">
        <f>VLOOKUP(B2731,Products!$A:$E,3,FALSE)</f>
        <v>Accessories</v>
      </c>
    </row>
    <row r="2732" spans="1:5" x14ac:dyDescent="0.3">
      <c r="A2732" t="s">
        <v>8744</v>
      </c>
      <c r="B2732" t="s">
        <v>678</v>
      </c>
      <c r="C2732">
        <v>2</v>
      </c>
      <c r="D2732" t="str">
        <f>VLOOKUP(B2732,Products!$A:$E,2,FALSE)</f>
        <v>Product_335</v>
      </c>
      <c r="E2732" t="str">
        <f>VLOOKUP(B2732,Products!$A:$E,3,FALSE)</f>
        <v>Networking</v>
      </c>
    </row>
    <row r="2733" spans="1:5" x14ac:dyDescent="0.3">
      <c r="A2733" t="s">
        <v>8745</v>
      </c>
      <c r="B2733" t="s">
        <v>42</v>
      </c>
      <c r="C2733">
        <v>22</v>
      </c>
      <c r="D2733" t="str">
        <f>VLOOKUP(B2733,Products!$A:$E,2,FALSE)</f>
        <v>Product_17</v>
      </c>
      <c r="E2733" t="str">
        <f>VLOOKUP(B2733,Products!$A:$E,3,FALSE)</f>
        <v>Office Supplies</v>
      </c>
    </row>
    <row r="2734" spans="1:5" x14ac:dyDescent="0.3">
      <c r="A2734" t="s">
        <v>8746</v>
      </c>
      <c r="B2734" t="s">
        <v>440</v>
      </c>
      <c r="C2734">
        <v>17</v>
      </c>
      <c r="D2734" t="str">
        <f>VLOOKUP(B2734,Products!$A:$E,2,FALSE)</f>
        <v>Product_216</v>
      </c>
      <c r="E2734" t="str">
        <f>VLOOKUP(B2734,Products!$A:$E,3,FALSE)</f>
        <v>Accessories</v>
      </c>
    </row>
    <row r="2735" spans="1:5" x14ac:dyDescent="0.3">
      <c r="A2735" t="s">
        <v>8747</v>
      </c>
      <c r="B2735" t="s">
        <v>214</v>
      </c>
      <c r="C2735">
        <v>22</v>
      </c>
      <c r="D2735" t="str">
        <f>VLOOKUP(B2735,Products!$A:$E,2,FALSE)</f>
        <v>Product_103</v>
      </c>
      <c r="E2735" t="str">
        <f>VLOOKUP(B2735,Products!$A:$E,3,FALSE)</f>
        <v>Accessories</v>
      </c>
    </row>
    <row r="2736" spans="1:5" x14ac:dyDescent="0.3">
      <c r="A2736" t="s">
        <v>8748</v>
      </c>
      <c r="B2736" t="s">
        <v>918</v>
      </c>
      <c r="C2736">
        <v>49</v>
      </c>
      <c r="D2736" t="str">
        <f>VLOOKUP(B2736,Products!$A:$E,2,FALSE)</f>
        <v>Product_455</v>
      </c>
      <c r="E2736" t="str">
        <f>VLOOKUP(B2736,Products!$A:$E,3,FALSE)</f>
        <v>Storage</v>
      </c>
    </row>
    <row r="2737" spans="1:5" x14ac:dyDescent="0.3">
      <c r="A2737" t="s">
        <v>8749</v>
      </c>
      <c r="B2737" t="s">
        <v>70</v>
      </c>
      <c r="C2737">
        <v>9</v>
      </c>
      <c r="D2737" t="str">
        <f>VLOOKUP(B2737,Products!$A:$E,2,FALSE)</f>
        <v>Product_31</v>
      </c>
      <c r="E2737" t="str">
        <f>VLOOKUP(B2737,Products!$A:$E,3,FALSE)</f>
        <v>Accessories</v>
      </c>
    </row>
    <row r="2738" spans="1:5" x14ac:dyDescent="0.3">
      <c r="A2738" t="s">
        <v>8750</v>
      </c>
      <c r="B2738" t="s">
        <v>218</v>
      </c>
      <c r="C2738">
        <v>36</v>
      </c>
      <c r="D2738" t="str">
        <f>VLOOKUP(B2738,Products!$A:$E,2,FALSE)</f>
        <v>Product_105</v>
      </c>
      <c r="E2738" t="str">
        <f>VLOOKUP(B2738,Products!$A:$E,3,FALSE)</f>
        <v>Networking</v>
      </c>
    </row>
    <row r="2739" spans="1:5" x14ac:dyDescent="0.3">
      <c r="A2739" t="s">
        <v>8751</v>
      </c>
      <c r="B2739" t="s">
        <v>846</v>
      </c>
      <c r="C2739">
        <v>47</v>
      </c>
      <c r="D2739" t="str">
        <f>VLOOKUP(B2739,Products!$A:$E,2,FALSE)</f>
        <v>Product_419</v>
      </c>
      <c r="E2739" t="str">
        <f>VLOOKUP(B2739,Products!$A:$E,3,FALSE)</f>
        <v>Networking</v>
      </c>
    </row>
    <row r="2740" spans="1:5" x14ac:dyDescent="0.3">
      <c r="A2740" t="s">
        <v>8752</v>
      </c>
      <c r="B2740" t="s">
        <v>346</v>
      </c>
      <c r="C2740">
        <v>49</v>
      </c>
      <c r="D2740" t="str">
        <f>VLOOKUP(B2740,Products!$A:$E,2,FALSE)</f>
        <v>Product_169</v>
      </c>
      <c r="E2740" t="str">
        <f>VLOOKUP(B2740,Products!$A:$E,3,FALSE)</f>
        <v>Accessories</v>
      </c>
    </row>
    <row r="2741" spans="1:5" x14ac:dyDescent="0.3">
      <c r="A2741" t="s">
        <v>8753</v>
      </c>
      <c r="B2741" t="s">
        <v>688</v>
      </c>
      <c r="C2741">
        <v>4</v>
      </c>
      <c r="D2741" t="str">
        <f>VLOOKUP(B2741,Products!$A:$E,2,FALSE)</f>
        <v>Product_340</v>
      </c>
      <c r="E2741" t="str">
        <f>VLOOKUP(B2741,Products!$A:$E,3,FALSE)</f>
        <v>Storage</v>
      </c>
    </row>
    <row r="2742" spans="1:5" x14ac:dyDescent="0.3">
      <c r="A2742" t="s">
        <v>8754</v>
      </c>
      <c r="B2742" t="s">
        <v>250</v>
      </c>
      <c r="C2742">
        <v>32</v>
      </c>
      <c r="D2742" t="str">
        <f>VLOOKUP(B2742,Products!$A:$E,2,FALSE)</f>
        <v>Product_121</v>
      </c>
      <c r="E2742" t="str">
        <f>VLOOKUP(B2742,Products!$A:$E,3,FALSE)</f>
        <v>Storage</v>
      </c>
    </row>
    <row r="2743" spans="1:5" x14ac:dyDescent="0.3">
      <c r="A2743" t="s">
        <v>8755</v>
      </c>
      <c r="B2743" t="s">
        <v>84</v>
      </c>
      <c r="C2743">
        <v>37</v>
      </c>
      <c r="D2743" t="str">
        <f>VLOOKUP(B2743,Products!$A:$E,2,FALSE)</f>
        <v>Product_38</v>
      </c>
      <c r="E2743" t="str">
        <f>VLOOKUP(B2743,Products!$A:$E,3,FALSE)</f>
        <v>Accessories</v>
      </c>
    </row>
    <row r="2744" spans="1:5" x14ac:dyDescent="0.3">
      <c r="A2744" t="s">
        <v>8756</v>
      </c>
      <c r="B2744" t="s">
        <v>936</v>
      </c>
      <c r="C2744">
        <v>40</v>
      </c>
      <c r="D2744" t="str">
        <f>VLOOKUP(B2744,Products!$A:$E,2,FALSE)</f>
        <v>Product_464</v>
      </c>
      <c r="E2744" t="str">
        <f>VLOOKUP(B2744,Products!$A:$E,3,FALSE)</f>
        <v>Office Supplies</v>
      </c>
    </row>
    <row r="2745" spans="1:5" x14ac:dyDescent="0.3">
      <c r="A2745" t="s">
        <v>8757</v>
      </c>
      <c r="B2745" t="s">
        <v>728</v>
      </c>
      <c r="C2745">
        <v>49</v>
      </c>
      <c r="D2745" t="str">
        <f>VLOOKUP(B2745,Products!$A:$E,2,FALSE)</f>
        <v>Product_360</v>
      </c>
      <c r="E2745" t="str">
        <f>VLOOKUP(B2745,Products!$A:$E,3,FALSE)</f>
        <v>Office Supplies</v>
      </c>
    </row>
    <row r="2746" spans="1:5" x14ac:dyDescent="0.3">
      <c r="A2746" t="s">
        <v>8758</v>
      </c>
      <c r="B2746" t="s">
        <v>836</v>
      </c>
      <c r="C2746">
        <v>3</v>
      </c>
      <c r="D2746" t="str">
        <f>VLOOKUP(B2746,Products!$A:$E,2,FALSE)</f>
        <v>Product_414</v>
      </c>
      <c r="E2746" t="str">
        <f>VLOOKUP(B2746,Products!$A:$E,3,FALSE)</f>
        <v>Office Supplies</v>
      </c>
    </row>
    <row r="2747" spans="1:5" x14ac:dyDescent="0.3">
      <c r="A2747" t="s">
        <v>8759</v>
      </c>
      <c r="B2747" t="s">
        <v>364</v>
      </c>
      <c r="C2747">
        <v>5</v>
      </c>
      <c r="D2747" t="str">
        <f>VLOOKUP(B2747,Products!$A:$E,2,FALSE)</f>
        <v>Product_178</v>
      </c>
      <c r="E2747" t="str">
        <f>VLOOKUP(B2747,Products!$A:$E,3,FALSE)</f>
        <v>Office Supplies</v>
      </c>
    </row>
    <row r="2748" spans="1:5" x14ac:dyDescent="0.3">
      <c r="A2748" t="s">
        <v>8760</v>
      </c>
      <c r="B2748" t="s">
        <v>982</v>
      </c>
      <c r="C2748">
        <v>27</v>
      </c>
      <c r="D2748" t="str">
        <f>VLOOKUP(B2748,Products!$A:$E,2,FALSE)</f>
        <v>Product_487</v>
      </c>
      <c r="E2748" t="str">
        <f>VLOOKUP(B2748,Products!$A:$E,3,FALSE)</f>
        <v>Networking</v>
      </c>
    </row>
    <row r="2749" spans="1:5" x14ac:dyDescent="0.3">
      <c r="A2749" t="s">
        <v>8761</v>
      </c>
      <c r="B2749" t="s">
        <v>622</v>
      </c>
      <c r="C2749">
        <v>48</v>
      </c>
      <c r="D2749" t="str">
        <f>VLOOKUP(B2749,Products!$A:$E,2,FALSE)</f>
        <v>Product_307</v>
      </c>
      <c r="E2749" t="str">
        <f>VLOOKUP(B2749,Products!$A:$E,3,FALSE)</f>
        <v>Storage</v>
      </c>
    </row>
    <row r="2750" spans="1:5" x14ac:dyDescent="0.3">
      <c r="A2750" t="s">
        <v>8762</v>
      </c>
      <c r="B2750" t="s">
        <v>636</v>
      </c>
      <c r="C2750">
        <v>6</v>
      </c>
      <c r="D2750" t="str">
        <f>VLOOKUP(B2750,Products!$A:$E,2,FALSE)</f>
        <v>Product_314</v>
      </c>
      <c r="E2750" t="str">
        <f>VLOOKUP(B2750,Products!$A:$E,3,FALSE)</f>
        <v>Storage</v>
      </c>
    </row>
    <row r="2751" spans="1:5" x14ac:dyDescent="0.3">
      <c r="A2751" t="s">
        <v>8763</v>
      </c>
      <c r="B2751" t="s">
        <v>918</v>
      </c>
      <c r="C2751">
        <v>36</v>
      </c>
      <c r="D2751" t="str">
        <f>VLOOKUP(B2751,Products!$A:$E,2,FALSE)</f>
        <v>Product_455</v>
      </c>
      <c r="E2751" t="str">
        <f>VLOOKUP(B2751,Products!$A:$E,3,FALSE)</f>
        <v>Storage</v>
      </c>
    </row>
    <row r="2752" spans="1:5" x14ac:dyDescent="0.3">
      <c r="A2752" t="s">
        <v>8764</v>
      </c>
      <c r="B2752" t="s">
        <v>500</v>
      </c>
      <c r="C2752">
        <v>9</v>
      </c>
      <c r="D2752" t="str">
        <f>VLOOKUP(B2752,Products!$A:$E,2,FALSE)</f>
        <v>Product_246</v>
      </c>
      <c r="E2752" t="str">
        <f>VLOOKUP(B2752,Products!$A:$E,3,FALSE)</f>
        <v>Electronics</v>
      </c>
    </row>
    <row r="2753" spans="1:5" x14ac:dyDescent="0.3">
      <c r="A2753" t="s">
        <v>8765</v>
      </c>
      <c r="B2753" t="s">
        <v>286</v>
      </c>
      <c r="C2753">
        <v>47</v>
      </c>
      <c r="D2753" t="str">
        <f>VLOOKUP(B2753,Products!$A:$E,2,FALSE)</f>
        <v>Product_139</v>
      </c>
      <c r="E2753" t="str">
        <f>VLOOKUP(B2753,Products!$A:$E,3,FALSE)</f>
        <v>Storage</v>
      </c>
    </row>
    <row r="2754" spans="1:5" x14ac:dyDescent="0.3">
      <c r="A2754" t="s">
        <v>8766</v>
      </c>
      <c r="B2754" t="s">
        <v>52</v>
      </c>
      <c r="C2754">
        <v>7</v>
      </c>
      <c r="D2754" t="str">
        <f>VLOOKUP(B2754,Products!$A:$E,2,FALSE)</f>
        <v>Product_22</v>
      </c>
      <c r="E2754" t="str">
        <f>VLOOKUP(B2754,Products!$A:$E,3,FALSE)</f>
        <v>Electronics</v>
      </c>
    </row>
    <row r="2755" spans="1:5" x14ac:dyDescent="0.3">
      <c r="A2755" t="s">
        <v>8767</v>
      </c>
      <c r="B2755" t="s">
        <v>46</v>
      </c>
      <c r="C2755">
        <v>32</v>
      </c>
      <c r="D2755" t="str">
        <f>VLOOKUP(B2755,Products!$A:$E,2,FALSE)</f>
        <v>Product_19</v>
      </c>
      <c r="E2755" t="str">
        <f>VLOOKUP(B2755,Products!$A:$E,3,FALSE)</f>
        <v>Networking</v>
      </c>
    </row>
    <row r="2756" spans="1:5" x14ac:dyDescent="0.3">
      <c r="A2756" t="s">
        <v>8768</v>
      </c>
      <c r="B2756" t="s">
        <v>528</v>
      </c>
      <c r="C2756">
        <v>15</v>
      </c>
      <c r="D2756" t="str">
        <f>VLOOKUP(B2756,Products!$A:$E,2,FALSE)</f>
        <v>Product_260</v>
      </c>
      <c r="E2756" t="str">
        <f>VLOOKUP(B2756,Products!$A:$E,3,FALSE)</f>
        <v>Storage</v>
      </c>
    </row>
    <row r="2757" spans="1:5" x14ac:dyDescent="0.3">
      <c r="A2757" t="s">
        <v>8769</v>
      </c>
      <c r="B2757" t="s">
        <v>674</v>
      </c>
      <c r="C2757">
        <v>23</v>
      </c>
      <c r="D2757" t="str">
        <f>VLOOKUP(B2757,Products!$A:$E,2,FALSE)</f>
        <v>Product_333</v>
      </c>
      <c r="E2757" t="str">
        <f>VLOOKUP(B2757,Products!$A:$E,3,FALSE)</f>
        <v>Storage</v>
      </c>
    </row>
    <row r="2758" spans="1:5" x14ac:dyDescent="0.3">
      <c r="A2758" t="s">
        <v>8770</v>
      </c>
      <c r="B2758" t="s">
        <v>450</v>
      </c>
      <c r="C2758">
        <v>31</v>
      </c>
      <c r="D2758" t="str">
        <f>VLOOKUP(B2758,Products!$A:$E,2,FALSE)</f>
        <v>Product_221</v>
      </c>
      <c r="E2758" t="str">
        <f>VLOOKUP(B2758,Products!$A:$E,3,FALSE)</f>
        <v>Office Supplies</v>
      </c>
    </row>
    <row r="2759" spans="1:5" x14ac:dyDescent="0.3">
      <c r="A2759" t="s">
        <v>8771</v>
      </c>
      <c r="B2759" t="s">
        <v>320</v>
      </c>
      <c r="C2759">
        <v>15</v>
      </c>
      <c r="D2759" t="str">
        <f>VLOOKUP(B2759,Products!$A:$E,2,FALSE)</f>
        <v>Product_156</v>
      </c>
      <c r="E2759" t="str">
        <f>VLOOKUP(B2759,Products!$A:$E,3,FALSE)</f>
        <v>Accessories</v>
      </c>
    </row>
    <row r="2760" spans="1:5" x14ac:dyDescent="0.3">
      <c r="A2760" t="s">
        <v>8772</v>
      </c>
      <c r="B2760" t="s">
        <v>30</v>
      </c>
      <c r="C2760">
        <v>4</v>
      </c>
      <c r="D2760" t="str">
        <f>VLOOKUP(B2760,Products!$A:$E,2,FALSE)</f>
        <v>Product_11</v>
      </c>
      <c r="E2760" t="str">
        <f>VLOOKUP(B2760,Products!$A:$E,3,FALSE)</f>
        <v>Electronics</v>
      </c>
    </row>
    <row r="2761" spans="1:5" x14ac:dyDescent="0.3">
      <c r="A2761" t="s">
        <v>8773</v>
      </c>
      <c r="B2761" t="s">
        <v>36</v>
      </c>
      <c r="C2761">
        <v>50</v>
      </c>
      <c r="D2761" t="str">
        <f>VLOOKUP(B2761,Products!$A:$E,2,FALSE)</f>
        <v>Product_14</v>
      </c>
      <c r="E2761" t="str">
        <f>VLOOKUP(B2761,Products!$A:$E,3,FALSE)</f>
        <v>Accessories</v>
      </c>
    </row>
    <row r="2762" spans="1:5" x14ac:dyDescent="0.3">
      <c r="A2762" t="s">
        <v>8774</v>
      </c>
      <c r="B2762" t="s">
        <v>810</v>
      </c>
      <c r="C2762">
        <v>13</v>
      </c>
      <c r="D2762" t="str">
        <f>VLOOKUP(B2762,Products!$A:$E,2,FALSE)</f>
        <v>Product_401</v>
      </c>
      <c r="E2762" t="str">
        <f>VLOOKUP(B2762,Products!$A:$E,3,FALSE)</f>
        <v>Storage</v>
      </c>
    </row>
    <row r="2763" spans="1:5" x14ac:dyDescent="0.3">
      <c r="A2763" t="s">
        <v>8775</v>
      </c>
      <c r="B2763" t="s">
        <v>556</v>
      </c>
      <c r="C2763">
        <v>39</v>
      </c>
      <c r="D2763" t="str">
        <f>VLOOKUP(B2763,Products!$A:$E,2,FALSE)</f>
        <v>Product_274</v>
      </c>
      <c r="E2763" t="str">
        <f>VLOOKUP(B2763,Products!$A:$E,3,FALSE)</f>
        <v>Accessories</v>
      </c>
    </row>
    <row r="2764" spans="1:5" x14ac:dyDescent="0.3">
      <c r="A2764" t="s">
        <v>8776</v>
      </c>
      <c r="B2764" t="s">
        <v>890</v>
      </c>
      <c r="C2764">
        <v>25</v>
      </c>
      <c r="D2764" t="str">
        <f>VLOOKUP(B2764,Products!$A:$E,2,FALSE)</f>
        <v>Product_441</v>
      </c>
      <c r="E2764" t="str">
        <f>VLOOKUP(B2764,Products!$A:$E,3,FALSE)</f>
        <v>Storage</v>
      </c>
    </row>
    <row r="2765" spans="1:5" x14ac:dyDescent="0.3">
      <c r="A2765" t="s">
        <v>8777</v>
      </c>
      <c r="B2765" t="s">
        <v>708</v>
      </c>
      <c r="C2765">
        <v>44</v>
      </c>
      <c r="D2765" t="str">
        <f>VLOOKUP(B2765,Products!$A:$E,2,FALSE)</f>
        <v>Product_350</v>
      </c>
      <c r="E2765" t="str">
        <f>VLOOKUP(B2765,Products!$A:$E,3,FALSE)</f>
        <v>Networking</v>
      </c>
    </row>
    <row r="2766" spans="1:5" x14ac:dyDescent="0.3">
      <c r="A2766" t="s">
        <v>8778</v>
      </c>
      <c r="B2766" t="s">
        <v>764</v>
      </c>
      <c r="C2766">
        <v>2</v>
      </c>
      <c r="D2766" t="str">
        <f>VLOOKUP(B2766,Products!$A:$E,2,FALSE)</f>
        <v>Product_378</v>
      </c>
      <c r="E2766" t="str">
        <f>VLOOKUP(B2766,Products!$A:$E,3,FALSE)</f>
        <v>Electronics</v>
      </c>
    </row>
    <row r="2767" spans="1:5" x14ac:dyDescent="0.3">
      <c r="A2767" t="s">
        <v>8779</v>
      </c>
      <c r="B2767" t="s">
        <v>574</v>
      </c>
      <c r="C2767">
        <v>31</v>
      </c>
      <c r="D2767" t="str">
        <f>VLOOKUP(B2767,Products!$A:$E,2,FALSE)</f>
        <v>Product_283</v>
      </c>
      <c r="E2767" t="str">
        <f>VLOOKUP(B2767,Products!$A:$E,3,FALSE)</f>
        <v>Networking</v>
      </c>
    </row>
    <row r="2768" spans="1:5" x14ac:dyDescent="0.3">
      <c r="A2768" t="s">
        <v>8780</v>
      </c>
      <c r="B2768" t="s">
        <v>62</v>
      </c>
      <c r="C2768">
        <v>25</v>
      </c>
      <c r="D2768" t="str">
        <f>VLOOKUP(B2768,Products!$A:$E,2,FALSE)</f>
        <v>Product_27</v>
      </c>
      <c r="E2768" t="str">
        <f>VLOOKUP(B2768,Products!$A:$E,3,FALSE)</f>
        <v>Office Supplies</v>
      </c>
    </row>
    <row r="2769" spans="1:5" x14ac:dyDescent="0.3">
      <c r="A2769" t="s">
        <v>8781</v>
      </c>
      <c r="B2769" t="s">
        <v>794</v>
      </c>
      <c r="C2769">
        <v>25</v>
      </c>
      <c r="D2769" t="str">
        <f>VLOOKUP(B2769,Products!$A:$E,2,FALSE)</f>
        <v>Product_393</v>
      </c>
      <c r="E2769" t="str">
        <f>VLOOKUP(B2769,Products!$A:$E,3,FALSE)</f>
        <v>Electronics</v>
      </c>
    </row>
    <row r="2770" spans="1:5" x14ac:dyDescent="0.3">
      <c r="A2770" t="s">
        <v>8782</v>
      </c>
      <c r="B2770" t="s">
        <v>722</v>
      </c>
      <c r="C2770">
        <v>9</v>
      </c>
      <c r="D2770" t="str">
        <f>VLOOKUP(B2770,Products!$A:$E,2,FALSE)</f>
        <v>Product_357</v>
      </c>
      <c r="E2770" t="str">
        <f>VLOOKUP(B2770,Products!$A:$E,3,FALSE)</f>
        <v>Accessories</v>
      </c>
    </row>
    <row r="2771" spans="1:5" x14ac:dyDescent="0.3">
      <c r="A2771" t="s">
        <v>8783</v>
      </c>
      <c r="B2771" t="s">
        <v>450</v>
      </c>
      <c r="C2771">
        <v>45</v>
      </c>
      <c r="D2771" t="str">
        <f>VLOOKUP(B2771,Products!$A:$E,2,FALSE)</f>
        <v>Product_221</v>
      </c>
      <c r="E2771" t="str">
        <f>VLOOKUP(B2771,Products!$A:$E,3,FALSE)</f>
        <v>Office Supplies</v>
      </c>
    </row>
    <row r="2772" spans="1:5" x14ac:dyDescent="0.3">
      <c r="A2772" t="s">
        <v>8784</v>
      </c>
      <c r="B2772" t="s">
        <v>446</v>
      </c>
      <c r="C2772">
        <v>36</v>
      </c>
      <c r="D2772" t="str">
        <f>VLOOKUP(B2772,Products!$A:$E,2,FALSE)</f>
        <v>Product_219</v>
      </c>
      <c r="E2772" t="str">
        <f>VLOOKUP(B2772,Products!$A:$E,3,FALSE)</f>
        <v>Accessories</v>
      </c>
    </row>
    <row r="2773" spans="1:5" x14ac:dyDescent="0.3">
      <c r="A2773" t="s">
        <v>8785</v>
      </c>
      <c r="B2773" t="s">
        <v>150</v>
      </c>
      <c r="C2773">
        <v>8</v>
      </c>
      <c r="D2773" t="str">
        <f>VLOOKUP(B2773,Products!$A:$E,2,FALSE)</f>
        <v>Product_71</v>
      </c>
      <c r="E2773" t="str">
        <f>VLOOKUP(B2773,Products!$A:$E,3,FALSE)</f>
        <v>Accessories</v>
      </c>
    </row>
    <row r="2774" spans="1:5" x14ac:dyDescent="0.3">
      <c r="A2774" t="s">
        <v>8786</v>
      </c>
      <c r="B2774" t="s">
        <v>458</v>
      </c>
      <c r="C2774">
        <v>8</v>
      </c>
      <c r="D2774" t="str">
        <f>VLOOKUP(B2774,Products!$A:$E,2,FALSE)</f>
        <v>Product_225</v>
      </c>
      <c r="E2774" t="str">
        <f>VLOOKUP(B2774,Products!$A:$E,3,FALSE)</f>
        <v>Accessories</v>
      </c>
    </row>
    <row r="2775" spans="1:5" x14ac:dyDescent="0.3">
      <c r="A2775" t="s">
        <v>8787</v>
      </c>
      <c r="B2775" t="s">
        <v>928</v>
      </c>
      <c r="C2775">
        <v>40</v>
      </c>
      <c r="D2775" t="str">
        <f>VLOOKUP(B2775,Products!$A:$E,2,FALSE)</f>
        <v>Product_460</v>
      </c>
      <c r="E2775" t="str">
        <f>VLOOKUP(B2775,Products!$A:$E,3,FALSE)</f>
        <v>Accessories</v>
      </c>
    </row>
    <row r="2776" spans="1:5" x14ac:dyDescent="0.3">
      <c r="A2776" t="s">
        <v>8788</v>
      </c>
      <c r="B2776" t="s">
        <v>934</v>
      </c>
      <c r="C2776">
        <v>24</v>
      </c>
      <c r="D2776" t="str">
        <f>VLOOKUP(B2776,Products!$A:$E,2,FALSE)</f>
        <v>Product_463</v>
      </c>
      <c r="E2776" t="str">
        <f>VLOOKUP(B2776,Products!$A:$E,3,FALSE)</f>
        <v>Networking</v>
      </c>
    </row>
    <row r="2777" spans="1:5" x14ac:dyDescent="0.3">
      <c r="A2777" t="s">
        <v>8789</v>
      </c>
      <c r="B2777" t="s">
        <v>370</v>
      </c>
      <c r="C2777">
        <v>13</v>
      </c>
      <c r="D2777" t="str">
        <f>VLOOKUP(B2777,Products!$A:$E,2,FALSE)</f>
        <v>Product_181</v>
      </c>
      <c r="E2777" t="str">
        <f>VLOOKUP(B2777,Products!$A:$E,3,FALSE)</f>
        <v>Storage</v>
      </c>
    </row>
    <row r="2778" spans="1:5" x14ac:dyDescent="0.3">
      <c r="A2778" t="s">
        <v>8790</v>
      </c>
      <c r="B2778" t="s">
        <v>360</v>
      </c>
      <c r="C2778">
        <v>28</v>
      </c>
      <c r="D2778" t="str">
        <f>VLOOKUP(B2778,Products!$A:$E,2,FALSE)</f>
        <v>Product_176</v>
      </c>
      <c r="E2778" t="str">
        <f>VLOOKUP(B2778,Products!$A:$E,3,FALSE)</f>
        <v>Electronics</v>
      </c>
    </row>
    <row r="2779" spans="1:5" x14ac:dyDescent="0.3">
      <c r="A2779" t="s">
        <v>8791</v>
      </c>
      <c r="B2779" t="s">
        <v>950</v>
      </c>
      <c r="C2779">
        <v>4</v>
      </c>
      <c r="D2779" t="str">
        <f>VLOOKUP(B2779,Products!$A:$E,2,FALSE)</f>
        <v>Product_471</v>
      </c>
      <c r="E2779" t="str">
        <f>VLOOKUP(B2779,Products!$A:$E,3,FALSE)</f>
        <v>Office Supplies</v>
      </c>
    </row>
    <row r="2780" spans="1:5" x14ac:dyDescent="0.3">
      <c r="A2780" t="s">
        <v>8792</v>
      </c>
      <c r="B2780" t="s">
        <v>252</v>
      </c>
      <c r="C2780">
        <v>15</v>
      </c>
      <c r="D2780" t="str">
        <f>VLOOKUP(B2780,Products!$A:$E,2,FALSE)</f>
        <v>Product_122</v>
      </c>
      <c r="E2780" t="str">
        <f>VLOOKUP(B2780,Products!$A:$E,3,FALSE)</f>
        <v>Storage</v>
      </c>
    </row>
    <row r="2781" spans="1:5" x14ac:dyDescent="0.3">
      <c r="A2781" t="s">
        <v>8793</v>
      </c>
      <c r="B2781" t="s">
        <v>104</v>
      </c>
      <c r="C2781">
        <v>38</v>
      </c>
      <c r="D2781" t="str">
        <f>VLOOKUP(B2781,Products!$A:$E,2,FALSE)</f>
        <v>Product_48</v>
      </c>
      <c r="E2781" t="str">
        <f>VLOOKUP(B2781,Products!$A:$E,3,FALSE)</f>
        <v>Accessories</v>
      </c>
    </row>
    <row r="2782" spans="1:5" x14ac:dyDescent="0.3">
      <c r="A2782" t="s">
        <v>8794</v>
      </c>
      <c r="B2782" t="s">
        <v>20</v>
      </c>
      <c r="C2782">
        <v>15</v>
      </c>
      <c r="D2782" t="str">
        <f>VLOOKUP(B2782,Products!$A:$E,2,FALSE)</f>
        <v>Product_6</v>
      </c>
      <c r="E2782" t="str">
        <f>VLOOKUP(B2782,Products!$A:$E,3,FALSE)</f>
        <v>Electronics</v>
      </c>
    </row>
    <row r="2783" spans="1:5" x14ac:dyDescent="0.3">
      <c r="A2783" t="s">
        <v>8795</v>
      </c>
      <c r="B2783" t="s">
        <v>432</v>
      </c>
      <c r="C2783">
        <v>48</v>
      </c>
      <c r="D2783" t="str">
        <f>VLOOKUP(B2783,Products!$A:$E,2,FALSE)</f>
        <v>Product_212</v>
      </c>
      <c r="E2783" t="str">
        <f>VLOOKUP(B2783,Products!$A:$E,3,FALSE)</f>
        <v>Networking</v>
      </c>
    </row>
    <row r="2784" spans="1:5" x14ac:dyDescent="0.3">
      <c r="A2784" t="s">
        <v>8796</v>
      </c>
      <c r="B2784" t="s">
        <v>780</v>
      </c>
      <c r="C2784">
        <v>35</v>
      </c>
      <c r="D2784" t="str">
        <f>VLOOKUP(B2784,Products!$A:$E,2,FALSE)</f>
        <v>Product_386</v>
      </c>
      <c r="E2784" t="str">
        <f>VLOOKUP(B2784,Products!$A:$E,3,FALSE)</f>
        <v>Electronics</v>
      </c>
    </row>
    <row r="2785" spans="1:5" x14ac:dyDescent="0.3">
      <c r="A2785" t="s">
        <v>8797</v>
      </c>
      <c r="B2785" t="s">
        <v>590</v>
      </c>
      <c r="C2785">
        <v>3</v>
      </c>
      <c r="D2785" t="str">
        <f>VLOOKUP(B2785,Products!$A:$E,2,FALSE)</f>
        <v>Product_291</v>
      </c>
      <c r="E2785" t="str">
        <f>VLOOKUP(B2785,Products!$A:$E,3,FALSE)</f>
        <v>Networking</v>
      </c>
    </row>
    <row r="2786" spans="1:5" x14ac:dyDescent="0.3">
      <c r="A2786" t="s">
        <v>8798</v>
      </c>
      <c r="B2786" t="s">
        <v>830</v>
      </c>
      <c r="C2786">
        <v>1</v>
      </c>
      <c r="D2786" t="str">
        <f>VLOOKUP(B2786,Products!$A:$E,2,FALSE)</f>
        <v>Product_411</v>
      </c>
      <c r="E2786" t="str">
        <f>VLOOKUP(B2786,Products!$A:$E,3,FALSE)</f>
        <v>Office Supplies</v>
      </c>
    </row>
    <row r="2787" spans="1:5" x14ac:dyDescent="0.3">
      <c r="A2787" t="s">
        <v>8799</v>
      </c>
      <c r="B2787" t="s">
        <v>904</v>
      </c>
      <c r="C2787">
        <v>47</v>
      </c>
      <c r="D2787" t="str">
        <f>VLOOKUP(B2787,Products!$A:$E,2,FALSE)</f>
        <v>Product_448</v>
      </c>
      <c r="E2787" t="str">
        <f>VLOOKUP(B2787,Products!$A:$E,3,FALSE)</f>
        <v>Networking</v>
      </c>
    </row>
    <row r="2788" spans="1:5" x14ac:dyDescent="0.3">
      <c r="A2788" t="s">
        <v>8800</v>
      </c>
      <c r="B2788" t="s">
        <v>264</v>
      </c>
      <c r="C2788">
        <v>4</v>
      </c>
      <c r="D2788" t="str">
        <f>VLOOKUP(B2788,Products!$A:$E,2,FALSE)</f>
        <v>Product_128</v>
      </c>
      <c r="E2788" t="str">
        <f>VLOOKUP(B2788,Products!$A:$E,3,FALSE)</f>
        <v>Office Supplies</v>
      </c>
    </row>
    <row r="2789" spans="1:5" x14ac:dyDescent="0.3">
      <c r="A2789" t="s">
        <v>8801</v>
      </c>
      <c r="B2789" t="s">
        <v>88</v>
      </c>
      <c r="C2789">
        <v>4</v>
      </c>
      <c r="D2789" t="str">
        <f>VLOOKUP(B2789,Products!$A:$E,2,FALSE)</f>
        <v>Product_40</v>
      </c>
      <c r="E2789" t="str">
        <f>VLOOKUP(B2789,Products!$A:$E,3,FALSE)</f>
        <v>Accessories</v>
      </c>
    </row>
    <row r="2790" spans="1:5" x14ac:dyDescent="0.3">
      <c r="A2790" t="s">
        <v>8802</v>
      </c>
      <c r="B2790" t="s">
        <v>138</v>
      </c>
      <c r="C2790">
        <v>29</v>
      </c>
      <c r="D2790" t="str">
        <f>VLOOKUP(B2790,Products!$A:$E,2,FALSE)</f>
        <v>Product_65</v>
      </c>
      <c r="E2790" t="str">
        <f>VLOOKUP(B2790,Products!$A:$E,3,FALSE)</f>
        <v>Office Supplies</v>
      </c>
    </row>
    <row r="2791" spans="1:5" x14ac:dyDescent="0.3">
      <c r="A2791" t="s">
        <v>8803</v>
      </c>
      <c r="B2791" t="s">
        <v>194</v>
      </c>
      <c r="C2791">
        <v>19</v>
      </c>
      <c r="D2791" t="str">
        <f>VLOOKUP(B2791,Products!$A:$E,2,FALSE)</f>
        <v>Product_93</v>
      </c>
      <c r="E2791" t="str">
        <f>VLOOKUP(B2791,Products!$A:$E,3,FALSE)</f>
        <v>Office Supplies</v>
      </c>
    </row>
    <row r="2792" spans="1:5" x14ac:dyDescent="0.3">
      <c r="A2792" t="s">
        <v>8804</v>
      </c>
      <c r="B2792" t="s">
        <v>54</v>
      </c>
      <c r="C2792">
        <v>21</v>
      </c>
      <c r="D2792" t="str">
        <f>VLOOKUP(B2792,Products!$A:$E,2,FALSE)</f>
        <v>Product_23</v>
      </c>
      <c r="E2792" t="str">
        <f>VLOOKUP(B2792,Products!$A:$E,3,FALSE)</f>
        <v>Accessories</v>
      </c>
    </row>
    <row r="2793" spans="1:5" x14ac:dyDescent="0.3">
      <c r="A2793" t="s">
        <v>8805</v>
      </c>
      <c r="B2793" t="s">
        <v>368</v>
      </c>
      <c r="C2793">
        <v>39</v>
      </c>
      <c r="D2793" t="str">
        <f>VLOOKUP(B2793,Products!$A:$E,2,FALSE)</f>
        <v>Product_180</v>
      </c>
      <c r="E2793" t="str">
        <f>VLOOKUP(B2793,Products!$A:$E,3,FALSE)</f>
        <v>Office Supplies</v>
      </c>
    </row>
    <row r="2794" spans="1:5" x14ac:dyDescent="0.3">
      <c r="A2794" t="s">
        <v>8806</v>
      </c>
      <c r="B2794" t="s">
        <v>680</v>
      </c>
      <c r="C2794">
        <v>16</v>
      </c>
      <c r="D2794" t="str">
        <f>VLOOKUP(B2794,Products!$A:$E,2,FALSE)</f>
        <v>Product_336</v>
      </c>
      <c r="E2794" t="str">
        <f>VLOOKUP(B2794,Products!$A:$E,3,FALSE)</f>
        <v>Storage</v>
      </c>
    </row>
    <row r="2795" spans="1:5" x14ac:dyDescent="0.3">
      <c r="A2795" t="s">
        <v>8807</v>
      </c>
      <c r="B2795" t="s">
        <v>308</v>
      </c>
      <c r="C2795">
        <v>9</v>
      </c>
      <c r="D2795" t="str">
        <f>VLOOKUP(B2795,Products!$A:$E,2,FALSE)</f>
        <v>Product_150</v>
      </c>
      <c r="E2795" t="str">
        <f>VLOOKUP(B2795,Products!$A:$E,3,FALSE)</f>
        <v>Accessories</v>
      </c>
    </row>
    <row r="2796" spans="1:5" x14ac:dyDescent="0.3">
      <c r="A2796" t="s">
        <v>8808</v>
      </c>
      <c r="B2796" t="s">
        <v>630</v>
      </c>
      <c r="C2796">
        <v>26</v>
      </c>
      <c r="D2796" t="str">
        <f>VLOOKUP(B2796,Products!$A:$E,2,FALSE)</f>
        <v>Product_311</v>
      </c>
      <c r="E2796" t="str">
        <f>VLOOKUP(B2796,Products!$A:$E,3,FALSE)</f>
        <v>Networking</v>
      </c>
    </row>
    <row r="2797" spans="1:5" x14ac:dyDescent="0.3">
      <c r="A2797" t="s">
        <v>8809</v>
      </c>
      <c r="B2797" t="s">
        <v>500</v>
      </c>
      <c r="C2797">
        <v>43</v>
      </c>
      <c r="D2797" t="str">
        <f>VLOOKUP(B2797,Products!$A:$E,2,FALSE)</f>
        <v>Product_246</v>
      </c>
      <c r="E2797" t="str">
        <f>VLOOKUP(B2797,Products!$A:$E,3,FALSE)</f>
        <v>Electronics</v>
      </c>
    </row>
    <row r="2798" spans="1:5" x14ac:dyDescent="0.3">
      <c r="A2798" t="s">
        <v>8810</v>
      </c>
      <c r="B2798" t="s">
        <v>134</v>
      </c>
      <c r="C2798">
        <v>43</v>
      </c>
      <c r="D2798" t="str">
        <f>VLOOKUP(B2798,Products!$A:$E,2,FALSE)</f>
        <v>Product_63</v>
      </c>
      <c r="E2798" t="str">
        <f>VLOOKUP(B2798,Products!$A:$E,3,FALSE)</f>
        <v>Accessories</v>
      </c>
    </row>
    <row r="2799" spans="1:5" x14ac:dyDescent="0.3">
      <c r="A2799" t="s">
        <v>8811</v>
      </c>
      <c r="B2799" t="s">
        <v>88</v>
      </c>
      <c r="C2799">
        <v>5</v>
      </c>
      <c r="D2799" t="str">
        <f>VLOOKUP(B2799,Products!$A:$E,2,FALSE)</f>
        <v>Product_40</v>
      </c>
      <c r="E2799" t="str">
        <f>VLOOKUP(B2799,Products!$A:$E,3,FALSE)</f>
        <v>Accessories</v>
      </c>
    </row>
    <row r="2800" spans="1:5" x14ac:dyDescent="0.3">
      <c r="A2800" t="s">
        <v>8812</v>
      </c>
      <c r="B2800" t="s">
        <v>266</v>
      </c>
      <c r="C2800">
        <v>35</v>
      </c>
      <c r="D2800" t="str">
        <f>VLOOKUP(B2800,Products!$A:$E,2,FALSE)</f>
        <v>Product_129</v>
      </c>
      <c r="E2800" t="str">
        <f>VLOOKUP(B2800,Products!$A:$E,3,FALSE)</f>
        <v>Electronics</v>
      </c>
    </row>
    <row r="2801" spans="1:5" x14ac:dyDescent="0.3">
      <c r="A2801" t="s">
        <v>8813</v>
      </c>
      <c r="B2801" t="s">
        <v>220</v>
      </c>
      <c r="C2801">
        <v>32</v>
      </c>
      <c r="D2801" t="str">
        <f>VLOOKUP(B2801,Products!$A:$E,2,FALSE)</f>
        <v>Product_106</v>
      </c>
      <c r="E2801" t="str">
        <f>VLOOKUP(B2801,Products!$A:$E,3,FALSE)</f>
        <v>Networking</v>
      </c>
    </row>
    <row r="2802" spans="1:5" x14ac:dyDescent="0.3">
      <c r="A2802" t="s">
        <v>8814</v>
      </c>
      <c r="B2802" t="s">
        <v>732</v>
      </c>
      <c r="C2802">
        <v>48</v>
      </c>
      <c r="D2802" t="str">
        <f>VLOOKUP(B2802,Products!$A:$E,2,FALSE)</f>
        <v>Product_362</v>
      </c>
      <c r="E2802" t="str">
        <f>VLOOKUP(B2802,Products!$A:$E,3,FALSE)</f>
        <v>Networking</v>
      </c>
    </row>
    <row r="2803" spans="1:5" x14ac:dyDescent="0.3">
      <c r="A2803" t="s">
        <v>8815</v>
      </c>
      <c r="B2803" t="s">
        <v>842</v>
      </c>
      <c r="C2803">
        <v>23</v>
      </c>
      <c r="D2803" t="str">
        <f>VLOOKUP(B2803,Products!$A:$E,2,FALSE)</f>
        <v>Product_417</v>
      </c>
      <c r="E2803" t="str">
        <f>VLOOKUP(B2803,Products!$A:$E,3,FALSE)</f>
        <v>Accessories</v>
      </c>
    </row>
    <row r="2804" spans="1:5" x14ac:dyDescent="0.3">
      <c r="A2804" t="s">
        <v>8816</v>
      </c>
      <c r="B2804" t="s">
        <v>928</v>
      </c>
      <c r="C2804">
        <v>15</v>
      </c>
      <c r="D2804" t="str">
        <f>VLOOKUP(B2804,Products!$A:$E,2,FALSE)</f>
        <v>Product_460</v>
      </c>
      <c r="E2804" t="str">
        <f>VLOOKUP(B2804,Products!$A:$E,3,FALSE)</f>
        <v>Accessories</v>
      </c>
    </row>
    <row r="2805" spans="1:5" x14ac:dyDescent="0.3">
      <c r="A2805" t="s">
        <v>8817</v>
      </c>
      <c r="B2805" t="s">
        <v>464</v>
      </c>
      <c r="C2805">
        <v>46</v>
      </c>
      <c r="D2805" t="str">
        <f>VLOOKUP(B2805,Products!$A:$E,2,FALSE)</f>
        <v>Product_228</v>
      </c>
      <c r="E2805" t="str">
        <f>VLOOKUP(B2805,Products!$A:$E,3,FALSE)</f>
        <v>Storage</v>
      </c>
    </row>
    <row r="2806" spans="1:5" x14ac:dyDescent="0.3">
      <c r="A2806" t="s">
        <v>8818</v>
      </c>
      <c r="B2806" t="s">
        <v>318</v>
      </c>
      <c r="C2806">
        <v>24</v>
      </c>
      <c r="D2806" t="str">
        <f>VLOOKUP(B2806,Products!$A:$E,2,FALSE)</f>
        <v>Product_155</v>
      </c>
      <c r="E2806" t="str">
        <f>VLOOKUP(B2806,Products!$A:$E,3,FALSE)</f>
        <v>Office Supplies</v>
      </c>
    </row>
    <row r="2807" spans="1:5" x14ac:dyDescent="0.3">
      <c r="A2807" t="s">
        <v>8819</v>
      </c>
      <c r="B2807" t="s">
        <v>808</v>
      </c>
      <c r="C2807">
        <v>36</v>
      </c>
      <c r="D2807" t="str">
        <f>VLOOKUP(B2807,Products!$A:$E,2,FALSE)</f>
        <v>Product_400</v>
      </c>
      <c r="E2807" t="str">
        <f>VLOOKUP(B2807,Products!$A:$E,3,FALSE)</f>
        <v>Networking</v>
      </c>
    </row>
    <row r="2808" spans="1:5" x14ac:dyDescent="0.3">
      <c r="A2808" t="s">
        <v>8820</v>
      </c>
      <c r="B2808" t="s">
        <v>308</v>
      </c>
      <c r="C2808">
        <v>42</v>
      </c>
      <c r="D2808" t="str">
        <f>VLOOKUP(B2808,Products!$A:$E,2,FALSE)</f>
        <v>Product_150</v>
      </c>
      <c r="E2808" t="str">
        <f>VLOOKUP(B2808,Products!$A:$E,3,FALSE)</f>
        <v>Accessories</v>
      </c>
    </row>
    <row r="2809" spans="1:5" x14ac:dyDescent="0.3">
      <c r="A2809" t="s">
        <v>8821</v>
      </c>
      <c r="B2809" t="s">
        <v>260</v>
      </c>
      <c r="C2809">
        <v>34</v>
      </c>
      <c r="D2809" t="str">
        <f>VLOOKUP(B2809,Products!$A:$E,2,FALSE)</f>
        <v>Product_126</v>
      </c>
      <c r="E2809" t="str">
        <f>VLOOKUP(B2809,Products!$A:$E,3,FALSE)</f>
        <v>Office Supplies</v>
      </c>
    </row>
    <row r="2810" spans="1:5" x14ac:dyDescent="0.3">
      <c r="A2810" t="s">
        <v>8822</v>
      </c>
      <c r="B2810" t="s">
        <v>924</v>
      </c>
      <c r="C2810">
        <v>18</v>
      </c>
      <c r="D2810" t="str">
        <f>VLOOKUP(B2810,Products!$A:$E,2,FALSE)</f>
        <v>Product_458</v>
      </c>
      <c r="E2810" t="str">
        <f>VLOOKUP(B2810,Products!$A:$E,3,FALSE)</f>
        <v>Accessories</v>
      </c>
    </row>
    <row r="2811" spans="1:5" x14ac:dyDescent="0.3">
      <c r="A2811" t="s">
        <v>8823</v>
      </c>
      <c r="B2811" t="s">
        <v>336</v>
      </c>
      <c r="C2811">
        <v>45</v>
      </c>
      <c r="D2811" t="str">
        <f>VLOOKUP(B2811,Products!$A:$E,2,FALSE)</f>
        <v>Product_164</v>
      </c>
      <c r="E2811" t="str">
        <f>VLOOKUP(B2811,Products!$A:$E,3,FALSE)</f>
        <v>Networking</v>
      </c>
    </row>
    <row r="2812" spans="1:5" x14ac:dyDescent="0.3">
      <c r="A2812" t="s">
        <v>8824</v>
      </c>
      <c r="B2812" t="s">
        <v>564</v>
      </c>
      <c r="C2812">
        <v>33</v>
      </c>
      <c r="D2812" t="str">
        <f>VLOOKUP(B2812,Products!$A:$E,2,FALSE)</f>
        <v>Product_278</v>
      </c>
      <c r="E2812" t="str">
        <f>VLOOKUP(B2812,Products!$A:$E,3,FALSE)</f>
        <v>Electronics</v>
      </c>
    </row>
    <row r="2813" spans="1:5" x14ac:dyDescent="0.3">
      <c r="A2813" t="s">
        <v>8825</v>
      </c>
      <c r="B2813" t="s">
        <v>116</v>
      </c>
      <c r="C2813">
        <v>4</v>
      </c>
      <c r="D2813" t="str">
        <f>VLOOKUP(B2813,Products!$A:$E,2,FALSE)</f>
        <v>Product_54</v>
      </c>
      <c r="E2813" t="str">
        <f>VLOOKUP(B2813,Products!$A:$E,3,FALSE)</f>
        <v>Storage</v>
      </c>
    </row>
    <row r="2814" spans="1:5" x14ac:dyDescent="0.3">
      <c r="A2814" t="s">
        <v>8826</v>
      </c>
      <c r="B2814" t="s">
        <v>364</v>
      </c>
      <c r="C2814">
        <v>27</v>
      </c>
      <c r="D2814" t="str">
        <f>VLOOKUP(B2814,Products!$A:$E,2,FALSE)</f>
        <v>Product_178</v>
      </c>
      <c r="E2814" t="str">
        <f>VLOOKUP(B2814,Products!$A:$E,3,FALSE)</f>
        <v>Office Supplies</v>
      </c>
    </row>
    <row r="2815" spans="1:5" x14ac:dyDescent="0.3">
      <c r="A2815" t="s">
        <v>8827</v>
      </c>
      <c r="B2815" t="s">
        <v>732</v>
      </c>
      <c r="C2815">
        <v>40</v>
      </c>
      <c r="D2815" t="str">
        <f>VLOOKUP(B2815,Products!$A:$E,2,FALSE)</f>
        <v>Product_362</v>
      </c>
      <c r="E2815" t="str">
        <f>VLOOKUP(B2815,Products!$A:$E,3,FALSE)</f>
        <v>Networking</v>
      </c>
    </row>
    <row r="2816" spans="1:5" x14ac:dyDescent="0.3">
      <c r="A2816" t="s">
        <v>8828</v>
      </c>
      <c r="B2816" t="s">
        <v>506</v>
      </c>
      <c r="C2816">
        <v>18</v>
      </c>
      <c r="D2816" t="str">
        <f>VLOOKUP(B2816,Products!$A:$E,2,FALSE)</f>
        <v>Product_249</v>
      </c>
      <c r="E2816" t="str">
        <f>VLOOKUP(B2816,Products!$A:$E,3,FALSE)</f>
        <v>Storage</v>
      </c>
    </row>
    <row r="2817" spans="1:5" x14ac:dyDescent="0.3">
      <c r="A2817" t="s">
        <v>8829</v>
      </c>
      <c r="B2817" t="s">
        <v>90</v>
      </c>
      <c r="C2817">
        <v>14</v>
      </c>
      <c r="D2817" t="str">
        <f>VLOOKUP(B2817,Products!$A:$E,2,FALSE)</f>
        <v>Product_41</v>
      </c>
      <c r="E2817" t="str">
        <f>VLOOKUP(B2817,Products!$A:$E,3,FALSE)</f>
        <v>Accessories</v>
      </c>
    </row>
    <row r="2818" spans="1:5" x14ac:dyDescent="0.3">
      <c r="A2818" t="s">
        <v>8830</v>
      </c>
      <c r="B2818" t="s">
        <v>942</v>
      </c>
      <c r="C2818">
        <v>9</v>
      </c>
      <c r="D2818" t="str">
        <f>VLOOKUP(B2818,Products!$A:$E,2,FALSE)</f>
        <v>Product_467</v>
      </c>
      <c r="E2818" t="str">
        <f>VLOOKUP(B2818,Products!$A:$E,3,FALSE)</f>
        <v>Accessories</v>
      </c>
    </row>
    <row r="2819" spans="1:5" x14ac:dyDescent="0.3">
      <c r="A2819" t="s">
        <v>8831</v>
      </c>
      <c r="B2819" t="s">
        <v>870</v>
      </c>
      <c r="C2819">
        <v>34</v>
      </c>
      <c r="D2819" t="str">
        <f>VLOOKUP(B2819,Products!$A:$E,2,FALSE)</f>
        <v>Product_431</v>
      </c>
      <c r="E2819" t="str">
        <f>VLOOKUP(B2819,Products!$A:$E,3,FALSE)</f>
        <v>Electronics</v>
      </c>
    </row>
    <row r="2820" spans="1:5" x14ac:dyDescent="0.3">
      <c r="A2820" t="s">
        <v>8832</v>
      </c>
      <c r="B2820" t="s">
        <v>246</v>
      </c>
      <c r="C2820">
        <v>20</v>
      </c>
      <c r="D2820" t="str">
        <f>VLOOKUP(B2820,Products!$A:$E,2,FALSE)</f>
        <v>Product_119</v>
      </c>
      <c r="E2820" t="str">
        <f>VLOOKUP(B2820,Products!$A:$E,3,FALSE)</f>
        <v>Electronics</v>
      </c>
    </row>
    <row r="2821" spans="1:5" x14ac:dyDescent="0.3">
      <c r="A2821" t="s">
        <v>8833</v>
      </c>
      <c r="B2821" t="s">
        <v>768</v>
      </c>
      <c r="C2821">
        <v>36</v>
      </c>
      <c r="D2821" t="str">
        <f>VLOOKUP(B2821,Products!$A:$E,2,FALSE)</f>
        <v>Product_380</v>
      </c>
      <c r="E2821" t="str">
        <f>VLOOKUP(B2821,Products!$A:$E,3,FALSE)</f>
        <v>Electronics</v>
      </c>
    </row>
    <row r="2822" spans="1:5" x14ac:dyDescent="0.3">
      <c r="A2822" t="s">
        <v>8834</v>
      </c>
      <c r="B2822" t="s">
        <v>224</v>
      </c>
      <c r="C2822">
        <v>8</v>
      </c>
      <c r="D2822" t="str">
        <f>VLOOKUP(B2822,Products!$A:$E,2,FALSE)</f>
        <v>Product_108</v>
      </c>
      <c r="E2822" t="str">
        <f>VLOOKUP(B2822,Products!$A:$E,3,FALSE)</f>
        <v>Networking</v>
      </c>
    </row>
    <row r="2823" spans="1:5" x14ac:dyDescent="0.3">
      <c r="A2823" t="s">
        <v>8835</v>
      </c>
      <c r="B2823" t="s">
        <v>390</v>
      </c>
      <c r="C2823">
        <v>47</v>
      </c>
      <c r="D2823" t="str">
        <f>VLOOKUP(B2823,Products!$A:$E,2,FALSE)</f>
        <v>Product_191</v>
      </c>
      <c r="E2823" t="str">
        <f>VLOOKUP(B2823,Products!$A:$E,3,FALSE)</f>
        <v>Networking</v>
      </c>
    </row>
    <row r="2824" spans="1:5" x14ac:dyDescent="0.3">
      <c r="A2824" t="s">
        <v>8836</v>
      </c>
      <c r="B2824" t="s">
        <v>844</v>
      </c>
      <c r="C2824">
        <v>10</v>
      </c>
      <c r="D2824" t="str">
        <f>VLOOKUP(B2824,Products!$A:$E,2,FALSE)</f>
        <v>Product_418</v>
      </c>
      <c r="E2824" t="str">
        <f>VLOOKUP(B2824,Products!$A:$E,3,FALSE)</f>
        <v>Office Supplies</v>
      </c>
    </row>
    <row r="2825" spans="1:5" x14ac:dyDescent="0.3">
      <c r="A2825" t="s">
        <v>8837</v>
      </c>
      <c r="B2825" t="s">
        <v>46</v>
      </c>
      <c r="C2825">
        <v>16</v>
      </c>
      <c r="D2825" t="str">
        <f>VLOOKUP(B2825,Products!$A:$E,2,FALSE)</f>
        <v>Product_19</v>
      </c>
      <c r="E2825" t="str">
        <f>VLOOKUP(B2825,Products!$A:$E,3,FALSE)</f>
        <v>Networking</v>
      </c>
    </row>
    <row r="2826" spans="1:5" x14ac:dyDescent="0.3">
      <c r="A2826" t="s">
        <v>8838</v>
      </c>
      <c r="B2826" t="s">
        <v>724</v>
      </c>
      <c r="C2826">
        <v>29</v>
      </c>
      <c r="D2826" t="str">
        <f>VLOOKUP(B2826,Products!$A:$E,2,FALSE)</f>
        <v>Product_358</v>
      </c>
      <c r="E2826" t="str">
        <f>VLOOKUP(B2826,Products!$A:$E,3,FALSE)</f>
        <v>Storage</v>
      </c>
    </row>
    <row r="2827" spans="1:5" x14ac:dyDescent="0.3">
      <c r="A2827" t="s">
        <v>8839</v>
      </c>
      <c r="B2827" t="s">
        <v>674</v>
      </c>
      <c r="C2827">
        <v>49</v>
      </c>
      <c r="D2827" t="str">
        <f>VLOOKUP(B2827,Products!$A:$E,2,FALSE)</f>
        <v>Product_333</v>
      </c>
      <c r="E2827" t="str">
        <f>VLOOKUP(B2827,Products!$A:$E,3,FALSE)</f>
        <v>Storage</v>
      </c>
    </row>
    <row r="2828" spans="1:5" x14ac:dyDescent="0.3">
      <c r="A2828" t="s">
        <v>8840</v>
      </c>
      <c r="B2828" t="s">
        <v>474</v>
      </c>
      <c r="C2828">
        <v>8</v>
      </c>
      <c r="D2828" t="str">
        <f>VLOOKUP(B2828,Products!$A:$E,2,FALSE)</f>
        <v>Product_233</v>
      </c>
      <c r="E2828" t="str">
        <f>VLOOKUP(B2828,Products!$A:$E,3,FALSE)</f>
        <v>Accessories</v>
      </c>
    </row>
    <row r="2829" spans="1:5" x14ac:dyDescent="0.3">
      <c r="A2829" t="s">
        <v>8841</v>
      </c>
      <c r="B2829" t="s">
        <v>30</v>
      </c>
      <c r="C2829">
        <v>32</v>
      </c>
      <c r="D2829" t="str">
        <f>VLOOKUP(B2829,Products!$A:$E,2,FALSE)</f>
        <v>Product_11</v>
      </c>
      <c r="E2829" t="str">
        <f>VLOOKUP(B2829,Products!$A:$E,3,FALSE)</f>
        <v>Electronics</v>
      </c>
    </row>
    <row r="2830" spans="1:5" x14ac:dyDescent="0.3">
      <c r="A2830" t="s">
        <v>8842</v>
      </c>
      <c r="B2830" t="s">
        <v>866</v>
      </c>
      <c r="C2830">
        <v>3</v>
      </c>
      <c r="D2830" t="str">
        <f>VLOOKUP(B2830,Products!$A:$E,2,FALSE)</f>
        <v>Product_429</v>
      </c>
      <c r="E2830" t="str">
        <f>VLOOKUP(B2830,Products!$A:$E,3,FALSE)</f>
        <v>Office Supplies</v>
      </c>
    </row>
    <row r="2831" spans="1:5" x14ac:dyDescent="0.3">
      <c r="A2831" t="s">
        <v>8843</v>
      </c>
      <c r="B2831" t="s">
        <v>286</v>
      </c>
      <c r="C2831">
        <v>18</v>
      </c>
      <c r="D2831" t="str">
        <f>VLOOKUP(B2831,Products!$A:$E,2,FALSE)</f>
        <v>Product_139</v>
      </c>
      <c r="E2831" t="str">
        <f>VLOOKUP(B2831,Products!$A:$E,3,FALSE)</f>
        <v>Storage</v>
      </c>
    </row>
    <row r="2832" spans="1:5" x14ac:dyDescent="0.3">
      <c r="A2832" t="s">
        <v>8844</v>
      </c>
      <c r="B2832" t="s">
        <v>612</v>
      </c>
      <c r="C2832">
        <v>25</v>
      </c>
      <c r="D2832" t="str">
        <f>VLOOKUP(B2832,Products!$A:$E,2,FALSE)</f>
        <v>Product_302</v>
      </c>
      <c r="E2832" t="str">
        <f>VLOOKUP(B2832,Products!$A:$E,3,FALSE)</f>
        <v>Accessories</v>
      </c>
    </row>
    <row r="2833" spans="1:5" x14ac:dyDescent="0.3">
      <c r="A2833" t="s">
        <v>8845</v>
      </c>
      <c r="B2833" t="s">
        <v>316</v>
      </c>
      <c r="C2833">
        <v>6</v>
      </c>
      <c r="D2833" t="str">
        <f>VLOOKUP(B2833,Products!$A:$E,2,FALSE)</f>
        <v>Product_154</v>
      </c>
      <c r="E2833" t="str">
        <f>VLOOKUP(B2833,Products!$A:$E,3,FALSE)</f>
        <v>Accessories</v>
      </c>
    </row>
    <row r="2834" spans="1:5" x14ac:dyDescent="0.3">
      <c r="A2834" t="s">
        <v>8846</v>
      </c>
      <c r="B2834" t="s">
        <v>70</v>
      </c>
      <c r="C2834">
        <v>18</v>
      </c>
      <c r="D2834" t="str">
        <f>VLOOKUP(B2834,Products!$A:$E,2,FALSE)</f>
        <v>Product_31</v>
      </c>
      <c r="E2834" t="str">
        <f>VLOOKUP(B2834,Products!$A:$E,3,FALSE)</f>
        <v>Accessories</v>
      </c>
    </row>
    <row r="2835" spans="1:5" x14ac:dyDescent="0.3">
      <c r="A2835" t="s">
        <v>8847</v>
      </c>
      <c r="B2835" t="s">
        <v>884</v>
      </c>
      <c r="C2835">
        <v>40</v>
      </c>
      <c r="D2835" t="str">
        <f>VLOOKUP(B2835,Products!$A:$E,2,FALSE)</f>
        <v>Product_438</v>
      </c>
      <c r="E2835" t="str">
        <f>VLOOKUP(B2835,Products!$A:$E,3,FALSE)</f>
        <v>Electronics</v>
      </c>
    </row>
    <row r="2836" spans="1:5" x14ac:dyDescent="0.3">
      <c r="A2836" t="s">
        <v>8848</v>
      </c>
      <c r="B2836" t="s">
        <v>402</v>
      </c>
      <c r="C2836">
        <v>32</v>
      </c>
      <c r="D2836" t="str">
        <f>VLOOKUP(B2836,Products!$A:$E,2,FALSE)</f>
        <v>Product_197</v>
      </c>
      <c r="E2836" t="str">
        <f>VLOOKUP(B2836,Products!$A:$E,3,FALSE)</f>
        <v>Electronics</v>
      </c>
    </row>
    <row r="2837" spans="1:5" x14ac:dyDescent="0.3">
      <c r="A2837" t="s">
        <v>8849</v>
      </c>
      <c r="B2837" t="s">
        <v>28</v>
      </c>
      <c r="C2837">
        <v>25</v>
      </c>
      <c r="D2837" t="str">
        <f>VLOOKUP(B2837,Products!$A:$E,2,FALSE)</f>
        <v>Product_10</v>
      </c>
      <c r="E2837" t="str">
        <f>VLOOKUP(B2837,Products!$A:$E,3,FALSE)</f>
        <v>Networking</v>
      </c>
    </row>
    <row r="2838" spans="1:5" x14ac:dyDescent="0.3">
      <c r="A2838" t="s">
        <v>8850</v>
      </c>
      <c r="B2838" t="s">
        <v>402</v>
      </c>
      <c r="C2838">
        <v>29</v>
      </c>
      <c r="D2838" t="str">
        <f>VLOOKUP(B2838,Products!$A:$E,2,FALSE)</f>
        <v>Product_197</v>
      </c>
      <c r="E2838" t="str">
        <f>VLOOKUP(B2838,Products!$A:$E,3,FALSE)</f>
        <v>Electronics</v>
      </c>
    </row>
    <row r="2839" spans="1:5" x14ac:dyDescent="0.3">
      <c r="A2839" t="s">
        <v>8851</v>
      </c>
      <c r="B2839" t="s">
        <v>54</v>
      </c>
      <c r="C2839">
        <v>15</v>
      </c>
      <c r="D2839" t="str">
        <f>VLOOKUP(B2839,Products!$A:$E,2,FALSE)</f>
        <v>Product_23</v>
      </c>
      <c r="E2839" t="str">
        <f>VLOOKUP(B2839,Products!$A:$E,3,FALSE)</f>
        <v>Accessories</v>
      </c>
    </row>
    <row r="2840" spans="1:5" x14ac:dyDescent="0.3">
      <c r="A2840" t="s">
        <v>8852</v>
      </c>
      <c r="B2840" t="s">
        <v>220</v>
      </c>
      <c r="C2840">
        <v>25</v>
      </c>
      <c r="D2840" t="str">
        <f>VLOOKUP(B2840,Products!$A:$E,2,FALSE)</f>
        <v>Product_106</v>
      </c>
      <c r="E2840" t="str">
        <f>VLOOKUP(B2840,Products!$A:$E,3,FALSE)</f>
        <v>Networking</v>
      </c>
    </row>
    <row r="2841" spans="1:5" x14ac:dyDescent="0.3">
      <c r="A2841" t="s">
        <v>8853</v>
      </c>
      <c r="B2841" t="s">
        <v>198</v>
      </c>
      <c r="C2841">
        <v>43</v>
      </c>
      <c r="D2841" t="str">
        <f>VLOOKUP(B2841,Products!$A:$E,2,FALSE)</f>
        <v>Product_95</v>
      </c>
      <c r="E2841" t="str">
        <f>VLOOKUP(B2841,Products!$A:$E,3,FALSE)</f>
        <v>Electronics</v>
      </c>
    </row>
    <row r="2842" spans="1:5" x14ac:dyDescent="0.3">
      <c r="A2842" t="s">
        <v>8854</v>
      </c>
      <c r="B2842" t="s">
        <v>450</v>
      </c>
      <c r="C2842">
        <v>35</v>
      </c>
      <c r="D2842" t="str">
        <f>VLOOKUP(B2842,Products!$A:$E,2,FALSE)</f>
        <v>Product_221</v>
      </c>
      <c r="E2842" t="str">
        <f>VLOOKUP(B2842,Products!$A:$E,3,FALSE)</f>
        <v>Office Supplies</v>
      </c>
    </row>
    <row r="2843" spans="1:5" x14ac:dyDescent="0.3">
      <c r="A2843" t="s">
        <v>8855</v>
      </c>
      <c r="B2843" t="s">
        <v>62</v>
      </c>
      <c r="C2843">
        <v>43</v>
      </c>
      <c r="D2843" t="str">
        <f>VLOOKUP(B2843,Products!$A:$E,2,FALSE)</f>
        <v>Product_27</v>
      </c>
      <c r="E2843" t="str">
        <f>VLOOKUP(B2843,Products!$A:$E,3,FALSE)</f>
        <v>Office Supplies</v>
      </c>
    </row>
    <row r="2844" spans="1:5" x14ac:dyDescent="0.3">
      <c r="A2844" t="s">
        <v>8856</v>
      </c>
      <c r="B2844" t="s">
        <v>322</v>
      </c>
      <c r="C2844">
        <v>3</v>
      </c>
      <c r="D2844" t="str">
        <f>VLOOKUP(B2844,Products!$A:$E,2,FALSE)</f>
        <v>Product_157</v>
      </c>
      <c r="E2844" t="str">
        <f>VLOOKUP(B2844,Products!$A:$E,3,FALSE)</f>
        <v>Electronics</v>
      </c>
    </row>
    <row r="2845" spans="1:5" x14ac:dyDescent="0.3">
      <c r="A2845" t="s">
        <v>8857</v>
      </c>
      <c r="B2845" t="s">
        <v>564</v>
      </c>
      <c r="C2845">
        <v>49</v>
      </c>
      <c r="D2845" t="str">
        <f>VLOOKUP(B2845,Products!$A:$E,2,FALSE)</f>
        <v>Product_278</v>
      </c>
      <c r="E2845" t="str">
        <f>VLOOKUP(B2845,Products!$A:$E,3,FALSE)</f>
        <v>Electronics</v>
      </c>
    </row>
    <row r="2846" spans="1:5" x14ac:dyDescent="0.3">
      <c r="A2846" t="s">
        <v>8858</v>
      </c>
      <c r="B2846" t="s">
        <v>366</v>
      </c>
      <c r="C2846">
        <v>2</v>
      </c>
      <c r="D2846" t="str">
        <f>VLOOKUP(B2846,Products!$A:$E,2,FALSE)</f>
        <v>Product_179</v>
      </c>
      <c r="E2846" t="str">
        <f>VLOOKUP(B2846,Products!$A:$E,3,FALSE)</f>
        <v>Storage</v>
      </c>
    </row>
    <row r="2847" spans="1:5" x14ac:dyDescent="0.3">
      <c r="A2847" t="s">
        <v>8859</v>
      </c>
      <c r="B2847" t="s">
        <v>940</v>
      </c>
      <c r="C2847">
        <v>39</v>
      </c>
      <c r="D2847" t="str">
        <f>VLOOKUP(B2847,Products!$A:$E,2,FALSE)</f>
        <v>Product_466</v>
      </c>
      <c r="E2847" t="str">
        <f>VLOOKUP(B2847,Products!$A:$E,3,FALSE)</f>
        <v>Networking</v>
      </c>
    </row>
    <row r="2848" spans="1:5" x14ac:dyDescent="0.3">
      <c r="A2848" t="s">
        <v>8860</v>
      </c>
      <c r="B2848" t="s">
        <v>782</v>
      </c>
      <c r="C2848">
        <v>22</v>
      </c>
      <c r="D2848" t="str">
        <f>VLOOKUP(B2848,Products!$A:$E,2,FALSE)</f>
        <v>Product_387</v>
      </c>
      <c r="E2848" t="str">
        <f>VLOOKUP(B2848,Products!$A:$E,3,FALSE)</f>
        <v>Storage</v>
      </c>
    </row>
    <row r="2849" spans="1:5" x14ac:dyDescent="0.3">
      <c r="A2849" t="s">
        <v>8861</v>
      </c>
      <c r="B2849" t="s">
        <v>954</v>
      </c>
      <c r="C2849">
        <v>17</v>
      </c>
      <c r="D2849" t="str">
        <f>VLOOKUP(B2849,Products!$A:$E,2,FALSE)</f>
        <v>Product_473</v>
      </c>
      <c r="E2849" t="str">
        <f>VLOOKUP(B2849,Products!$A:$E,3,FALSE)</f>
        <v>Accessories</v>
      </c>
    </row>
    <row r="2850" spans="1:5" x14ac:dyDescent="0.3">
      <c r="A2850" t="s">
        <v>8862</v>
      </c>
      <c r="B2850" t="s">
        <v>838</v>
      </c>
      <c r="C2850">
        <v>49</v>
      </c>
      <c r="D2850" t="str">
        <f>VLOOKUP(B2850,Products!$A:$E,2,FALSE)</f>
        <v>Product_415</v>
      </c>
      <c r="E2850" t="str">
        <f>VLOOKUP(B2850,Products!$A:$E,3,FALSE)</f>
        <v>Networking</v>
      </c>
    </row>
    <row r="2851" spans="1:5" x14ac:dyDescent="0.3">
      <c r="A2851" t="s">
        <v>8863</v>
      </c>
      <c r="B2851" t="s">
        <v>614</v>
      </c>
      <c r="C2851">
        <v>14</v>
      </c>
      <c r="D2851" t="str">
        <f>VLOOKUP(B2851,Products!$A:$E,2,FALSE)</f>
        <v>Product_303</v>
      </c>
      <c r="E2851" t="str">
        <f>VLOOKUP(B2851,Products!$A:$E,3,FALSE)</f>
        <v>Networking</v>
      </c>
    </row>
    <row r="2852" spans="1:5" x14ac:dyDescent="0.3">
      <c r="A2852" t="s">
        <v>8864</v>
      </c>
      <c r="B2852" t="s">
        <v>784</v>
      </c>
      <c r="C2852">
        <v>2</v>
      </c>
      <c r="D2852" t="str">
        <f>VLOOKUP(B2852,Products!$A:$E,2,FALSE)</f>
        <v>Product_388</v>
      </c>
      <c r="E2852" t="str">
        <f>VLOOKUP(B2852,Products!$A:$E,3,FALSE)</f>
        <v>Office Supplies</v>
      </c>
    </row>
    <row r="2853" spans="1:5" x14ac:dyDescent="0.3">
      <c r="A2853" t="s">
        <v>8865</v>
      </c>
      <c r="B2853" t="s">
        <v>358</v>
      </c>
      <c r="C2853">
        <v>47</v>
      </c>
      <c r="D2853" t="str">
        <f>VLOOKUP(B2853,Products!$A:$E,2,FALSE)</f>
        <v>Product_175</v>
      </c>
      <c r="E2853" t="str">
        <f>VLOOKUP(B2853,Products!$A:$E,3,FALSE)</f>
        <v>Storage</v>
      </c>
    </row>
    <row r="2854" spans="1:5" x14ac:dyDescent="0.3">
      <c r="A2854" t="s">
        <v>8866</v>
      </c>
      <c r="B2854" t="s">
        <v>858</v>
      </c>
      <c r="C2854">
        <v>40</v>
      </c>
      <c r="D2854" t="str">
        <f>VLOOKUP(B2854,Products!$A:$E,2,FALSE)</f>
        <v>Product_425</v>
      </c>
      <c r="E2854" t="str">
        <f>VLOOKUP(B2854,Products!$A:$E,3,FALSE)</f>
        <v>Office Supplies</v>
      </c>
    </row>
    <row r="2855" spans="1:5" x14ac:dyDescent="0.3">
      <c r="A2855" t="s">
        <v>8867</v>
      </c>
      <c r="B2855" t="s">
        <v>454</v>
      </c>
      <c r="C2855">
        <v>28</v>
      </c>
      <c r="D2855" t="str">
        <f>VLOOKUP(B2855,Products!$A:$E,2,FALSE)</f>
        <v>Product_223</v>
      </c>
      <c r="E2855" t="str">
        <f>VLOOKUP(B2855,Products!$A:$E,3,FALSE)</f>
        <v>Storage</v>
      </c>
    </row>
    <row r="2856" spans="1:5" x14ac:dyDescent="0.3">
      <c r="A2856" t="s">
        <v>8868</v>
      </c>
      <c r="B2856" t="s">
        <v>810</v>
      </c>
      <c r="C2856">
        <v>47</v>
      </c>
      <c r="D2856" t="str">
        <f>VLOOKUP(B2856,Products!$A:$E,2,FALSE)</f>
        <v>Product_401</v>
      </c>
      <c r="E2856" t="str">
        <f>VLOOKUP(B2856,Products!$A:$E,3,FALSE)</f>
        <v>Storage</v>
      </c>
    </row>
    <row r="2857" spans="1:5" x14ac:dyDescent="0.3">
      <c r="A2857" t="s">
        <v>8869</v>
      </c>
      <c r="B2857" t="s">
        <v>960</v>
      </c>
      <c r="C2857">
        <v>48</v>
      </c>
      <c r="D2857" t="str">
        <f>VLOOKUP(B2857,Products!$A:$E,2,FALSE)</f>
        <v>Product_476</v>
      </c>
      <c r="E2857" t="str">
        <f>VLOOKUP(B2857,Products!$A:$E,3,FALSE)</f>
        <v>Office Supplies</v>
      </c>
    </row>
    <row r="2858" spans="1:5" x14ac:dyDescent="0.3">
      <c r="A2858" t="s">
        <v>8870</v>
      </c>
      <c r="B2858" t="s">
        <v>780</v>
      </c>
      <c r="C2858">
        <v>4</v>
      </c>
      <c r="D2858" t="str">
        <f>VLOOKUP(B2858,Products!$A:$E,2,FALSE)</f>
        <v>Product_386</v>
      </c>
      <c r="E2858" t="str">
        <f>VLOOKUP(B2858,Products!$A:$E,3,FALSE)</f>
        <v>Electronics</v>
      </c>
    </row>
    <row r="2859" spans="1:5" x14ac:dyDescent="0.3">
      <c r="A2859" t="s">
        <v>8871</v>
      </c>
      <c r="B2859" t="s">
        <v>836</v>
      </c>
      <c r="C2859">
        <v>7</v>
      </c>
      <c r="D2859" t="str">
        <f>VLOOKUP(B2859,Products!$A:$E,2,FALSE)</f>
        <v>Product_414</v>
      </c>
      <c r="E2859" t="str">
        <f>VLOOKUP(B2859,Products!$A:$E,3,FALSE)</f>
        <v>Office Supplies</v>
      </c>
    </row>
    <row r="2860" spans="1:5" x14ac:dyDescent="0.3">
      <c r="A2860" t="s">
        <v>8872</v>
      </c>
      <c r="B2860" t="s">
        <v>576</v>
      </c>
      <c r="C2860">
        <v>25</v>
      </c>
      <c r="D2860" t="str">
        <f>VLOOKUP(B2860,Products!$A:$E,2,FALSE)</f>
        <v>Product_284</v>
      </c>
      <c r="E2860" t="str">
        <f>VLOOKUP(B2860,Products!$A:$E,3,FALSE)</f>
        <v>Networking</v>
      </c>
    </row>
    <row r="2861" spans="1:5" x14ac:dyDescent="0.3">
      <c r="A2861" t="s">
        <v>8873</v>
      </c>
      <c r="B2861" t="s">
        <v>984</v>
      </c>
      <c r="C2861">
        <v>47</v>
      </c>
      <c r="D2861" t="str">
        <f>VLOOKUP(B2861,Products!$A:$E,2,FALSE)</f>
        <v>Product_488</v>
      </c>
      <c r="E2861" t="str">
        <f>VLOOKUP(B2861,Products!$A:$E,3,FALSE)</f>
        <v>Accessories</v>
      </c>
    </row>
    <row r="2862" spans="1:5" x14ac:dyDescent="0.3">
      <c r="A2862" t="s">
        <v>8874</v>
      </c>
      <c r="B2862" t="s">
        <v>964</v>
      </c>
      <c r="C2862">
        <v>44</v>
      </c>
      <c r="D2862" t="str">
        <f>VLOOKUP(B2862,Products!$A:$E,2,FALSE)</f>
        <v>Product_478</v>
      </c>
      <c r="E2862" t="str">
        <f>VLOOKUP(B2862,Products!$A:$E,3,FALSE)</f>
        <v>Office Supplies</v>
      </c>
    </row>
    <row r="2863" spans="1:5" x14ac:dyDescent="0.3">
      <c r="A2863" t="s">
        <v>8875</v>
      </c>
      <c r="B2863" t="s">
        <v>304</v>
      </c>
      <c r="C2863">
        <v>35</v>
      </c>
      <c r="D2863" t="str">
        <f>VLOOKUP(B2863,Products!$A:$E,2,FALSE)</f>
        <v>Product_148</v>
      </c>
      <c r="E2863" t="str">
        <f>VLOOKUP(B2863,Products!$A:$E,3,FALSE)</f>
        <v>Electronics</v>
      </c>
    </row>
    <row r="2864" spans="1:5" x14ac:dyDescent="0.3">
      <c r="A2864" t="s">
        <v>8876</v>
      </c>
      <c r="B2864" t="s">
        <v>484</v>
      </c>
      <c r="C2864">
        <v>28</v>
      </c>
      <c r="D2864" t="str">
        <f>VLOOKUP(B2864,Products!$A:$E,2,FALSE)</f>
        <v>Product_238</v>
      </c>
      <c r="E2864" t="str">
        <f>VLOOKUP(B2864,Products!$A:$E,3,FALSE)</f>
        <v>Accessories</v>
      </c>
    </row>
    <row r="2865" spans="1:5" x14ac:dyDescent="0.3">
      <c r="A2865" t="s">
        <v>8877</v>
      </c>
      <c r="B2865" t="s">
        <v>596</v>
      </c>
      <c r="C2865">
        <v>47</v>
      </c>
      <c r="D2865" t="str">
        <f>VLOOKUP(B2865,Products!$A:$E,2,FALSE)</f>
        <v>Product_294</v>
      </c>
      <c r="E2865" t="str">
        <f>VLOOKUP(B2865,Products!$A:$E,3,FALSE)</f>
        <v>Networking</v>
      </c>
    </row>
    <row r="2866" spans="1:5" x14ac:dyDescent="0.3">
      <c r="A2866" t="s">
        <v>8878</v>
      </c>
      <c r="B2866" t="s">
        <v>590</v>
      </c>
      <c r="C2866">
        <v>50</v>
      </c>
      <c r="D2866" t="str">
        <f>VLOOKUP(B2866,Products!$A:$E,2,FALSE)</f>
        <v>Product_291</v>
      </c>
      <c r="E2866" t="str">
        <f>VLOOKUP(B2866,Products!$A:$E,3,FALSE)</f>
        <v>Networking</v>
      </c>
    </row>
    <row r="2867" spans="1:5" x14ac:dyDescent="0.3">
      <c r="A2867" t="s">
        <v>8879</v>
      </c>
      <c r="B2867" t="s">
        <v>540</v>
      </c>
      <c r="C2867">
        <v>17</v>
      </c>
      <c r="D2867" t="str">
        <f>VLOOKUP(B2867,Products!$A:$E,2,FALSE)</f>
        <v>Product_266</v>
      </c>
      <c r="E2867" t="str">
        <f>VLOOKUP(B2867,Products!$A:$E,3,FALSE)</f>
        <v>Electronics</v>
      </c>
    </row>
    <row r="2868" spans="1:5" x14ac:dyDescent="0.3">
      <c r="A2868" t="s">
        <v>8880</v>
      </c>
      <c r="B2868" t="s">
        <v>176</v>
      </c>
      <c r="C2868">
        <v>25</v>
      </c>
      <c r="D2868" t="str">
        <f>VLOOKUP(B2868,Products!$A:$E,2,FALSE)</f>
        <v>Product_84</v>
      </c>
      <c r="E2868" t="str">
        <f>VLOOKUP(B2868,Products!$A:$E,3,FALSE)</f>
        <v>Electronics</v>
      </c>
    </row>
    <row r="2869" spans="1:5" x14ac:dyDescent="0.3">
      <c r="A2869" t="s">
        <v>8881</v>
      </c>
      <c r="B2869" t="s">
        <v>488</v>
      </c>
      <c r="C2869">
        <v>48</v>
      </c>
      <c r="D2869" t="str">
        <f>VLOOKUP(B2869,Products!$A:$E,2,FALSE)</f>
        <v>Product_240</v>
      </c>
      <c r="E2869" t="str">
        <f>VLOOKUP(B2869,Products!$A:$E,3,FALSE)</f>
        <v>Storage</v>
      </c>
    </row>
    <row r="2870" spans="1:5" x14ac:dyDescent="0.3">
      <c r="A2870" t="s">
        <v>8882</v>
      </c>
      <c r="B2870" t="s">
        <v>956</v>
      </c>
      <c r="C2870">
        <v>16</v>
      </c>
      <c r="D2870" t="str">
        <f>VLOOKUP(B2870,Products!$A:$E,2,FALSE)</f>
        <v>Product_474</v>
      </c>
      <c r="E2870" t="str">
        <f>VLOOKUP(B2870,Products!$A:$E,3,FALSE)</f>
        <v>Networking</v>
      </c>
    </row>
    <row r="2871" spans="1:5" x14ac:dyDescent="0.3">
      <c r="A2871" t="s">
        <v>8883</v>
      </c>
      <c r="B2871" t="s">
        <v>144</v>
      </c>
      <c r="C2871">
        <v>1</v>
      </c>
      <c r="D2871" t="str">
        <f>VLOOKUP(B2871,Products!$A:$E,2,FALSE)</f>
        <v>Product_68</v>
      </c>
      <c r="E2871" t="str">
        <f>VLOOKUP(B2871,Products!$A:$E,3,FALSE)</f>
        <v>Accessories</v>
      </c>
    </row>
    <row r="2872" spans="1:5" x14ac:dyDescent="0.3">
      <c r="A2872" t="s">
        <v>8884</v>
      </c>
      <c r="B2872" t="s">
        <v>296</v>
      </c>
      <c r="C2872">
        <v>44</v>
      </c>
      <c r="D2872" t="str">
        <f>VLOOKUP(B2872,Products!$A:$E,2,FALSE)</f>
        <v>Product_144</v>
      </c>
      <c r="E2872" t="str">
        <f>VLOOKUP(B2872,Products!$A:$E,3,FALSE)</f>
        <v>Office Supplies</v>
      </c>
    </row>
    <row r="2873" spans="1:5" x14ac:dyDescent="0.3">
      <c r="A2873" t="s">
        <v>8885</v>
      </c>
      <c r="B2873" t="s">
        <v>982</v>
      </c>
      <c r="C2873">
        <v>18</v>
      </c>
      <c r="D2873" t="str">
        <f>VLOOKUP(B2873,Products!$A:$E,2,FALSE)</f>
        <v>Product_487</v>
      </c>
      <c r="E2873" t="str">
        <f>VLOOKUP(B2873,Products!$A:$E,3,FALSE)</f>
        <v>Networking</v>
      </c>
    </row>
    <row r="2874" spans="1:5" x14ac:dyDescent="0.3">
      <c r="A2874" t="s">
        <v>8886</v>
      </c>
      <c r="B2874" t="s">
        <v>96</v>
      </c>
      <c r="C2874">
        <v>16</v>
      </c>
      <c r="D2874" t="str">
        <f>VLOOKUP(B2874,Products!$A:$E,2,FALSE)</f>
        <v>Product_44</v>
      </c>
      <c r="E2874" t="str">
        <f>VLOOKUP(B2874,Products!$A:$E,3,FALSE)</f>
        <v>Storage</v>
      </c>
    </row>
    <row r="2875" spans="1:5" x14ac:dyDescent="0.3">
      <c r="A2875" t="s">
        <v>8887</v>
      </c>
      <c r="B2875" t="s">
        <v>798</v>
      </c>
      <c r="C2875">
        <v>35</v>
      </c>
      <c r="D2875" t="str">
        <f>VLOOKUP(B2875,Products!$A:$E,2,FALSE)</f>
        <v>Product_395</v>
      </c>
      <c r="E2875" t="str">
        <f>VLOOKUP(B2875,Products!$A:$E,3,FALSE)</f>
        <v>Accessories</v>
      </c>
    </row>
    <row r="2876" spans="1:5" x14ac:dyDescent="0.3">
      <c r="A2876" t="s">
        <v>8888</v>
      </c>
      <c r="B2876" t="s">
        <v>312</v>
      </c>
      <c r="C2876">
        <v>22</v>
      </c>
      <c r="D2876" t="str">
        <f>VLOOKUP(B2876,Products!$A:$E,2,FALSE)</f>
        <v>Product_152</v>
      </c>
      <c r="E2876" t="str">
        <f>VLOOKUP(B2876,Products!$A:$E,3,FALSE)</f>
        <v>Storage</v>
      </c>
    </row>
    <row r="2877" spans="1:5" x14ac:dyDescent="0.3">
      <c r="A2877" t="s">
        <v>8889</v>
      </c>
      <c r="B2877" t="s">
        <v>594</v>
      </c>
      <c r="C2877">
        <v>26</v>
      </c>
      <c r="D2877" t="str">
        <f>VLOOKUP(B2877,Products!$A:$E,2,FALSE)</f>
        <v>Product_293</v>
      </c>
      <c r="E2877" t="str">
        <f>VLOOKUP(B2877,Products!$A:$E,3,FALSE)</f>
        <v>Networking</v>
      </c>
    </row>
    <row r="2878" spans="1:5" x14ac:dyDescent="0.3">
      <c r="A2878" t="s">
        <v>8890</v>
      </c>
      <c r="B2878" t="s">
        <v>48</v>
      </c>
      <c r="C2878">
        <v>40</v>
      </c>
      <c r="D2878" t="str">
        <f>VLOOKUP(B2878,Products!$A:$E,2,FALSE)</f>
        <v>Product_20</v>
      </c>
      <c r="E2878" t="str">
        <f>VLOOKUP(B2878,Products!$A:$E,3,FALSE)</f>
        <v>Office Supplies</v>
      </c>
    </row>
    <row r="2879" spans="1:5" x14ac:dyDescent="0.3">
      <c r="A2879" t="s">
        <v>8891</v>
      </c>
      <c r="B2879" t="s">
        <v>290</v>
      </c>
      <c r="C2879">
        <v>24</v>
      </c>
      <c r="D2879" t="str">
        <f>VLOOKUP(B2879,Products!$A:$E,2,FALSE)</f>
        <v>Product_141</v>
      </c>
      <c r="E2879" t="str">
        <f>VLOOKUP(B2879,Products!$A:$E,3,FALSE)</f>
        <v>Electronics</v>
      </c>
    </row>
    <row r="2880" spans="1:5" x14ac:dyDescent="0.3">
      <c r="A2880" t="s">
        <v>8892</v>
      </c>
      <c r="B2880" t="s">
        <v>284</v>
      </c>
      <c r="C2880">
        <v>43</v>
      </c>
      <c r="D2880" t="str">
        <f>VLOOKUP(B2880,Products!$A:$E,2,FALSE)</f>
        <v>Product_138</v>
      </c>
      <c r="E2880" t="str">
        <f>VLOOKUP(B2880,Products!$A:$E,3,FALSE)</f>
        <v>Electronics</v>
      </c>
    </row>
    <row r="2881" spans="1:5" x14ac:dyDescent="0.3">
      <c r="A2881" t="s">
        <v>8893</v>
      </c>
      <c r="B2881" t="s">
        <v>266</v>
      </c>
      <c r="C2881">
        <v>42</v>
      </c>
      <c r="D2881" t="str">
        <f>VLOOKUP(B2881,Products!$A:$E,2,FALSE)</f>
        <v>Product_129</v>
      </c>
      <c r="E2881" t="str">
        <f>VLOOKUP(B2881,Products!$A:$E,3,FALSE)</f>
        <v>Electronics</v>
      </c>
    </row>
    <row r="2882" spans="1:5" x14ac:dyDescent="0.3">
      <c r="A2882" t="s">
        <v>8894</v>
      </c>
      <c r="B2882" t="s">
        <v>838</v>
      </c>
      <c r="C2882">
        <v>50</v>
      </c>
      <c r="D2882" t="str">
        <f>VLOOKUP(B2882,Products!$A:$E,2,FALSE)</f>
        <v>Product_415</v>
      </c>
      <c r="E2882" t="str">
        <f>VLOOKUP(B2882,Products!$A:$E,3,FALSE)</f>
        <v>Networking</v>
      </c>
    </row>
    <row r="2883" spans="1:5" x14ac:dyDescent="0.3">
      <c r="A2883" t="s">
        <v>8895</v>
      </c>
      <c r="B2883" t="s">
        <v>632</v>
      </c>
      <c r="C2883">
        <v>1</v>
      </c>
      <c r="D2883" t="str">
        <f>VLOOKUP(B2883,Products!$A:$E,2,FALSE)</f>
        <v>Product_312</v>
      </c>
      <c r="E2883" t="str">
        <f>VLOOKUP(B2883,Products!$A:$E,3,FALSE)</f>
        <v>Office Supplies</v>
      </c>
    </row>
    <row r="2884" spans="1:5" x14ac:dyDescent="0.3">
      <c r="A2884" t="s">
        <v>8896</v>
      </c>
      <c r="B2884" t="s">
        <v>136</v>
      </c>
      <c r="C2884">
        <v>20</v>
      </c>
      <c r="D2884" t="str">
        <f>VLOOKUP(B2884,Products!$A:$E,2,FALSE)</f>
        <v>Product_64</v>
      </c>
      <c r="E2884" t="str">
        <f>VLOOKUP(B2884,Products!$A:$E,3,FALSE)</f>
        <v>Storage</v>
      </c>
    </row>
    <row r="2885" spans="1:5" x14ac:dyDescent="0.3">
      <c r="A2885" t="s">
        <v>8897</v>
      </c>
      <c r="B2885" t="s">
        <v>592</v>
      </c>
      <c r="C2885">
        <v>43</v>
      </c>
      <c r="D2885" t="str">
        <f>VLOOKUP(B2885,Products!$A:$E,2,FALSE)</f>
        <v>Product_292</v>
      </c>
      <c r="E2885" t="str">
        <f>VLOOKUP(B2885,Products!$A:$E,3,FALSE)</f>
        <v>Networking</v>
      </c>
    </row>
    <row r="2886" spans="1:5" x14ac:dyDescent="0.3">
      <c r="A2886" t="s">
        <v>8898</v>
      </c>
      <c r="B2886" t="s">
        <v>338</v>
      </c>
      <c r="C2886">
        <v>17</v>
      </c>
      <c r="D2886" t="str">
        <f>VLOOKUP(B2886,Products!$A:$E,2,FALSE)</f>
        <v>Product_165</v>
      </c>
      <c r="E2886" t="str">
        <f>VLOOKUP(B2886,Products!$A:$E,3,FALSE)</f>
        <v>Office Supplies</v>
      </c>
    </row>
    <row r="2887" spans="1:5" x14ac:dyDescent="0.3">
      <c r="A2887" t="s">
        <v>8899</v>
      </c>
      <c r="B2887" t="s">
        <v>876</v>
      </c>
      <c r="C2887">
        <v>12</v>
      </c>
      <c r="D2887" t="str">
        <f>VLOOKUP(B2887,Products!$A:$E,2,FALSE)</f>
        <v>Product_434</v>
      </c>
      <c r="E2887" t="str">
        <f>VLOOKUP(B2887,Products!$A:$E,3,FALSE)</f>
        <v>Office Supplies</v>
      </c>
    </row>
    <row r="2888" spans="1:5" x14ac:dyDescent="0.3">
      <c r="A2888" t="s">
        <v>8900</v>
      </c>
      <c r="B2888" t="s">
        <v>464</v>
      </c>
      <c r="C2888">
        <v>30</v>
      </c>
      <c r="D2888" t="str">
        <f>VLOOKUP(B2888,Products!$A:$E,2,FALSE)</f>
        <v>Product_228</v>
      </c>
      <c r="E2888" t="str">
        <f>VLOOKUP(B2888,Products!$A:$E,3,FALSE)</f>
        <v>Storage</v>
      </c>
    </row>
    <row r="2889" spans="1:5" x14ac:dyDescent="0.3">
      <c r="A2889" t="s">
        <v>8901</v>
      </c>
      <c r="B2889" t="s">
        <v>26</v>
      </c>
      <c r="C2889">
        <v>29</v>
      </c>
      <c r="D2889" t="str">
        <f>VLOOKUP(B2889,Products!$A:$E,2,FALSE)</f>
        <v>Product_9</v>
      </c>
      <c r="E2889" t="str">
        <f>VLOOKUP(B2889,Products!$A:$E,3,FALSE)</f>
        <v>Storage</v>
      </c>
    </row>
    <row r="2890" spans="1:5" x14ac:dyDescent="0.3">
      <c r="A2890" t="s">
        <v>8902</v>
      </c>
      <c r="B2890" t="s">
        <v>17</v>
      </c>
      <c r="C2890">
        <v>30</v>
      </c>
      <c r="D2890" t="str">
        <f>VLOOKUP(B2890,Products!$A:$E,2,FALSE)</f>
        <v>Product_5</v>
      </c>
      <c r="E2890" t="str">
        <f>VLOOKUP(B2890,Products!$A:$E,3,FALSE)</f>
        <v>Networking</v>
      </c>
    </row>
    <row r="2891" spans="1:5" x14ac:dyDescent="0.3">
      <c r="A2891" t="s">
        <v>8903</v>
      </c>
      <c r="B2891" t="s">
        <v>46</v>
      </c>
      <c r="C2891">
        <v>23</v>
      </c>
      <c r="D2891" t="str">
        <f>VLOOKUP(B2891,Products!$A:$E,2,FALSE)</f>
        <v>Product_19</v>
      </c>
      <c r="E2891" t="str">
        <f>VLOOKUP(B2891,Products!$A:$E,3,FALSE)</f>
        <v>Networking</v>
      </c>
    </row>
    <row r="2892" spans="1:5" x14ac:dyDescent="0.3">
      <c r="A2892" t="s">
        <v>8904</v>
      </c>
      <c r="B2892" t="s">
        <v>500</v>
      </c>
      <c r="C2892">
        <v>41</v>
      </c>
      <c r="D2892" t="str">
        <f>VLOOKUP(B2892,Products!$A:$E,2,FALSE)</f>
        <v>Product_246</v>
      </c>
      <c r="E2892" t="str">
        <f>VLOOKUP(B2892,Products!$A:$E,3,FALSE)</f>
        <v>Electronics</v>
      </c>
    </row>
    <row r="2893" spans="1:5" x14ac:dyDescent="0.3">
      <c r="A2893" t="s">
        <v>8905</v>
      </c>
      <c r="B2893" t="s">
        <v>874</v>
      </c>
      <c r="C2893">
        <v>36</v>
      </c>
      <c r="D2893" t="str">
        <f>VLOOKUP(B2893,Products!$A:$E,2,FALSE)</f>
        <v>Product_433</v>
      </c>
      <c r="E2893" t="str">
        <f>VLOOKUP(B2893,Products!$A:$E,3,FALSE)</f>
        <v>Office Supplies</v>
      </c>
    </row>
    <row r="2894" spans="1:5" x14ac:dyDescent="0.3">
      <c r="A2894" t="s">
        <v>8906</v>
      </c>
      <c r="B2894" t="s">
        <v>232</v>
      </c>
      <c r="C2894">
        <v>27</v>
      </c>
      <c r="D2894" t="str">
        <f>VLOOKUP(B2894,Products!$A:$E,2,FALSE)</f>
        <v>Product_112</v>
      </c>
      <c r="E2894" t="str">
        <f>VLOOKUP(B2894,Products!$A:$E,3,FALSE)</f>
        <v>Storage</v>
      </c>
    </row>
    <row r="2895" spans="1:5" x14ac:dyDescent="0.3">
      <c r="A2895" t="s">
        <v>8907</v>
      </c>
      <c r="B2895" t="s">
        <v>68</v>
      </c>
      <c r="C2895">
        <v>38</v>
      </c>
      <c r="D2895" t="str">
        <f>VLOOKUP(B2895,Products!$A:$E,2,FALSE)</f>
        <v>Product_30</v>
      </c>
      <c r="E2895" t="str">
        <f>VLOOKUP(B2895,Products!$A:$E,3,FALSE)</f>
        <v>Accessories</v>
      </c>
    </row>
    <row r="2896" spans="1:5" x14ac:dyDescent="0.3">
      <c r="A2896" t="s">
        <v>8908</v>
      </c>
      <c r="B2896" t="s">
        <v>970</v>
      </c>
      <c r="C2896">
        <v>6</v>
      </c>
      <c r="D2896" t="str">
        <f>VLOOKUP(B2896,Products!$A:$E,2,FALSE)</f>
        <v>Product_481</v>
      </c>
      <c r="E2896" t="str">
        <f>VLOOKUP(B2896,Products!$A:$E,3,FALSE)</f>
        <v>Storage</v>
      </c>
    </row>
    <row r="2897" spans="1:5" x14ac:dyDescent="0.3">
      <c r="A2897" t="s">
        <v>8909</v>
      </c>
      <c r="B2897" t="s">
        <v>292</v>
      </c>
      <c r="C2897">
        <v>40</v>
      </c>
      <c r="D2897" t="str">
        <f>VLOOKUP(B2897,Products!$A:$E,2,FALSE)</f>
        <v>Product_142</v>
      </c>
      <c r="E2897" t="str">
        <f>VLOOKUP(B2897,Products!$A:$E,3,FALSE)</f>
        <v>Storage</v>
      </c>
    </row>
    <row r="2898" spans="1:5" x14ac:dyDescent="0.3">
      <c r="A2898" t="s">
        <v>8910</v>
      </c>
      <c r="B2898" t="s">
        <v>574</v>
      </c>
      <c r="C2898">
        <v>21</v>
      </c>
      <c r="D2898" t="str">
        <f>VLOOKUP(B2898,Products!$A:$E,2,FALSE)</f>
        <v>Product_283</v>
      </c>
      <c r="E2898" t="str">
        <f>VLOOKUP(B2898,Products!$A:$E,3,FALSE)</f>
        <v>Networking</v>
      </c>
    </row>
    <row r="2899" spans="1:5" x14ac:dyDescent="0.3">
      <c r="A2899" t="s">
        <v>8911</v>
      </c>
      <c r="B2899" t="s">
        <v>986</v>
      </c>
      <c r="C2899">
        <v>5</v>
      </c>
      <c r="D2899" t="str">
        <f>VLOOKUP(B2899,Products!$A:$E,2,FALSE)</f>
        <v>Product_489</v>
      </c>
      <c r="E2899" t="str">
        <f>VLOOKUP(B2899,Products!$A:$E,3,FALSE)</f>
        <v>Networking</v>
      </c>
    </row>
    <row r="2900" spans="1:5" x14ac:dyDescent="0.3">
      <c r="A2900" t="s">
        <v>8912</v>
      </c>
      <c r="B2900" t="s">
        <v>460</v>
      </c>
      <c r="C2900">
        <v>12</v>
      </c>
      <c r="D2900" t="str">
        <f>VLOOKUP(B2900,Products!$A:$E,2,FALSE)</f>
        <v>Product_226</v>
      </c>
      <c r="E2900" t="str">
        <f>VLOOKUP(B2900,Products!$A:$E,3,FALSE)</f>
        <v>Networking</v>
      </c>
    </row>
    <row r="2901" spans="1:5" x14ac:dyDescent="0.3">
      <c r="A2901" t="s">
        <v>8913</v>
      </c>
      <c r="B2901" t="s">
        <v>274</v>
      </c>
      <c r="C2901">
        <v>50</v>
      </c>
      <c r="D2901" t="str">
        <f>VLOOKUP(B2901,Products!$A:$E,2,FALSE)</f>
        <v>Product_133</v>
      </c>
      <c r="E2901" t="str">
        <f>VLOOKUP(B2901,Products!$A:$E,3,FALSE)</f>
        <v>Office Supplies</v>
      </c>
    </row>
    <row r="2902" spans="1:5" x14ac:dyDescent="0.3">
      <c r="A2902" t="s">
        <v>8914</v>
      </c>
      <c r="B2902" t="s">
        <v>814</v>
      </c>
      <c r="C2902">
        <v>18</v>
      </c>
      <c r="D2902" t="str">
        <f>VLOOKUP(B2902,Products!$A:$E,2,FALSE)</f>
        <v>Product_403</v>
      </c>
      <c r="E2902" t="str">
        <f>VLOOKUP(B2902,Products!$A:$E,3,FALSE)</f>
        <v>Networking</v>
      </c>
    </row>
    <row r="2903" spans="1:5" x14ac:dyDescent="0.3">
      <c r="A2903" t="s">
        <v>8915</v>
      </c>
      <c r="B2903" t="s">
        <v>274</v>
      </c>
      <c r="C2903">
        <v>32</v>
      </c>
      <c r="D2903" t="str">
        <f>VLOOKUP(B2903,Products!$A:$E,2,FALSE)</f>
        <v>Product_133</v>
      </c>
      <c r="E2903" t="str">
        <f>VLOOKUP(B2903,Products!$A:$E,3,FALSE)</f>
        <v>Office Supplies</v>
      </c>
    </row>
    <row r="2904" spans="1:5" x14ac:dyDescent="0.3">
      <c r="A2904" t="s">
        <v>8916</v>
      </c>
      <c r="B2904" t="s">
        <v>140</v>
      </c>
      <c r="C2904">
        <v>15</v>
      </c>
      <c r="D2904" t="str">
        <f>VLOOKUP(B2904,Products!$A:$E,2,FALSE)</f>
        <v>Product_66</v>
      </c>
      <c r="E2904" t="str">
        <f>VLOOKUP(B2904,Products!$A:$E,3,FALSE)</f>
        <v>Electronics</v>
      </c>
    </row>
    <row r="2905" spans="1:5" x14ac:dyDescent="0.3">
      <c r="A2905" t="s">
        <v>8917</v>
      </c>
      <c r="B2905" t="s">
        <v>654</v>
      </c>
      <c r="C2905">
        <v>12</v>
      </c>
      <c r="D2905" t="str">
        <f>VLOOKUP(B2905,Products!$A:$E,2,FALSE)</f>
        <v>Product_323</v>
      </c>
      <c r="E2905" t="str">
        <f>VLOOKUP(B2905,Products!$A:$E,3,FALSE)</f>
        <v>Electronics</v>
      </c>
    </row>
    <row r="2906" spans="1:5" x14ac:dyDescent="0.3">
      <c r="A2906" t="s">
        <v>8918</v>
      </c>
      <c r="B2906" t="s">
        <v>160</v>
      </c>
      <c r="C2906">
        <v>40</v>
      </c>
      <c r="D2906" t="str">
        <f>VLOOKUP(B2906,Products!$A:$E,2,FALSE)</f>
        <v>Product_76</v>
      </c>
      <c r="E2906" t="str">
        <f>VLOOKUP(B2906,Products!$A:$E,3,FALSE)</f>
        <v>Accessories</v>
      </c>
    </row>
    <row r="2907" spans="1:5" x14ac:dyDescent="0.3">
      <c r="A2907" t="s">
        <v>8919</v>
      </c>
      <c r="B2907" t="s">
        <v>680</v>
      </c>
      <c r="C2907">
        <v>4</v>
      </c>
      <c r="D2907" t="str">
        <f>VLOOKUP(B2907,Products!$A:$E,2,FALSE)</f>
        <v>Product_336</v>
      </c>
      <c r="E2907" t="str">
        <f>VLOOKUP(B2907,Products!$A:$E,3,FALSE)</f>
        <v>Storage</v>
      </c>
    </row>
    <row r="2908" spans="1:5" x14ac:dyDescent="0.3">
      <c r="A2908" t="s">
        <v>8920</v>
      </c>
      <c r="B2908" t="s">
        <v>248</v>
      </c>
      <c r="C2908">
        <v>8</v>
      </c>
      <c r="D2908" t="str">
        <f>VLOOKUP(B2908,Products!$A:$E,2,FALSE)</f>
        <v>Product_120</v>
      </c>
      <c r="E2908" t="str">
        <f>VLOOKUP(B2908,Products!$A:$E,3,FALSE)</f>
        <v>Accessories</v>
      </c>
    </row>
    <row r="2909" spans="1:5" x14ac:dyDescent="0.3">
      <c r="A2909" t="s">
        <v>8921</v>
      </c>
      <c r="B2909" t="s">
        <v>680</v>
      </c>
      <c r="C2909">
        <v>3</v>
      </c>
      <c r="D2909" t="str">
        <f>VLOOKUP(B2909,Products!$A:$E,2,FALSE)</f>
        <v>Product_336</v>
      </c>
      <c r="E2909" t="str">
        <f>VLOOKUP(B2909,Products!$A:$E,3,FALSE)</f>
        <v>Storage</v>
      </c>
    </row>
    <row r="2910" spans="1:5" x14ac:dyDescent="0.3">
      <c r="A2910" t="s">
        <v>8922</v>
      </c>
      <c r="B2910" t="s">
        <v>198</v>
      </c>
      <c r="C2910">
        <v>44</v>
      </c>
      <c r="D2910" t="str">
        <f>VLOOKUP(B2910,Products!$A:$E,2,FALSE)</f>
        <v>Product_95</v>
      </c>
      <c r="E2910" t="str">
        <f>VLOOKUP(B2910,Products!$A:$E,3,FALSE)</f>
        <v>Electronics</v>
      </c>
    </row>
    <row r="2911" spans="1:5" x14ac:dyDescent="0.3">
      <c r="A2911" t="s">
        <v>8923</v>
      </c>
      <c r="B2911" t="s">
        <v>528</v>
      </c>
      <c r="C2911">
        <v>29</v>
      </c>
      <c r="D2911" t="str">
        <f>VLOOKUP(B2911,Products!$A:$E,2,FALSE)</f>
        <v>Product_260</v>
      </c>
      <c r="E2911" t="str">
        <f>VLOOKUP(B2911,Products!$A:$E,3,FALSE)</f>
        <v>Storage</v>
      </c>
    </row>
    <row r="2912" spans="1:5" x14ac:dyDescent="0.3">
      <c r="A2912" t="s">
        <v>8924</v>
      </c>
      <c r="B2912" t="s">
        <v>602</v>
      </c>
      <c r="C2912">
        <v>21</v>
      </c>
      <c r="D2912" t="str">
        <f>VLOOKUP(B2912,Products!$A:$E,2,FALSE)</f>
        <v>Product_297</v>
      </c>
      <c r="E2912" t="str">
        <f>VLOOKUP(B2912,Products!$A:$E,3,FALSE)</f>
        <v>Storage</v>
      </c>
    </row>
    <row r="2913" spans="1:5" x14ac:dyDescent="0.3">
      <c r="A2913" t="s">
        <v>8925</v>
      </c>
      <c r="B2913" t="s">
        <v>52</v>
      </c>
      <c r="C2913">
        <v>36</v>
      </c>
      <c r="D2913" t="str">
        <f>VLOOKUP(B2913,Products!$A:$E,2,FALSE)</f>
        <v>Product_22</v>
      </c>
      <c r="E2913" t="str">
        <f>VLOOKUP(B2913,Products!$A:$E,3,FALSE)</f>
        <v>Electronics</v>
      </c>
    </row>
    <row r="2914" spans="1:5" x14ac:dyDescent="0.3">
      <c r="A2914" t="s">
        <v>8926</v>
      </c>
      <c r="B2914" t="s">
        <v>744</v>
      </c>
      <c r="C2914">
        <v>15</v>
      </c>
      <c r="D2914" t="str">
        <f>VLOOKUP(B2914,Products!$A:$E,2,FALSE)</f>
        <v>Product_368</v>
      </c>
      <c r="E2914" t="str">
        <f>VLOOKUP(B2914,Products!$A:$E,3,FALSE)</f>
        <v>Office Supplies</v>
      </c>
    </row>
    <row r="2915" spans="1:5" x14ac:dyDescent="0.3">
      <c r="A2915" t="s">
        <v>8927</v>
      </c>
      <c r="B2915" t="s">
        <v>72</v>
      </c>
      <c r="C2915">
        <v>46</v>
      </c>
      <c r="D2915" t="str">
        <f>VLOOKUP(B2915,Products!$A:$E,2,FALSE)</f>
        <v>Product_32</v>
      </c>
      <c r="E2915" t="str">
        <f>VLOOKUP(B2915,Products!$A:$E,3,FALSE)</f>
        <v>Networking</v>
      </c>
    </row>
    <row r="2916" spans="1:5" x14ac:dyDescent="0.3">
      <c r="A2916" t="s">
        <v>8928</v>
      </c>
      <c r="B2916" t="s">
        <v>274</v>
      </c>
      <c r="C2916">
        <v>17</v>
      </c>
      <c r="D2916" t="str">
        <f>VLOOKUP(B2916,Products!$A:$E,2,FALSE)</f>
        <v>Product_133</v>
      </c>
      <c r="E2916" t="str">
        <f>VLOOKUP(B2916,Products!$A:$E,3,FALSE)</f>
        <v>Office Supplies</v>
      </c>
    </row>
    <row r="2917" spans="1:5" x14ac:dyDescent="0.3">
      <c r="A2917" t="s">
        <v>8929</v>
      </c>
      <c r="B2917" t="s">
        <v>26</v>
      </c>
      <c r="C2917">
        <v>44</v>
      </c>
      <c r="D2917" t="str">
        <f>VLOOKUP(B2917,Products!$A:$E,2,FALSE)</f>
        <v>Product_9</v>
      </c>
      <c r="E2917" t="str">
        <f>VLOOKUP(B2917,Products!$A:$E,3,FALSE)</f>
        <v>Storage</v>
      </c>
    </row>
    <row r="2918" spans="1:5" x14ac:dyDescent="0.3">
      <c r="A2918" t="s">
        <v>8930</v>
      </c>
      <c r="B2918" t="s">
        <v>874</v>
      </c>
      <c r="C2918">
        <v>23</v>
      </c>
      <c r="D2918" t="str">
        <f>VLOOKUP(B2918,Products!$A:$E,2,FALSE)</f>
        <v>Product_433</v>
      </c>
      <c r="E2918" t="str">
        <f>VLOOKUP(B2918,Products!$A:$E,3,FALSE)</f>
        <v>Office Supplies</v>
      </c>
    </row>
    <row r="2919" spans="1:5" x14ac:dyDescent="0.3">
      <c r="A2919" t="s">
        <v>8931</v>
      </c>
      <c r="B2919" t="s">
        <v>562</v>
      </c>
      <c r="C2919">
        <v>46</v>
      </c>
      <c r="D2919" t="str">
        <f>VLOOKUP(B2919,Products!$A:$E,2,FALSE)</f>
        <v>Product_277</v>
      </c>
      <c r="E2919" t="str">
        <f>VLOOKUP(B2919,Products!$A:$E,3,FALSE)</f>
        <v>Electronics</v>
      </c>
    </row>
    <row r="2920" spans="1:5" x14ac:dyDescent="0.3">
      <c r="A2920" t="s">
        <v>8932</v>
      </c>
      <c r="B2920" t="s">
        <v>54</v>
      </c>
      <c r="C2920">
        <v>39</v>
      </c>
      <c r="D2920" t="str">
        <f>VLOOKUP(B2920,Products!$A:$E,2,FALSE)</f>
        <v>Product_23</v>
      </c>
      <c r="E2920" t="str">
        <f>VLOOKUP(B2920,Products!$A:$E,3,FALSE)</f>
        <v>Accessories</v>
      </c>
    </row>
    <row r="2921" spans="1:5" x14ac:dyDescent="0.3">
      <c r="A2921" t="s">
        <v>8933</v>
      </c>
      <c r="B2921" t="s">
        <v>250</v>
      </c>
      <c r="C2921">
        <v>23</v>
      </c>
      <c r="D2921" t="str">
        <f>VLOOKUP(B2921,Products!$A:$E,2,FALSE)</f>
        <v>Product_121</v>
      </c>
      <c r="E2921" t="str">
        <f>VLOOKUP(B2921,Products!$A:$E,3,FALSE)</f>
        <v>Storage</v>
      </c>
    </row>
    <row r="2922" spans="1:5" x14ac:dyDescent="0.3">
      <c r="A2922" t="s">
        <v>8934</v>
      </c>
      <c r="B2922" t="s">
        <v>120</v>
      </c>
      <c r="C2922">
        <v>5</v>
      </c>
      <c r="D2922" t="str">
        <f>VLOOKUP(B2922,Products!$A:$E,2,FALSE)</f>
        <v>Product_56</v>
      </c>
      <c r="E2922" t="str">
        <f>VLOOKUP(B2922,Products!$A:$E,3,FALSE)</f>
        <v>Networking</v>
      </c>
    </row>
    <row r="2923" spans="1:5" x14ac:dyDescent="0.3">
      <c r="A2923" t="s">
        <v>8935</v>
      </c>
      <c r="B2923" t="s">
        <v>528</v>
      </c>
      <c r="C2923">
        <v>29</v>
      </c>
      <c r="D2923" t="str">
        <f>VLOOKUP(B2923,Products!$A:$E,2,FALSE)</f>
        <v>Product_260</v>
      </c>
      <c r="E2923" t="str">
        <f>VLOOKUP(B2923,Products!$A:$E,3,FALSE)</f>
        <v>Storage</v>
      </c>
    </row>
    <row r="2924" spans="1:5" x14ac:dyDescent="0.3">
      <c r="A2924" t="s">
        <v>8936</v>
      </c>
      <c r="B2924" t="s">
        <v>124</v>
      </c>
      <c r="C2924">
        <v>33</v>
      </c>
      <c r="D2924" t="str">
        <f>VLOOKUP(B2924,Products!$A:$E,2,FALSE)</f>
        <v>Product_58</v>
      </c>
      <c r="E2924" t="str">
        <f>VLOOKUP(B2924,Products!$A:$E,3,FALSE)</f>
        <v>Office Supplies</v>
      </c>
    </row>
    <row r="2925" spans="1:5" x14ac:dyDescent="0.3">
      <c r="A2925" t="s">
        <v>8937</v>
      </c>
      <c r="B2925" t="s">
        <v>88</v>
      </c>
      <c r="C2925">
        <v>16</v>
      </c>
      <c r="D2925" t="str">
        <f>VLOOKUP(B2925,Products!$A:$E,2,FALSE)</f>
        <v>Product_40</v>
      </c>
      <c r="E2925" t="str">
        <f>VLOOKUP(B2925,Products!$A:$E,3,FALSE)</f>
        <v>Accessories</v>
      </c>
    </row>
    <row r="2926" spans="1:5" x14ac:dyDescent="0.3">
      <c r="A2926" t="s">
        <v>8938</v>
      </c>
      <c r="B2926" t="s">
        <v>218</v>
      </c>
      <c r="C2926">
        <v>21</v>
      </c>
      <c r="D2926" t="str">
        <f>VLOOKUP(B2926,Products!$A:$E,2,FALSE)</f>
        <v>Product_105</v>
      </c>
      <c r="E2926" t="str">
        <f>VLOOKUP(B2926,Products!$A:$E,3,FALSE)</f>
        <v>Networking</v>
      </c>
    </row>
    <row r="2927" spans="1:5" x14ac:dyDescent="0.3">
      <c r="A2927" t="s">
        <v>8939</v>
      </c>
      <c r="B2927" t="s">
        <v>594</v>
      </c>
      <c r="C2927">
        <v>24</v>
      </c>
      <c r="D2927" t="str">
        <f>VLOOKUP(B2927,Products!$A:$E,2,FALSE)</f>
        <v>Product_293</v>
      </c>
      <c r="E2927" t="str">
        <f>VLOOKUP(B2927,Products!$A:$E,3,FALSE)</f>
        <v>Networking</v>
      </c>
    </row>
    <row r="2928" spans="1:5" x14ac:dyDescent="0.3">
      <c r="A2928" t="s">
        <v>8940</v>
      </c>
      <c r="B2928" t="s">
        <v>858</v>
      </c>
      <c r="C2928">
        <v>44</v>
      </c>
      <c r="D2928" t="str">
        <f>VLOOKUP(B2928,Products!$A:$E,2,FALSE)</f>
        <v>Product_425</v>
      </c>
      <c r="E2928" t="str">
        <f>VLOOKUP(B2928,Products!$A:$E,3,FALSE)</f>
        <v>Office Supplies</v>
      </c>
    </row>
    <row r="2929" spans="1:5" x14ac:dyDescent="0.3">
      <c r="A2929" t="s">
        <v>8941</v>
      </c>
      <c r="B2929" t="s">
        <v>434</v>
      </c>
      <c r="C2929">
        <v>5</v>
      </c>
      <c r="D2929" t="str">
        <f>VLOOKUP(B2929,Products!$A:$E,2,FALSE)</f>
        <v>Product_213</v>
      </c>
      <c r="E2929" t="str">
        <f>VLOOKUP(B2929,Products!$A:$E,3,FALSE)</f>
        <v>Accessories</v>
      </c>
    </row>
    <row r="2930" spans="1:5" x14ac:dyDescent="0.3">
      <c r="A2930" t="s">
        <v>8942</v>
      </c>
      <c r="B2930" t="s">
        <v>666</v>
      </c>
      <c r="C2930">
        <v>28</v>
      </c>
      <c r="D2930" t="str">
        <f>VLOOKUP(B2930,Products!$A:$E,2,FALSE)</f>
        <v>Product_329</v>
      </c>
      <c r="E2930" t="str">
        <f>VLOOKUP(B2930,Products!$A:$E,3,FALSE)</f>
        <v>Office Supplies</v>
      </c>
    </row>
    <row r="2931" spans="1:5" x14ac:dyDescent="0.3">
      <c r="A2931" t="s">
        <v>8943</v>
      </c>
      <c r="B2931" t="s">
        <v>906</v>
      </c>
      <c r="C2931">
        <v>19</v>
      </c>
      <c r="D2931" t="str">
        <f>VLOOKUP(B2931,Products!$A:$E,2,FALSE)</f>
        <v>Product_449</v>
      </c>
      <c r="E2931" t="str">
        <f>VLOOKUP(B2931,Products!$A:$E,3,FALSE)</f>
        <v>Networking</v>
      </c>
    </row>
    <row r="2932" spans="1:5" x14ac:dyDescent="0.3">
      <c r="A2932" t="s">
        <v>8944</v>
      </c>
      <c r="B2932" t="s">
        <v>156</v>
      </c>
      <c r="C2932">
        <v>2</v>
      </c>
      <c r="D2932" t="str">
        <f>VLOOKUP(B2932,Products!$A:$E,2,FALSE)</f>
        <v>Product_74</v>
      </c>
      <c r="E2932" t="str">
        <f>VLOOKUP(B2932,Products!$A:$E,3,FALSE)</f>
        <v>Storage</v>
      </c>
    </row>
    <row r="2933" spans="1:5" x14ac:dyDescent="0.3">
      <c r="A2933" t="s">
        <v>8945</v>
      </c>
      <c r="B2933" t="s">
        <v>344</v>
      </c>
      <c r="C2933">
        <v>39</v>
      </c>
      <c r="D2933" t="str">
        <f>VLOOKUP(B2933,Products!$A:$E,2,FALSE)</f>
        <v>Product_168</v>
      </c>
      <c r="E2933" t="str">
        <f>VLOOKUP(B2933,Products!$A:$E,3,FALSE)</f>
        <v>Electronics</v>
      </c>
    </row>
    <row r="2934" spans="1:5" x14ac:dyDescent="0.3">
      <c r="A2934" t="s">
        <v>8946</v>
      </c>
      <c r="B2934" t="s">
        <v>816</v>
      </c>
      <c r="C2934">
        <v>24</v>
      </c>
      <c r="D2934" t="str">
        <f>VLOOKUP(B2934,Products!$A:$E,2,FALSE)</f>
        <v>Product_404</v>
      </c>
      <c r="E2934" t="str">
        <f>VLOOKUP(B2934,Products!$A:$E,3,FALSE)</f>
        <v>Storage</v>
      </c>
    </row>
    <row r="2935" spans="1:5" x14ac:dyDescent="0.3">
      <c r="A2935" t="s">
        <v>8947</v>
      </c>
      <c r="B2935" t="s">
        <v>352</v>
      </c>
      <c r="C2935">
        <v>27</v>
      </c>
      <c r="D2935" t="str">
        <f>VLOOKUP(B2935,Products!$A:$E,2,FALSE)</f>
        <v>Product_172</v>
      </c>
      <c r="E2935" t="str">
        <f>VLOOKUP(B2935,Products!$A:$E,3,FALSE)</f>
        <v>Networking</v>
      </c>
    </row>
    <row r="2936" spans="1:5" x14ac:dyDescent="0.3">
      <c r="A2936" t="s">
        <v>8948</v>
      </c>
      <c r="B2936" t="s">
        <v>928</v>
      </c>
      <c r="C2936">
        <v>42</v>
      </c>
      <c r="D2936" t="str">
        <f>VLOOKUP(B2936,Products!$A:$E,2,FALSE)</f>
        <v>Product_460</v>
      </c>
      <c r="E2936" t="str">
        <f>VLOOKUP(B2936,Products!$A:$E,3,FALSE)</f>
        <v>Accessories</v>
      </c>
    </row>
    <row r="2937" spans="1:5" x14ac:dyDescent="0.3">
      <c r="A2937" t="s">
        <v>8949</v>
      </c>
      <c r="B2937" t="s">
        <v>392</v>
      </c>
      <c r="C2937">
        <v>31</v>
      </c>
      <c r="D2937" t="str">
        <f>VLOOKUP(B2937,Products!$A:$E,2,FALSE)</f>
        <v>Product_192</v>
      </c>
      <c r="E2937" t="str">
        <f>VLOOKUP(B2937,Products!$A:$E,3,FALSE)</f>
        <v>Office Supplies</v>
      </c>
    </row>
    <row r="2938" spans="1:5" x14ac:dyDescent="0.3">
      <c r="A2938" t="s">
        <v>8950</v>
      </c>
      <c r="B2938" t="s">
        <v>974</v>
      </c>
      <c r="C2938">
        <v>19</v>
      </c>
      <c r="D2938" t="str">
        <f>VLOOKUP(B2938,Products!$A:$E,2,FALSE)</f>
        <v>Product_483</v>
      </c>
      <c r="E2938" t="str">
        <f>VLOOKUP(B2938,Products!$A:$E,3,FALSE)</f>
        <v>Electronics</v>
      </c>
    </row>
    <row r="2939" spans="1:5" x14ac:dyDescent="0.3">
      <c r="A2939" t="s">
        <v>8951</v>
      </c>
      <c r="B2939" t="s">
        <v>646</v>
      </c>
      <c r="C2939">
        <v>2</v>
      </c>
      <c r="D2939" t="str">
        <f>VLOOKUP(B2939,Products!$A:$E,2,FALSE)</f>
        <v>Product_319</v>
      </c>
      <c r="E2939" t="str">
        <f>VLOOKUP(B2939,Products!$A:$E,3,FALSE)</f>
        <v>Accessories</v>
      </c>
    </row>
    <row r="2940" spans="1:5" x14ac:dyDescent="0.3">
      <c r="A2940" t="s">
        <v>8952</v>
      </c>
      <c r="B2940" t="s">
        <v>174</v>
      </c>
      <c r="C2940">
        <v>24</v>
      </c>
      <c r="D2940" t="str">
        <f>VLOOKUP(B2940,Products!$A:$E,2,FALSE)</f>
        <v>Product_83</v>
      </c>
      <c r="E2940" t="str">
        <f>VLOOKUP(B2940,Products!$A:$E,3,FALSE)</f>
        <v>Accessories</v>
      </c>
    </row>
    <row r="2941" spans="1:5" x14ac:dyDescent="0.3">
      <c r="A2941" t="s">
        <v>8953</v>
      </c>
      <c r="B2941" t="s">
        <v>54</v>
      </c>
      <c r="C2941">
        <v>19</v>
      </c>
      <c r="D2941" t="str">
        <f>VLOOKUP(B2941,Products!$A:$E,2,FALSE)</f>
        <v>Product_23</v>
      </c>
      <c r="E2941" t="str">
        <f>VLOOKUP(B2941,Products!$A:$E,3,FALSE)</f>
        <v>Accessories</v>
      </c>
    </row>
    <row r="2942" spans="1:5" x14ac:dyDescent="0.3">
      <c r="A2942" t="s">
        <v>8954</v>
      </c>
      <c r="B2942" t="s">
        <v>962</v>
      </c>
      <c r="C2942">
        <v>10</v>
      </c>
      <c r="D2942" t="str">
        <f>VLOOKUP(B2942,Products!$A:$E,2,FALSE)</f>
        <v>Product_477</v>
      </c>
      <c r="E2942" t="str">
        <f>VLOOKUP(B2942,Products!$A:$E,3,FALSE)</f>
        <v>Networking</v>
      </c>
    </row>
    <row r="2943" spans="1:5" x14ac:dyDescent="0.3">
      <c r="A2943" t="s">
        <v>8955</v>
      </c>
      <c r="B2943" t="s">
        <v>942</v>
      </c>
      <c r="C2943">
        <v>38</v>
      </c>
      <c r="D2943" t="str">
        <f>VLOOKUP(B2943,Products!$A:$E,2,FALSE)</f>
        <v>Product_467</v>
      </c>
      <c r="E2943" t="str">
        <f>VLOOKUP(B2943,Products!$A:$E,3,FALSE)</f>
        <v>Accessories</v>
      </c>
    </row>
    <row r="2944" spans="1:5" x14ac:dyDescent="0.3">
      <c r="A2944" t="s">
        <v>8956</v>
      </c>
      <c r="B2944" t="s">
        <v>36</v>
      </c>
      <c r="C2944">
        <v>7</v>
      </c>
      <c r="D2944" t="str">
        <f>VLOOKUP(B2944,Products!$A:$E,2,FALSE)</f>
        <v>Product_14</v>
      </c>
      <c r="E2944" t="str">
        <f>VLOOKUP(B2944,Products!$A:$E,3,FALSE)</f>
        <v>Accessories</v>
      </c>
    </row>
    <row r="2945" spans="1:5" x14ac:dyDescent="0.3">
      <c r="A2945" t="s">
        <v>8957</v>
      </c>
      <c r="B2945" t="s">
        <v>632</v>
      </c>
      <c r="C2945">
        <v>14</v>
      </c>
      <c r="D2945" t="str">
        <f>VLOOKUP(B2945,Products!$A:$E,2,FALSE)</f>
        <v>Product_312</v>
      </c>
      <c r="E2945" t="str">
        <f>VLOOKUP(B2945,Products!$A:$E,3,FALSE)</f>
        <v>Office Supplies</v>
      </c>
    </row>
    <row r="2946" spans="1:5" x14ac:dyDescent="0.3">
      <c r="A2946" t="s">
        <v>8958</v>
      </c>
      <c r="B2946" t="s">
        <v>836</v>
      </c>
      <c r="C2946">
        <v>21</v>
      </c>
      <c r="D2946" t="str">
        <f>VLOOKUP(B2946,Products!$A:$E,2,FALSE)</f>
        <v>Product_414</v>
      </c>
      <c r="E2946" t="str">
        <f>VLOOKUP(B2946,Products!$A:$E,3,FALSE)</f>
        <v>Office Supplies</v>
      </c>
    </row>
    <row r="2947" spans="1:5" x14ac:dyDescent="0.3">
      <c r="A2947" t="s">
        <v>8959</v>
      </c>
      <c r="B2947" t="s">
        <v>532</v>
      </c>
      <c r="C2947">
        <v>46</v>
      </c>
      <c r="D2947" t="str">
        <f>VLOOKUP(B2947,Products!$A:$E,2,FALSE)</f>
        <v>Product_262</v>
      </c>
      <c r="E2947" t="str">
        <f>VLOOKUP(B2947,Products!$A:$E,3,FALSE)</f>
        <v>Electronics</v>
      </c>
    </row>
    <row r="2948" spans="1:5" x14ac:dyDescent="0.3">
      <c r="A2948" t="s">
        <v>8960</v>
      </c>
      <c r="B2948" t="s">
        <v>808</v>
      </c>
      <c r="C2948">
        <v>48</v>
      </c>
      <c r="D2948" t="str">
        <f>VLOOKUP(B2948,Products!$A:$E,2,FALSE)</f>
        <v>Product_400</v>
      </c>
      <c r="E2948" t="str">
        <f>VLOOKUP(B2948,Products!$A:$E,3,FALSE)</f>
        <v>Networking</v>
      </c>
    </row>
    <row r="2949" spans="1:5" x14ac:dyDescent="0.3">
      <c r="A2949" t="s">
        <v>8961</v>
      </c>
      <c r="B2949" t="s">
        <v>530</v>
      </c>
      <c r="C2949">
        <v>38</v>
      </c>
      <c r="D2949" t="str">
        <f>VLOOKUP(B2949,Products!$A:$E,2,FALSE)</f>
        <v>Product_261</v>
      </c>
      <c r="E2949" t="str">
        <f>VLOOKUP(B2949,Products!$A:$E,3,FALSE)</f>
        <v>Accessories</v>
      </c>
    </row>
    <row r="2950" spans="1:5" x14ac:dyDescent="0.3">
      <c r="A2950" t="s">
        <v>8962</v>
      </c>
      <c r="B2950" t="s">
        <v>738</v>
      </c>
      <c r="C2950">
        <v>23</v>
      </c>
      <c r="D2950" t="str">
        <f>VLOOKUP(B2950,Products!$A:$E,2,FALSE)</f>
        <v>Product_365</v>
      </c>
      <c r="E2950" t="str">
        <f>VLOOKUP(B2950,Products!$A:$E,3,FALSE)</f>
        <v>Storage</v>
      </c>
    </row>
    <row r="2951" spans="1:5" x14ac:dyDescent="0.3">
      <c r="A2951" t="s">
        <v>8963</v>
      </c>
      <c r="B2951" t="s">
        <v>972</v>
      </c>
      <c r="C2951">
        <v>14</v>
      </c>
      <c r="D2951" t="str">
        <f>VLOOKUP(B2951,Products!$A:$E,2,FALSE)</f>
        <v>Product_482</v>
      </c>
      <c r="E2951" t="str">
        <f>VLOOKUP(B2951,Products!$A:$E,3,FALSE)</f>
        <v>Storage</v>
      </c>
    </row>
    <row r="2952" spans="1:5" x14ac:dyDescent="0.3">
      <c r="A2952" t="s">
        <v>8964</v>
      </c>
      <c r="B2952" t="s">
        <v>396</v>
      </c>
      <c r="C2952">
        <v>38</v>
      </c>
      <c r="D2952" t="str">
        <f>VLOOKUP(B2952,Products!$A:$E,2,FALSE)</f>
        <v>Product_194</v>
      </c>
      <c r="E2952" t="str">
        <f>VLOOKUP(B2952,Products!$A:$E,3,FALSE)</f>
        <v>Networking</v>
      </c>
    </row>
    <row r="2953" spans="1:5" x14ac:dyDescent="0.3">
      <c r="A2953" t="s">
        <v>8965</v>
      </c>
      <c r="B2953" t="s">
        <v>42</v>
      </c>
      <c r="C2953">
        <v>43</v>
      </c>
      <c r="D2953" t="str">
        <f>VLOOKUP(B2953,Products!$A:$E,2,FALSE)</f>
        <v>Product_17</v>
      </c>
      <c r="E2953" t="str">
        <f>VLOOKUP(B2953,Products!$A:$E,3,FALSE)</f>
        <v>Office Supplies</v>
      </c>
    </row>
    <row r="2954" spans="1:5" x14ac:dyDescent="0.3">
      <c r="A2954" t="s">
        <v>8966</v>
      </c>
      <c r="B2954" t="s">
        <v>752</v>
      </c>
      <c r="C2954">
        <v>10</v>
      </c>
      <c r="D2954" t="str">
        <f>VLOOKUP(B2954,Products!$A:$E,2,FALSE)</f>
        <v>Product_372</v>
      </c>
      <c r="E2954" t="str">
        <f>VLOOKUP(B2954,Products!$A:$E,3,FALSE)</f>
        <v>Networking</v>
      </c>
    </row>
    <row r="2955" spans="1:5" x14ac:dyDescent="0.3">
      <c r="A2955" t="s">
        <v>8967</v>
      </c>
      <c r="B2955" t="s">
        <v>400</v>
      </c>
      <c r="C2955">
        <v>49</v>
      </c>
      <c r="D2955" t="str">
        <f>VLOOKUP(B2955,Products!$A:$E,2,FALSE)</f>
        <v>Product_196</v>
      </c>
      <c r="E2955" t="str">
        <f>VLOOKUP(B2955,Products!$A:$E,3,FALSE)</f>
        <v>Office Supplies</v>
      </c>
    </row>
    <row r="2956" spans="1:5" x14ac:dyDescent="0.3">
      <c r="A2956" t="s">
        <v>8968</v>
      </c>
      <c r="B2956" t="s">
        <v>674</v>
      </c>
      <c r="C2956">
        <v>6</v>
      </c>
      <c r="D2956" t="str">
        <f>VLOOKUP(B2956,Products!$A:$E,2,FALSE)</f>
        <v>Product_333</v>
      </c>
      <c r="E2956" t="str">
        <f>VLOOKUP(B2956,Products!$A:$E,3,FALSE)</f>
        <v>Storage</v>
      </c>
    </row>
    <row r="2957" spans="1:5" x14ac:dyDescent="0.3">
      <c r="A2957" t="s">
        <v>8969</v>
      </c>
      <c r="B2957" t="s">
        <v>988</v>
      </c>
      <c r="C2957">
        <v>5</v>
      </c>
      <c r="D2957" t="str">
        <f>VLOOKUP(B2957,Products!$A:$E,2,FALSE)</f>
        <v>Product_490</v>
      </c>
      <c r="E2957" t="str">
        <f>VLOOKUP(B2957,Products!$A:$E,3,FALSE)</f>
        <v>Storage</v>
      </c>
    </row>
    <row r="2958" spans="1:5" x14ac:dyDescent="0.3">
      <c r="A2958" t="s">
        <v>8970</v>
      </c>
      <c r="B2958" t="s">
        <v>990</v>
      </c>
      <c r="C2958">
        <v>15</v>
      </c>
      <c r="D2958" t="str">
        <f>VLOOKUP(B2958,Products!$A:$E,2,FALSE)</f>
        <v>Product_491</v>
      </c>
      <c r="E2958" t="str">
        <f>VLOOKUP(B2958,Products!$A:$E,3,FALSE)</f>
        <v>Accessories</v>
      </c>
    </row>
    <row r="2959" spans="1:5" x14ac:dyDescent="0.3">
      <c r="A2959" t="s">
        <v>8971</v>
      </c>
      <c r="B2959" t="s">
        <v>588</v>
      </c>
      <c r="C2959">
        <v>33</v>
      </c>
      <c r="D2959" t="str">
        <f>VLOOKUP(B2959,Products!$A:$E,2,FALSE)</f>
        <v>Product_290</v>
      </c>
      <c r="E2959" t="str">
        <f>VLOOKUP(B2959,Products!$A:$E,3,FALSE)</f>
        <v>Accessories</v>
      </c>
    </row>
    <row r="2960" spans="1:5" x14ac:dyDescent="0.3">
      <c r="A2960" t="s">
        <v>8972</v>
      </c>
      <c r="B2960" t="s">
        <v>598</v>
      </c>
      <c r="C2960">
        <v>41</v>
      </c>
      <c r="D2960" t="str">
        <f>VLOOKUP(B2960,Products!$A:$E,2,FALSE)</f>
        <v>Product_295</v>
      </c>
      <c r="E2960" t="str">
        <f>VLOOKUP(B2960,Products!$A:$E,3,FALSE)</f>
        <v>Networking</v>
      </c>
    </row>
    <row r="2961" spans="1:5" x14ac:dyDescent="0.3">
      <c r="A2961" t="s">
        <v>8973</v>
      </c>
      <c r="B2961" t="s">
        <v>570</v>
      </c>
      <c r="C2961">
        <v>47</v>
      </c>
      <c r="D2961" t="str">
        <f>VLOOKUP(B2961,Products!$A:$E,2,FALSE)</f>
        <v>Product_281</v>
      </c>
      <c r="E2961" t="str">
        <f>VLOOKUP(B2961,Products!$A:$E,3,FALSE)</f>
        <v>Office Supplies</v>
      </c>
    </row>
    <row r="2962" spans="1:5" x14ac:dyDescent="0.3">
      <c r="A2962" t="s">
        <v>8974</v>
      </c>
      <c r="B2962" t="s">
        <v>438</v>
      </c>
      <c r="C2962">
        <v>35</v>
      </c>
      <c r="D2962" t="str">
        <f>VLOOKUP(B2962,Products!$A:$E,2,FALSE)</f>
        <v>Product_215</v>
      </c>
      <c r="E2962" t="str">
        <f>VLOOKUP(B2962,Products!$A:$E,3,FALSE)</f>
        <v>Electronics</v>
      </c>
    </row>
    <row r="2963" spans="1:5" x14ac:dyDescent="0.3">
      <c r="A2963" t="s">
        <v>8975</v>
      </c>
      <c r="B2963" t="s">
        <v>760</v>
      </c>
      <c r="C2963">
        <v>8</v>
      </c>
      <c r="D2963" t="str">
        <f>VLOOKUP(B2963,Products!$A:$E,2,FALSE)</f>
        <v>Product_376</v>
      </c>
      <c r="E2963" t="str">
        <f>VLOOKUP(B2963,Products!$A:$E,3,FALSE)</f>
        <v>Networking</v>
      </c>
    </row>
    <row r="2964" spans="1:5" x14ac:dyDescent="0.3">
      <c r="A2964" t="s">
        <v>8976</v>
      </c>
      <c r="B2964" t="s">
        <v>876</v>
      </c>
      <c r="C2964">
        <v>34</v>
      </c>
      <c r="D2964" t="str">
        <f>VLOOKUP(B2964,Products!$A:$E,2,FALSE)</f>
        <v>Product_434</v>
      </c>
      <c r="E2964" t="str">
        <f>VLOOKUP(B2964,Products!$A:$E,3,FALSE)</f>
        <v>Office Supplies</v>
      </c>
    </row>
    <row r="2965" spans="1:5" x14ac:dyDescent="0.3">
      <c r="A2965" t="s">
        <v>8977</v>
      </c>
      <c r="B2965" t="s">
        <v>826</v>
      </c>
      <c r="C2965">
        <v>4</v>
      </c>
      <c r="D2965" t="str">
        <f>VLOOKUP(B2965,Products!$A:$E,2,FALSE)</f>
        <v>Product_409</v>
      </c>
      <c r="E2965" t="str">
        <f>VLOOKUP(B2965,Products!$A:$E,3,FALSE)</f>
        <v>Office Supplies</v>
      </c>
    </row>
    <row r="2966" spans="1:5" x14ac:dyDescent="0.3">
      <c r="A2966" t="s">
        <v>8978</v>
      </c>
      <c r="B2966" t="s">
        <v>630</v>
      </c>
      <c r="C2966">
        <v>31</v>
      </c>
      <c r="D2966" t="str">
        <f>VLOOKUP(B2966,Products!$A:$E,2,FALSE)</f>
        <v>Product_311</v>
      </c>
      <c r="E2966" t="str">
        <f>VLOOKUP(B2966,Products!$A:$E,3,FALSE)</f>
        <v>Networking</v>
      </c>
    </row>
    <row r="2967" spans="1:5" x14ac:dyDescent="0.3">
      <c r="A2967" t="s">
        <v>8979</v>
      </c>
      <c r="B2967" t="s">
        <v>684</v>
      </c>
      <c r="C2967">
        <v>34</v>
      </c>
      <c r="D2967" t="str">
        <f>VLOOKUP(B2967,Products!$A:$E,2,FALSE)</f>
        <v>Product_338</v>
      </c>
      <c r="E2967" t="str">
        <f>VLOOKUP(B2967,Products!$A:$E,3,FALSE)</f>
        <v>Networking</v>
      </c>
    </row>
    <row r="2968" spans="1:5" x14ac:dyDescent="0.3">
      <c r="A2968" t="s">
        <v>8980</v>
      </c>
      <c r="B2968" t="s">
        <v>542</v>
      </c>
      <c r="C2968">
        <v>29</v>
      </c>
      <c r="D2968" t="str">
        <f>VLOOKUP(B2968,Products!$A:$E,2,FALSE)</f>
        <v>Product_267</v>
      </c>
      <c r="E2968" t="str">
        <f>VLOOKUP(B2968,Products!$A:$E,3,FALSE)</f>
        <v>Networking</v>
      </c>
    </row>
    <row r="2969" spans="1:5" x14ac:dyDescent="0.3">
      <c r="A2969" t="s">
        <v>8981</v>
      </c>
      <c r="B2969" t="s">
        <v>334</v>
      </c>
      <c r="C2969">
        <v>18</v>
      </c>
      <c r="D2969" t="str">
        <f>VLOOKUP(B2969,Products!$A:$E,2,FALSE)</f>
        <v>Product_163</v>
      </c>
      <c r="E2969" t="str">
        <f>VLOOKUP(B2969,Products!$A:$E,3,FALSE)</f>
        <v>Accessories</v>
      </c>
    </row>
    <row r="2970" spans="1:5" x14ac:dyDescent="0.3">
      <c r="A2970" t="s">
        <v>8982</v>
      </c>
      <c r="B2970" t="s">
        <v>208</v>
      </c>
      <c r="C2970">
        <v>37</v>
      </c>
      <c r="D2970" t="str">
        <f>VLOOKUP(B2970,Products!$A:$E,2,FALSE)</f>
        <v>Product_100</v>
      </c>
      <c r="E2970" t="str">
        <f>VLOOKUP(B2970,Products!$A:$E,3,FALSE)</f>
        <v>Accessories</v>
      </c>
    </row>
    <row r="2971" spans="1:5" x14ac:dyDescent="0.3">
      <c r="A2971" t="s">
        <v>8983</v>
      </c>
      <c r="B2971" t="s">
        <v>310</v>
      </c>
      <c r="C2971">
        <v>16</v>
      </c>
      <c r="D2971" t="str">
        <f>VLOOKUP(B2971,Products!$A:$E,2,FALSE)</f>
        <v>Product_151</v>
      </c>
      <c r="E2971" t="str">
        <f>VLOOKUP(B2971,Products!$A:$E,3,FALSE)</f>
        <v>Storage</v>
      </c>
    </row>
    <row r="2972" spans="1:5" x14ac:dyDescent="0.3">
      <c r="A2972" t="s">
        <v>8984</v>
      </c>
      <c r="B2972" t="s">
        <v>346</v>
      </c>
      <c r="C2972">
        <v>16</v>
      </c>
      <c r="D2972" t="str">
        <f>VLOOKUP(B2972,Products!$A:$E,2,FALSE)</f>
        <v>Product_169</v>
      </c>
      <c r="E2972" t="str">
        <f>VLOOKUP(B2972,Products!$A:$E,3,FALSE)</f>
        <v>Accessories</v>
      </c>
    </row>
    <row r="2973" spans="1:5" x14ac:dyDescent="0.3">
      <c r="A2973" t="s">
        <v>8985</v>
      </c>
      <c r="B2973" t="s">
        <v>828</v>
      </c>
      <c r="C2973">
        <v>50</v>
      </c>
      <c r="D2973" t="str">
        <f>VLOOKUP(B2973,Products!$A:$E,2,FALSE)</f>
        <v>Product_410</v>
      </c>
      <c r="E2973" t="str">
        <f>VLOOKUP(B2973,Products!$A:$E,3,FALSE)</f>
        <v>Storage</v>
      </c>
    </row>
    <row r="2974" spans="1:5" x14ac:dyDescent="0.3">
      <c r="A2974" t="s">
        <v>8986</v>
      </c>
      <c r="B2974" t="s">
        <v>380</v>
      </c>
      <c r="C2974">
        <v>15</v>
      </c>
      <c r="D2974" t="str">
        <f>VLOOKUP(B2974,Products!$A:$E,2,FALSE)</f>
        <v>Product_186</v>
      </c>
      <c r="E2974" t="str">
        <f>VLOOKUP(B2974,Products!$A:$E,3,FALSE)</f>
        <v>Accessories</v>
      </c>
    </row>
    <row r="2975" spans="1:5" x14ac:dyDescent="0.3">
      <c r="A2975" t="s">
        <v>8987</v>
      </c>
      <c r="B2975" t="s">
        <v>476</v>
      </c>
      <c r="C2975">
        <v>21</v>
      </c>
      <c r="D2975" t="str">
        <f>VLOOKUP(B2975,Products!$A:$E,2,FALSE)</f>
        <v>Product_234</v>
      </c>
      <c r="E2975" t="str">
        <f>VLOOKUP(B2975,Products!$A:$E,3,FALSE)</f>
        <v>Networking</v>
      </c>
    </row>
    <row r="2976" spans="1:5" x14ac:dyDescent="0.3">
      <c r="A2976" t="s">
        <v>8988</v>
      </c>
      <c r="B2976" t="s">
        <v>776</v>
      </c>
      <c r="C2976">
        <v>8</v>
      </c>
      <c r="D2976" t="str">
        <f>VLOOKUP(B2976,Products!$A:$E,2,FALSE)</f>
        <v>Product_384</v>
      </c>
      <c r="E2976" t="str">
        <f>VLOOKUP(B2976,Products!$A:$E,3,FALSE)</f>
        <v>Office Supplies</v>
      </c>
    </row>
    <row r="2977" spans="1:5" x14ac:dyDescent="0.3">
      <c r="A2977" t="s">
        <v>8989</v>
      </c>
      <c r="B2977" t="s">
        <v>718</v>
      </c>
      <c r="C2977">
        <v>16</v>
      </c>
      <c r="D2977" t="str">
        <f>VLOOKUP(B2977,Products!$A:$E,2,FALSE)</f>
        <v>Product_355</v>
      </c>
      <c r="E2977" t="str">
        <f>VLOOKUP(B2977,Products!$A:$E,3,FALSE)</f>
        <v>Accessories</v>
      </c>
    </row>
    <row r="2978" spans="1:5" x14ac:dyDescent="0.3">
      <c r="A2978" t="s">
        <v>8990</v>
      </c>
      <c r="B2978" t="s">
        <v>464</v>
      </c>
      <c r="C2978">
        <v>47</v>
      </c>
      <c r="D2978" t="str">
        <f>VLOOKUP(B2978,Products!$A:$E,2,FALSE)</f>
        <v>Product_228</v>
      </c>
      <c r="E2978" t="str">
        <f>VLOOKUP(B2978,Products!$A:$E,3,FALSE)</f>
        <v>Storage</v>
      </c>
    </row>
    <row r="2979" spans="1:5" x14ac:dyDescent="0.3">
      <c r="A2979" t="s">
        <v>8991</v>
      </c>
      <c r="B2979" t="s">
        <v>990</v>
      </c>
      <c r="C2979">
        <v>27</v>
      </c>
      <c r="D2979" t="str">
        <f>VLOOKUP(B2979,Products!$A:$E,2,FALSE)</f>
        <v>Product_491</v>
      </c>
      <c r="E2979" t="str">
        <f>VLOOKUP(B2979,Products!$A:$E,3,FALSE)</f>
        <v>Accessories</v>
      </c>
    </row>
    <row r="2980" spans="1:5" x14ac:dyDescent="0.3">
      <c r="A2980" t="s">
        <v>8992</v>
      </c>
      <c r="B2980" t="s">
        <v>380</v>
      </c>
      <c r="C2980">
        <v>6</v>
      </c>
      <c r="D2980" t="str">
        <f>VLOOKUP(B2980,Products!$A:$E,2,FALSE)</f>
        <v>Product_186</v>
      </c>
      <c r="E2980" t="str">
        <f>VLOOKUP(B2980,Products!$A:$E,3,FALSE)</f>
        <v>Accessories</v>
      </c>
    </row>
    <row r="2981" spans="1:5" x14ac:dyDescent="0.3">
      <c r="A2981" t="s">
        <v>8993</v>
      </c>
      <c r="B2981" t="s">
        <v>370</v>
      </c>
      <c r="C2981">
        <v>36</v>
      </c>
      <c r="D2981" t="str">
        <f>VLOOKUP(B2981,Products!$A:$E,2,FALSE)</f>
        <v>Product_181</v>
      </c>
      <c r="E2981" t="str">
        <f>VLOOKUP(B2981,Products!$A:$E,3,FALSE)</f>
        <v>Storage</v>
      </c>
    </row>
    <row r="2982" spans="1:5" x14ac:dyDescent="0.3">
      <c r="A2982" t="s">
        <v>8994</v>
      </c>
      <c r="B2982" t="s">
        <v>526</v>
      </c>
      <c r="C2982">
        <v>5</v>
      </c>
      <c r="D2982" t="str">
        <f>VLOOKUP(B2982,Products!$A:$E,2,FALSE)</f>
        <v>Product_259</v>
      </c>
      <c r="E2982" t="str">
        <f>VLOOKUP(B2982,Products!$A:$E,3,FALSE)</f>
        <v>Electronics</v>
      </c>
    </row>
    <row r="2983" spans="1:5" x14ac:dyDescent="0.3">
      <c r="A2983" t="s">
        <v>8995</v>
      </c>
      <c r="B2983" t="s">
        <v>946</v>
      </c>
      <c r="C2983">
        <v>24</v>
      </c>
      <c r="D2983" t="str">
        <f>VLOOKUP(B2983,Products!$A:$E,2,FALSE)</f>
        <v>Product_469</v>
      </c>
      <c r="E2983" t="str">
        <f>VLOOKUP(B2983,Products!$A:$E,3,FALSE)</f>
        <v>Office Supplies</v>
      </c>
    </row>
    <row r="2984" spans="1:5" x14ac:dyDescent="0.3">
      <c r="A2984" t="s">
        <v>8996</v>
      </c>
      <c r="B2984" t="s">
        <v>678</v>
      </c>
      <c r="C2984">
        <v>31</v>
      </c>
      <c r="D2984" t="str">
        <f>VLOOKUP(B2984,Products!$A:$E,2,FALSE)</f>
        <v>Product_335</v>
      </c>
      <c r="E2984" t="str">
        <f>VLOOKUP(B2984,Products!$A:$E,3,FALSE)</f>
        <v>Networking</v>
      </c>
    </row>
    <row r="2985" spans="1:5" x14ac:dyDescent="0.3">
      <c r="A2985" t="s">
        <v>8997</v>
      </c>
      <c r="B2985" t="s">
        <v>628</v>
      </c>
      <c r="C2985">
        <v>15</v>
      </c>
      <c r="D2985" t="str">
        <f>VLOOKUP(B2985,Products!$A:$E,2,FALSE)</f>
        <v>Product_310</v>
      </c>
      <c r="E2985" t="str">
        <f>VLOOKUP(B2985,Products!$A:$E,3,FALSE)</f>
        <v>Office Supplies</v>
      </c>
    </row>
    <row r="2986" spans="1:5" x14ac:dyDescent="0.3">
      <c r="A2986" t="s">
        <v>8998</v>
      </c>
      <c r="B2986" t="s">
        <v>468</v>
      </c>
      <c r="C2986">
        <v>27</v>
      </c>
      <c r="D2986" t="str">
        <f>VLOOKUP(B2986,Products!$A:$E,2,FALSE)</f>
        <v>Product_230</v>
      </c>
      <c r="E2986" t="str">
        <f>VLOOKUP(B2986,Products!$A:$E,3,FALSE)</f>
        <v>Electronics</v>
      </c>
    </row>
    <row r="2987" spans="1:5" x14ac:dyDescent="0.3">
      <c r="A2987" t="s">
        <v>8999</v>
      </c>
      <c r="B2987" t="s">
        <v>244</v>
      </c>
      <c r="C2987">
        <v>37</v>
      </c>
      <c r="D2987" t="str">
        <f>VLOOKUP(B2987,Products!$A:$E,2,FALSE)</f>
        <v>Product_118</v>
      </c>
      <c r="E2987" t="str">
        <f>VLOOKUP(B2987,Products!$A:$E,3,FALSE)</f>
        <v>Accessories</v>
      </c>
    </row>
    <row r="2988" spans="1:5" x14ac:dyDescent="0.3">
      <c r="A2988" t="s">
        <v>9000</v>
      </c>
      <c r="B2988" t="s">
        <v>856</v>
      </c>
      <c r="C2988">
        <v>9</v>
      </c>
      <c r="D2988" t="str">
        <f>VLOOKUP(B2988,Products!$A:$E,2,FALSE)</f>
        <v>Product_424</v>
      </c>
      <c r="E2988" t="str">
        <f>VLOOKUP(B2988,Products!$A:$E,3,FALSE)</f>
        <v>Networking</v>
      </c>
    </row>
    <row r="2989" spans="1:5" x14ac:dyDescent="0.3">
      <c r="A2989" t="s">
        <v>9001</v>
      </c>
      <c r="B2989" t="s">
        <v>956</v>
      </c>
      <c r="C2989">
        <v>35</v>
      </c>
      <c r="D2989" t="str">
        <f>VLOOKUP(B2989,Products!$A:$E,2,FALSE)</f>
        <v>Product_474</v>
      </c>
      <c r="E2989" t="str">
        <f>VLOOKUP(B2989,Products!$A:$E,3,FALSE)</f>
        <v>Networking</v>
      </c>
    </row>
    <row r="2990" spans="1:5" x14ac:dyDescent="0.3">
      <c r="A2990" t="s">
        <v>9002</v>
      </c>
      <c r="B2990" t="s">
        <v>260</v>
      </c>
      <c r="C2990">
        <v>50</v>
      </c>
      <c r="D2990" t="str">
        <f>VLOOKUP(B2990,Products!$A:$E,2,FALSE)</f>
        <v>Product_126</v>
      </c>
      <c r="E2990" t="str">
        <f>VLOOKUP(B2990,Products!$A:$E,3,FALSE)</f>
        <v>Office Supplies</v>
      </c>
    </row>
    <row r="2991" spans="1:5" x14ac:dyDescent="0.3">
      <c r="A2991" t="s">
        <v>9003</v>
      </c>
      <c r="B2991" t="s">
        <v>940</v>
      </c>
      <c r="C2991">
        <v>27</v>
      </c>
      <c r="D2991" t="str">
        <f>VLOOKUP(B2991,Products!$A:$E,2,FALSE)</f>
        <v>Product_466</v>
      </c>
      <c r="E2991" t="str">
        <f>VLOOKUP(B2991,Products!$A:$E,3,FALSE)</f>
        <v>Networking</v>
      </c>
    </row>
    <row r="2992" spans="1:5" x14ac:dyDescent="0.3">
      <c r="A2992" t="s">
        <v>9004</v>
      </c>
      <c r="B2992" t="s">
        <v>700</v>
      </c>
      <c r="C2992">
        <v>38</v>
      </c>
      <c r="D2992" t="str">
        <f>VLOOKUP(B2992,Products!$A:$E,2,FALSE)</f>
        <v>Product_346</v>
      </c>
      <c r="E2992" t="str">
        <f>VLOOKUP(B2992,Products!$A:$E,3,FALSE)</f>
        <v>Electronics</v>
      </c>
    </row>
    <row r="2993" spans="1:5" x14ac:dyDescent="0.3">
      <c r="A2993" t="s">
        <v>9005</v>
      </c>
      <c r="B2993" t="s">
        <v>690</v>
      </c>
      <c r="C2993">
        <v>9</v>
      </c>
      <c r="D2993" t="str">
        <f>VLOOKUP(B2993,Products!$A:$E,2,FALSE)</f>
        <v>Product_341</v>
      </c>
      <c r="E2993" t="str">
        <f>VLOOKUP(B2993,Products!$A:$E,3,FALSE)</f>
        <v>Storage</v>
      </c>
    </row>
    <row r="2994" spans="1:5" x14ac:dyDescent="0.3">
      <c r="A2994" t="s">
        <v>9006</v>
      </c>
      <c r="B2994" t="s">
        <v>630</v>
      </c>
      <c r="C2994">
        <v>17</v>
      </c>
      <c r="D2994" t="str">
        <f>VLOOKUP(B2994,Products!$A:$E,2,FALSE)</f>
        <v>Product_311</v>
      </c>
      <c r="E2994" t="str">
        <f>VLOOKUP(B2994,Products!$A:$E,3,FALSE)</f>
        <v>Networking</v>
      </c>
    </row>
    <row r="2995" spans="1:5" x14ac:dyDescent="0.3">
      <c r="A2995" t="s">
        <v>9007</v>
      </c>
      <c r="B2995" t="s">
        <v>824</v>
      </c>
      <c r="C2995">
        <v>19</v>
      </c>
      <c r="D2995" t="str">
        <f>VLOOKUP(B2995,Products!$A:$E,2,FALSE)</f>
        <v>Product_408</v>
      </c>
      <c r="E2995" t="str">
        <f>VLOOKUP(B2995,Products!$A:$E,3,FALSE)</f>
        <v>Storage</v>
      </c>
    </row>
    <row r="2996" spans="1:5" x14ac:dyDescent="0.3">
      <c r="A2996" t="s">
        <v>9008</v>
      </c>
      <c r="B2996" t="s">
        <v>358</v>
      </c>
      <c r="C2996">
        <v>21</v>
      </c>
      <c r="D2996" t="str">
        <f>VLOOKUP(B2996,Products!$A:$E,2,FALSE)</f>
        <v>Product_175</v>
      </c>
      <c r="E2996" t="str">
        <f>VLOOKUP(B2996,Products!$A:$E,3,FALSE)</f>
        <v>Storage</v>
      </c>
    </row>
    <row r="2997" spans="1:5" x14ac:dyDescent="0.3">
      <c r="A2997" t="s">
        <v>9009</v>
      </c>
      <c r="B2997" t="s">
        <v>130</v>
      </c>
      <c r="C2997">
        <v>6</v>
      </c>
      <c r="D2997" t="str">
        <f>VLOOKUP(B2997,Products!$A:$E,2,FALSE)</f>
        <v>Product_61</v>
      </c>
      <c r="E2997" t="str">
        <f>VLOOKUP(B2997,Products!$A:$E,3,FALSE)</f>
        <v>Storage</v>
      </c>
    </row>
    <row r="2998" spans="1:5" x14ac:dyDescent="0.3">
      <c r="A2998" t="s">
        <v>9010</v>
      </c>
      <c r="B2998" t="s">
        <v>428</v>
      </c>
      <c r="C2998">
        <v>27</v>
      </c>
      <c r="D2998" t="str">
        <f>VLOOKUP(B2998,Products!$A:$E,2,FALSE)</f>
        <v>Product_210</v>
      </c>
      <c r="E2998" t="str">
        <f>VLOOKUP(B2998,Products!$A:$E,3,FALSE)</f>
        <v>Electronics</v>
      </c>
    </row>
    <row r="2999" spans="1:5" x14ac:dyDescent="0.3">
      <c r="A2999" t="s">
        <v>9011</v>
      </c>
      <c r="B2999" t="s">
        <v>526</v>
      </c>
      <c r="C2999">
        <v>10</v>
      </c>
      <c r="D2999" t="str">
        <f>VLOOKUP(B2999,Products!$A:$E,2,FALSE)</f>
        <v>Product_259</v>
      </c>
      <c r="E2999" t="str">
        <f>VLOOKUP(B2999,Products!$A:$E,3,FALSE)</f>
        <v>Electronics</v>
      </c>
    </row>
    <row r="3000" spans="1:5" x14ac:dyDescent="0.3">
      <c r="A3000" t="s">
        <v>9012</v>
      </c>
      <c r="B3000" t="s">
        <v>598</v>
      </c>
      <c r="C3000">
        <v>32</v>
      </c>
      <c r="D3000" t="str">
        <f>VLOOKUP(B3000,Products!$A:$E,2,FALSE)</f>
        <v>Product_295</v>
      </c>
      <c r="E3000" t="str">
        <f>VLOOKUP(B3000,Products!$A:$E,3,FALSE)</f>
        <v>Networking</v>
      </c>
    </row>
    <row r="3001" spans="1:5" x14ac:dyDescent="0.3">
      <c r="A3001" t="s">
        <v>9013</v>
      </c>
      <c r="B3001" t="s">
        <v>656</v>
      </c>
      <c r="C3001">
        <v>50</v>
      </c>
      <c r="D3001" t="str">
        <f>VLOOKUP(B3001,Products!$A:$E,2,FALSE)</f>
        <v>Product_324</v>
      </c>
      <c r="E3001" t="str">
        <f>VLOOKUP(B3001,Products!$A:$E,3,FALSE)</f>
        <v>Accessories</v>
      </c>
    </row>
    <row r="3002" spans="1:5" x14ac:dyDescent="0.3">
      <c r="A3002" t="s">
        <v>9014</v>
      </c>
      <c r="B3002" t="s">
        <v>212</v>
      </c>
      <c r="C3002">
        <v>12</v>
      </c>
      <c r="D3002" t="str">
        <f>VLOOKUP(B3002,Products!$A:$E,2,FALSE)</f>
        <v>Product_102</v>
      </c>
      <c r="E3002" t="str">
        <f>VLOOKUP(B3002,Products!$A:$E,3,FALSE)</f>
        <v>Storage</v>
      </c>
    </row>
    <row r="3003" spans="1:5" x14ac:dyDescent="0.3">
      <c r="A3003" t="s">
        <v>9015</v>
      </c>
      <c r="B3003" t="s">
        <v>906</v>
      </c>
      <c r="C3003">
        <v>30</v>
      </c>
      <c r="D3003" t="str">
        <f>VLOOKUP(B3003,Products!$A:$E,2,FALSE)</f>
        <v>Product_449</v>
      </c>
      <c r="E3003" t="str">
        <f>VLOOKUP(B3003,Products!$A:$E,3,FALSE)</f>
        <v>Networking</v>
      </c>
    </row>
    <row r="3004" spans="1:5" x14ac:dyDescent="0.3">
      <c r="A3004" t="s">
        <v>9016</v>
      </c>
      <c r="B3004" t="s">
        <v>24</v>
      </c>
      <c r="C3004">
        <v>11</v>
      </c>
      <c r="D3004" t="str">
        <f>VLOOKUP(B3004,Products!$A:$E,2,FALSE)</f>
        <v>Product_8</v>
      </c>
      <c r="E3004" t="str">
        <f>VLOOKUP(B3004,Products!$A:$E,3,FALSE)</f>
        <v>Storage</v>
      </c>
    </row>
    <row r="3005" spans="1:5" x14ac:dyDescent="0.3">
      <c r="A3005" t="s">
        <v>9017</v>
      </c>
      <c r="B3005" t="s">
        <v>132</v>
      </c>
      <c r="C3005">
        <v>27</v>
      </c>
      <c r="D3005" t="str">
        <f>VLOOKUP(B3005,Products!$A:$E,2,FALSE)</f>
        <v>Product_62</v>
      </c>
      <c r="E3005" t="str">
        <f>VLOOKUP(B3005,Products!$A:$E,3,FALSE)</f>
        <v>Accessories</v>
      </c>
    </row>
    <row r="3006" spans="1:5" x14ac:dyDescent="0.3">
      <c r="A3006" t="s">
        <v>9018</v>
      </c>
      <c r="B3006" t="s">
        <v>278</v>
      </c>
      <c r="C3006">
        <v>49</v>
      </c>
      <c r="D3006" t="str">
        <f>VLOOKUP(B3006,Products!$A:$E,2,FALSE)</f>
        <v>Product_135</v>
      </c>
      <c r="E3006" t="str">
        <f>VLOOKUP(B3006,Products!$A:$E,3,FALSE)</f>
        <v>Accessories</v>
      </c>
    </row>
    <row r="3007" spans="1:5" x14ac:dyDescent="0.3">
      <c r="A3007" t="s">
        <v>9019</v>
      </c>
      <c r="B3007" t="s">
        <v>576</v>
      </c>
      <c r="C3007">
        <v>46</v>
      </c>
      <c r="D3007" t="str">
        <f>VLOOKUP(B3007,Products!$A:$E,2,FALSE)</f>
        <v>Product_284</v>
      </c>
      <c r="E3007" t="str">
        <f>VLOOKUP(B3007,Products!$A:$E,3,FALSE)</f>
        <v>Networking</v>
      </c>
    </row>
    <row r="3008" spans="1:5" x14ac:dyDescent="0.3">
      <c r="A3008" t="s">
        <v>9020</v>
      </c>
      <c r="B3008" t="s">
        <v>962</v>
      </c>
      <c r="C3008">
        <v>31</v>
      </c>
      <c r="D3008" t="str">
        <f>VLOOKUP(B3008,Products!$A:$E,2,FALSE)</f>
        <v>Product_477</v>
      </c>
      <c r="E3008" t="str">
        <f>VLOOKUP(B3008,Products!$A:$E,3,FALSE)</f>
        <v>Networking</v>
      </c>
    </row>
    <row r="3009" spans="1:5" x14ac:dyDescent="0.3">
      <c r="A3009" t="s">
        <v>9021</v>
      </c>
      <c r="B3009" t="s">
        <v>770</v>
      </c>
      <c r="C3009">
        <v>7</v>
      </c>
      <c r="D3009" t="str">
        <f>VLOOKUP(B3009,Products!$A:$E,2,FALSE)</f>
        <v>Product_381</v>
      </c>
      <c r="E3009" t="str">
        <f>VLOOKUP(B3009,Products!$A:$E,3,FALSE)</f>
        <v>Storage</v>
      </c>
    </row>
    <row r="3010" spans="1:5" x14ac:dyDescent="0.3">
      <c r="A3010" t="s">
        <v>9022</v>
      </c>
      <c r="B3010" t="s">
        <v>138</v>
      </c>
      <c r="C3010">
        <v>3</v>
      </c>
      <c r="D3010" t="str">
        <f>VLOOKUP(B3010,Products!$A:$E,2,FALSE)</f>
        <v>Product_65</v>
      </c>
      <c r="E3010" t="str">
        <f>VLOOKUP(B3010,Products!$A:$E,3,FALSE)</f>
        <v>Office Supplies</v>
      </c>
    </row>
    <row r="3011" spans="1:5" x14ac:dyDescent="0.3">
      <c r="A3011" t="s">
        <v>9023</v>
      </c>
      <c r="B3011" t="s">
        <v>862</v>
      </c>
      <c r="C3011">
        <v>28</v>
      </c>
      <c r="D3011" t="str">
        <f>VLOOKUP(B3011,Products!$A:$E,2,FALSE)</f>
        <v>Product_427</v>
      </c>
      <c r="E3011" t="str">
        <f>VLOOKUP(B3011,Products!$A:$E,3,FALSE)</f>
        <v>Networking</v>
      </c>
    </row>
    <row r="3012" spans="1:5" x14ac:dyDescent="0.3">
      <c r="A3012" t="s">
        <v>9024</v>
      </c>
      <c r="B3012" t="s">
        <v>34</v>
      </c>
      <c r="C3012">
        <v>45</v>
      </c>
      <c r="D3012" t="str">
        <f>VLOOKUP(B3012,Products!$A:$E,2,FALSE)</f>
        <v>Product_13</v>
      </c>
      <c r="E3012" t="str">
        <f>VLOOKUP(B3012,Products!$A:$E,3,FALSE)</f>
        <v>Office Supplies</v>
      </c>
    </row>
    <row r="3013" spans="1:5" x14ac:dyDescent="0.3">
      <c r="A3013" t="s">
        <v>9025</v>
      </c>
      <c r="B3013" t="s">
        <v>180</v>
      </c>
      <c r="C3013">
        <v>5</v>
      </c>
      <c r="D3013" t="str">
        <f>VLOOKUP(B3013,Products!$A:$E,2,FALSE)</f>
        <v>Product_86</v>
      </c>
      <c r="E3013" t="str">
        <f>VLOOKUP(B3013,Products!$A:$E,3,FALSE)</f>
        <v>Storage</v>
      </c>
    </row>
    <row r="3014" spans="1:5" x14ac:dyDescent="0.3">
      <c r="A3014" t="s">
        <v>9026</v>
      </c>
      <c r="B3014" t="s">
        <v>144</v>
      </c>
      <c r="C3014">
        <v>33</v>
      </c>
      <c r="D3014" t="str">
        <f>VLOOKUP(B3014,Products!$A:$E,2,FALSE)</f>
        <v>Product_68</v>
      </c>
      <c r="E3014" t="str">
        <f>VLOOKUP(B3014,Products!$A:$E,3,FALSE)</f>
        <v>Accessories</v>
      </c>
    </row>
    <row r="3015" spans="1:5" x14ac:dyDescent="0.3">
      <c r="A3015" t="s">
        <v>9027</v>
      </c>
      <c r="B3015" t="s">
        <v>896</v>
      </c>
      <c r="C3015">
        <v>34</v>
      </c>
      <c r="D3015" t="str">
        <f>VLOOKUP(B3015,Products!$A:$E,2,FALSE)</f>
        <v>Product_444</v>
      </c>
      <c r="E3015" t="str">
        <f>VLOOKUP(B3015,Products!$A:$E,3,FALSE)</f>
        <v>Electronics</v>
      </c>
    </row>
    <row r="3016" spans="1:5" x14ac:dyDescent="0.3">
      <c r="A3016" t="s">
        <v>9028</v>
      </c>
      <c r="B3016" t="s">
        <v>950</v>
      </c>
      <c r="C3016">
        <v>25</v>
      </c>
      <c r="D3016" t="str">
        <f>VLOOKUP(B3016,Products!$A:$E,2,FALSE)</f>
        <v>Product_471</v>
      </c>
      <c r="E3016" t="str">
        <f>VLOOKUP(B3016,Products!$A:$E,3,FALSE)</f>
        <v>Office Supplies</v>
      </c>
    </row>
    <row r="3017" spans="1:5" x14ac:dyDescent="0.3">
      <c r="A3017" t="s">
        <v>9029</v>
      </c>
      <c r="B3017" t="s">
        <v>934</v>
      </c>
      <c r="C3017">
        <v>28</v>
      </c>
      <c r="D3017" t="str">
        <f>VLOOKUP(B3017,Products!$A:$E,2,FALSE)</f>
        <v>Product_463</v>
      </c>
      <c r="E3017" t="str">
        <f>VLOOKUP(B3017,Products!$A:$E,3,FALSE)</f>
        <v>Networking</v>
      </c>
    </row>
    <row r="3018" spans="1:5" x14ac:dyDescent="0.3">
      <c r="A3018" t="s">
        <v>9030</v>
      </c>
      <c r="B3018" t="s">
        <v>372</v>
      </c>
      <c r="C3018">
        <v>9</v>
      </c>
      <c r="D3018" t="str">
        <f>VLOOKUP(B3018,Products!$A:$E,2,FALSE)</f>
        <v>Product_182</v>
      </c>
      <c r="E3018" t="str">
        <f>VLOOKUP(B3018,Products!$A:$E,3,FALSE)</f>
        <v>Storage</v>
      </c>
    </row>
    <row r="3019" spans="1:5" x14ac:dyDescent="0.3">
      <c r="A3019" t="s">
        <v>9031</v>
      </c>
      <c r="B3019" t="s">
        <v>420</v>
      </c>
      <c r="C3019">
        <v>45</v>
      </c>
      <c r="D3019" t="str">
        <f>VLOOKUP(B3019,Products!$A:$E,2,FALSE)</f>
        <v>Product_206</v>
      </c>
      <c r="E3019" t="str">
        <f>VLOOKUP(B3019,Products!$A:$E,3,FALSE)</f>
        <v>Accessories</v>
      </c>
    </row>
    <row r="3020" spans="1:5" x14ac:dyDescent="0.3">
      <c r="A3020" t="s">
        <v>9032</v>
      </c>
      <c r="B3020" t="s">
        <v>580</v>
      </c>
      <c r="C3020">
        <v>16</v>
      </c>
      <c r="D3020" t="str">
        <f>VLOOKUP(B3020,Products!$A:$E,2,FALSE)</f>
        <v>Product_286</v>
      </c>
      <c r="E3020" t="str">
        <f>VLOOKUP(B3020,Products!$A:$E,3,FALSE)</f>
        <v>Storage</v>
      </c>
    </row>
    <row r="3021" spans="1:5" x14ac:dyDescent="0.3">
      <c r="A3021" t="s">
        <v>9033</v>
      </c>
      <c r="B3021" t="s">
        <v>738</v>
      </c>
      <c r="C3021">
        <v>19</v>
      </c>
      <c r="D3021" t="str">
        <f>VLOOKUP(B3021,Products!$A:$E,2,FALSE)</f>
        <v>Product_365</v>
      </c>
      <c r="E3021" t="str">
        <f>VLOOKUP(B3021,Products!$A:$E,3,FALSE)</f>
        <v>Storage</v>
      </c>
    </row>
    <row r="3022" spans="1:5" x14ac:dyDescent="0.3">
      <c r="A3022" t="s">
        <v>9034</v>
      </c>
      <c r="B3022" t="s">
        <v>130</v>
      </c>
      <c r="C3022">
        <v>22</v>
      </c>
      <c r="D3022" t="str">
        <f>VLOOKUP(B3022,Products!$A:$E,2,FALSE)</f>
        <v>Product_61</v>
      </c>
      <c r="E3022" t="str">
        <f>VLOOKUP(B3022,Products!$A:$E,3,FALSE)</f>
        <v>Storage</v>
      </c>
    </row>
    <row r="3023" spans="1:5" x14ac:dyDescent="0.3">
      <c r="A3023" t="s">
        <v>9035</v>
      </c>
      <c r="B3023" t="s">
        <v>928</v>
      </c>
      <c r="C3023">
        <v>22</v>
      </c>
      <c r="D3023" t="str">
        <f>VLOOKUP(B3023,Products!$A:$E,2,FALSE)</f>
        <v>Product_460</v>
      </c>
      <c r="E3023" t="str">
        <f>VLOOKUP(B3023,Products!$A:$E,3,FALSE)</f>
        <v>Accessories</v>
      </c>
    </row>
    <row r="3024" spans="1:5" x14ac:dyDescent="0.3">
      <c r="A3024" t="s">
        <v>9036</v>
      </c>
      <c r="B3024" t="s">
        <v>614</v>
      </c>
      <c r="C3024">
        <v>39</v>
      </c>
      <c r="D3024" t="str">
        <f>VLOOKUP(B3024,Products!$A:$E,2,FALSE)</f>
        <v>Product_303</v>
      </c>
      <c r="E3024" t="str">
        <f>VLOOKUP(B3024,Products!$A:$E,3,FALSE)</f>
        <v>Networking</v>
      </c>
    </row>
    <row r="3025" spans="1:5" x14ac:dyDescent="0.3">
      <c r="A3025" t="s">
        <v>9037</v>
      </c>
      <c r="B3025" t="s">
        <v>640</v>
      </c>
      <c r="C3025">
        <v>7</v>
      </c>
      <c r="D3025" t="str">
        <f>VLOOKUP(B3025,Products!$A:$E,2,FALSE)</f>
        <v>Product_316</v>
      </c>
      <c r="E3025" t="str">
        <f>VLOOKUP(B3025,Products!$A:$E,3,FALSE)</f>
        <v>Networking</v>
      </c>
    </row>
    <row r="3026" spans="1:5" x14ac:dyDescent="0.3">
      <c r="A3026" t="s">
        <v>9038</v>
      </c>
      <c r="B3026" t="s">
        <v>748</v>
      </c>
      <c r="C3026">
        <v>3</v>
      </c>
      <c r="D3026" t="str">
        <f>VLOOKUP(B3026,Products!$A:$E,2,FALSE)</f>
        <v>Product_370</v>
      </c>
      <c r="E3026" t="str">
        <f>VLOOKUP(B3026,Products!$A:$E,3,FALSE)</f>
        <v>Networking</v>
      </c>
    </row>
    <row r="3027" spans="1:5" x14ac:dyDescent="0.3">
      <c r="A3027" t="s">
        <v>9039</v>
      </c>
      <c r="B3027" t="s">
        <v>84</v>
      </c>
      <c r="C3027">
        <v>48</v>
      </c>
      <c r="D3027" t="str">
        <f>VLOOKUP(B3027,Products!$A:$E,2,FALSE)</f>
        <v>Product_38</v>
      </c>
      <c r="E3027" t="str">
        <f>VLOOKUP(B3027,Products!$A:$E,3,FALSE)</f>
        <v>Accessories</v>
      </c>
    </row>
    <row r="3028" spans="1:5" x14ac:dyDescent="0.3">
      <c r="A3028" t="s">
        <v>9040</v>
      </c>
      <c r="B3028" t="s">
        <v>952</v>
      </c>
      <c r="C3028">
        <v>23</v>
      </c>
      <c r="D3028" t="str">
        <f>VLOOKUP(B3028,Products!$A:$E,2,FALSE)</f>
        <v>Product_472</v>
      </c>
      <c r="E3028" t="str">
        <f>VLOOKUP(B3028,Products!$A:$E,3,FALSE)</f>
        <v>Electronics</v>
      </c>
    </row>
    <row r="3029" spans="1:5" x14ac:dyDescent="0.3">
      <c r="A3029" t="s">
        <v>9041</v>
      </c>
      <c r="B3029" t="s">
        <v>982</v>
      </c>
      <c r="C3029">
        <v>29</v>
      </c>
      <c r="D3029" t="str">
        <f>VLOOKUP(B3029,Products!$A:$E,2,FALSE)</f>
        <v>Product_487</v>
      </c>
      <c r="E3029" t="str">
        <f>VLOOKUP(B3029,Products!$A:$E,3,FALSE)</f>
        <v>Networking</v>
      </c>
    </row>
    <row r="3030" spans="1:5" x14ac:dyDescent="0.3">
      <c r="A3030" t="s">
        <v>9042</v>
      </c>
      <c r="B3030" t="s">
        <v>942</v>
      </c>
      <c r="C3030">
        <v>27</v>
      </c>
      <c r="D3030" t="str">
        <f>VLOOKUP(B3030,Products!$A:$E,2,FALSE)</f>
        <v>Product_467</v>
      </c>
      <c r="E3030" t="str">
        <f>VLOOKUP(B3030,Products!$A:$E,3,FALSE)</f>
        <v>Accessories</v>
      </c>
    </row>
    <row r="3031" spans="1:5" x14ac:dyDescent="0.3">
      <c r="A3031" t="s">
        <v>9043</v>
      </c>
      <c r="B3031" t="s">
        <v>654</v>
      </c>
      <c r="C3031">
        <v>29</v>
      </c>
      <c r="D3031" t="str">
        <f>VLOOKUP(B3031,Products!$A:$E,2,FALSE)</f>
        <v>Product_323</v>
      </c>
      <c r="E3031" t="str">
        <f>VLOOKUP(B3031,Products!$A:$E,3,FALSE)</f>
        <v>Electronics</v>
      </c>
    </row>
    <row r="3032" spans="1:5" x14ac:dyDescent="0.3">
      <c r="A3032" t="s">
        <v>9044</v>
      </c>
      <c r="B3032" t="s">
        <v>768</v>
      </c>
      <c r="C3032">
        <v>28</v>
      </c>
      <c r="D3032" t="str">
        <f>VLOOKUP(B3032,Products!$A:$E,2,FALSE)</f>
        <v>Product_380</v>
      </c>
      <c r="E3032" t="str">
        <f>VLOOKUP(B3032,Products!$A:$E,3,FALSE)</f>
        <v>Electronics</v>
      </c>
    </row>
    <row r="3033" spans="1:5" x14ac:dyDescent="0.3">
      <c r="A3033" t="s">
        <v>9045</v>
      </c>
      <c r="B3033" t="s">
        <v>306</v>
      </c>
      <c r="C3033">
        <v>49</v>
      </c>
      <c r="D3033" t="str">
        <f>VLOOKUP(B3033,Products!$A:$E,2,FALSE)</f>
        <v>Product_149</v>
      </c>
      <c r="E3033" t="str">
        <f>VLOOKUP(B3033,Products!$A:$E,3,FALSE)</f>
        <v>Accessories</v>
      </c>
    </row>
    <row r="3034" spans="1:5" x14ac:dyDescent="0.3">
      <c r="A3034" t="s">
        <v>9046</v>
      </c>
      <c r="B3034" t="s">
        <v>498</v>
      </c>
      <c r="C3034">
        <v>45</v>
      </c>
      <c r="D3034" t="str">
        <f>VLOOKUP(B3034,Products!$A:$E,2,FALSE)</f>
        <v>Product_245</v>
      </c>
      <c r="E3034" t="str">
        <f>VLOOKUP(B3034,Products!$A:$E,3,FALSE)</f>
        <v>Office Supplies</v>
      </c>
    </row>
    <row r="3035" spans="1:5" x14ac:dyDescent="0.3">
      <c r="A3035" t="s">
        <v>9047</v>
      </c>
      <c r="B3035" t="s">
        <v>146</v>
      </c>
      <c r="C3035">
        <v>47</v>
      </c>
      <c r="D3035" t="str">
        <f>VLOOKUP(B3035,Products!$A:$E,2,FALSE)</f>
        <v>Product_69</v>
      </c>
      <c r="E3035" t="str">
        <f>VLOOKUP(B3035,Products!$A:$E,3,FALSE)</f>
        <v>Electronics</v>
      </c>
    </row>
    <row r="3036" spans="1:5" x14ac:dyDescent="0.3">
      <c r="A3036" t="s">
        <v>9048</v>
      </c>
      <c r="B3036" t="s">
        <v>196</v>
      </c>
      <c r="C3036">
        <v>47</v>
      </c>
      <c r="D3036" t="str">
        <f>VLOOKUP(B3036,Products!$A:$E,2,FALSE)</f>
        <v>Product_94</v>
      </c>
      <c r="E3036" t="str">
        <f>VLOOKUP(B3036,Products!$A:$E,3,FALSE)</f>
        <v>Networking</v>
      </c>
    </row>
    <row r="3037" spans="1:5" x14ac:dyDescent="0.3">
      <c r="A3037" t="s">
        <v>9049</v>
      </c>
      <c r="B3037" t="s">
        <v>794</v>
      </c>
      <c r="C3037">
        <v>38</v>
      </c>
      <c r="D3037" t="str">
        <f>VLOOKUP(B3037,Products!$A:$E,2,FALSE)</f>
        <v>Product_393</v>
      </c>
      <c r="E3037" t="str">
        <f>VLOOKUP(B3037,Products!$A:$E,3,FALSE)</f>
        <v>Electronics</v>
      </c>
    </row>
    <row r="3038" spans="1:5" x14ac:dyDescent="0.3">
      <c r="A3038" t="s">
        <v>9050</v>
      </c>
      <c r="B3038" t="s">
        <v>948</v>
      </c>
      <c r="C3038">
        <v>33</v>
      </c>
      <c r="D3038" t="str">
        <f>VLOOKUP(B3038,Products!$A:$E,2,FALSE)</f>
        <v>Product_470</v>
      </c>
      <c r="E3038" t="str">
        <f>VLOOKUP(B3038,Products!$A:$E,3,FALSE)</f>
        <v>Networking</v>
      </c>
    </row>
    <row r="3039" spans="1:5" x14ac:dyDescent="0.3">
      <c r="A3039" t="s">
        <v>9051</v>
      </c>
      <c r="B3039" t="s">
        <v>94</v>
      </c>
      <c r="C3039">
        <v>10</v>
      </c>
      <c r="D3039" t="str">
        <f>VLOOKUP(B3039,Products!$A:$E,2,FALSE)</f>
        <v>Product_43</v>
      </c>
      <c r="E3039" t="str">
        <f>VLOOKUP(B3039,Products!$A:$E,3,FALSE)</f>
        <v>Storage</v>
      </c>
    </row>
    <row r="3040" spans="1:5" x14ac:dyDescent="0.3">
      <c r="A3040" t="s">
        <v>9052</v>
      </c>
      <c r="B3040" t="s">
        <v>926</v>
      </c>
      <c r="C3040">
        <v>1</v>
      </c>
      <c r="D3040" t="str">
        <f>VLOOKUP(B3040,Products!$A:$E,2,FALSE)</f>
        <v>Product_459</v>
      </c>
      <c r="E3040" t="str">
        <f>VLOOKUP(B3040,Products!$A:$E,3,FALSE)</f>
        <v>Office Supplies</v>
      </c>
    </row>
    <row r="3041" spans="1:5" x14ac:dyDescent="0.3">
      <c r="A3041" t="s">
        <v>9053</v>
      </c>
      <c r="B3041" t="s">
        <v>616</v>
      </c>
      <c r="C3041">
        <v>38</v>
      </c>
      <c r="D3041" t="str">
        <f>VLOOKUP(B3041,Products!$A:$E,2,FALSE)</f>
        <v>Product_304</v>
      </c>
      <c r="E3041" t="str">
        <f>VLOOKUP(B3041,Products!$A:$E,3,FALSE)</f>
        <v>Electronics</v>
      </c>
    </row>
    <row r="3042" spans="1:5" x14ac:dyDescent="0.3">
      <c r="A3042" t="s">
        <v>9054</v>
      </c>
      <c r="B3042" t="s">
        <v>388</v>
      </c>
      <c r="C3042">
        <v>44</v>
      </c>
      <c r="D3042" t="str">
        <f>VLOOKUP(B3042,Products!$A:$E,2,FALSE)</f>
        <v>Product_190</v>
      </c>
      <c r="E3042" t="str">
        <f>VLOOKUP(B3042,Products!$A:$E,3,FALSE)</f>
        <v>Office Supplies</v>
      </c>
    </row>
    <row r="3043" spans="1:5" x14ac:dyDescent="0.3">
      <c r="A3043" t="s">
        <v>9055</v>
      </c>
      <c r="B3043" t="s">
        <v>674</v>
      </c>
      <c r="C3043">
        <v>30</v>
      </c>
      <c r="D3043" t="str">
        <f>VLOOKUP(B3043,Products!$A:$E,2,FALSE)</f>
        <v>Product_333</v>
      </c>
      <c r="E3043" t="str">
        <f>VLOOKUP(B3043,Products!$A:$E,3,FALSE)</f>
        <v>Storage</v>
      </c>
    </row>
    <row r="3044" spans="1:5" x14ac:dyDescent="0.3">
      <c r="A3044" t="s">
        <v>9056</v>
      </c>
      <c r="B3044" t="s">
        <v>398</v>
      </c>
      <c r="C3044">
        <v>21</v>
      </c>
      <c r="D3044" t="str">
        <f>VLOOKUP(B3044,Products!$A:$E,2,FALSE)</f>
        <v>Product_195</v>
      </c>
      <c r="E3044" t="str">
        <f>VLOOKUP(B3044,Products!$A:$E,3,FALSE)</f>
        <v>Accessories</v>
      </c>
    </row>
    <row r="3045" spans="1:5" x14ac:dyDescent="0.3">
      <c r="A3045" t="s">
        <v>9057</v>
      </c>
      <c r="B3045" t="s">
        <v>458</v>
      </c>
      <c r="C3045">
        <v>12</v>
      </c>
      <c r="D3045" t="str">
        <f>VLOOKUP(B3045,Products!$A:$E,2,FALSE)</f>
        <v>Product_225</v>
      </c>
      <c r="E3045" t="str">
        <f>VLOOKUP(B3045,Products!$A:$E,3,FALSE)</f>
        <v>Accessories</v>
      </c>
    </row>
    <row r="3046" spans="1:5" x14ac:dyDescent="0.3">
      <c r="A3046" t="s">
        <v>9058</v>
      </c>
      <c r="B3046" t="s">
        <v>530</v>
      </c>
      <c r="C3046">
        <v>47</v>
      </c>
      <c r="D3046" t="str">
        <f>VLOOKUP(B3046,Products!$A:$E,2,FALSE)</f>
        <v>Product_261</v>
      </c>
      <c r="E3046" t="str">
        <f>VLOOKUP(B3046,Products!$A:$E,3,FALSE)</f>
        <v>Accessories</v>
      </c>
    </row>
    <row r="3047" spans="1:5" x14ac:dyDescent="0.3">
      <c r="A3047" t="s">
        <v>9059</v>
      </c>
      <c r="B3047" t="s">
        <v>612</v>
      </c>
      <c r="C3047">
        <v>18</v>
      </c>
      <c r="D3047" t="str">
        <f>VLOOKUP(B3047,Products!$A:$E,2,FALSE)</f>
        <v>Product_302</v>
      </c>
      <c r="E3047" t="str">
        <f>VLOOKUP(B3047,Products!$A:$E,3,FALSE)</f>
        <v>Accessories</v>
      </c>
    </row>
    <row r="3048" spans="1:5" x14ac:dyDescent="0.3">
      <c r="A3048" t="s">
        <v>9060</v>
      </c>
      <c r="B3048" t="s">
        <v>976</v>
      </c>
      <c r="C3048">
        <v>50</v>
      </c>
      <c r="D3048" t="str">
        <f>VLOOKUP(B3048,Products!$A:$E,2,FALSE)</f>
        <v>Product_484</v>
      </c>
      <c r="E3048" t="str">
        <f>VLOOKUP(B3048,Products!$A:$E,3,FALSE)</f>
        <v>Networking</v>
      </c>
    </row>
    <row r="3049" spans="1:5" x14ac:dyDescent="0.3">
      <c r="A3049" t="s">
        <v>9061</v>
      </c>
      <c r="B3049" t="s">
        <v>108</v>
      </c>
      <c r="C3049">
        <v>15</v>
      </c>
      <c r="D3049" t="str">
        <f>VLOOKUP(B3049,Products!$A:$E,2,FALSE)</f>
        <v>Product_50</v>
      </c>
      <c r="E3049" t="str">
        <f>VLOOKUP(B3049,Products!$A:$E,3,FALSE)</f>
        <v>Networking</v>
      </c>
    </row>
    <row r="3050" spans="1:5" x14ac:dyDescent="0.3">
      <c r="A3050" t="s">
        <v>9062</v>
      </c>
      <c r="B3050" t="s">
        <v>314</v>
      </c>
      <c r="C3050">
        <v>32</v>
      </c>
      <c r="D3050" t="str">
        <f>VLOOKUP(B3050,Products!$A:$E,2,FALSE)</f>
        <v>Product_153</v>
      </c>
      <c r="E3050" t="str">
        <f>VLOOKUP(B3050,Products!$A:$E,3,FALSE)</f>
        <v>Electronics</v>
      </c>
    </row>
    <row r="3051" spans="1:5" x14ac:dyDescent="0.3">
      <c r="A3051" t="s">
        <v>9063</v>
      </c>
      <c r="B3051" t="s">
        <v>358</v>
      </c>
      <c r="C3051">
        <v>4</v>
      </c>
      <c r="D3051" t="str">
        <f>VLOOKUP(B3051,Products!$A:$E,2,FALSE)</f>
        <v>Product_175</v>
      </c>
      <c r="E3051" t="str">
        <f>VLOOKUP(B3051,Products!$A:$E,3,FALSE)</f>
        <v>Storage</v>
      </c>
    </row>
    <row r="3052" spans="1:5" x14ac:dyDescent="0.3">
      <c r="A3052" t="s">
        <v>9064</v>
      </c>
      <c r="B3052" t="s">
        <v>586</v>
      </c>
      <c r="C3052">
        <v>34</v>
      </c>
      <c r="D3052" t="str">
        <f>VLOOKUP(B3052,Products!$A:$E,2,FALSE)</f>
        <v>Product_289</v>
      </c>
      <c r="E3052" t="str">
        <f>VLOOKUP(B3052,Products!$A:$E,3,FALSE)</f>
        <v>Storage</v>
      </c>
    </row>
    <row r="3053" spans="1:5" x14ac:dyDescent="0.3">
      <c r="A3053" t="s">
        <v>9065</v>
      </c>
      <c r="B3053" t="s">
        <v>928</v>
      </c>
      <c r="C3053">
        <v>34</v>
      </c>
      <c r="D3053" t="str">
        <f>VLOOKUP(B3053,Products!$A:$E,2,FALSE)</f>
        <v>Product_460</v>
      </c>
      <c r="E3053" t="str">
        <f>VLOOKUP(B3053,Products!$A:$E,3,FALSE)</f>
        <v>Accessories</v>
      </c>
    </row>
    <row r="3054" spans="1:5" x14ac:dyDescent="0.3">
      <c r="A3054" t="s">
        <v>9066</v>
      </c>
      <c r="B3054" t="s">
        <v>602</v>
      </c>
      <c r="C3054">
        <v>33</v>
      </c>
      <c r="D3054" t="str">
        <f>VLOOKUP(B3054,Products!$A:$E,2,FALSE)</f>
        <v>Product_297</v>
      </c>
      <c r="E3054" t="str">
        <f>VLOOKUP(B3054,Products!$A:$E,3,FALSE)</f>
        <v>Storage</v>
      </c>
    </row>
    <row r="3055" spans="1:5" x14ac:dyDescent="0.3">
      <c r="A3055" t="s">
        <v>9067</v>
      </c>
      <c r="B3055" t="s">
        <v>874</v>
      </c>
      <c r="C3055">
        <v>28</v>
      </c>
      <c r="D3055" t="str">
        <f>VLOOKUP(B3055,Products!$A:$E,2,FALSE)</f>
        <v>Product_433</v>
      </c>
      <c r="E3055" t="str">
        <f>VLOOKUP(B3055,Products!$A:$E,3,FALSE)</f>
        <v>Office Supplies</v>
      </c>
    </row>
    <row r="3056" spans="1:5" x14ac:dyDescent="0.3">
      <c r="A3056" t="s">
        <v>9068</v>
      </c>
      <c r="B3056" t="s">
        <v>302</v>
      </c>
      <c r="C3056">
        <v>21</v>
      </c>
      <c r="D3056" t="str">
        <f>VLOOKUP(B3056,Products!$A:$E,2,FALSE)</f>
        <v>Product_147</v>
      </c>
      <c r="E3056" t="str">
        <f>VLOOKUP(B3056,Products!$A:$E,3,FALSE)</f>
        <v>Networking</v>
      </c>
    </row>
    <row r="3057" spans="1:5" x14ac:dyDescent="0.3">
      <c r="A3057" t="s">
        <v>9069</v>
      </c>
      <c r="B3057" t="s">
        <v>402</v>
      </c>
      <c r="C3057">
        <v>21</v>
      </c>
      <c r="D3057" t="str">
        <f>VLOOKUP(B3057,Products!$A:$E,2,FALSE)</f>
        <v>Product_197</v>
      </c>
      <c r="E3057" t="str">
        <f>VLOOKUP(B3057,Products!$A:$E,3,FALSE)</f>
        <v>Electronics</v>
      </c>
    </row>
    <row r="3058" spans="1:5" x14ac:dyDescent="0.3">
      <c r="A3058" t="s">
        <v>9070</v>
      </c>
      <c r="B3058" t="s">
        <v>784</v>
      </c>
      <c r="C3058">
        <v>12</v>
      </c>
      <c r="D3058" t="str">
        <f>VLOOKUP(B3058,Products!$A:$E,2,FALSE)</f>
        <v>Product_388</v>
      </c>
      <c r="E3058" t="str">
        <f>VLOOKUP(B3058,Products!$A:$E,3,FALSE)</f>
        <v>Office Supplies</v>
      </c>
    </row>
    <row r="3059" spans="1:5" x14ac:dyDescent="0.3">
      <c r="A3059" t="s">
        <v>9071</v>
      </c>
      <c r="B3059" t="s">
        <v>986</v>
      </c>
      <c r="C3059">
        <v>10</v>
      </c>
      <c r="D3059" t="str">
        <f>VLOOKUP(B3059,Products!$A:$E,2,FALSE)</f>
        <v>Product_489</v>
      </c>
      <c r="E3059" t="str">
        <f>VLOOKUP(B3059,Products!$A:$E,3,FALSE)</f>
        <v>Networking</v>
      </c>
    </row>
    <row r="3060" spans="1:5" x14ac:dyDescent="0.3">
      <c r="A3060" t="s">
        <v>9072</v>
      </c>
      <c r="B3060" t="s">
        <v>52</v>
      </c>
      <c r="C3060">
        <v>48</v>
      </c>
      <c r="D3060" t="str">
        <f>VLOOKUP(B3060,Products!$A:$E,2,FALSE)</f>
        <v>Product_22</v>
      </c>
      <c r="E3060" t="str">
        <f>VLOOKUP(B3060,Products!$A:$E,3,FALSE)</f>
        <v>Electronics</v>
      </c>
    </row>
    <row r="3061" spans="1:5" x14ac:dyDescent="0.3">
      <c r="A3061" t="s">
        <v>9073</v>
      </c>
      <c r="B3061" t="s">
        <v>912</v>
      </c>
      <c r="C3061">
        <v>47</v>
      </c>
      <c r="D3061" t="str">
        <f>VLOOKUP(B3061,Products!$A:$E,2,FALSE)</f>
        <v>Product_452</v>
      </c>
      <c r="E3061" t="str">
        <f>VLOOKUP(B3061,Products!$A:$E,3,FALSE)</f>
        <v>Office Supplies</v>
      </c>
    </row>
    <row r="3062" spans="1:5" x14ac:dyDescent="0.3">
      <c r="A3062" t="s">
        <v>9074</v>
      </c>
      <c r="B3062" t="s">
        <v>224</v>
      </c>
      <c r="C3062">
        <v>28</v>
      </c>
      <c r="D3062" t="str">
        <f>VLOOKUP(B3062,Products!$A:$E,2,FALSE)</f>
        <v>Product_108</v>
      </c>
      <c r="E3062" t="str">
        <f>VLOOKUP(B3062,Products!$A:$E,3,FALSE)</f>
        <v>Networking</v>
      </c>
    </row>
    <row r="3063" spans="1:5" x14ac:dyDescent="0.3">
      <c r="A3063" t="s">
        <v>9075</v>
      </c>
      <c r="B3063" t="s">
        <v>540</v>
      </c>
      <c r="C3063">
        <v>18</v>
      </c>
      <c r="D3063" t="str">
        <f>VLOOKUP(B3063,Products!$A:$E,2,FALSE)</f>
        <v>Product_266</v>
      </c>
      <c r="E3063" t="str">
        <f>VLOOKUP(B3063,Products!$A:$E,3,FALSE)</f>
        <v>Electronics</v>
      </c>
    </row>
    <row r="3064" spans="1:5" x14ac:dyDescent="0.3">
      <c r="A3064" t="s">
        <v>9076</v>
      </c>
      <c r="B3064" t="s">
        <v>598</v>
      </c>
      <c r="C3064">
        <v>40</v>
      </c>
      <c r="D3064" t="str">
        <f>VLOOKUP(B3064,Products!$A:$E,2,FALSE)</f>
        <v>Product_295</v>
      </c>
      <c r="E3064" t="str">
        <f>VLOOKUP(B3064,Products!$A:$E,3,FALSE)</f>
        <v>Networking</v>
      </c>
    </row>
    <row r="3065" spans="1:5" x14ac:dyDescent="0.3">
      <c r="A3065" t="s">
        <v>9077</v>
      </c>
      <c r="B3065" t="s">
        <v>330</v>
      </c>
      <c r="C3065">
        <v>7</v>
      </c>
      <c r="D3065" t="str">
        <f>VLOOKUP(B3065,Products!$A:$E,2,FALSE)</f>
        <v>Product_161</v>
      </c>
      <c r="E3065" t="str">
        <f>VLOOKUP(B3065,Products!$A:$E,3,FALSE)</f>
        <v>Networking</v>
      </c>
    </row>
    <row r="3066" spans="1:5" x14ac:dyDescent="0.3">
      <c r="A3066" t="s">
        <v>9078</v>
      </c>
      <c r="B3066" t="s">
        <v>364</v>
      </c>
      <c r="C3066">
        <v>19</v>
      </c>
      <c r="D3066" t="str">
        <f>VLOOKUP(B3066,Products!$A:$E,2,FALSE)</f>
        <v>Product_178</v>
      </c>
      <c r="E3066" t="str">
        <f>VLOOKUP(B3066,Products!$A:$E,3,FALSE)</f>
        <v>Office Supplies</v>
      </c>
    </row>
    <row r="3067" spans="1:5" x14ac:dyDescent="0.3">
      <c r="A3067" t="s">
        <v>9079</v>
      </c>
      <c r="B3067" t="s">
        <v>178</v>
      </c>
      <c r="C3067">
        <v>8</v>
      </c>
      <c r="D3067" t="str">
        <f>VLOOKUP(B3067,Products!$A:$E,2,FALSE)</f>
        <v>Product_85</v>
      </c>
      <c r="E3067" t="str">
        <f>VLOOKUP(B3067,Products!$A:$E,3,FALSE)</f>
        <v>Electronics</v>
      </c>
    </row>
    <row r="3068" spans="1:5" x14ac:dyDescent="0.3">
      <c r="A3068" t="s">
        <v>9080</v>
      </c>
      <c r="B3068" t="s">
        <v>304</v>
      </c>
      <c r="C3068">
        <v>18</v>
      </c>
      <c r="D3068" t="str">
        <f>VLOOKUP(B3068,Products!$A:$E,2,FALSE)</f>
        <v>Product_148</v>
      </c>
      <c r="E3068" t="str">
        <f>VLOOKUP(B3068,Products!$A:$E,3,FALSE)</f>
        <v>Electronics</v>
      </c>
    </row>
    <row r="3069" spans="1:5" x14ac:dyDescent="0.3">
      <c r="A3069" t="s">
        <v>9081</v>
      </c>
      <c r="B3069" t="s">
        <v>508</v>
      </c>
      <c r="C3069">
        <v>29</v>
      </c>
      <c r="D3069" t="str">
        <f>VLOOKUP(B3069,Products!$A:$E,2,FALSE)</f>
        <v>Product_250</v>
      </c>
      <c r="E3069" t="str">
        <f>VLOOKUP(B3069,Products!$A:$E,3,FALSE)</f>
        <v>Networking</v>
      </c>
    </row>
    <row r="3070" spans="1:5" x14ac:dyDescent="0.3">
      <c r="A3070" t="s">
        <v>9082</v>
      </c>
      <c r="B3070" t="s">
        <v>238</v>
      </c>
      <c r="C3070">
        <v>11</v>
      </c>
      <c r="D3070" t="str">
        <f>VLOOKUP(B3070,Products!$A:$E,2,FALSE)</f>
        <v>Product_115</v>
      </c>
      <c r="E3070" t="str">
        <f>VLOOKUP(B3070,Products!$A:$E,3,FALSE)</f>
        <v>Networking</v>
      </c>
    </row>
    <row r="3071" spans="1:5" x14ac:dyDescent="0.3">
      <c r="A3071" t="s">
        <v>9083</v>
      </c>
      <c r="B3071" t="s">
        <v>304</v>
      </c>
      <c r="C3071">
        <v>17</v>
      </c>
      <c r="D3071" t="str">
        <f>VLOOKUP(B3071,Products!$A:$E,2,FALSE)</f>
        <v>Product_148</v>
      </c>
      <c r="E3071" t="str">
        <f>VLOOKUP(B3071,Products!$A:$E,3,FALSE)</f>
        <v>Electronics</v>
      </c>
    </row>
    <row r="3072" spans="1:5" x14ac:dyDescent="0.3">
      <c r="A3072" t="s">
        <v>9084</v>
      </c>
      <c r="B3072" t="s">
        <v>630</v>
      </c>
      <c r="C3072">
        <v>49</v>
      </c>
      <c r="D3072" t="str">
        <f>VLOOKUP(B3072,Products!$A:$E,2,FALSE)</f>
        <v>Product_311</v>
      </c>
      <c r="E3072" t="str">
        <f>VLOOKUP(B3072,Products!$A:$E,3,FALSE)</f>
        <v>Networking</v>
      </c>
    </row>
    <row r="3073" spans="1:5" x14ac:dyDescent="0.3">
      <c r="A3073" t="s">
        <v>9085</v>
      </c>
      <c r="B3073" t="s">
        <v>118</v>
      </c>
      <c r="C3073">
        <v>15</v>
      </c>
      <c r="D3073" t="str">
        <f>VLOOKUP(B3073,Products!$A:$E,2,FALSE)</f>
        <v>Product_55</v>
      </c>
      <c r="E3073" t="str">
        <f>VLOOKUP(B3073,Products!$A:$E,3,FALSE)</f>
        <v>Office Supplies</v>
      </c>
    </row>
    <row r="3074" spans="1:5" x14ac:dyDescent="0.3">
      <c r="A3074" t="s">
        <v>9086</v>
      </c>
      <c r="B3074" t="s">
        <v>692</v>
      </c>
      <c r="C3074">
        <v>18</v>
      </c>
      <c r="D3074" t="str">
        <f>VLOOKUP(B3074,Products!$A:$E,2,FALSE)</f>
        <v>Product_342</v>
      </c>
      <c r="E3074" t="str">
        <f>VLOOKUP(B3074,Products!$A:$E,3,FALSE)</f>
        <v>Accessories</v>
      </c>
    </row>
    <row r="3075" spans="1:5" x14ac:dyDescent="0.3">
      <c r="A3075" t="s">
        <v>9087</v>
      </c>
      <c r="B3075" t="s">
        <v>154</v>
      </c>
      <c r="C3075">
        <v>7</v>
      </c>
      <c r="D3075" t="str">
        <f>VLOOKUP(B3075,Products!$A:$E,2,FALSE)</f>
        <v>Product_73</v>
      </c>
      <c r="E3075" t="str">
        <f>VLOOKUP(B3075,Products!$A:$E,3,FALSE)</f>
        <v>Office Supplies</v>
      </c>
    </row>
    <row r="3076" spans="1:5" x14ac:dyDescent="0.3">
      <c r="A3076" t="s">
        <v>9088</v>
      </c>
      <c r="B3076" t="s">
        <v>220</v>
      </c>
      <c r="C3076">
        <v>36</v>
      </c>
      <c r="D3076" t="str">
        <f>VLOOKUP(B3076,Products!$A:$E,2,FALSE)</f>
        <v>Product_106</v>
      </c>
      <c r="E3076" t="str">
        <f>VLOOKUP(B3076,Products!$A:$E,3,FALSE)</f>
        <v>Networking</v>
      </c>
    </row>
    <row r="3077" spans="1:5" x14ac:dyDescent="0.3">
      <c r="A3077" t="s">
        <v>9089</v>
      </c>
      <c r="B3077" t="s">
        <v>868</v>
      </c>
      <c r="C3077">
        <v>33</v>
      </c>
      <c r="D3077" t="str">
        <f>VLOOKUP(B3077,Products!$A:$E,2,FALSE)</f>
        <v>Product_430</v>
      </c>
      <c r="E3077" t="str">
        <f>VLOOKUP(B3077,Products!$A:$E,3,FALSE)</f>
        <v>Electronics</v>
      </c>
    </row>
    <row r="3078" spans="1:5" x14ac:dyDescent="0.3">
      <c r="A3078" t="s">
        <v>9090</v>
      </c>
      <c r="B3078" t="s">
        <v>782</v>
      </c>
      <c r="C3078">
        <v>11</v>
      </c>
      <c r="D3078" t="str">
        <f>VLOOKUP(B3078,Products!$A:$E,2,FALSE)</f>
        <v>Product_387</v>
      </c>
      <c r="E3078" t="str">
        <f>VLOOKUP(B3078,Products!$A:$E,3,FALSE)</f>
        <v>Storage</v>
      </c>
    </row>
    <row r="3079" spans="1:5" x14ac:dyDescent="0.3">
      <c r="A3079" t="s">
        <v>9091</v>
      </c>
      <c r="B3079" t="s">
        <v>38</v>
      </c>
      <c r="C3079">
        <v>39</v>
      </c>
      <c r="D3079" t="str">
        <f>VLOOKUP(B3079,Products!$A:$E,2,FALSE)</f>
        <v>Product_15</v>
      </c>
      <c r="E3079" t="str">
        <f>VLOOKUP(B3079,Products!$A:$E,3,FALSE)</f>
        <v>Electronics</v>
      </c>
    </row>
    <row r="3080" spans="1:5" x14ac:dyDescent="0.3">
      <c r="A3080" t="s">
        <v>9092</v>
      </c>
      <c r="B3080" t="s">
        <v>934</v>
      </c>
      <c r="C3080">
        <v>3</v>
      </c>
      <c r="D3080" t="str">
        <f>VLOOKUP(B3080,Products!$A:$E,2,FALSE)</f>
        <v>Product_463</v>
      </c>
      <c r="E3080" t="str">
        <f>VLOOKUP(B3080,Products!$A:$E,3,FALSE)</f>
        <v>Networking</v>
      </c>
    </row>
    <row r="3081" spans="1:5" x14ac:dyDescent="0.3">
      <c r="A3081" t="s">
        <v>9093</v>
      </c>
      <c r="B3081" t="s">
        <v>992</v>
      </c>
      <c r="C3081">
        <v>35</v>
      </c>
      <c r="D3081" t="str">
        <f>VLOOKUP(B3081,Products!$A:$E,2,FALSE)</f>
        <v>Product_492</v>
      </c>
      <c r="E3081" t="str">
        <f>VLOOKUP(B3081,Products!$A:$E,3,FALSE)</f>
        <v>Electronics</v>
      </c>
    </row>
    <row r="3082" spans="1:5" x14ac:dyDescent="0.3">
      <c r="A3082" t="s">
        <v>9094</v>
      </c>
      <c r="B3082" t="s">
        <v>560</v>
      </c>
      <c r="C3082">
        <v>13</v>
      </c>
      <c r="D3082" t="str">
        <f>VLOOKUP(B3082,Products!$A:$E,2,FALSE)</f>
        <v>Product_276</v>
      </c>
      <c r="E3082" t="str">
        <f>VLOOKUP(B3082,Products!$A:$E,3,FALSE)</f>
        <v>Office Supplies</v>
      </c>
    </row>
    <row r="3083" spans="1:5" x14ac:dyDescent="0.3">
      <c r="A3083" t="s">
        <v>9095</v>
      </c>
      <c r="B3083" t="s">
        <v>14</v>
      </c>
      <c r="C3083">
        <v>32</v>
      </c>
      <c r="D3083" t="str">
        <f>VLOOKUP(B3083,Products!$A:$E,2,FALSE)</f>
        <v>Product_4</v>
      </c>
      <c r="E3083" t="str">
        <f>VLOOKUP(B3083,Products!$A:$E,3,FALSE)</f>
        <v>Storage</v>
      </c>
    </row>
    <row r="3084" spans="1:5" x14ac:dyDescent="0.3">
      <c r="A3084" t="s">
        <v>9096</v>
      </c>
      <c r="B3084" t="s">
        <v>862</v>
      </c>
      <c r="C3084">
        <v>2</v>
      </c>
      <c r="D3084" t="str">
        <f>VLOOKUP(B3084,Products!$A:$E,2,FALSE)</f>
        <v>Product_427</v>
      </c>
      <c r="E3084" t="str">
        <f>VLOOKUP(B3084,Products!$A:$E,3,FALSE)</f>
        <v>Networking</v>
      </c>
    </row>
    <row r="3085" spans="1:5" x14ac:dyDescent="0.3">
      <c r="A3085" t="s">
        <v>9097</v>
      </c>
      <c r="B3085" t="s">
        <v>388</v>
      </c>
      <c r="C3085">
        <v>14</v>
      </c>
      <c r="D3085" t="str">
        <f>VLOOKUP(B3085,Products!$A:$E,2,FALSE)</f>
        <v>Product_190</v>
      </c>
      <c r="E3085" t="str">
        <f>VLOOKUP(B3085,Products!$A:$E,3,FALSE)</f>
        <v>Office Supplies</v>
      </c>
    </row>
    <row r="3086" spans="1:5" x14ac:dyDescent="0.3">
      <c r="A3086" t="s">
        <v>9098</v>
      </c>
      <c r="B3086" t="s">
        <v>298</v>
      </c>
      <c r="C3086">
        <v>37</v>
      </c>
      <c r="D3086" t="str">
        <f>VLOOKUP(B3086,Products!$A:$E,2,FALSE)</f>
        <v>Product_145</v>
      </c>
      <c r="E3086" t="str">
        <f>VLOOKUP(B3086,Products!$A:$E,3,FALSE)</f>
        <v>Office Supplies</v>
      </c>
    </row>
    <row r="3087" spans="1:5" x14ac:dyDescent="0.3">
      <c r="A3087" t="s">
        <v>9099</v>
      </c>
      <c r="B3087" t="s">
        <v>446</v>
      </c>
      <c r="C3087">
        <v>47</v>
      </c>
      <c r="D3087" t="str">
        <f>VLOOKUP(B3087,Products!$A:$E,2,FALSE)</f>
        <v>Product_219</v>
      </c>
      <c r="E3087" t="str">
        <f>VLOOKUP(B3087,Products!$A:$E,3,FALSE)</f>
        <v>Accessories</v>
      </c>
    </row>
    <row r="3088" spans="1:5" x14ac:dyDescent="0.3">
      <c r="A3088" t="s">
        <v>9100</v>
      </c>
      <c r="B3088" t="s">
        <v>464</v>
      </c>
      <c r="C3088">
        <v>34</v>
      </c>
      <c r="D3088" t="str">
        <f>VLOOKUP(B3088,Products!$A:$E,2,FALSE)</f>
        <v>Product_228</v>
      </c>
      <c r="E3088" t="str">
        <f>VLOOKUP(B3088,Products!$A:$E,3,FALSE)</f>
        <v>Storage</v>
      </c>
    </row>
    <row r="3089" spans="1:5" x14ac:dyDescent="0.3">
      <c r="A3089" t="s">
        <v>9101</v>
      </c>
      <c r="B3089" t="s">
        <v>138</v>
      </c>
      <c r="C3089">
        <v>30</v>
      </c>
      <c r="D3089" t="str">
        <f>VLOOKUP(B3089,Products!$A:$E,2,FALSE)</f>
        <v>Product_65</v>
      </c>
      <c r="E3089" t="str">
        <f>VLOOKUP(B3089,Products!$A:$E,3,FALSE)</f>
        <v>Office Supplies</v>
      </c>
    </row>
    <row r="3090" spans="1:5" x14ac:dyDescent="0.3">
      <c r="A3090" t="s">
        <v>9102</v>
      </c>
      <c r="B3090" t="s">
        <v>312</v>
      </c>
      <c r="C3090">
        <v>8</v>
      </c>
      <c r="D3090" t="str">
        <f>VLOOKUP(B3090,Products!$A:$E,2,FALSE)</f>
        <v>Product_152</v>
      </c>
      <c r="E3090" t="str">
        <f>VLOOKUP(B3090,Products!$A:$E,3,FALSE)</f>
        <v>Storage</v>
      </c>
    </row>
    <row r="3091" spans="1:5" x14ac:dyDescent="0.3">
      <c r="A3091" t="s">
        <v>9103</v>
      </c>
      <c r="B3091" t="s">
        <v>742</v>
      </c>
      <c r="C3091">
        <v>46</v>
      </c>
      <c r="D3091" t="str">
        <f>VLOOKUP(B3091,Products!$A:$E,2,FALSE)</f>
        <v>Product_367</v>
      </c>
      <c r="E3091" t="str">
        <f>VLOOKUP(B3091,Products!$A:$E,3,FALSE)</f>
        <v>Storage</v>
      </c>
    </row>
    <row r="3092" spans="1:5" x14ac:dyDescent="0.3">
      <c r="A3092" t="s">
        <v>9104</v>
      </c>
      <c r="B3092" t="s">
        <v>950</v>
      </c>
      <c r="C3092">
        <v>8</v>
      </c>
      <c r="D3092" t="str">
        <f>VLOOKUP(B3092,Products!$A:$E,2,FALSE)</f>
        <v>Product_471</v>
      </c>
      <c r="E3092" t="str">
        <f>VLOOKUP(B3092,Products!$A:$E,3,FALSE)</f>
        <v>Office Supplies</v>
      </c>
    </row>
    <row r="3093" spans="1:5" x14ac:dyDescent="0.3">
      <c r="A3093" t="s">
        <v>9105</v>
      </c>
      <c r="B3093" t="s">
        <v>464</v>
      </c>
      <c r="C3093">
        <v>28</v>
      </c>
      <c r="D3093" t="str">
        <f>VLOOKUP(B3093,Products!$A:$E,2,FALSE)</f>
        <v>Product_228</v>
      </c>
      <c r="E3093" t="str">
        <f>VLOOKUP(B3093,Products!$A:$E,3,FALSE)</f>
        <v>Storage</v>
      </c>
    </row>
    <row r="3094" spans="1:5" x14ac:dyDescent="0.3">
      <c r="A3094" t="s">
        <v>9106</v>
      </c>
      <c r="B3094" t="s">
        <v>514</v>
      </c>
      <c r="C3094">
        <v>17</v>
      </c>
      <c r="D3094" t="str">
        <f>VLOOKUP(B3094,Products!$A:$E,2,FALSE)</f>
        <v>Product_253</v>
      </c>
      <c r="E3094" t="str">
        <f>VLOOKUP(B3094,Products!$A:$E,3,FALSE)</f>
        <v>Networking</v>
      </c>
    </row>
    <row r="3095" spans="1:5" x14ac:dyDescent="0.3">
      <c r="A3095" t="s">
        <v>9107</v>
      </c>
      <c r="B3095" t="s">
        <v>98</v>
      </c>
      <c r="C3095">
        <v>9</v>
      </c>
      <c r="D3095" t="str">
        <f>VLOOKUP(B3095,Products!$A:$E,2,FALSE)</f>
        <v>Product_45</v>
      </c>
      <c r="E3095" t="str">
        <f>VLOOKUP(B3095,Products!$A:$E,3,FALSE)</f>
        <v>Accessories</v>
      </c>
    </row>
    <row r="3096" spans="1:5" x14ac:dyDescent="0.3">
      <c r="A3096" t="s">
        <v>9108</v>
      </c>
      <c r="B3096" t="s">
        <v>294</v>
      </c>
      <c r="C3096">
        <v>47</v>
      </c>
      <c r="D3096" t="str">
        <f>VLOOKUP(B3096,Products!$A:$E,2,FALSE)</f>
        <v>Product_143</v>
      </c>
      <c r="E3096" t="str">
        <f>VLOOKUP(B3096,Products!$A:$E,3,FALSE)</f>
        <v>Office Supplies</v>
      </c>
    </row>
    <row r="3097" spans="1:5" x14ac:dyDescent="0.3">
      <c r="A3097" t="s">
        <v>9109</v>
      </c>
      <c r="B3097" t="s">
        <v>694</v>
      </c>
      <c r="C3097">
        <v>8</v>
      </c>
      <c r="D3097" t="str">
        <f>VLOOKUP(B3097,Products!$A:$E,2,FALSE)</f>
        <v>Product_343</v>
      </c>
      <c r="E3097" t="str">
        <f>VLOOKUP(B3097,Products!$A:$E,3,FALSE)</f>
        <v>Office Supplies</v>
      </c>
    </row>
    <row r="3098" spans="1:5" x14ac:dyDescent="0.3">
      <c r="A3098" t="s">
        <v>9110</v>
      </c>
      <c r="B3098" t="s">
        <v>1000</v>
      </c>
      <c r="C3098">
        <v>23</v>
      </c>
      <c r="D3098" t="str">
        <f>VLOOKUP(B3098,Products!$A:$E,2,FALSE)</f>
        <v>Product_496</v>
      </c>
      <c r="E3098" t="str">
        <f>VLOOKUP(B3098,Products!$A:$E,3,FALSE)</f>
        <v>Office Supplies</v>
      </c>
    </row>
    <row r="3099" spans="1:5" x14ac:dyDescent="0.3">
      <c r="A3099" t="s">
        <v>9111</v>
      </c>
      <c r="B3099" t="s">
        <v>832</v>
      </c>
      <c r="C3099">
        <v>6</v>
      </c>
      <c r="D3099" t="str">
        <f>VLOOKUP(B3099,Products!$A:$E,2,FALSE)</f>
        <v>Product_412</v>
      </c>
      <c r="E3099" t="str">
        <f>VLOOKUP(B3099,Products!$A:$E,3,FALSE)</f>
        <v>Accessories</v>
      </c>
    </row>
    <row r="3100" spans="1:5" x14ac:dyDescent="0.3">
      <c r="A3100" t="s">
        <v>9112</v>
      </c>
      <c r="B3100" t="s">
        <v>772</v>
      </c>
      <c r="C3100">
        <v>15</v>
      </c>
      <c r="D3100" t="str">
        <f>VLOOKUP(B3100,Products!$A:$E,2,FALSE)</f>
        <v>Product_382</v>
      </c>
      <c r="E3100" t="str">
        <f>VLOOKUP(B3100,Products!$A:$E,3,FALSE)</f>
        <v>Storage</v>
      </c>
    </row>
    <row r="3101" spans="1:5" x14ac:dyDescent="0.3">
      <c r="A3101" t="s">
        <v>9113</v>
      </c>
      <c r="B3101" t="s">
        <v>754</v>
      </c>
      <c r="C3101">
        <v>5</v>
      </c>
      <c r="D3101" t="str">
        <f>VLOOKUP(B3101,Products!$A:$E,2,FALSE)</f>
        <v>Product_373</v>
      </c>
      <c r="E3101" t="str">
        <f>VLOOKUP(B3101,Products!$A:$E,3,FALSE)</f>
        <v>Office Supplies</v>
      </c>
    </row>
    <row r="3102" spans="1:5" x14ac:dyDescent="0.3">
      <c r="A3102" t="s">
        <v>9114</v>
      </c>
      <c r="B3102" t="s">
        <v>344</v>
      </c>
      <c r="C3102">
        <v>11</v>
      </c>
      <c r="D3102" t="str">
        <f>VLOOKUP(B3102,Products!$A:$E,2,FALSE)</f>
        <v>Product_168</v>
      </c>
      <c r="E3102" t="str">
        <f>VLOOKUP(B3102,Products!$A:$E,3,FALSE)</f>
        <v>Electronics</v>
      </c>
    </row>
    <row r="3103" spans="1:5" x14ac:dyDescent="0.3">
      <c r="A3103" t="s">
        <v>9115</v>
      </c>
      <c r="B3103" t="s">
        <v>528</v>
      </c>
      <c r="C3103">
        <v>22</v>
      </c>
      <c r="D3103" t="str">
        <f>VLOOKUP(B3103,Products!$A:$E,2,FALSE)</f>
        <v>Product_260</v>
      </c>
      <c r="E3103" t="str">
        <f>VLOOKUP(B3103,Products!$A:$E,3,FALSE)</f>
        <v>Storage</v>
      </c>
    </row>
    <row r="3104" spans="1:5" x14ac:dyDescent="0.3">
      <c r="A3104" t="s">
        <v>9116</v>
      </c>
      <c r="B3104" t="s">
        <v>292</v>
      </c>
      <c r="C3104">
        <v>30</v>
      </c>
      <c r="D3104" t="str">
        <f>VLOOKUP(B3104,Products!$A:$E,2,FALSE)</f>
        <v>Product_142</v>
      </c>
      <c r="E3104" t="str">
        <f>VLOOKUP(B3104,Products!$A:$E,3,FALSE)</f>
        <v>Storage</v>
      </c>
    </row>
    <row r="3105" spans="1:5" x14ac:dyDescent="0.3">
      <c r="A3105" t="s">
        <v>9117</v>
      </c>
      <c r="B3105" t="s">
        <v>654</v>
      </c>
      <c r="C3105">
        <v>48</v>
      </c>
      <c r="D3105" t="str">
        <f>VLOOKUP(B3105,Products!$A:$E,2,FALSE)</f>
        <v>Product_323</v>
      </c>
      <c r="E3105" t="str">
        <f>VLOOKUP(B3105,Products!$A:$E,3,FALSE)</f>
        <v>Electronics</v>
      </c>
    </row>
    <row r="3106" spans="1:5" x14ac:dyDescent="0.3">
      <c r="A3106" t="s">
        <v>9118</v>
      </c>
      <c r="B3106" t="s">
        <v>534</v>
      </c>
      <c r="C3106">
        <v>44</v>
      </c>
      <c r="D3106" t="str">
        <f>VLOOKUP(B3106,Products!$A:$E,2,FALSE)</f>
        <v>Product_263</v>
      </c>
      <c r="E3106" t="str">
        <f>VLOOKUP(B3106,Products!$A:$E,3,FALSE)</f>
        <v>Accessories</v>
      </c>
    </row>
    <row r="3107" spans="1:5" x14ac:dyDescent="0.3">
      <c r="A3107" t="s">
        <v>9119</v>
      </c>
      <c r="B3107" t="s">
        <v>804</v>
      </c>
      <c r="C3107">
        <v>5</v>
      </c>
      <c r="D3107" t="str">
        <f>VLOOKUP(B3107,Products!$A:$E,2,FALSE)</f>
        <v>Product_398</v>
      </c>
      <c r="E3107" t="str">
        <f>VLOOKUP(B3107,Products!$A:$E,3,FALSE)</f>
        <v>Networking</v>
      </c>
    </row>
    <row r="3108" spans="1:5" x14ac:dyDescent="0.3">
      <c r="A3108" t="s">
        <v>9120</v>
      </c>
      <c r="B3108" t="s">
        <v>732</v>
      </c>
      <c r="C3108">
        <v>45</v>
      </c>
      <c r="D3108" t="str">
        <f>VLOOKUP(B3108,Products!$A:$E,2,FALSE)</f>
        <v>Product_362</v>
      </c>
      <c r="E3108" t="str">
        <f>VLOOKUP(B3108,Products!$A:$E,3,FALSE)</f>
        <v>Networking</v>
      </c>
    </row>
    <row r="3109" spans="1:5" x14ac:dyDescent="0.3">
      <c r="A3109" t="s">
        <v>9121</v>
      </c>
      <c r="B3109" t="s">
        <v>332</v>
      </c>
      <c r="C3109">
        <v>3</v>
      </c>
      <c r="D3109" t="str">
        <f>VLOOKUP(B3109,Products!$A:$E,2,FALSE)</f>
        <v>Product_162</v>
      </c>
      <c r="E3109" t="str">
        <f>VLOOKUP(B3109,Products!$A:$E,3,FALSE)</f>
        <v>Accessories</v>
      </c>
    </row>
    <row r="3110" spans="1:5" x14ac:dyDescent="0.3">
      <c r="A3110" t="s">
        <v>9122</v>
      </c>
      <c r="B3110" t="s">
        <v>452</v>
      </c>
      <c r="C3110">
        <v>7</v>
      </c>
      <c r="D3110" t="str">
        <f>VLOOKUP(B3110,Products!$A:$E,2,FALSE)</f>
        <v>Product_222</v>
      </c>
      <c r="E3110" t="str">
        <f>VLOOKUP(B3110,Products!$A:$E,3,FALSE)</f>
        <v>Networking</v>
      </c>
    </row>
    <row r="3111" spans="1:5" x14ac:dyDescent="0.3">
      <c r="A3111" t="s">
        <v>9123</v>
      </c>
      <c r="B3111" t="s">
        <v>964</v>
      </c>
      <c r="C3111">
        <v>46</v>
      </c>
      <c r="D3111" t="str">
        <f>VLOOKUP(B3111,Products!$A:$E,2,FALSE)</f>
        <v>Product_478</v>
      </c>
      <c r="E3111" t="str">
        <f>VLOOKUP(B3111,Products!$A:$E,3,FALSE)</f>
        <v>Office Supplies</v>
      </c>
    </row>
    <row r="3112" spans="1:5" x14ac:dyDescent="0.3">
      <c r="A3112" t="s">
        <v>9124</v>
      </c>
      <c r="B3112" t="s">
        <v>822</v>
      </c>
      <c r="C3112">
        <v>34</v>
      </c>
      <c r="D3112" t="str">
        <f>VLOOKUP(B3112,Products!$A:$E,2,FALSE)</f>
        <v>Product_407</v>
      </c>
      <c r="E3112" t="str">
        <f>VLOOKUP(B3112,Products!$A:$E,3,FALSE)</f>
        <v>Networking</v>
      </c>
    </row>
    <row r="3113" spans="1:5" x14ac:dyDescent="0.3">
      <c r="A3113" t="s">
        <v>9125</v>
      </c>
      <c r="B3113" t="s">
        <v>334</v>
      </c>
      <c r="C3113">
        <v>13</v>
      </c>
      <c r="D3113" t="str">
        <f>VLOOKUP(B3113,Products!$A:$E,2,FALSE)</f>
        <v>Product_163</v>
      </c>
      <c r="E3113" t="str">
        <f>VLOOKUP(B3113,Products!$A:$E,3,FALSE)</f>
        <v>Accessories</v>
      </c>
    </row>
    <row r="3114" spans="1:5" x14ac:dyDescent="0.3">
      <c r="A3114" t="s">
        <v>9126</v>
      </c>
      <c r="B3114" t="s">
        <v>870</v>
      </c>
      <c r="C3114">
        <v>36</v>
      </c>
      <c r="D3114" t="str">
        <f>VLOOKUP(B3114,Products!$A:$E,2,FALSE)</f>
        <v>Product_431</v>
      </c>
      <c r="E3114" t="str">
        <f>VLOOKUP(B3114,Products!$A:$E,3,FALSE)</f>
        <v>Electronics</v>
      </c>
    </row>
    <row r="3115" spans="1:5" x14ac:dyDescent="0.3">
      <c r="A3115" t="s">
        <v>9127</v>
      </c>
      <c r="B3115" t="s">
        <v>686</v>
      </c>
      <c r="C3115">
        <v>41</v>
      </c>
      <c r="D3115" t="str">
        <f>VLOOKUP(B3115,Products!$A:$E,2,FALSE)</f>
        <v>Product_339</v>
      </c>
      <c r="E3115" t="str">
        <f>VLOOKUP(B3115,Products!$A:$E,3,FALSE)</f>
        <v>Storage</v>
      </c>
    </row>
    <row r="3116" spans="1:5" x14ac:dyDescent="0.3">
      <c r="A3116" t="s">
        <v>9128</v>
      </c>
      <c r="B3116" t="s">
        <v>46</v>
      </c>
      <c r="C3116">
        <v>41</v>
      </c>
      <c r="D3116" t="str">
        <f>VLOOKUP(B3116,Products!$A:$E,2,FALSE)</f>
        <v>Product_19</v>
      </c>
      <c r="E3116" t="str">
        <f>VLOOKUP(B3116,Products!$A:$E,3,FALSE)</f>
        <v>Networking</v>
      </c>
    </row>
    <row r="3117" spans="1:5" x14ac:dyDescent="0.3">
      <c r="A3117" t="s">
        <v>9129</v>
      </c>
      <c r="B3117" t="s">
        <v>652</v>
      </c>
      <c r="C3117">
        <v>1</v>
      </c>
      <c r="D3117" t="str">
        <f>VLOOKUP(B3117,Products!$A:$E,2,FALSE)</f>
        <v>Product_322</v>
      </c>
      <c r="E3117" t="str">
        <f>VLOOKUP(B3117,Products!$A:$E,3,FALSE)</f>
        <v>Accessories</v>
      </c>
    </row>
    <row r="3118" spans="1:5" x14ac:dyDescent="0.3">
      <c r="A3118" t="s">
        <v>9130</v>
      </c>
      <c r="B3118" t="s">
        <v>260</v>
      </c>
      <c r="C3118">
        <v>9</v>
      </c>
      <c r="D3118" t="str">
        <f>VLOOKUP(B3118,Products!$A:$E,2,FALSE)</f>
        <v>Product_126</v>
      </c>
      <c r="E3118" t="str">
        <f>VLOOKUP(B3118,Products!$A:$E,3,FALSE)</f>
        <v>Office Supplies</v>
      </c>
    </row>
    <row r="3119" spans="1:5" x14ac:dyDescent="0.3">
      <c r="A3119" t="s">
        <v>9131</v>
      </c>
      <c r="B3119" t="s">
        <v>610</v>
      </c>
      <c r="C3119">
        <v>25</v>
      </c>
      <c r="D3119" t="str">
        <f>VLOOKUP(B3119,Products!$A:$E,2,FALSE)</f>
        <v>Product_301</v>
      </c>
      <c r="E3119" t="str">
        <f>VLOOKUP(B3119,Products!$A:$E,3,FALSE)</f>
        <v>Networking</v>
      </c>
    </row>
    <row r="3120" spans="1:5" x14ac:dyDescent="0.3">
      <c r="A3120" t="s">
        <v>9132</v>
      </c>
      <c r="B3120" t="s">
        <v>902</v>
      </c>
      <c r="C3120">
        <v>15</v>
      </c>
      <c r="D3120" t="str">
        <f>VLOOKUP(B3120,Products!$A:$E,2,FALSE)</f>
        <v>Product_447</v>
      </c>
      <c r="E3120" t="str">
        <f>VLOOKUP(B3120,Products!$A:$E,3,FALSE)</f>
        <v>Office Supplies</v>
      </c>
    </row>
    <row r="3121" spans="1:5" x14ac:dyDescent="0.3">
      <c r="A3121" t="s">
        <v>9133</v>
      </c>
      <c r="B3121" t="s">
        <v>698</v>
      </c>
      <c r="C3121">
        <v>13</v>
      </c>
      <c r="D3121" t="str">
        <f>VLOOKUP(B3121,Products!$A:$E,2,FALSE)</f>
        <v>Product_345</v>
      </c>
      <c r="E3121" t="str">
        <f>VLOOKUP(B3121,Products!$A:$E,3,FALSE)</f>
        <v>Storage</v>
      </c>
    </row>
    <row r="3122" spans="1:5" x14ac:dyDescent="0.3">
      <c r="A3122" t="s">
        <v>9134</v>
      </c>
      <c r="B3122" t="s">
        <v>280</v>
      </c>
      <c r="C3122">
        <v>31</v>
      </c>
      <c r="D3122" t="str">
        <f>VLOOKUP(B3122,Products!$A:$E,2,FALSE)</f>
        <v>Product_136</v>
      </c>
      <c r="E3122" t="str">
        <f>VLOOKUP(B3122,Products!$A:$E,3,FALSE)</f>
        <v>Storage</v>
      </c>
    </row>
    <row r="3123" spans="1:5" x14ac:dyDescent="0.3">
      <c r="A3123" t="s">
        <v>9135</v>
      </c>
      <c r="B3123" t="s">
        <v>164</v>
      </c>
      <c r="C3123">
        <v>32</v>
      </c>
      <c r="D3123" t="str">
        <f>VLOOKUP(B3123,Products!$A:$E,2,FALSE)</f>
        <v>Product_78</v>
      </c>
      <c r="E3123" t="str">
        <f>VLOOKUP(B3123,Products!$A:$E,3,FALSE)</f>
        <v>Office Supplies</v>
      </c>
    </row>
    <row r="3124" spans="1:5" x14ac:dyDescent="0.3">
      <c r="A3124" t="s">
        <v>9136</v>
      </c>
      <c r="B3124" t="s">
        <v>842</v>
      </c>
      <c r="C3124">
        <v>12</v>
      </c>
      <c r="D3124" t="str">
        <f>VLOOKUP(B3124,Products!$A:$E,2,FALSE)</f>
        <v>Product_417</v>
      </c>
      <c r="E3124" t="str">
        <f>VLOOKUP(B3124,Products!$A:$E,3,FALSE)</f>
        <v>Accessories</v>
      </c>
    </row>
    <row r="3125" spans="1:5" x14ac:dyDescent="0.3">
      <c r="A3125" t="s">
        <v>9137</v>
      </c>
      <c r="B3125" t="s">
        <v>760</v>
      </c>
      <c r="C3125">
        <v>32</v>
      </c>
      <c r="D3125" t="str">
        <f>VLOOKUP(B3125,Products!$A:$E,2,FALSE)</f>
        <v>Product_376</v>
      </c>
      <c r="E3125" t="str">
        <f>VLOOKUP(B3125,Products!$A:$E,3,FALSE)</f>
        <v>Networking</v>
      </c>
    </row>
    <row r="3126" spans="1:5" x14ac:dyDescent="0.3">
      <c r="A3126" t="s">
        <v>9138</v>
      </c>
      <c r="B3126" t="s">
        <v>298</v>
      </c>
      <c r="C3126">
        <v>9</v>
      </c>
      <c r="D3126" t="str">
        <f>VLOOKUP(B3126,Products!$A:$E,2,FALSE)</f>
        <v>Product_145</v>
      </c>
      <c r="E3126" t="str">
        <f>VLOOKUP(B3126,Products!$A:$E,3,FALSE)</f>
        <v>Office Supplies</v>
      </c>
    </row>
    <row r="3127" spans="1:5" x14ac:dyDescent="0.3">
      <c r="A3127" t="s">
        <v>9139</v>
      </c>
      <c r="B3127" t="s">
        <v>212</v>
      </c>
      <c r="C3127">
        <v>41</v>
      </c>
      <c r="D3127" t="str">
        <f>VLOOKUP(B3127,Products!$A:$E,2,FALSE)</f>
        <v>Product_102</v>
      </c>
      <c r="E3127" t="str">
        <f>VLOOKUP(B3127,Products!$A:$E,3,FALSE)</f>
        <v>Storage</v>
      </c>
    </row>
    <row r="3128" spans="1:5" x14ac:dyDescent="0.3">
      <c r="A3128" t="s">
        <v>9140</v>
      </c>
      <c r="B3128" t="s">
        <v>906</v>
      </c>
      <c r="C3128">
        <v>6</v>
      </c>
      <c r="D3128" t="str">
        <f>VLOOKUP(B3128,Products!$A:$E,2,FALSE)</f>
        <v>Product_449</v>
      </c>
      <c r="E3128" t="str">
        <f>VLOOKUP(B3128,Products!$A:$E,3,FALSE)</f>
        <v>Networking</v>
      </c>
    </row>
    <row r="3129" spans="1:5" x14ac:dyDescent="0.3">
      <c r="A3129" t="s">
        <v>9141</v>
      </c>
      <c r="B3129" t="s">
        <v>982</v>
      </c>
      <c r="C3129">
        <v>34</v>
      </c>
      <c r="D3129" t="str">
        <f>VLOOKUP(B3129,Products!$A:$E,2,FALSE)</f>
        <v>Product_487</v>
      </c>
      <c r="E3129" t="str">
        <f>VLOOKUP(B3129,Products!$A:$E,3,FALSE)</f>
        <v>Networking</v>
      </c>
    </row>
    <row r="3130" spans="1:5" x14ac:dyDescent="0.3">
      <c r="A3130" t="s">
        <v>9142</v>
      </c>
      <c r="B3130" t="s">
        <v>886</v>
      </c>
      <c r="C3130">
        <v>47</v>
      </c>
      <c r="D3130" t="str">
        <f>VLOOKUP(B3130,Products!$A:$E,2,FALSE)</f>
        <v>Product_439</v>
      </c>
      <c r="E3130" t="str">
        <f>VLOOKUP(B3130,Products!$A:$E,3,FALSE)</f>
        <v>Networking</v>
      </c>
    </row>
    <row r="3131" spans="1:5" x14ac:dyDescent="0.3">
      <c r="A3131" t="s">
        <v>9143</v>
      </c>
      <c r="B3131" t="s">
        <v>776</v>
      </c>
      <c r="C3131">
        <v>14</v>
      </c>
      <c r="D3131" t="str">
        <f>VLOOKUP(B3131,Products!$A:$E,2,FALSE)</f>
        <v>Product_384</v>
      </c>
      <c r="E3131" t="str">
        <f>VLOOKUP(B3131,Products!$A:$E,3,FALSE)</f>
        <v>Office Supplies</v>
      </c>
    </row>
    <row r="3132" spans="1:5" x14ac:dyDescent="0.3">
      <c r="A3132" t="s">
        <v>9144</v>
      </c>
      <c r="B3132" t="s">
        <v>8</v>
      </c>
      <c r="C3132">
        <v>28</v>
      </c>
      <c r="D3132" t="str">
        <f>VLOOKUP(B3132,Products!$A:$E,2,FALSE)</f>
        <v>Product_2</v>
      </c>
      <c r="E3132" t="str">
        <f>VLOOKUP(B3132,Products!$A:$E,3,FALSE)</f>
        <v>Office Supplies</v>
      </c>
    </row>
    <row r="3133" spans="1:5" x14ac:dyDescent="0.3">
      <c r="A3133" t="s">
        <v>9145</v>
      </c>
      <c r="B3133" t="s">
        <v>78</v>
      </c>
      <c r="C3133">
        <v>32</v>
      </c>
      <c r="D3133" t="str">
        <f>VLOOKUP(B3133,Products!$A:$E,2,FALSE)</f>
        <v>Product_35</v>
      </c>
      <c r="E3133" t="str">
        <f>VLOOKUP(B3133,Products!$A:$E,3,FALSE)</f>
        <v>Electronics</v>
      </c>
    </row>
    <row r="3134" spans="1:5" x14ac:dyDescent="0.3">
      <c r="A3134" t="s">
        <v>9146</v>
      </c>
      <c r="B3134" t="s">
        <v>580</v>
      </c>
      <c r="C3134">
        <v>40</v>
      </c>
      <c r="D3134" t="str">
        <f>VLOOKUP(B3134,Products!$A:$E,2,FALSE)</f>
        <v>Product_286</v>
      </c>
      <c r="E3134" t="str">
        <f>VLOOKUP(B3134,Products!$A:$E,3,FALSE)</f>
        <v>Storage</v>
      </c>
    </row>
    <row r="3135" spans="1:5" x14ac:dyDescent="0.3">
      <c r="A3135" t="s">
        <v>9147</v>
      </c>
      <c r="B3135" t="s">
        <v>222</v>
      </c>
      <c r="C3135">
        <v>46</v>
      </c>
      <c r="D3135" t="str">
        <f>VLOOKUP(B3135,Products!$A:$E,2,FALSE)</f>
        <v>Product_107</v>
      </c>
      <c r="E3135" t="str">
        <f>VLOOKUP(B3135,Products!$A:$E,3,FALSE)</f>
        <v>Office Supplies</v>
      </c>
    </row>
    <row r="3136" spans="1:5" x14ac:dyDescent="0.3">
      <c r="A3136" t="s">
        <v>9148</v>
      </c>
      <c r="B3136" t="s">
        <v>192</v>
      </c>
      <c r="C3136">
        <v>3</v>
      </c>
      <c r="D3136" t="str">
        <f>VLOOKUP(B3136,Products!$A:$E,2,FALSE)</f>
        <v>Product_92</v>
      </c>
      <c r="E3136" t="str">
        <f>VLOOKUP(B3136,Products!$A:$E,3,FALSE)</f>
        <v>Electronics</v>
      </c>
    </row>
    <row r="3137" spans="1:5" x14ac:dyDescent="0.3">
      <c r="A3137" t="s">
        <v>9149</v>
      </c>
      <c r="B3137" t="s">
        <v>438</v>
      </c>
      <c r="C3137">
        <v>45</v>
      </c>
      <c r="D3137" t="str">
        <f>VLOOKUP(B3137,Products!$A:$E,2,FALSE)</f>
        <v>Product_215</v>
      </c>
      <c r="E3137" t="str">
        <f>VLOOKUP(B3137,Products!$A:$E,3,FALSE)</f>
        <v>Electronics</v>
      </c>
    </row>
    <row r="3138" spans="1:5" x14ac:dyDescent="0.3">
      <c r="A3138" t="s">
        <v>9150</v>
      </c>
      <c r="B3138" t="s">
        <v>278</v>
      </c>
      <c r="C3138">
        <v>40</v>
      </c>
      <c r="D3138" t="str">
        <f>VLOOKUP(B3138,Products!$A:$E,2,FALSE)</f>
        <v>Product_135</v>
      </c>
      <c r="E3138" t="str">
        <f>VLOOKUP(B3138,Products!$A:$E,3,FALSE)</f>
        <v>Accessories</v>
      </c>
    </row>
    <row r="3139" spans="1:5" x14ac:dyDescent="0.3">
      <c r="A3139" t="s">
        <v>9151</v>
      </c>
      <c r="B3139" t="s">
        <v>398</v>
      </c>
      <c r="C3139">
        <v>41</v>
      </c>
      <c r="D3139" t="str">
        <f>VLOOKUP(B3139,Products!$A:$E,2,FALSE)</f>
        <v>Product_195</v>
      </c>
      <c r="E3139" t="str">
        <f>VLOOKUP(B3139,Products!$A:$E,3,FALSE)</f>
        <v>Accessories</v>
      </c>
    </row>
    <row r="3140" spans="1:5" x14ac:dyDescent="0.3">
      <c r="A3140" t="s">
        <v>9152</v>
      </c>
      <c r="B3140" t="s">
        <v>606</v>
      </c>
      <c r="C3140">
        <v>16</v>
      </c>
      <c r="D3140" t="str">
        <f>VLOOKUP(B3140,Products!$A:$E,2,FALSE)</f>
        <v>Product_299</v>
      </c>
      <c r="E3140" t="str">
        <f>VLOOKUP(B3140,Products!$A:$E,3,FALSE)</f>
        <v>Storage</v>
      </c>
    </row>
    <row r="3141" spans="1:5" x14ac:dyDescent="0.3">
      <c r="A3141" t="s">
        <v>9153</v>
      </c>
      <c r="B3141" t="s">
        <v>662</v>
      </c>
      <c r="C3141">
        <v>23</v>
      </c>
      <c r="D3141" t="str">
        <f>VLOOKUP(B3141,Products!$A:$E,2,FALSE)</f>
        <v>Product_327</v>
      </c>
      <c r="E3141" t="str">
        <f>VLOOKUP(B3141,Products!$A:$E,3,FALSE)</f>
        <v>Networking</v>
      </c>
    </row>
    <row r="3142" spans="1:5" x14ac:dyDescent="0.3">
      <c r="A3142" t="s">
        <v>9154</v>
      </c>
      <c r="B3142" t="s">
        <v>504</v>
      </c>
      <c r="C3142">
        <v>34</v>
      </c>
      <c r="D3142" t="str">
        <f>VLOOKUP(B3142,Products!$A:$E,2,FALSE)</f>
        <v>Product_248</v>
      </c>
      <c r="E3142" t="str">
        <f>VLOOKUP(B3142,Products!$A:$E,3,FALSE)</f>
        <v>Networking</v>
      </c>
    </row>
    <row r="3143" spans="1:5" x14ac:dyDescent="0.3">
      <c r="A3143" t="s">
        <v>9155</v>
      </c>
      <c r="B3143" t="s">
        <v>682</v>
      </c>
      <c r="C3143">
        <v>12</v>
      </c>
      <c r="D3143" t="str">
        <f>VLOOKUP(B3143,Products!$A:$E,2,FALSE)</f>
        <v>Product_337</v>
      </c>
      <c r="E3143" t="str">
        <f>VLOOKUP(B3143,Products!$A:$E,3,FALSE)</f>
        <v>Storage</v>
      </c>
    </row>
    <row r="3144" spans="1:5" x14ac:dyDescent="0.3">
      <c r="A3144" t="s">
        <v>9156</v>
      </c>
      <c r="B3144" t="s">
        <v>908</v>
      </c>
      <c r="C3144">
        <v>20</v>
      </c>
      <c r="D3144" t="str">
        <f>VLOOKUP(B3144,Products!$A:$E,2,FALSE)</f>
        <v>Product_450</v>
      </c>
      <c r="E3144" t="str">
        <f>VLOOKUP(B3144,Products!$A:$E,3,FALSE)</f>
        <v>Networking</v>
      </c>
    </row>
    <row r="3145" spans="1:5" x14ac:dyDescent="0.3">
      <c r="A3145" t="s">
        <v>9157</v>
      </c>
      <c r="B3145" t="s">
        <v>870</v>
      </c>
      <c r="C3145">
        <v>15</v>
      </c>
      <c r="D3145" t="str">
        <f>VLOOKUP(B3145,Products!$A:$E,2,FALSE)</f>
        <v>Product_431</v>
      </c>
      <c r="E3145" t="str">
        <f>VLOOKUP(B3145,Products!$A:$E,3,FALSE)</f>
        <v>Electronics</v>
      </c>
    </row>
    <row r="3146" spans="1:5" x14ac:dyDescent="0.3">
      <c r="A3146" t="s">
        <v>9158</v>
      </c>
      <c r="B3146" t="s">
        <v>906</v>
      </c>
      <c r="C3146">
        <v>19</v>
      </c>
      <c r="D3146" t="str">
        <f>VLOOKUP(B3146,Products!$A:$E,2,FALSE)</f>
        <v>Product_449</v>
      </c>
      <c r="E3146" t="str">
        <f>VLOOKUP(B3146,Products!$A:$E,3,FALSE)</f>
        <v>Networking</v>
      </c>
    </row>
    <row r="3147" spans="1:5" x14ac:dyDescent="0.3">
      <c r="A3147" t="s">
        <v>9159</v>
      </c>
      <c r="B3147" t="s">
        <v>694</v>
      </c>
      <c r="C3147">
        <v>32</v>
      </c>
      <c r="D3147" t="str">
        <f>VLOOKUP(B3147,Products!$A:$E,2,FALSE)</f>
        <v>Product_343</v>
      </c>
      <c r="E3147" t="str">
        <f>VLOOKUP(B3147,Products!$A:$E,3,FALSE)</f>
        <v>Office Supplies</v>
      </c>
    </row>
    <row r="3148" spans="1:5" x14ac:dyDescent="0.3">
      <c r="A3148" t="s">
        <v>9160</v>
      </c>
      <c r="B3148" t="s">
        <v>510</v>
      </c>
      <c r="C3148">
        <v>41</v>
      </c>
      <c r="D3148" t="str">
        <f>VLOOKUP(B3148,Products!$A:$E,2,FALSE)</f>
        <v>Product_251</v>
      </c>
      <c r="E3148" t="str">
        <f>VLOOKUP(B3148,Products!$A:$E,3,FALSE)</f>
        <v>Electronics</v>
      </c>
    </row>
    <row r="3149" spans="1:5" x14ac:dyDescent="0.3">
      <c r="A3149" t="s">
        <v>9161</v>
      </c>
      <c r="B3149" t="s">
        <v>410</v>
      </c>
      <c r="C3149">
        <v>39</v>
      </c>
      <c r="D3149" t="str">
        <f>VLOOKUP(B3149,Products!$A:$E,2,FALSE)</f>
        <v>Product_201</v>
      </c>
      <c r="E3149" t="str">
        <f>VLOOKUP(B3149,Products!$A:$E,3,FALSE)</f>
        <v>Networking</v>
      </c>
    </row>
    <row r="3150" spans="1:5" x14ac:dyDescent="0.3">
      <c r="A3150" t="s">
        <v>9162</v>
      </c>
      <c r="B3150" t="s">
        <v>374</v>
      </c>
      <c r="C3150">
        <v>35</v>
      </c>
      <c r="D3150" t="str">
        <f>VLOOKUP(B3150,Products!$A:$E,2,FALSE)</f>
        <v>Product_183</v>
      </c>
      <c r="E3150" t="str">
        <f>VLOOKUP(B3150,Products!$A:$E,3,FALSE)</f>
        <v>Electronics</v>
      </c>
    </row>
    <row r="3151" spans="1:5" x14ac:dyDescent="0.3">
      <c r="A3151" t="s">
        <v>9163</v>
      </c>
      <c r="B3151" t="s">
        <v>502</v>
      </c>
      <c r="C3151">
        <v>19</v>
      </c>
      <c r="D3151" t="str">
        <f>VLOOKUP(B3151,Products!$A:$E,2,FALSE)</f>
        <v>Product_247</v>
      </c>
      <c r="E3151" t="str">
        <f>VLOOKUP(B3151,Products!$A:$E,3,FALSE)</f>
        <v>Networking</v>
      </c>
    </row>
    <row r="3152" spans="1:5" x14ac:dyDescent="0.3">
      <c r="A3152" t="s">
        <v>9164</v>
      </c>
      <c r="B3152" t="s">
        <v>108</v>
      </c>
      <c r="C3152">
        <v>15</v>
      </c>
      <c r="D3152" t="str">
        <f>VLOOKUP(B3152,Products!$A:$E,2,FALSE)</f>
        <v>Product_50</v>
      </c>
      <c r="E3152" t="str">
        <f>VLOOKUP(B3152,Products!$A:$E,3,FALSE)</f>
        <v>Networking</v>
      </c>
    </row>
    <row r="3153" spans="1:5" x14ac:dyDescent="0.3">
      <c r="A3153" t="s">
        <v>9165</v>
      </c>
      <c r="B3153" t="s">
        <v>124</v>
      </c>
      <c r="C3153">
        <v>49</v>
      </c>
      <c r="D3153" t="str">
        <f>VLOOKUP(B3153,Products!$A:$E,2,FALSE)</f>
        <v>Product_58</v>
      </c>
      <c r="E3153" t="str">
        <f>VLOOKUP(B3153,Products!$A:$E,3,FALSE)</f>
        <v>Office Supplies</v>
      </c>
    </row>
    <row r="3154" spans="1:5" x14ac:dyDescent="0.3">
      <c r="A3154" t="s">
        <v>9166</v>
      </c>
      <c r="B3154" t="s">
        <v>792</v>
      </c>
      <c r="C3154">
        <v>19</v>
      </c>
      <c r="D3154" t="str">
        <f>VLOOKUP(B3154,Products!$A:$E,2,FALSE)</f>
        <v>Product_392</v>
      </c>
      <c r="E3154" t="str">
        <f>VLOOKUP(B3154,Products!$A:$E,3,FALSE)</f>
        <v>Electronics</v>
      </c>
    </row>
    <row r="3155" spans="1:5" x14ac:dyDescent="0.3">
      <c r="A3155" t="s">
        <v>9167</v>
      </c>
      <c r="B3155" t="s">
        <v>438</v>
      </c>
      <c r="C3155">
        <v>29</v>
      </c>
      <c r="D3155" t="str">
        <f>VLOOKUP(B3155,Products!$A:$E,2,FALSE)</f>
        <v>Product_215</v>
      </c>
      <c r="E3155" t="str">
        <f>VLOOKUP(B3155,Products!$A:$E,3,FALSE)</f>
        <v>Electronics</v>
      </c>
    </row>
    <row r="3156" spans="1:5" x14ac:dyDescent="0.3">
      <c r="A3156" t="s">
        <v>9168</v>
      </c>
      <c r="B3156" t="s">
        <v>342</v>
      </c>
      <c r="C3156">
        <v>16</v>
      </c>
      <c r="D3156" t="str">
        <f>VLOOKUP(B3156,Products!$A:$E,2,FALSE)</f>
        <v>Product_167</v>
      </c>
      <c r="E3156" t="str">
        <f>VLOOKUP(B3156,Products!$A:$E,3,FALSE)</f>
        <v>Electronics</v>
      </c>
    </row>
    <row r="3157" spans="1:5" x14ac:dyDescent="0.3">
      <c r="A3157" t="s">
        <v>9169</v>
      </c>
      <c r="B3157" t="s">
        <v>688</v>
      </c>
      <c r="C3157">
        <v>28</v>
      </c>
      <c r="D3157" t="str">
        <f>VLOOKUP(B3157,Products!$A:$E,2,FALSE)</f>
        <v>Product_340</v>
      </c>
      <c r="E3157" t="str">
        <f>VLOOKUP(B3157,Products!$A:$E,3,FALSE)</f>
        <v>Storage</v>
      </c>
    </row>
    <row r="3158" spans="1:5" x14ac:dyDescent="0.3">
      <c r="A3158" t="s">
        <v>9170</v>
      </c>
      <c r="B3158" t="s">
        <v>128</v>
      </c>
      <c r="C3158">
        <v>12</v>
      </c>
      <c r="D3158" t="str">
        <f>VLOOKUP(B3158,Products!$A:$E,2,FALSE)</f>
        <v>Product_60</v>
      </c>
      <c r="E3158" t="str">
        <f>VLOOKUP(B3158,Products!$A:$E,3,FALSE)</f>
        <v>Electronics</v>
      </c>
    </row>
    <row r="3159" spans="1:5" x14ac:dyDescent="0.3">
      <c r="A3159" t="s">
        <v>9171</v>
      </c>
      <c r="B3159" t="s">
        <v>484</v>
      </c>
      <c r="C3159">
        <v>21</v>
      </c>
      <c r="D3159" t="str">
        <f>VLOOKUP(B3159,Products!$A:$E,2,FALSE)</f>
        <v>Product_238</v>
      </c>
      <c r="E3159" t="str">
        <f>VLOOKUP(B3159,Products!$A:$E,3,FALSE)</f>
        <v>Accessories</v>
      </c>
    </row>
    <row r="3160" spans="1:5" x14ac:dyDescent="0.3">
      <c r="A3160" t="s">
        <v>9172</v>
      </c>
      <c r="B3160" t="s">
        <v>686</v>
      </c>
      <c r="C3160">
        <v>8</v>
      </c>
      <c r="D3160" t="str">
        <f>VLOOKUP(B3160,Products!$A:$E,2,FALSE)</f>
        <v>Product_339</v>
      </c>
      <c r="E3160" t="str">
        <f>VLOOKUP(B3160,Products!$A:$E,3,FALSE)</f>
        <v>Storage</v>
      </c>
    </row>
    <row r="3161" spans="1:5" x14ac:dyDescent="0.3">
      <c r="A3161" t="s">
        <v>9173</v>
      </c>
      <c r="B3161" t="s">
        <v>364</v>
      </c>
      <c r="C3161">
        <v>45</v>
      </c>
      <c r="D3161" t="str">
        <f>VLOOKUP(B3161,Products!$A:$E,2,FALSE)</f>
        <v>Product_178</v>
      </c>
      <c r="E3161" t="str">
        <f>VLOOKUP(B3161,Products!$A:$E,3,FALSE)</f>
        <v>Office Supplies</v>
      </c>
    </row>
    <row r="3162" spans="1:5" x14ac:dyDescent="0.3">
      <c r="A3162" t="s">
        <v>9174</v>
      </c>
      <c r="B3162" t="s">
        <v>416</v>
      </c>
      <c r="C3162">
        <v>46</v>
      </c>
      <c r="D3162" t="str">
        <f>VLOOKUP(B3162,Products!$A:$E,2,FALSE)</f>
        <v>Product_204</v>
      </c>
      <c r="E3162" t="str">
        <f>VLOOKUP(B3162,Products!$A:$E,3,FALSE)</f>
        <v>Office Supplies</v>
      </c>
    </row>
    <row r="3163" spans="1:5" x14ac:dyDescent="0.3">
      <c r="A3163" t="s">
        <v>9175</v>
      </c>
      <c r="B3163" t="s">
        <v>140</v>
      </c>
      <c r="C3163">
        <v>50</v>
      </c>
      <c r="D3163" t="str">
        <f>VLOOKUP(B3163,Products!$A:$E,2,FALSE)</f>
        <v>Product_66</v>
      </c>
      <c r="E3163" t="str">
        <f>VLOOKUP(B3163,Products!$A:$E,3,FALSE)</f>
        <v>Electronics</v>
      </c>
    </row>
    <row r="3164" spans="1:5" x14ac:dyDescent="0.3">
      <c r="A3164" t="s">
        <v>9176</v>
      </c>
      <c r="B3164" t="s">
        <v>912</v>
      </c>
      <c r="C3164">
        <v>31</v>
      </c>
      <c r="D3164" t="str">
        <f>VLOOKUP(B3164,Products!$A:$E,2,FALSE)</f>
        <v>Product_452</v>
      </c>
      <c r="E3164" t="str">
        <f>VLOOKUP(B3164,Products!$A:$E,3,FALSE)</f>
        <v>Office Supplies</v>
      </c>
    </row>
    <row r="3165" spans="1:5" x14ac:dyDescent="0.3">
      <c r="A3165" t="s">
        <v>9177</v>
      </c>
      <c r="B3165" t="s">
        <v>870</v>
      </c>
      <c r="C3165">
        <v>32</v>
      </c>
      <c r="D3165" t="str">
        <f>VLOOKUP(B3165,Products!$A:$E,2,FALSE)</f>
        <v>Product_431</v>
      </c>
      <c r="E3165" t="str">
        <f>VLOOKUP(B3165,Products!$A:$E,3,FALSE)</f>
        <v>Electronics</v>
      </c>
    </row>
    <row r="3166" spans="1:5" x14ac:dyDescent="0.3">
      <c r="A3166" t="s">
        <v>9178</v>
      </c>
      <c r="B3166" t="s">
        <v>624</v>
      </c>
      <c r="C3166">
        <v>27</v>
      </c>
      <c r="D3166" t="str">
        <f>VLOOKUP(B3166,Products!$A:$E,2,FALSE)</f>
        <v>Product_308</v>
      </c>
      <c r="E3166" t="str">
        <f>VLOOKUP(B3166,Products!$A:$E,3,FALSE)</f>
        <v>Storage</v>
      </c>
    </row>
    <row r="3167" spans="1:5" x14ac:dyDescent="0.3">
      <c r="A3167" t="s">
        <v>9179</v>
      </c>
      <c r="B3167" t="s">
        <v>712</v>
      </c>
      <c r="C3167">
        <v>16</v>
      </c>
      <c r="D3167" t="str">
        <f>VLOOKUP(B3167,Products!$A:$E,2,FALSE)</f>
        <v>Product_352</v>
      </c>
      <c r="E3167" t="str">
        <f>VLOOKUP(B3167,Products!$A:$E,3,FALSE)</f>
        <v>Storage</v>
      </c>
    </row>
    <row r="3168" spans="1:5" x14ac:dyDescent="0.3">
      <c r="A3168" t="s">
        <v>9180</v>
      </c>
      <c r="B3168" t="s">
        <v>38</v>
      </c>
      <c r="C3168">
        <v>19</v>
      </c>
      <c r="D3168" t="str">
        <f>VLOOKUP(B3168,Products!$A:$E,2,FALSE)</f>
        <v>Product_15</v>
      </c>
      <c r="E3168" t="str">
        <f>VLOOKUP(B3168,Products!$A:$E,3,FALSE)</f>
        <v>Electronics</v>
      </c>
    </row>
    <row r="3169" spans="1:5" x14ac:dyDescent="0.3">
      <c r="A3169" t="s">
        <v>9181</v>
      </c>
      <c r="B3169" t="s">
        <v>284</v>
      </c>
      <c r="C3169">
        <v>33</v>
      </c>
      <c r="D3169" t="str">
        <f>VLOOKUP(B3169,Products!$A:$E,2,FALSE)</f>
        <v>Product_138</v>
      </c>
      <c r="E3169" t="str">
        <f>VLOOKUP(B3169,Products!$A:$E,3,FALSE)</f>
        <v>Electronics</v>
      </c>
    </row>
    <row r="3170" spans="1:5" x14ac:dyDescent="0.3">
      <c r="A3170" t="s">
        <v>9182</v>
      </c>
      <c r="B3170" t="s">
        <v>230</v>
      </c>
      <c r="C3170">
        <v>27</v>
      </c>
      <c r="D3170" t="str">
        <f>VLOOKUP(B3170,Products!$A:$E,2,FALSE)</f>
        <v>Product_111</v>
      </c>
      <c r="E3170" t="str">
        <f>VLOOKUP(B3170,Products!$A:$E,3,FALSE)</f>
        <v>Office Supplies</v>
      </c>
    </row>
    <row r="3171" spans="1:5" x14ac:dyDescent="0.3">
      <c r="A3171" t="s">
        <v>9183</v>
      </c>
      <c r="B3171" t="s">
        <v>72</v>
      </c>
      <c r="C3171">
        <v>36</v>
      </c>
      <c r="D3171" t="str">
        <f>VLOOKUP(B3171,Products!$A:$E,2,FALSE)</f>
        <v>Product_32</v>
      </c>
      <c r="E3171" t="str">
        <f>VLOOKUP(B3171,Products!$A:$E,3,FALSE)</f>
        <v>Networking</v>
      </c>
    </row>
    <row r="3172" spans="1:5" x14ac:dyDescent="0.3">
      <c r="A3172" t="s">
        <v>9184</v>
      </c>
      <c r="B3172" t="s">
        <v>800</v>
      </c>
      <c r="C3172">
        <v>21</v>
      </c>
      <c r="D3172" t="str">
        <f>VLOOKUP(B3172,Products!$A:$E,2,FALSE)</f>
        <v>Product_396</v>
      </c>
      <c r="E3172" t="str">
        <f>VLOOKUP(B3172,Products!$A:$E,3,FALSE)</f>
        <v>Office Supplies</v>
      </c>
    </row>
    <row r="3173" spans="1:5" x14ac:dyDescent="0.3">
      <c r="A3173" t="s">
        <v>9185</v>
      </c>
      <c r="B3173" t="s">
        <v>276</v>
      </c>
      <c r="C3173">
        <v>44</v>
      </c>
      <c r="D3173" t="str">
        <f>VLOOKUP(B3173,Products!$A:$E,2,FALSE)</f>
        <v>Product_134</v>
      </c>
      <c r="E3173" t="str">
        <f>VLOOKUP(B3173,Products!$A:$E,3,FALSE)</f>
        <v>Accessories</v>
      </c>
    </row>
    <row r="3174" spans="1:5" x14ac:dyDescent="0.3">
      <c r="A3174" t="s">
        <v>9186</v>
      </c>
      <c r="B3174" t="s">
        <v>334</v>
      </c>
      <c r="C3174">
        <v>27</v>
      </c>
      <c r="D3174" t="str">
        <f>VLOOKUP(B3174,Products!$A:$E,2,FALSE)</f>
        <v>Product_163</v>
      </c>
      <c r="E3174" t="str">
        <f>VLOOKUP(B3174,Products!$A:$E,3,FALSE)</f>
        <v>Accessories</v>
      </c>
    </row>
    <row r="3175" spans="1:5" x14ac:dyDescent="0.3">
      <c r="A3175" t="s">
        <v>9187</v>
      </c>
      <c r="B3175" t="s">
        <v>410</v>
      </c>
      <c r="C3175">
        <v>29</v>
      </c>
      <c r="D3175" t="str">
        <f>VLOOKUP(B3175,Products!$A:$E,2,FALSE)</f>
        <v>Product_201</v>
      </c>
      <c r="E3175" t="str">
        <f>VLOOKUP(B3175,Products!$A:$E,3,FALSE)</f>
        <v>Networking</v>
      </c>
    </row>
    <row r="3176" spans="1:5" x14ac:dyDescent="0.3">
      <c r="A3176" t="s">
        <v>9188</v>
      </c>
      <c r="B3176" t="s">
        <v>444</v>
      </c>
      <c r="C3176">
        <v>26</v>
      </c>
      <c r="D3176" t="str">
        <f>VLOOKUP(B3176,Products!$A:$E,2,FALSE)</f>
        <v>Product_218</v>
      </c>
      <c r="E3176" t="str">
        <f>VLOOKUP(B3176,Products!$A:$E,3,FALSE)</f>
        <v>Accessories</v>
      </c>
    </row>
    <row r="3177" spans="1:5" x14ac:dyDescent="0.3">
      <c r="A3177" t="s">
        <v>9189</v>
      </c>
      <c r="B3177" t="s">
        <v>276</v>
      </c>
      <c r="C3177">
        <v>4</v>
      </c>
      <c r="D3177" t="str">
        <f>VLOOKUP(B3177,Products!$A:$E,2,FALSE)</f>
        <v>Product_134</v>
      </c>
      <c r="E3177" t="str">
        <f>VLOOKUP(B3177,Products!$A:$E,3,FALSE)</f>
        <v>Accessories</v>
      </c>
    </row>
    <row r="3178" spans="1:5" x14ac:dyDescent="0.3">
      <c r="A3178" t="s">
        <v>9190</v>
      </c>
      <c r="B3178" t="s">
        <v>284</v>
      </c>
      <c r="C3178">
        <v>32</v>
      </c>
      <c r="D3178" t="str">
        <f>VLOOKUP(B3178,Products!$A:$E,2,FALSE)</f>
        <v>Product_138</v>
      </c>
      <c r="E3178" t="str">
        <f>VLOOKUP(B3178,Products!$A:$E,3,FALSE)</f>
        <v>Electronics</v>
      </c>
    </row>
    <row r="3179" spans="1:5" x14ac:dyDescent="0.3">
      <c r="A3179" t="s">
        <v>9191</v>
      </c>
      <c r="B3179" t="s">
        <v>754</v>
      </c>
      <c r="C3179">
        <v>15</v>
      </c>
      <c r="D3179" t="str">
        <f>VLOOKUP(B3179,Products!$A:$E,2,FALSE)</f>
        <v>Product_373</v>
      </c>
      <c r="E3179" t="str">
        <f>VLOOKUP(B3179,Products!$A:$E,3,FALSE)</f>
        <v>Office Supplies</v>
      </c>
    </row>
    <row r="3180" spans="1:5" x14ac:dyDescent="0.3">
      <c r="A3180" t="s">
        <v>9192</v>
      </c>
      <c r="B3180" t="s">
        <v>356</v>
      </c>
      <c r="C3180">
        <v>41</v>
      </c>
      <c r="D3180" t="str">
        <f>VLOOKUP(B3180,Products!$A:$E,2,FALSE)</f>
        <v>Product_174</v>
      </c>
      <c r="E3180" t="str">
        <f>VLOOKUP(B3180,Products!$A:$E,3,FALSE)</f>
        <v>Storage</v>
      </c>
    </row>
    <row r="3181" spans="1:5" x14ac:dyDescent="0.3">
      <c r="A3181" t="s">
        <v>9193</v>
      </c>
      <c r="B3181" t="s">
        <v>848</v>
      </c>
      <c r="C3181">
        <v>3</v>
      </c>
      <c r="D3181" t="str">
        <f>VLOOKUP(B3181,Products!$A:$E,2,FALSE)</f>
        <v>Product_420</v>
      </c>
      <c r="E3181" t="str">
        <f>VLOOKUP(B3181,Products!$A:$E,3,FALSE)</f>
        <v>Networking</v>
      </c>
    </row>
    <row r="3182" spans="1:5" x14ac:dyDescent="0.3">
      <c r="A3182" t="s">
        <v>9194</v>
      </c>
      <c r="B3182" t="s">
        <v>324</v>
      </c>
      <c r="C3182">
        <v>29</v>
      </c>
      <c r="D3182" t="str">
        <f>VLOOKUP(B3182,Products!$A:$E,2,FALSE)</f>
        <v>Product_158</v>
      </c>
      <c r="E3182" t="str">
        <f>VLOOKUP(B3182,Products!$A:$E,3,FALSE)</f>
        <v>Electronics</v>
      </c>
    </row>
    <row r="3183" spans="1:5" x14ac:dyDescent="0.3">
      <c r="A3183" t="s">
        <v>9195</v>
      </c>
      <c r="B3183" t="s">
        <v>428</v>
      </c>
      <c r="C3183">
        <v>15</v>
      </c>
      <c r="D3183" t="str">
        <f>VLOOKUP(B3183,Products!$A:$E,2,FALSE)</f>
        <v>Product_210</v>
      </c>
      <c r="E3183" t="str">
        <f>VLOOKUP(B3183,Products!$A:$E,3,FALSE)</f>
        <v>Electronics</v>
      </c>
    </row>
    <row r="3184" spans="1:5" x14ac:dyDescent="0.3">
      <c r="A3184" t="s">
        <v>9196</v>
      </c>
      <c r="B3184" t="s">
        <v>596</v>
      </c>
      <c r="C3184">
        <v>11</v>
      </c>
      <c r="D3184" t="str">
        <f>VLOOKUP(B3184,Products!$A:$E,2,FALSE)</f>
        <v>Product_294</v>
      </c>
      <c r="E3184" t="str">
        <f>VLOOKUP(B3184,Products!$A:$E,3,FALSE)</f>
        <v>Networking</v>
      </c>
    </row>
    <row r="3185" spans="1:5" x14ac:dyDescent="0.3">
      <c r="A3185" t="s">
        <v>9197</v>
      </c>
      <c r="B3185" t="s">
        <v>558</v>
      </c>
      <c r="C3185">
        <v>14</v>
      </c>
      <c r="D3185" t="str">
        <f>VLOOKUP(B3185,Products!$A:$E,2,FALSE)</f>
        <v>Product_275</v>
      </c>
      <c r="E3185" t="str">
        <f>VLOOKUP(B3185,Products!$A:$E,3,FALSE)</f>
        <v>Accessories</v>
      </c>
    </row>
    <row r="3186" spans="1:5" x14ac:dyDescent="0.3">
      <c r="A3186" t="s">
        <v>9198</v>
      </c>
      <c r="B3186" t="s">
        <v>808</v>
      </c>
      <c r="C3186">
        <v>41</v>
      </c>
      <c r="D3186" t="str">
        <f>VLOOKUP(B3186,Products!$A:$E,2,FALSE)</f>
        <v>Product_400</v>
      </c>
      <c r="E3186" t="str">
        <f>VLOOKUP(B3186,Products!$A:$E,3,FALSE)</f>
        <v>Networking</v>
      </c>
    </row>
    <row r="3187" spans="1:5" x14ac:dyDescent="0.3">
      <c r="A3187" t="s">
        <v>9199</v>
      </c>
      <c r="B3187" t="s">
        <v>122</v>
      </c>
      <c r="C3187">
        <v>40</v>
      </c>
      <c r="D3187" t="str">
        <f>VLOOKUP(B3187,Products!$A:$E,2,FALSE)</f>
        <v>Product_57</v>
      </c>
      <c r="E3187" t="str">
        <f>VLOOKUP(B3187,Products!$A:$E,3,FALSE)</f>
        <v>Electronics</v>
      </c>
    </row>
    <row r="3188" spans="1:5" x14ac:dyDescent="0.3">
      <c r="A3188" t="s">
        <v>9200</v>
      </c>
      <c r="B3188" t="s">
        <v>634</v>
      </c>
      <c r="C3188">
        <v>22</v>
      </c>
      <c r="D3188" t="str">
        <f>VLOOKUP(B3188,Products!$A:$E,2,FALSE)</f>
        <v>Product_313</v>
      </c>
      <c r="E3188" t="str">
        <f>VLOOKUP(B3188,Products!$A:$E,3,FALSE)</f>
        <v>Accessories</v>
      </c>
    </row>
    <row r="3189" spans="1:5" x14ac:dyDescent="0.3">
      <c r="A3189" t="s">
        <v>9201</v>
      </c>
      <c r="B3189" t="s">
        <v>142</v>
      </c>
      <c r="C3189">
        <v>39</v>
      </c>
      <c r="D3189" t="str">
        <f>VLOOKUP(B3189,Products!$A:$E,2,FALSE)</f>
        <v>Product_67</v>
      </c>
      <c r="E3189" t="str">
        <f>VLOOKUP(B3189,Products!$A:$E,3,FALSE)</f>
        <v>Office Supplies</v>
      </c>
    </row>
    <row r="3190" spans="1:5" x14ac:dyDescent="0.3">
      <c r="A3190" t="s">
        <v>9202</v>
      </c>
      <c r="B3190" t="s">
        <v>562</v>
      </c>
      <c r="C3190">
        <v>2</v>
      </c>
      <c r="D3190" t="str">
        <f>VLOOKUP(B3190,Products!$A:$E,2,FALSE)</f>
        <v>Product_277</v>
      </c>
      <c r="E3190" t="str">
        <f>VLOOKUP(B3190,Products!$A:$E,3,FALSE)</f>
        <v>Electronics</v>
      </c>
    </row>
    <row r="3191" spans="1:5" x14ac:dyDescent="0.3">
      <c r="A3191" t="s">
        <v>9203</v>
      </c>
      <c r="B3191" t="s">
        <v>982</v>
      </c>
      <c r="C3191">
        <v>47</v>
      </c>
      <c r="D3191" t="str">
        <f>VLOOKUP(B3191,Products!$A:$E,2,FALSE)</f>
        <v>Product_487</v>
      </c>
      <c r="E3191" t="str">
        <f>VLOOKUP(B3191,Products!$A:$E,3,FALSE)</f>
        <v>Networking</v>
      </c>
    </row>
    <row r="3192" spans="1:5" x14ac:dyDescent="0.3">
      <c r="A3192" t="s">
        <v>9204</v>
      </c>
      <c r="B3192" t="s">
        <v>30</v>
      </c>
      <c r="C3192">
        <v>25</v>
      </c>
      <c r="D3192" t="str">
        <f>VLOOKUP(B3192,Products!$A:$E,2,FALSE)</f>
        <v>Product_11</v>
      </c>
      <c r="E3192" t="str">
        <f>VLOOKUP(B3192,Products!$A:$E,3,FALSE)</f>
        <v>Electronics</v>
      </c>
    </row>
    <row r="3193" spans="1:5" x14ac:dyDescent="0.3">
      <c r="A3193" t="s">
        <v>9205</v>
      </c>
      <c r="B3193" t="s">
        <v>102</v>
      </c>
      <c r="C3193">
        <v>50</v>
      </c>
      <c r="D3193" t="str">
        <f>VLOOKUP(B3193,Products!$A:$E,2,FALSE)</f>
        <v>Product_47</v>
      </c>
      <c r="E3193" t="str">
        <f>VLOOKUP(B3193,Products!$A:$E,3,FALSE)</f>
        <v>Electronics</v>
      </c>
    </row>
    <row r="3194" spans="1:5" x14ac:dyDescent="0.3">
      <c r="A3194" t="s">
        <v>9206</v>
      </c>
      <c r="B3194" t="s">
        <v>730</v>
      </c>
      <c r="C3194">
        <v>22</v>
      </c>
      <c r="D3194" t="str">
        <f>VLOOKUP(B3194,Products!$A:$E,2,FALSE)</f>
        <v>Product_361</v>
      </c>
      <c r="E3194" t="str">
        <f>VLOOKUP(B3194,Products!$A:$E,3,FALSE)</f>
        <v>Office Supplies</v>
      </c>
    </row>
    <row r="3195" spans="1:5" x14ac:dyDescent="0.3">
      <c r="A3195" t="s">
        <v>9207</v>
      </c>
      <c r="B3195" t="s">
        <v>944</v>
      </c>
      <c r="C3195">
        <v>23</v>
      </c>
      <c r="D3195" t="str">
        <f>VLOOKUP(B3195,Products!$A:$E,2,FALSE)</f>
        <v>Product_468</v>
      </c>
      <c r="E3195" t="str">
        <f>VLOOKUP(B3195,Products!$A:$E,3,FALSE)</f>
        <v>Office Supplies</v>
      </c>
    </row>
    <row r="3196" spans="1:5" x14ac:dyDescent="0.3">
      <c r="A3196" t="s">
        <v>9208</v>
      </c>
      <c r="B3196" t="s">
        <v>794</v>
      </c>
      <c r="C3196">
        <v>50</v>
      </c>
      <c r="D3196" t="str">
        <f>VLOOKUP(B3196,Products!$A:$E,2,FALSE)</f>
        <v>Product_393</v>
      </c>
      <c r="E3196" t="str">
        <f>VLOOKUP(B3196,Products!$A:$E,3,FALSE)</f>
        <v>Electronics</v>
      </c>
    </row>
    <row r="3197" spans="1:5" x14ac:dyDescent="0.3">
      <c r="A3197" t="s">
        <v>9209</v>
      </c>
      <c r="B3197" t="s">
        <v>576</v>
      </c>
      <c r="C3197">
        <v>5</v>
      </c>
      <c r="D3197" t="str">
        <f>VLOOKUP(B3197,Products!$A:$E,2,FALSE)</f>
        <v>Product_284</v>
      </c>
      <c r="E3197" t="str">
        <f>VLOOKUP(B3197,Products!$A:$E,3,FALSE)</f>
        <v>Networking</v>
      </c>
    </row>
    <row r="3198" spans="1:5" x14ac:dyDescent="0.3">
      <c r="A3198" t="s">
        <v>9210</v>
      </c>
      <c r="B3198" t="s">
        <v>680</v>
      </c>
      <c r="C3198">
        <v>4</v>
      </c>
      <c r="D3198" t="str">
        <f>VLOOKUP(B3198,Products!$A:$E,2,FALSE)</f>
        <v>Product_336</v>
      </c>
      <c r="E3198" t="str">
        <f>VLOOKUP(B3198,Products!$A:$E,3,FALSE)</f>
        <v>Storage</v>
      </c>
    </row>
    <row r="3199" spans="1:5" x14ac:dyDescent="0.3">
      <c r="A3199" t="s">
        <v>9211</v>
      </c>
      <c r="B3199" t="s">
        <v>540</v>
      </c>
      <c r="C3199">
        <v>14</v>
      </c>
      <c r="D3199" t="str">
        <f>VLOOKUP(B3199,Products!$A:$E,2,FALSE)</f>
        <v>Product_266</v>
      </c>
      <c r="E3199" t="str">
        <f>VLOOKUP(B3199,Products!$A:$E,3,FALSE)</f>
        <v>Electronics</v>
      </c>
    </row>
    <row r="3200" spans="1:5" x14ac:dyDescent="0.3">
      <c r="A3200" t="s">
        <v>9212</v>
      </c>
      <c r="B3200" t="s">
        <v>380</v>
      </c>
      <c r="C3200">
        <v>35</v>
      </c>
      <c r="D3200" t="str">
        <f>VLOOKUP(B3200,Products!$A:$E,2,FALSE)</f>
        <v>Product_186</v>
      </c>
      <c r="E3200" t="str">
        <f>VLOOKUP(B3200,Products!$A:$E,3,FALSE)</f>
        <v>Accessories</v>
      </c>
    </row>
    <row r="3201" spans="1:5" x14ac:dyDescent="0.3">
      <c r="A3201" t="s">
        <v>9213</v>
      </c>
      <c r="B3201" t="s">
        <v>212</v>
      </c>
      <c r="C3201">
        <v>11</v>
      </c>
      <c r="D3201" t="str">
        <f>VLOOKUP(B3201,Products!$A:$E,2,FALSE)</f>
        <v>Product_102</v>
      </c>
      <c r="E3201" t="str">
        <f>VLOOKUP(B3201,Products!$A:$E,3,FALSE)</f>
        <v>Storage</v>
      </c>
    </row>
    <row r="3202" spans="1:5" x14ac:dyDescent="0.3">
      <c r="A3202" t="s">
        <v>9214</v>
      </c>
      <c r="B3202" t="s">
        <v>868</v>
      </c>
      <c r="C3202">
        <v>35</v>
      </c>
      <c r="D3202" t="str">
        <f>VLOOKUP(B3202,Products!$A:$E,2,FALSE)</f>
        <v>Product_430</v>
      </c>
      <c r="E3202" t="str">
        <f>VLOOKUP(B3202,Products!$A:$E,3,FALSE)</f>
        <v>Electronics</v>
      </c>
    </row>
    <row r="3203" spans="1:5" x14ac:dyDescent="0.3">
      <c r="A3203" t="s">
        <v>9215</v>
      </c>
      <c r="B3203" t="s">
        <v>414</v>
      </c>
      <c r="C3203">
        <v>46</v>
      </c>
      <c r="D3203" t="str">
        <f>VLOOKUP(B3203,Products!$A:$E,2,FALSE)</f>
        <v>Product_203</v>
      </c>
      <c r="E3203" t="str">
        <f>VLOOKUP(B3203,Products!$A:$E,3,FALSE)</f>
        <v>Accessories</v>
      </c>
    </row>
    <row r="3204" spans="1:5" x14ac:dyDescent="0.3">
      <c r="A3204" t="s">
        <v>9216</v>
      </c>
      <c r="B3204" t="s">
        <v>244</v>
      </c>
      <c r="C3204">
        <v>19</v>
      </c>
      <c r="D3204" t="str">
        <f>VLOOKUP(B3204,Products!$A:$E,2,FALSE)</f>
        <v>Product_118</v>
      </c>
      <c r="E3204" t="str">
        <f>VLOOKUP(B3204,Products!$A:$E,3,FALSE)</f>
        <v>Accessories</v>
      </c>
    </row>
    <row r="3205" spans="1:5" x14ac:dyDescent="0.3">
      <c r="A3205" t="s">
        <v>9217</v>
      </c>
      <c r="B3205" t="s">
        <v>830</v>
      </c>
      <c r="C3205">
        <v>11</v>
      </c>
      <c r="D3205" t="str">
        <f>VLOOKUP(B3205,Products!$A:$E,2,FALSE)</f>
        <v>Product_411</v>
      </c>
      <c r="E3205" t="str">
        <f>VLOOKUP(B3205,Products!$A:$E,3,FALSE)</f>
        <v>Office Supplies</v>
      </c>
    </row>
    <row r="3206" spans="1:5" x14ac:dyDescent="0.3">
      <c r="A3206" t="s">
        <v>9218</v>
      </c>
      <c r="B3206" t="s">
        <v>942</v>
      </c>
      <c r="C3206">
        <v>24</v>
      </c>
      <c r="D3206" t="str">
        <f>VLOOKUP(B3206,Products!$A:$E,2,FALSE)</f>
        <v>Product_467</v>
      </c>
      <c r="E3206" t="str">
        <f>VLOOKUP(B3206,Products!$A:$E,3,FALSE)</f>
        <v>Accessories</v>
      </c>
    </row>
    <row r="3207" spans="1:5" x14ac:dyDescent="0.3">
      <c r="A3207" t="s">
        <v>9219</v>
      </c>
      <c r="B3207" t="s">
        <v>348</v>
      </c>
      <c r="C3207">
        <v>27</v>
      </c>
      <c r="D3207" t="str">
        <f>VLOOKUP(B3207,Products!$A:$E,2,FALSE)</f>
        <v>Product_170</v>
      </c>
      <c r="E3207" t="str">
        <f>VLOOKUP(B3207,Products!$A:$E,3,FALSE)</f>
        <v>Office Supplies</v>
      </c>
    </row>
    <row r="3208" spans="1:5" x14ac:dyDescent="0.3">
      <c r="A3208" t="s">
        <v>9220</v>
      </c>
      <c r="B3208" t="s">
        <v>230</v>
      </c>
      <c r="C3208">
        <v>36</v>
      </c>
      <c r="D3208" t="str">
        <f>VLOOKUP(B3208,Products!$A:$E,2,FALSE)</f>
        <v>Product_111</v>
      </c>
      <c r="E3208" t="str">
        <f>VLOOKUP(B3208,Products!$A:$E,3,FALSE)</f>
        <v>Office Supplies</v>
      </c>
    </row>
    <row r="3209" spans="1:5" x14ac:dyDescent="0.3">
      <c r="A3209" t="s">
        <v>9221</v>
      </c>
      <c r="B3209" t="s">
        <v>760</v>
      </c>
      <c r="C3209">
        <v>16</v>
      </c>
      <c r="D3209" t="str">
        <f>VLOOKUP(B3209,Products!$A:$E,2,FALSE)</f>
        <v>Product_376</v>
      </c>
      <c r="E3209" t="str">
        <f>VLOOKUP(B3209,Products!$A:$E,3,FALSE)</f>
        <v>Networking</v>
      </c>
    </row>
    <row r="3210" spans="1:5" x14ac:dyDescent="0.3">
      <c r="A3210" t="s">
        <v>9222</v>
      </c>
      <c r="B3210" t="s">
        <v>972</v>
      </c>
      <c r="C3210">
        <v>1</v>
      </c>
      <c r="D3210" t="str">
        <f>VLOOKUP(B3210,Products!$A:$E,2,FALSE)</f>
        <v>Product_482</v>
      </c>
      <c r="E3210" t="str">
        <f>VLOOKUP(B3210,Products!$A:$E,3,FALSE)</f>
        <v>Storage</v>
      </c>
    </row>
    <row r="3211" spans="1:5" x14ac:dyDescent="0.3">
      <c r="A3211" t="s">
        <v>9223</v>
      </c>
      <c r="B3211" t="s">
        <v>46</v>
      </c>
      <c r="C3211">
        <v>2</v>
      </c>
      <c r="D3211" t="str">
        <f>VLOOKUP(B3211,Products!$A:$E,2,FALSE)</f>
        <v>Product_19</v>
      </c>
      <c r="E3211" t="str">
        <f>VLOOKUP(B3211,Products!$A:$E,3,FALSE)</f>
        <v>Networking</v>
      </c>
    </row>
    <row r="3212" spans="1:5" x14ac:dyDescent="0.3">
      <c r="A3212" t="s">
        <v>9224</v>
      </c>
      <c r="B3212" t="s">
        <v>782</v>
      </c>
      <c r="C3212">
        <v>34</v>
      </c>
      <c r="D3212" t="str">
        <f>VLOOKUP(B3212,Products!$A:$E,2,FALSE)</f>
        <v>Product_387</v>
      </c>
      <c r="E3212" t="str">
        <f>VLOOKUP(B3212,Products!$A:$E,3,FALSE)</f>
        <v>Storage</v>
      </c>
    </row>
    <row r="3213" spans="1:5" x14ac:dyDescent="0.3">
      <c r="A3213" t="s">
        <v>9225</v>
      </c>
      <c r="B3213" t="s">
        <v>114</v>
      </c>
      <c r="C3213">
        <v>33</v>
      </c>
      <c r="D3213" t="str">
        <f>VLOOKUP(B3213,Products!$A:$E,2,FALSE)</f>
        <v>Product_53</v>
      </c>
      <c r="E3213" t="str">
        <f>VLOOKUP(B3213,Products!$A:$E,3,FALSE)</f>
        <v>Electronics</v>
      </c>
    </row>
    <row r="3214" spans="1:5" x14ac:dyDescent="0.3">
      <c r="A3214" t="s">
        <v>9226</v>
      </c>
      <c r="B3214" t="s">
        <v>416</v>
      </c>
      <c r="C3214">
        <v>32</v>
      </c>
      <c r="D3214" t="str">
        <f>VLOOKUP(B3214,Products!$A:$E,2,FALSE)</f>
        <v>Product_204</v>
      </c>
      <c r="E3214" t="str">
        <f>VLOOKUP(B3214,Products!$A:$E,3,FALSE)</f>
        <v>Office Supplies</v>
      </c>
    </row>
    <row r="3215" spans="1:5" x14ac:dyDescent="0.3">
      <c r="A3215" t="s">
        <v>9227</v>
      </c>
      <c r="B3215" t="s">
        <v>52</v>
      </c>
      <c r="C3215">
        <v>11</v>
      </c>
      <c r="D3215" t="str">
        <f>VLOOKUP(B3215,Products!$A:$E,2,FALSE)</f>
        <v>Product_22</v>
      </c>
      <c r="E3215" t="str">
        <f>VLOOKUP(B3215,Products!$A:$E,3,FALSE)</f>
        <v>Electronics</v>
      </c>
    </row>
    <row r="3216" spans="1:5" x14ac:dyDescent="0.3">
      <c r="A3216" t="s">
        <v>9228</v>
      </c>
      <c r="B3216" t="s">
        <v>298</v>
      </c>
      <c r="C3216">
        <v>20</v>
      </c>
      <c r="D3216" t="str">
        <f>VLOOKUP(B3216,Products!$A:$E,2,FALSE)</f>
        <v>Product_145</v>
      </c>
      <c r="E3216" t="str">
        <f>VLOOKUP(B3216,Products!$A:$E,3,FALSE)</f>
        <v>Office Supplies</v>
      </c>
    </row>
    <row r="3217" spans="1:5" x14ac:dyDescent="0.3">
      <c r="A3217" t="s">
        <v>9229</v>
      </c>
      <c r="B3217" t="s">
        <v>34</v>
      </c>
      <c r="C3217">
        <v>15</v>
      </c>
      <c r="D3217" t="str">
        <f>VLOOKUP(B3217,Products!$A:$E,2,FALSE)</f>
        <v>Product_13</v>
      </c>
      <c r="E3217" t="str">
        <f>VLOOKUP(B3217,Products!$A:$E,3,FALSE)</f>
        <v>Office Supplies</v>
      </c>
    </row>
    <row r="3218" spans="1:5" x14ac:dyDescent="0.3">
      <c r="A3218" t="s">
        <v>9230</v>
      </c>
      <c r="B3218" t="s">
        <v>656</v>
      </c>
      <c r="C3218">
        <v>50</v>
      </c>
      <c r="D3218" t="str">
        <f>VLOOKUP(B3218,Products!$A:$E,2,FALSE)</f>
        <v>Product_324</v>
      </c>
      <c r="E3218" t="str">
        <f>VLOOKUP(B3218,Products!$A:$E,3,FALSE)</f>
        <v>Accessories</v>
      </c>
    </row>
    <row r="3219" spans="1:5" x14ac:dyDescent="0.3">
      <c r="A3219" t="s">
        <v>9231</v>
      </c>
      <c r="B3219" t="s">
        <v>714</v>
      </c>
      <c r="C3219">
        <v>16</v>
      </c>
      <c r="D3219" t="str">
        <f>VLOOKUP(B3219,Products!$A:$E,2,FALSE)</f>
        <v>Product_353</v>
      </c>
      <c r="E3219" t="str">
        <f>VLOOKUP(B3219,Products!$A:$E,3,FALSE)</f>
        <v>Accessories</v>
      </c>
    </row>
    <row r="3220" spans="1:5" x14ac:dyDescent="0.3">
      <c r="A3220" t="s">
        <v>9232</v>
      </c>
      <c r="B3220" t="s">
        <v>44</v>
      </c>
      <c r="C3220">
        <v>18</v>
      </c>
      <c r="D3220" t="str">
        <f>VLOOKUP(B3220,Products!$A:$E,2,FALSE)</f>
        <v>Product_18</v>
      </c>
      <c r="E3220" t="str">
        <f>VLOOKUP(B3220,Products!$A:$E,3,FALSE)</f>
        <v>Networking</v>
      </c>
    </row>
    <row r="3221" spans="1:5" x14ac:dyDescent="0.3">
      <c r="A3221" t="s">
        <v>9233</v>
      </c>
      <c r="B3221" t="s">
        <v>776</v>
      </c>
      <c r="C3221">
        <v>8</v>
      </c>
      <c r="D3221" t="str">
        <f>VLOOKUP(B3221,Products!$A:$E,2,FALSE)</f>
        <v>Product_384</v>
      </c>
      <c r="E3221" t="str">
        <f>VLOOKUP(B3221,Products!$A:$E,3,FALSE)</f>
        <v>Office Supplies</v>
      </c>
    </row>
    <row r="3222" spans="1:5" x14ac:dyDescent="0.3">
      <c r="A3222" t="s">
        <v>9234</v>
      </c>
      <c r="B3222" t="s">
        <v>842</v>
      </c>
      <c r="C3222">
        <v>25</v>
      </c>
      <c r="D3222" t="str">
        <f>VLOOKUP(B3222,Products!$A:$E,2,FALSE)</f>
        <v>Product_417</v>
      </c>
      <c r="E3222" t="str">
        <f>VLOOKUP(B3222,Products!$A:$E,3,FALSE)</f>
        <v>Accessories</v>
      </c>
    </row>
    <row r="3223" spans="1:5" x14ac:dyDescent="0.3">
      <c r="A3223" t="s">
        <v>9235</v>
      </c>
      <c r="B3223" t="s">
        <v>680</v>
      </c>
      <c r="C3223">
        <v>26</v>
      </c>
      <c r="D3223" t="str">
        <f>VLOOKUP(B3223,Products!$A:$E,2,FALSE)</f>
        <v>Product_336</v>
      </c>
      <c r="E3223" t="str">
        <f>VLOOKUP(B3223,Products!$A:$E,3,FALSE)</f>
        <v>Storage</v>
      </c>
    </row>
    <row r="3224" spans="1:5" x14ac:dyDescent="0.3">
      <c r="A3224" t="s">
        <v>9236</v>
      </c>
      <c r="B3224" t="s">
        <v>144</v>
      </c>
      <c r="C3224">
        <v>48</v>
      </c>
      <c r="D3224" t="str">
        <f>VLOOKUP(B3224,Products!$A:$E,2,FALSE)</f>
        <v>Product_68</v>
      </c>
      <c r="E3224" t="str">
        <f>VLOOKUP(B3224,Products!$A:$E,3,FALSE)</f>
        <v>Accessories</v>
      </c>
    </row>
    <row r="3225" spans="1:5" x14ac:dyDescent="0.3">
      <c r="A3225" t="s">
        <v>9237</v>
      </c>
      <c r="B3225" t="s">
        <v>906</v>
      </c>
      <c r="C3225">
        <v>18</v>
      </c>
      <c r="D3225" t="str">
        <f>VLOOKUP(B3225,Products!$A:$E,2,FALSE)</f>
        <v>Product_449</v>
      </c>
      <c r="E3225" t="str">
        <f>VLOOKUP(B3225,Products!$A:$E,3,FALSE)</f>
        <v>Networking</v>
      </c>
    </row>
    <row r="3226" spans="1:5" x14ac:dyDescent="0.3">
      <c r="A3226" t="s">
        <v>9238</v>
      </c>
      <c r="B3226" t="s">
        <v>892</v>
      </c>
      <c r="C3226">
        <v>6</v>
      </c>
      <c r="D3226" t="str">
        <f>VLOOKUP(B3226,Products!$A:$E,2,FALSE)</f>
        <v>Product_442</v>
      </c>
      <c r="E3226" t="str">
        <f>VLOOKUP(B3226,Products!$A:$E,3,FALSE)</f>
        <v>Networking</v>
      </c>
    </row>
    <row r="3227" spans="1:5" x14ac:dyDescent="0.3">
      <c r="A3227" t="s">
        <v>9239</v>
      </c>
      <c r="B3227" t="s">
        <v>88</v>
      </c>
      <c r="C3227">
        <v>5</v>
      </c>
      <c r="D3227" t="str">
        <f>VLOOKUP(B3227,Products!$A:$E,2,FALSE)</f>
        <v>Product_40</v>
      </c>
      <c r="E3227" t="str">
        <f>VLOOKUP(B3227,Products!$A:$E,3,FALSE)</f>
        <v>Accessories</v>
      </c>
    </row>
    <row r="3228" spans="1:5" x14ac:dyDescent="0.3">
      <c r="A3228" t="s">
        <v>9240</v>
      </c>
      <c r="B3228" t="s">
        <v>526</v>
      </c>
      <c r="C3228">
        <v>47</v>
      </c>
      <c r="D3228" t="str">
        <f>VLOOKUP(B3228,Products!$A:$E,2,FALSE)</f>
        <v>Product_259</v>
      </c>
      <c r="E3228" t="str">
        <f>VLOOKUP(B3228,Products!$A:$E,3,FALSE)</f>
        <v>Electronics</v>
      </c>
    </row>
    <row r="3229" spans="1:5" x14ac:dyDescent="0.3">
      <c r="A3229" t="s">
        <v>9241</v>
      </c>
      <c r="B3229" t="s">
        <v>730</v>
      </c>
      <c r="C3229">
        <v>49</v>
      </c>
      <c r="D3229" t="str">
        <f>VLOOKUP(B3229,Products!$A:$E,2,FALSE)</f>
        <v>Product_361</v>
      </c>
      <c r="E3229" t="str">
        <f>VLOOKUP(B3229,Products!$A:$E,3,FALSE)</f>
        <v>Office Supplies</v>
      </c>
    </row>
    <row r="3230" spans="1:5" x14ac:dyDescent="0.3">
      <c r="A3230" t="s">
        <v>9242</v>
      </c>
      <c r="B3230" t="s">
        <v>760</v>
      </c>
      <c r="C3230">
        <v>27</v>
      </c>
      <c r="D3230" t="str">
        <f>VLOOKUP(B3230,Products!$A:$E,2,FALSE)</f>
        <v>Product_376</v>
      </c>
      <c r="E3230" t="str">
        <f>VLOOKUP(B3230,Products!$A:$E,3,FALSE)</f>
        <v>Networking</v>
      </c>
    </row>
    <row r="3231" spans="1:5" x14ac:dyDescent="0.3">
      <c r="A3231" t="s">
        <v>9243</v>
      </c>
      <c r="B3231" t="s">
        <v>30</v>
      </c>
      <c r="C3231">
        <v>1</v>
      </c>
      <c r="D3231" t="str">
        <f>VLOOKUP(B3231,Products!$A:$E,2,FALSE)</f>
        <v>Product_11</v>
      </c>
      <c r="E3231" t="str">
        <f>VLOOKUP(B3231,Products!$A:$E,3,FALSE)</f>
        <v>Electronics</v>
      </c>
    </row>
    <row r="3232" spans="1:5" x14ac:dyDescent="0.3">
      <c r="A3232" t="s">
        <v>9244</v>
      </c>
      <c r="B3232" t="s">
        <v>770</v>
      </c>
      <c r="C3232">
        <v>35</v>
      </c>
      <c r="D3232" t="str">
        <f>VLOOKUP(B3232,Products!$A:$E,2,FALSE)</f>
        <v>Product_381</v>
      </c>
      <c r="E3232" t="str">
        <f>VLOOKUP(B3232,Products!$A:$E,3,FALSE)</f>
        <v>Storage</v>
      </c>
    </row>
    <row r="3233" spans="1:5" x14ac:dyDescent="0.3">
      <c r="A3233" t="s">
        <v>9245</v>
      </c>
      <c r="B3233" t="s">
        <v>628</v>
      </c>
      <c r="C3233">
        <v>10</v>
      </c>
      <c r="D3233" t="str">
        <f>VLOOKUP(B3233,Products!$A:$E,2,FALSE)</f>
        <v>Product_310</v>
      </c>
      <c r="E3233" t="str">
        <f>VLOOKUP(B3233,Products!$A:$E,3,FALSE)</f>
        <v>Office Supplies</v>
      </c>
    </row>
    <row r="3234" spans="1:5" x14ac:dyDescent="0.3">
      <c r="A3234" t="s">
        <v>9246</v>
      </c>
      <c r="B3234" t="s">
        <v>106</v>
      </c>
      <c r="C3234">
        <v>48</v>
      </c>
      <c r="D3234" t="str">
        <f>VLOOKUP(B3234,Products!$A:$E,2,FALSE)</f>
        <v>Product_49</v>
      </c>
      <c r="E3234" t="str">
        <f>VLOOKUP(B3234,Products!$A:$E,3,FALSE)</f>
        <v>Storage</v>
      </c>
    </row>
    <row r="3235" spans="1:5" x14ac:dyDescent="0.3">
      <c r="A3235" t="s">
        <v>9247</v>
      </c>
      <c r="B3235" t="s">
        <v>612</v>
      </c>
      <c r="C3235">
        <v>26</v>
      </c>
      <c r="D3235" t="str">
        <f>VLOOKUP(B3235,Products!$A:$E,2,FALSE)</f>
        <v>Product_302</v>
      </c>
      <c r="E3235" t="str">
        <f>VLOOKUP(B3235,Products!$A:$E,3,FALSE)</f>
        <v>Accessories</v>
      </c>
    </row>
    <row r="3236" spans="1:5" x14ac:dyDescent="0.3">
      <c r="A3236" t="s">
        <v>9248</v>
      </c>
      <c r="B3236" t="s">
        <v>208</v>
      </c>
      <c r="C3236">
        <v>39</v>
      </c>
      <c r="D3236" t="str">
        <f>VLOOKUP(B3236,Products!$A:$E,2,FALSE)</f>
        <v>Product_100</v>
      </c>
      <c r="E3236" t="str">
        <f>VLOOKUP(B3236,Products!$A:$E,3,FALSE)</f>
        <v>Accessories</v>
      </c>
    </row>
    <row r="3237" spans="1:5" x14ac:dyDescent="0.3">
      <c r="A3237" t="s">
        <v>9249</v>
      </c>
      <c r="B3237" t="s">
        <v>888</v>
      </c>
      <c r="C3237">
        <v>20</v>
      </c>
      <c r="D3237" t="str">
        <f>VLOOKUP(B3237,Products!$A:$E,2,FALSE)</f>
        <v>Product_440</v>
      </c>
      <c r="E3237" t="str">
        <f>VLOOKUP(B3237,Products!$A:$E,3,FALSE)</f>
        <v>Accessories</v>
      </c>
    </row>
    <row r="3238" spans="1:5" x14ac:dyDescent="0.3">
      <c r="A3238" t="s">
        <v>9250</v>
      </c>
      <c r="B3238" t="s">
        <v>812</v>
      </c>
      <c r="C3238">
        <v>21</v>
      </c>
      <c r="D3238" t="str">
        <f>VLOOKUP(B3238,Products!$A:$E,2,FALSE)</f>
        <v>Product_402</v>
      </c>
      <c r="E3238" t="str">
        <f>VLOOKUP(B3238,Products!$A:$E,3,FALSE)</f>
        <v>Accessories</v>
      </c>
    </row>
    <row r="3239" spans="1:5" x14ac:dyDescent="0.3">
      <c r="A3239" t="s">
        <v>9251</v>
      </c>
      <c r="B3239" t="s">
        <v>444</v>
      </c>
      <c r="C3239">
        <v>33</v>
      </c>
      <c r="D3239" t="str">
        <f>VLOOKUP(B3239,Products!$A:$E,2,FALSE)</f>
        <v>Product_218</v>
      </c>
      <c r="E3239" t="str">
        <f>VLOOKUP(B3239,Products!$A:$E,3,FALSE)</f>
        <v>Accessories</v>
      </c>
    </row>
    <row r="3240" spans="1:5" x14ac:dyDescent="0.3">
      <c r="A3240" t="s">
        <v>9252</v>
      </c>
      <c r="B3240" t="s">
        <v>770</v>
      </c>
      <c r="C3240">
        <v>2</v>
      </c>
      <c r="D3240" t="str">
        <f>VLOOKUP(B3240,Products!$A:$E,2,FALSE)</f>
        <v>Product_381</v>
      </c>
      <c r="E3240" t="str">
        <f>VLOOKUP(B3240,Products!$A:$E,3,FALSE)</f>
        <v>Storage</v>
      </c>
    </row>
    <row r="3241" spans="1:5" x14ac:dyDescent="0.3">
      <c r="A3241" t="s">
        <v>9253</v>
      </c>
      <c r="B3241" t="s">
        <v>318</v>
      </c>
      <c r="C3241">
        <v>18</v>
      </c>
      <c r="D3241" t="str">
        <f>VLOOKUP(B3241,Products!$A:$E,2,FALSE)</f>
        <v>Product_155</v>
      </c>
      <c r="E3241" t="str">
        <f>VLOOKUP(B3241,Products!$A:$E,3,FALSE)</f>
        <v>Office Supplies</v>
      </c>
    </row>
    <row r="3242" spans="1:5" x14ac:dyDescent="0.3">
      <c r="A3242" t="s">
        <v>9254</v>
      </c>
      <c r="B3242" t="s">
        <v>478</v>
      </c>
      <c r="C3242">
        <v>13</v>
      </c>
      <c r="D3242" t="str">
        <f>VLOOKUP(B3242,Products!$A:$E,2,FALSE)</f>
        <v>Product_235</v>
      </c>
      <c r="E3242" t="str">
        <f>VLOOKUP(B3242,Products!$A:$E,3,FALSE)</f>
        <v>Accessories</v>
      </c>
    </row>
    <row r="3243" spans="1:5" x14ac:dyDescent="0.3">
      <c r="A3243" t="s">
        <v>9255</v>
      </c>
      <c r="B3243" t="s">
        <v>112</v>
      </c>
      <c r="C3243">
        <v>17</v>
      </c>
      <c r="D3243" t="str">
        <f>VLOOKUP(B3243,Products!$A:$E,2,FALSE)</f>
        <v>Product_52</v>
      </c>
      <c r="E3243" t="str">
        <f>VLOOKUP(B3243,Products!$A:$E,3,FALSE)</f>
        <v>Electronics</v>
      </c>
    </row>
    <row r="3244" spans="1:5" x14ac:dyDescent="0.3">
      <c r="A3244" t="s">
        <v>9256</v>
      </c>
      <c r="B3244" t="s">
        <v>1002</v>
      </c>
      <c r="C3244">
        <v>42</v>
      </c>
      <c r="D3244" t="str">
        <f>VLOOKUP(B3244,Products!$A:$E,2,FALSE)</f>
        <v>Product_497</v>
      </c>
      <c r="E3244" t="str">
        <f>VLOOKUP(B3244,Products!$A:$E,3,FALSE)</f>
        <v>Office Supplies</v>
      </c>
    </row>
    <row r="3245" spans="1:5" x14ac:dyDescent="0.3">
      <c r="A3245" t="s">
        <v>9257</v>
      </c>
      <c r="B3245" t="s">
        <v>600</v>
      </c>
      <c r="C3245">
        <v>31</v>
      </c>
      <c r="D3245" t="str">
        <f>VLOOKUP(B3245,Products!$A:$E,2,FALSE)</f>
        <v>Product_296</v>
      </c>
      <c r="E3245" t="str">
        <f>VLOOKUP(B3245,Products!$A:$E,3,FALSE)</f>
        <v>Office Supplies</v>
      </c>
    </row>
    <row r="3246" spans="1:5" x14ac:dyDescent="0.3">
      <c r="A3246" t="s">
        <v>9258</v>
      </c>
      <c r="B3246" t="s">
        <v>394</v>
      </c>
      <c r="C3246">
        <v>19</v>
      </c>
      <c r="D3246" t="str">
        <f>VLOOKUP(B3246,Products!$A:$E,2,FALSE)</f>
        <v>Product_193</v>
      </c>
      <c r="E3246" t="str">
        <f>VLOOKUP(B3246,Products!$A:$E,3,FALSE)</f>
        <v>Accessories</v>
      </c>
    </row>
    <row r="3247" spans="1:5" x14ac:dyDescent="0.3">
      <c r="A3247" t="s">
        <v>9259</v>
      </c>
      <c r="B3247" t="s">
        <v>448</v>
      </c>
      <c r="C3247">
        <v>6</v>
      </c>
      <c r="D3247" t="str">
        <f>VLOOKUP(B3247,Products!$A:$E,2,FALSE)</f>
        <v>Product_220</v>
      </c>
      <c r="E3247" t="str">
        <f>VLOOKUP(B3247,Products!$A:$E,3,FALSE)</f>
        <v>Storage</v>
      </c>
    </row>
    <row r="3248" spans="1:5" x14ac:dyDescent="0.3">
      <c r="A3248" t="s">
        <v>9260</v>
      </c>
      <c r="B3248" t="s">
        <v>236</v>
      </c>
      <c r="C3248">
        <v>27</v>
      </c>
      <c r="D3248" t="str">
        <f>VLOOKUP(B3248,Products!$A:$E,2,FALSE)</f>
        <v>Product_114</v>
      </c>
      <c r="E3248" t="str">
        <f>VLOOKUP(B3248,Products!$A:$E,3,FALSE)</f>
        <v>Electronics</v>
      </c>
    </row>
    <row r="3249" spans="1:5" x14ac:dyDescent="0.3">
      <c r="A3249" t="s">
        <v>9261</v>
      </c>
      <c r="B3249" t="s">
        <v>584</v>
      </c>
      <c r="C3249">
        <v>18</v>
      </c>
      <c r="D3249" t="str">
        <f>VLOOKUP(B3249,Products!$A:$E,2,FALSE)</f>
        <v>Product_288</v>
      </c>
      <c r="E3249" t="str">
        <f>VLOOKUP(B3249,Products!$A:$E,3,FALSE)</f>
        <v>Networking</v>
      </c>
    </row>
    <row r="3250" spans="1:5" x14ac:dyDescent="0.3">
      <c r="A3250" t="s">
        <v>9262</v>
      </c>
      <c r="B3250" t="s">
        <v>504</v>
      </c>
      <c r="C3250">
        <v>19</v>
      </c>
      <c r="D3250" t="str">
        <f>VLOOKUP(B3250,Products!$A:$E,2,FALSE)</f>
        <v>Product_248</v>
      </c>
      <c r="E3250" t="str">
        <f>VLOOKUP(B3250,Products!$A:$E,3,FALSE)</f>
        <v>Networking</v>
      </c>
    </row>
    <row r="3251" spans="1:5" x14ac:dyDescent="0.3">
      <c r="A3251" t="s">
        <v>9263</v>
      </c>
      <c r="B3251" t="s">
        <v>938</v>
      </c>
      <c r="C3251">
        <v>45</v>
      </c>
      <c r="D3251" t="str">
        <f>VLOOKUP(B3251,Products!$A:$E,2,FALSE)</f>
        <v>Product_465</v>
      </c>
      <c r="E3251" t="str">
        <f>VLOOKUP(B3251,Products!$A:$E,3,FALSE)</f>
        <v>Electronics</v>
      </c>
    </row>
    <row r="3252" spans="1:5" x14ac:dyDescent="0.3">
      <c r="A3252" t="s">
        <v>9264</v>
      </c>
      <c r="B3252" t="s">
        <v>556</v>
      </c>
      <c r="C3252">
        <v>33</v>
      </c>
      <c r="D3252" t="str">
        <f>VLOOKUP(B3252,Products!$A:$E,2,FALSE)</f>
        <v>Product_274</v>
      </c>
      <c r="E3252" t="str">
        <f>VLOOKUP(B3252,Products!$A:$E,3,FALSE)</f>
        <v>Accessories</v>
      </c>
    </row>
    <row r="3253" spans="1:5" x14ac:dyDescent="0.3">
      <c r="A3253" t="s">
        <v>9265</v>
      </c>
      <c r="B3253" t="s">
        <v>260</v>
      </c>
      <c r="C3253">
        <v>25</v>
      </c>
      <c r="D3253" t="str">
        <f>VLOOKUP(B3253,Products!$A:$E,2,FALSE)</f>
        <v>Product_126</v>
      </c>
      <c r="E3253" t="str">
        <f>VLOOKUP(B3253,Products!$A:$E,3,FALSE)</f>
        <v>Office Supplies</v>
      </c>
    </row>
    <row r="3254" spans="1:5" x14ac:dyDescent="0.3">
      <c r="A3254" t="s">
        <v>9266</v>
      </c>
      <c r="B3254" t="s">
        <v>26</v>
      </c>
      <c r="C3254">
        <v>32</v>
      </c>
      <c r="D3254" t="str">
        <f>VLOOKUP(B3254,Products!$A:$E,2,FALSE)</f>
        <v>Product_9</v>
      </c>
      <c r="E3254" t="str">
        <f>VLOOKUP(B3254,Products!$A:$E,3,FALSE)</f>
        <v>Storage</v>
      </c>
    </row>
    <row r="3255" spans="1:5" x14ac:dyDescent="0.3">
      <c r="A3255" t="s">
        <v>9267</v>
      </c>
      <c r="B3255" t="s">
        <v>754</v>
      </c>
      <c r="C3255">
        <v>26</v>
      </c>
      <c r="D3255" t="str">
        <f>VLOOKUP(B3255,Products!$A:$E,2,FALSE)</f>
        <v>Product_373</v>
      </c>
      <c r="E3255" t="str">
        <f>VLOOKUP(B3255,Products!$A:$E,3,FALSE)</f>
        <v>Office Supplies</v>
      </c>
    </row>
    <row r="3256" spans="1:5" x14ac:dyDescent="0.3">
      <c r="A3256" t="s">
        <v>9268</v>
      </c>
      <c r="B3256" t="s">
        <v>984</v>
      </c>
      <c r="C3256">
        <v>24</v>
      </c>
      <c r="D3256" t="str">
        <f>VLOOKUP(B3256,Products!$A:$E,2,FALSE)</f>
        <v>Product_488</v>
      </c>
      <c r="E3256" t="str">
        <f>VLOOKUP(B3256,Products!$A:$E,3,FALSE)</f>
        <v>Accessories</v>
      </c>
    </row>
    <row r="3257" spans="1:5" x14ac:dyDescent="0.3">
      <c r="A3257" t="s">
        <v>9269</v>
      </c>
      <c r="B3257" t="s">
        <v>790</v>
      </c>
      <c r="C3257">
        <v>35</v>
      </c>
      <c r="D3257" t="str">
        <f>VLOOKUP(B3257,Products!$A:$E,2,FALSE)</f>
        <v>Product_391</v>
      </c>
      <c r="E3257" t="str">
        <f>VLOOKUP(B3257,Products!$A:$E,3,FALSE)</f>
        <v>Accessories</v>
      </c>
    </row>
    <row r="3258" spans="1:5" x14ac:dyDescent="0.3">
      <c r="A3258" t="s">
        <v>9270</v>
      </c>
      <c r="B3258" t="s">
        <v>740</v>
      </c>
      <c r="C3258">
        <v>7</v>
      </c>
      <c r="D3258" t="str">
        <f>VLOOKUP(B3258,Products!$A:$E,2,FALSE)</f>
        <v>Product_366</v>
      </c>
      <c r="E3258" t="str">
        <f>VLOOKUP(B3258,Products!$A:$E,3,FALSE)</f>
        <v>Electronics</v>
      </c>
    </row>
    <row r="3259" spans="1:5" x14ac:dyDescent="0.3">
      <c r="A3259" t="s">
        <v>9271</v>
      </c>
      <c r="B3259" t="s">
        <v>472</v>
      </c>
      <c r="C3259">
        <v>15</v>
      </c>
      <c r="D3259" t="str">
        <f>VLOOKUP(B3259,Products!$A:$E,2,FALSE)</f>
        <v>Product_232</v>
      </c>
      <c r="E3259" t="str">
        <f>VLOOKUP(B3259,Products!$A:$E,3,FALSE)</f>
        <v>Office Supplies</v>
      </c>
    </row>
    <row r="3260" spans="1:5" x14ac:dyDescent="0.3">
      <c r="A3260" t="s">
        <v>9272</v>
      </c>
      <c r="B3260" t="s">
        <v>600</v>
      </c>
      <c r="C3260">
        <v>2</v>
      </c>
      <c r="D3260" t="str">
        <f>VLOOKUP(B3260,Products!$A:$E,2,FALSE)</f>
        <v>Product_296</v>
      </c>
      <c r="E3260" t="str">
        <f>VLOOKUP(B3260,Products!$A:$E,3,FALSE)</f>
        <v>Office Supplies</v>
      </c>
    </row>
    <row r="3261" spans="1:5" x14ac:dyDescent="0.3">
      <c r="A3261" t="s">
        <v>9273</v>
      </c>
      <c r="B3261" t="s">
        <v>416</v>
      </c>
      <c r="C3261">
        <v>50</v>
      </c>
      <c r="D3261" t="str">
        <f>VLOOKUP(B3261,Products!$A:$E,2,FALSE)</f>
        <v>Product_204</v>
      </c>
      <c r="E3261" t="str">
        <f>VLOOKUP(B3261,Products!$A:$E,3,FALSE)</f>
        <v>Office Supplies</v>
      </c>
    </row>
    <row r="3262" spans="1:5" x14ac:dyDescent="0.3">
      <c r="A3262" t="s">
        <v>9274</v>
      </c>
      <c r="B3262" t="s">
        <v>246</v>
      </c>
      <c r="C3262">
        <v>29</v>
      </c>
      <c r="D3262" t="str">
        <f>VLOOKUP(B3262,Products!$A:$E,2,FALSE)</f>
        <v>Product_119</v>
      </c>
      <c r="E3262" t="str">
        <f>VLOOKUP(B3262,Products!$A:$E,3,FALSE)</f>
        <v>Electronics</v>
      </c>
    </row>
    <row r="3263" spans="1:5" x14ac:dyDescent="0.3">
      <c r="A3263" t="s">
        <v>9275</v>
      </c>
      <c r="B3263" t="s">
        <v>388</v>
      </c>
      <c r="C3263">
        <v>31</v>
      </c>
      <c r="D3263" t="str">
        <f>VLOOKUP(B3263,Products!$A:$E,2,FALSE)</f>
        <v>Product_190</v>
      </c>
      <c r="E3263" t="str">
        <f>VLOOKUP(B3263,Products!$A:$E,3,FALSE)</f>
        <v>Office Supplies</v>
      </c>
    </row>
    <row r="3264" spans="1:5" x14ac:dyDescent="0.3">
      <c r="A3264" t="s">
        <v>9276</v>
      </c>
      <c r="B3264" t="s">
        <v>586</v>
      </c>
      <c r="C3264">
        <v>7</v>
      </c>
      <c r="D3264" t="str">
        <f>VLOOKUP(B3264,Products!$A:$E,2,FALSE)</f>
        <v>Product_289</v>
      </c>
      <c r="E3264" t="str">
        <f>VLOOKUP(B3264,Products!$A:$E,3,FALSE)</f>
        <v>Storage</v>
      </c>
    </row>
    <row r="3265" spans="1:5" x14ac:dyDescent="0.3">
      <c r="A3265" t="s">
        <v>9277</v>
      </c>
      <c r="B3265" t="s">
        <v>668</v>
      </c>
      <c r="C3265">
        <v>20</v>
      </c>
      <c r="D3265" t="str">
        <f>VLOOKUP(B3265,Products!$A:$E,2,FALSE)</f>
        <v>Product_330</v>
      </c>
      <c r="E3265" t="str">
        <f>VLOOKUP(B3265,Products!$A:$E,3,FALSE)</f>
        <v>Electronics</v>
      </c>
    </row>
    <row r="3266" spans="1:5" x14ac:dyDescent="0.3">
      <c r="A3266" t="s">
        <v>9278</v>
      </c>
      <c r="B3266" t="s">
        <v>350</v>
      </c>
      <c r="C3266">
        <v>10</v>
      </c>
      <c r="D3266" t="str">
        <f>VLOOKUP(B3266,Products!$A:$E,2,FALSE)</f>
        <v>Product_171</v>
      </c>
      <c r="E3266" t="str">
        <f>VLOOKUP(B3266,Products!$A:$E,3,FALSE)</f>
        <v>Electronics</v>
      </c>
    </row>
    <row r="3267" spans="1:5" x14ac:dyDescent="0.3">
      <c r="A3267" t="s">
        <v>9279</v>
      </c>
      <c r="B3267" t="s">
        <v>838</v>
      </c>
      <c r="C3267">
        <v>41</v>
      </c>
      <c r="D3267" t="str">
        <f>VLOOKUP(B3267,Products!$A:$E,2,FALSE)</f>
        <v>Product_415</v>
      </c>
      <c r="E3267" t="str">
        <f>VLOOKUP(B3267,Products!$A:$E,3,FALSE)</f>
        <v>Networking</v>
      </c>
    </row>
    <row r="3268" spans="1:5" x14ac:dyDescent="0.3">
      <c r="A3268" t="s">
        <v>9280</v>
      </c>
      <c r="B3268" t="s">
        <v>1008</v>
      </c>
      <c r="C3268">
        <v>6</v>
      </c>
      <c r="D3268" t="str">
        <f>VLOOKUP(B3268,Products!$A:$E,2,FALSE)</f>
        <v>Product_500</v>
      </c>
      <c r="E3268" t="str">
        <f>VLOOKUP(B3268,Products!$A:$E,3,FALSE)</f>
        <v>Networking</v>
      </c>
    </row>
    <row r="3269" spans="1:5" x14ac:dyDescent="0.3">
      <c r="A3269" t="s">
        <v>9281</v>
      </c>
      <c r="B3269" t="s">
        <v>106</v>
      </c>
      <c r="C3269">
        <v>36</v>
      </c>
      <c r="D3269" t="str">
        <f>VLOOKUP(B3269,Products!$A:$E,2,FALSE)</f>
        <v>Product_49</v>
      </c>
      <c r="E3269" t="str">
        <f>VLOOKUP(B3269,Products!$A:$E,3,FALSE)</f>
        <v>Storage</v>
      </c>
    </row>
    <row r="3270" spans="1:5" x14ac:dyDescent="0.3">
      <c r="A3270" t="s">
        <v>9282</v>
      </c>
      <c r="B3270" t="s">
        <v>182</v>
      </c>
      <c r="C3270">
        <v>14</v>
      </c>
      <c r="D3270" t="str">
        <f>VLOOKUP(B3270,Products!$A:$E,2,FALSE)</f>
        <v>Product_87</v>
      </c>
      <c r="E3270" t="str">
        <f>VLOOKUP(B3270,Products!$A:$E,3,FALSE)</f>
        <v>Networking</v>
      </c>
    </row>
    <row r="3271" spans="1:5" x14ac:dyDescent="0.3">
      <c r="A3271" t="s">
        <v>9283</v>
      </c>
      <c r="B3271" t="s">
        <v>894</v>
      </c>
      <c r="C3271">
        <v>32</v>
      </c>
      <c r="D3271" t="str">
        <f>VLOOKUP(B3271,Products!$A:$E,2,FALSE)</f>
        <v>Product_443</v>
      </c>
      <c r="E3271" t="str">
        <f>VLOOKUP(B3271,Products!$A:$E,3,FALSE)</f>
        <v>Networking</v>
      </c>
    </row>
    <row r="3272" spans="1:5" x14ac:dyDescent="0.3">
      <c r="A3272" t="s">
        <v>9284</v>
      </c>
      <c r="B3272" t="s">
        <v>616</v>
      </c>
      <c r="C3272">
        <v>16</v>
      </c>
      <c r="D3272" t="str">
        <f>VLOOKUP(B3272,Products!$A:$E,2,FALSE)</f>
        <v>Product_304</v>
      </c>
      <c r="E3272" t="str">
        <f>VLOOKUP(B3272,Products!$A:$E,3,FALSE)</f>
        <v>Electronics</v>
      </c>
    </row>
    <row r="3273" spans="1:5" x14ac:dyDescent="0.3">
      <c r="A3273" t="s">
        <v>9285</v>
      </c>
      <c r="B3273" t="s">
        <v>94</v>
      </c>
      <c r="C3273">
        <v>10</v>
      </c>
      <c r="D3273" t="str">
        <f>VLOOKUP(B3273,Products!$A:$E,2,FALSE)</f>
        <v>Product_43</v>
      </c>
      <c r="E3273" t="str">
        <f>VLOOKUP(B3273,Products!$A:$E,3,FALSE)</f>
        <v>Storage</v>
      </c>
    </row>
    <row r="3274" spans="1:5" x14ac:dyDescent="0.3">
      <c r="A3274" t="s">
        <v>9286</v>
      </c>
      <c r="B3274" t="s">
        <v>422</v>
      </c>
      <c r="C3274">
        <v>40</v>
      </c>
      <c r="D3274" t="str">
        <f>VLOOKUP(B3274,Products!$A:$E,2,FALSE)</f>
        <v>Product_207</v>
      </c>
      <c r="E3274" t="str">
        <f>VLOOKUP(B3274,Products!$A:$E,3,FALSE)</f>
        <v>Accessories</v>
      </c>
    </row>
    <row r="3275" spans="1:5" x14ac:dyDescent="0.3">
      <c r="A3275" t="s">
        <v>9287</v>
      </c>
      <c r="B3275" t="s">
        <v>868</v>
      </c>
      <c r="C3275">
        <v>31</v>
      </c>
      <c r="D3275" t="str">
        <f>VLOOKUP(B3275,Products!$A:$E,2,FALSE)</f>
        <v>Product_430</v>
      </c>
      <c r="E3275" t="str">
        <f>VLOOKUP(B3275,Products!$A:$E,3,FALSE)</f>
        <v>Electronics</v>
      </c>
    </row>
    <row r="3276" spans="1:5" x14ac:dyDescent="0.3">
      <c r="A3276" t="s">
        <v>9288</v>
      </c>
      <c r="B3276" t="s">
        <v>544</v>
      </c>
      <c r="C3276">
        <v>47</v>
      </c>
      <c r="D3276" t="str">
        <f>VLOOKUP(B3276,Products!$A:$E,2,FALSE)</f>
        <v>Product_268</v>
      </c>
      <c r="E3276" t="str">
        <f>VLOOKUP(B3276,Products!$A:$E,3,FALSE)</f>
        <v>Office Supplies</v>
      </c>
    </row>
    <row r="3277" spans="1:5" x14ac:dyDescent="0.3">
      <c r="A3277" t="s">
        <v>9289</v>
      </c>
      <c r="B3277" t="s">
        <v>868</v>
      </c>
      <c r="C3277">
        <v>37</v>
      </c>
      <c r="D3277" t="str">
        <f>VLOOKUP(B3277,Products!$A:$E,2,FALSE)</f>
        <v>Product_430</v>
      </c>
      <c r="E3277" t="str">
        <f>VLOOKUP(B3277,Products!$A:$E,3,FALSE)</f>
        <v>Electronics</v>
      </c>
    </row>
    <row r="3278" spans="1:5" x14ac:dyDescent="0.3">
      <c r="A3278" t="s">
        <v>9290</v>
      </c>
      <c r="B3278" t="s">
        <v>788</v>
      </c>
      <c r="C3278">
        <v>15</v>
      </c>
      <c r="D3278" t="str">
        <f>VLOOKUP(B3278,Products!$A:$E,2,FALSE)</f>
        <v>Product_390</v>
      </c>
      <c r="E3278" t="str">
        <f>VLOOKUP(B3278,Products!$A:$E,3,FALSE)</f>
        <v>Storage</v>
      </c>
    </row>
    <row r="3279" spans="1:5" x14ac:dyDescent="0.3">
      <c r="A3279" t="s">
        <v>9291</v>
      </c>
      <c r="B3279" t="s">
        <v>70</v>
      </c>
      <c r="C3279">
        <v>50</v>
      </c>
      <c r="D3279" t="str">
        <f>VLOOKUP(B3279,Products!$A:$E,2,FALSE)</f>
        <v>Product_31</v>
      </c>
      <c r="E3279" t="str">
        <f>VLOOKUP(B3279,Products!$A:$E,3,FALSE)</f>
        <v>Accessories</v>
      </c>
    </row>
    <row r="3280" spans="1:5" x14ac:dyDescent="0.3">
      <c r="A3280" t="s">
        <v>9292</v>
      </c>
      <c r="B3280" t="s">
        <v>514</v>
      </c>
      <c r="C3280">
        <v>17</v>
      </c>
      <c r="D3280" t="str">
        <f>VLOOKUP(B3280,Products!$A:$E,2,FALSE)</f>
        <v>Product_253</v>
      </c>
      <c r="E3280" t="str">
        <f>VLOOKUP(B3280,Products!$A:$E,3,FALSE)</f>
        <v>Networking</v>
      </c>
    </row>
    <row r="3281" spans="1:5" x14ac:dyDescent="0.3">
      <c r="A3281" t="s">
        <v>9293</v>
      </c>
      <c r="B3281" t="s">
        <v>430</v>
      </c>
      <c r="C3281">
        <v>20</v>
      </c>
      <c r="D3281" t="str">
        <f>VLOOKUP(B3281,Products!$A:$E,2,FALSE)</f>
        <v>Product_211</v>
      </c>
      <c r="E3281" t="str">
        <f>VLOOKUP(B3281,Products!$A:$E,3,FALSE)</f>
        <v>Storage</v>
      </c>
    </row>
    <row r="3282" spans="1:5" x14ac:dyDescent="0.3">
      <c r="A3282" t="s">
        <v>9294</v>
      </c>
      <c r="B3282" t="s">
        <v>768</v>
      </c>
      <c r="C3282">
        <v>22</v>
      </c>
      <c r="D3282" t="str">
        <f>VLOOKUP(B3282,Products!$A:$E,2,FALSE)</f>
        <v>Product_380</v>
      </c>
      <c r="E3282" t="str">
        <f>VLOOKUP(B3282,Products!$A:$E,3,FALSE)</f>
        <v>Electronics</v>
      </c>
    </row>
    <row r="3283" spans="1:5" x14ac:dyDescent="0.3">
      <c r="A3283" t="s">
        <v>9295</v>
      </c>
      <c r="B3283" t="s">
        <v>864</v>
      </c>
      <c r="C3283">
        <v>10</v>
      </c>
      <c r="D3283" t="str">
        <f>VLOOKUP(B3283,Products!$A:$E,2,FALSE)</f>
        <v>Product_428</v>
      </c>
      <c r="E3283" t="str">
        <f>VLOOKUP(B3283,Products!$A:$E,3,FALSE)</f>
        <v>Storage</v>
      </c>
    </row>
    <row r="3284" spans="1:5" x14ac:dyDescent="0.3">
      <c r="A3284" t="s">
        <v>9296</v>
      </c>
      <c r="B3284" t="s">
        <v>46</v>
      </c>
      <c r="C3284">
        <v>21</v>
      </c>
      <c r="D3284" t="str">
        <f>VLOOKUP(B3284,Products!$A:$E,2,FALSE)</f>
        <v>Product_19</v>
      </c>
      <c r="E3284" t="str">
        <f>VLOOKUP(B3284,Products!$A:$E,3,FALSE)</f>
        <v>Networking</v>
      </c>
    </row>
    <row r="3285" spans="1:5" x14ac:dyDescent="0.3">
      <c r="A3285" t="s">
        <v>9297</v>
      </c>
      <c r="B3285" t="s">
        <v>714</v>
      </c>
      <c r="C3285">
        <v>37</v>
      </c>
      <c r="D3285" t="str">
        <f>VLOOKUP(B3285,Products!$A:$E,2,FALSE)</f>
        <v>Product_353</v>
      </c>
      <c r="E3285" t="str">
        <f>VLOOKUP(B3285,Products!$A:$E,3,FALSE)</f>
        <v>Accessories</v>
      </c>
    </row>
    <row r="3286" spans="1:5" x14ac:dyDescent="0.3">
      <c r="A3286" t="s">
        <v>9298</v>
      </c>
      <c r="B3286" t="s">
        <v>622</v>
      </c>
      <c r="C3286">
        <v>27</v>
      </c>
      <c r="D3286" t="str">
        <f>VLOOKUP(B3286,Products!$A:$E,2,FALSE)</f>
        <v>Product_307</v>
      </c>
      <c r="E3286" t="str">
        <f>VLOOKUP(B3286,Products!$A:$E,3,FALSE)</f>
        <v>Storage</v>
      </c>
    </row>
    <row r="3287" spans="1:5" x14ac:dyDescent="0.3">
      <c r="A3287" t="s">
        <v>9299</v>
      </c>
      <c r="B3287" t="s">
        <v>902</v>
      </c>
      <c r="C3287">
        <v>1</v>
      </c>
      <c r="D3287" t="str">
        <f>VLOOKUP(B3287,Products!$A:$E,2,FALSE)</f>
        <v>Product_447</v>
      </c>
      <c r="E3287" t="str">
        <f>VLOOKUP(B3287,Products!$A:$E,3,FALSE)</f>
        <v>Office Supplies</v>
      </c>
    </row>
    <row r="3288" spans="1:5" x14ac:dyDescent="0.3">
      <c r="A3288" t="s">
        <v>9300</v>
      </c>
      <c r="B3288" t="s">
        <v>284</v>
      </c>
      <c r="C3288">
        <v>45</v>
      </c>
      <c r="D3288" t="str">
        <f>VLOOKUP(B3288,Products!$A:$E,2,FALSE)</f>
        <v>Product_138</v>
      </c>
      <c r="E3288" t="str">
        <f>VLOOKUP(B3288,Products!$A:$E,3,FALSE)</f>
        <v>Electronics</v>
      </c>
    </row>
    <row r="3289" spans="1:5" x14ac:dyDescent="0.3">
      <c r="A3289" t="s">
        <v>9301</v>
      </c>
      <c r="B3289" t="s">
        <v>224</v>
      </c>
      <c r="C3289">
        <v>49</v>
      </c>
      <c r="D3289" t="str">
        <f>VLOOKUP(B3289,Products!$A:$E,2,FALSE)</f>
        <v>Product_108</v>
      </c>
      <c r="E3289" t="str">
        <f>VLOOKUP(B3289,Products!$A:$E,3,FALSE)</f>
        <v>Networking</v>
      </c>
    </row>
    <row r="3290" spans="1:5" x14ac:dyDescent="0.3">
      <c r="A3290" t="s">
        <v>9302</v>
      </c>
      <c r="B3290" t="s">
        <v>584</v>
      </c>
      <c r="C3290">
        <v>32</v>
      </c>
      <c r="D3290" t="str">
        <f>VLOOKUP(B3290,Products!$A:$E,2,FALSE)</f>
        <v>Product_288</v>
      </c>
      <c r="E3290" t="str">
        <f>VLOOKUP(B3290,Products!$A:$E,3,FALSE)</f>
        <v>Networking</v>
      </c>
    </row>
    <row r="3291" spans="1:5" x14ac:dyDescent="0.3">
      <c r="A3291" t="s">
        <v>9303</v>
      </c>
      <c r="B3291" t="s">
        <v>568</v>
      </c>
      <c r="C3291">
        <v>32</v>
      </c>
      <c r="D3291" t="str">
        <f>VLOOKUP(B3291,Products!$A:$E,2,FALSE)</f>
        <v>Product_280</v>
      </c>
      <c r="E3291" t="str">
        <f>VLOOKUP(B3291,Products!$A:$E,3,FALSE)</f>
        <v>Electronics</v>
      </c>
    </row>
    <row r="3292" spans="1:5" x14ac:dyDescent="0.3">
      <c r="A3292" t="s">
        <v>9304</v>
      </c>
      <c r="B3292" t="s">
        <v>330</v>
      </c>
      <c r="C3292">
        <v>42</v>
      </c>
      <c r="D3292" t="str">
        <f>VLOOKUP(B3292,Products!$A:$E,2,FALSE)</f>
        <v>Product_161</v>
      </c>
      <c r="E3292" t="str">
        <f>VLOOKUP(B3292,Products!$A:$E,3,FALSE)</f>
        <v>Networking</v>
      </c>
    </row>
    <row r="3293" spans="1:5" x14ac:dyDescent="0.3">
      <c r="A3293" t="s">
        <v>9305</v>
      </c>
      <c r="B3293" t="s">
        <v>250</v>
      </c>
      <c r="C3293">
        <v>21</v>
      </c>
      <c r="D3293" t="str">
        <f>VLOOKUP(B3293,Products!$A:$E,2,FALSE)</f>
        <v>Product_121</v>
      </c>
      <c r="E3293" t="str">
        <f>VLOOKUP(B3293,Products!$A:$E,3,FALSE)</f>
        <v>Storage</v>
      </c>
    </row>
    <row r="3294" spans="1:5" x14ac:dyDescent="0.3">
      <c r="A3294" t="s">
        <v>9306</v>
      </c>
      <c r="B3294" t="s">
        <v>482</v>
      </c>
      <c r="C3294">
        <v>46</v>
      </c>
      <c r="D3294" t="str">
        <f>VLOOKUP(B3294,Products!$A:$E,2,FALSE)</f>
        <v>Product_237</v>
      </c>
      <c r="E3294" t="str">
        <f>VLOOKUP(B3294,Products!$A:$E,3,FALSE)</f>
        <v>Networking</v>
      </c>
    </row>
    <row r="3295" spans="1:5" x14ac:dyDescent="0.3">
      <c r="A3295" t="s">
        <v>9307</v>
      </c>
      <c r="B3295" t="s">
        <v>504</v>
      </c>
      <c r="C3295">
        <v>33</v>
      </c>
      <c r="D3295" t="str">
        <f>VLOOKUP(B3295,Products!$A:$E,2,FALSE)</f>
        <v>Product_248</v>
      </c>
      <c r="E3295" t="str">
        <f>VLOOKUP(B3295,Products!$A:$E,3,FALSE)</f>
        <v>Networking</v>
      </c>
    </row>
    <row r="3296" spans="1:5" x14ac:dyDescent="0.3">
      <c r="A3296" t="s">
        <v>9308</v>
      </c>
      <c r="B3296" t="s">
        <v>578</v>
      </c>
      <c r="C3296">
        <v>48</v>
      </c>
      <c r="D3296" t="str">
        <f>VLOOKUP(B3296,Products!$A:$E,2,FALSE)</f>
        <v>Product_285</v>
      </c>
      <c r="E3296" t="str">
        <f>VLOOKUP(B3296,Products!$A:$E,3,FALSE)</f>
        <v>Networking</v>
      </c>
    </row>
    <row r="3297" spans="1:5" x14ac:dyDescent="0.3">
      <c r="A3297" t="s">
        <v>9309</v>
      </c>
      <c r="B3297" t="s">
        <v>760</v>
      </c>
      <c r="C3297">
        <v>6</v>
      </c>
      <c r="D3297" t="str">
        <f>VLOOKUP(B3297,Products!$A:$E,2,FALSE)</f>
        <v>Product_376</v>
      </c>
      <c r="E3297" t="str">
        <f>VLOOKUP(B3297,Products!$A:$E,3,FALSE)</f>
        <v>Networking</v>
      </c>
    </row>
    <row r="3298" spans="1:5" x14ac:dyDescent="0.3">
      <c r="A3298" t="s">
        <v>9310</v>
      </c>
      <c r="B3298" t="s">
        <v>952</v>
      </c>
      <c r="C3298">
        <v>7</v>
      </c>
      <c r="D3298" t="str">
        <f>VLOOKUP(B3298,Products!$A:$E,2,FALSE)</f>
        <v>Product_472</v>
      </c>
      <c r="E3298" t="str">
        <f>VLOOKUP(B3298,Products!$A:$E,3,FALSE)</f>
        <v>Electronics</v>
      </c>
    </row>
    <row r="3299" spans="1:5" x14ac:dyDescent="0.3">
      <c r="A3299" t="s">
        <v>9311</v>
      </c>
      <c r="B3299" t="s">
        <v>444</v>
      </c>
      <c r="C3299">
        <v>45</v>
      </c>
      <c r="D3299" t="str">
        <f>VLOOKUP(B3299,Products!$A:$E,2,FALSE)</f>
        <v>Product_218</v>
      </c>
      <c r="E3299" t="str">
        <f>VLOOKUP(B3299,Products!$A:$E,3,FALSE)</f>
        <v>Accessories</v>
      </c>
    </row>
    <row r="3300" spans="1:5" x14ac:dyDescent="0.3">
      <c r="A3300" t="s">
        <v>9312</v>
      </c>
      <c r="B3300" t="s">
        <v>88</v>
      </c>
      <c r="C3300">
        <v>25</v>
      </c>
      <c r="D3300" t="str">
        <f>VLOOKUP(B3300,Products!$A:$E,2,FALSE)</f>
        <v>Product_40</v>
      </c>
      <c r="E3300" t="str">
        <f>VLOOKUP(B3300,Products!$A:$E,3,FALSE)</f>
        <v>Accessories</v>
      </c>
    </row>
    <row r="3301" spans="1:5" x14ac:dyDescent="0.3">
      <c r="A3301" t="s">
        <v>9313</v>
      </c>
      <c r="B3301" t="s">
        <v>140</v>
      </c>
      <c r="C3301">
        <v>49</v>
      </c>
      <c r="D3301" t="str">
        <f>VLOOKUP(B3301,Products!$A:$E,2,FALSE)</f>
        <v>Product_66</v>
      </c>
      <c r="E3301" t="str">
        <f>VLOOKUP(B3301,Products!$A:$E,3,FALSE)</f>
        <v>Electronics</v>
      </c>
    </row>
    <row r="3302" spans="1:5" x14ac:dyDescent="0.3">
      <c r="A3302" t="s">
        <v>9314</v>
      </c>
      <c r="B3302" t="s">
        <v>22</v>
      </c>
      <c r="C3302">
        <v>11</v>
      </c>
      <c r="D3302" t="str">
        <f>VLOOKUP(B3302,Products!$A:$E,2,FALSE)</f>
        <v>Product_7</v>
      </c>
      <c r="E3302" t="str">
        <f>VLOOKUP(B3302,Products!$A:$E,3,FALSE)</f>
        <v>Storage</v>
      </c>
    </row>
    <row r="3303" spans="1:5" x14ac:dyDescent="0.3">
      <c r="A3303" t="s">
        <v>9315</v>
      </c>
      <c r="B3303" t="s">
        <v>542</v>
      </c>
      <c r="C3303">
        <v>48</v>
      </c>
      <c r="D3303" t="str">
        <f>VLOOKUP(B3303,Products!$A:$E,2,FALSE)</f>
        <v>Product_267</v>
      </c>
      <c r="E3303" t="str">
        <f>VLOOKUP(B3303,Products!$A:$E,3,FALSE)</f>
        <v>Networking</v>
      </c>
    </row>
    <row r="3304" spans="1:5" x14ac:dyDescent="0.3">
      <c r="A3304" t="s">
        <v>9316</v>
      </c>
      <c r="B3304" t="s">
        <v>134</v>
      </c>
      <c r="C3304">
        <v>11</v>
      </c>
      <c r="D3304" t="str">
        <f>VLOOKUP(B3304,Products!$A:$E,2,FALSE)</f>
        <v>Product_63</v>
      </c>
      <c r="E3304" t="str">
        <f>VLOOKUP(B3304,Products!$A:$E,3,FALSE)</f>
        <v>Accessories</v>
      </c>
    </row>
    <row r="3305" spans="1:5" x14ac:dyDescent="0.3">
      <c r="A3305" t="s">
        <v>9317</v>
      </c>
      <c r="B3305" t="s">
        <v>212</v>
      </c>
      <c r="C3305">
        <v>29</v>
      </c>
      <c r="D3305" t="str">
        <f>VLOOKUP(B3305,Products!$A:$E,2,FALSE)</f>
        <v>Product_102</v>
      </c>
      <c r="E3305" t="str">
        <f>VLOOKUP(B3305,Products!$A:$E,3,FALSE)</f>
        <v>Storage</v>
      </c>
    </row>
    <row r="3306" spans="1:5" x14ac:dyDescent="0.3">
      <c r="A3306" t="s">
        <v>9318</v>
      </c>
      <c r="B3306" t="s">
        <v>900</v>
      </c>
      <c r="C3306">
        <v>8</v>
      </c>
      <c r="D3306" t="str">
        <f>VLOOKUP(B3306,Products!$A:$E,2,FALSE)</f>
        <v>Product_446</v>
      </c>
      <c r="E3306" t="str">
        <f>VLOOKUP(B3306,Products!$A:$E,3,FALSE)</f>
        <v>Accessories</v>
      </c>
    </row>
    <row r="3307" spans="1:5" x14ac:dyDescent="0.3">
      <c r="A3307" t="s">
        <v>9319</v>
      </c>
      <c r="B3307" t="s">
        <v>48</v>
      </c>
      <c r="C3307">
        <v>28</v>
      </c>
      <c r="D3307" t="str">
        <f>VLOOKUP(B3307,Products!$A:$E,2,FALSE)</f>
        <v>Product_20</v>
      </c>
      <c r="E3307" t="str">
        <f>VLOOKUP(B3307,Products!$A:$E,3,FALSE)</f>
        <v>Office Supplies</v>
      </c>
    </row>
    <row r="3308" spans="1:5" x14ac:dyDescent="0.3">
      <c r="A3308" t="s">
        <v>9320</v>
      </c>
      <c r="B3308" t="s">
        <v>516</v>
      </c>
      <c r="C3308">
        <v>11</v>
      </c>
      <c r="D3308" t="str">
        <f>VLOOKUP(B3308,Products!$A:$E,2,FALSE)</f>
        <v>Product_254</v>
      </c>
      <c r="E3308" t="str">
        <f>VLOOKUP(B3308,Products!$A:$E,3,FALSE)</f>
        <v>Office Supplies</v>
      </c>
    </row>
    <row r="3309" spans="1:5" x14ac:dyDescent="0.3">
      <c r="A3309" t="s">
        <v>9321</v>
      </c>
      <c r="B3309" t="s">
        <v>650</v>
      </c>
      <c r="C3309">
        <v>34</v>
      </c>
      <c r="D3309" t="str">
        <f>VLOOKUP(B3309,Products!$A:$E,2,FALSE)</f>
        <v>Product_321</v>
      </c>
      <c r="E3309" t="str">
        <f>VLOOKUP(B3309,Products!$A:$E,3,FALSE)</f>
        <v>Electronics</v>
      </c>
    </row>
    <row r="3310" spans="1:5" x14ac:dyDescent="0.3">
      <c r="A3310" t="s">
        <v>9322</v>
      </c>
      <c r="B3310" t="s">
        <v>508</v>
      </c>
      <c r="C3310">
        <v>9</v>
      </c>
      <c r="D3310" t="str">
        <f>VLOOKUP(B3310,Products!$A:$E,2,FALSE)</f>
        <v>Product_250</v>
      </c>
      <c r="E3310" t="str">
        <f>VLOOKUP(B3310,Products!$A:$E,3,FALSE)</f>
        <v>Networking</v>
      </c>
    </row>
    <row r="3311" spans="1:5" x14ac:dyDescent="0.3">
      <c r="A3311" t="s">
        <v>9323</v>
      </c>
      <c r="B3311" t="s">
        <v>776</v>
      </c>
      <c r="C3311">
        <v>36</v>
      </c>
      <c r="D3311" t="str">
        <f>VLOOKUP(B3311,Products!$A:$E,2,FALSE)</f>
        <v>Product_384</v>
      </c>
      <c r="E3311" t="str">
        <f>VLOOKUP(B3311,Products!$A:$E,3,FALSE)</f>
        <v>Office Supplies</v>
      </c>
    </row>
    <row r="3312" spans="1:5" x14ac:dyDescent="0.3">
      <c r="A3312" t="s">
        <v>9324</v>
      </c>
      <c r="B3312" t="s">
        <v>438</v>
      </c>
      <c r="C3312">
        <v>26</v>
      </c>
      <c r="D3312" t="str">
        <f>VLOOKUP(B3312,Products!$A:$E,2,FALSE)</f>
        <v>Product_215</v>
      </c>
      <c r="E3312" t="str">
        <f>VLOOKUP(B3312,Products!$A:$E,3,FALSE)</f>
        <v>Electronics</v>
      </c>
    </row>
    <row r="3313" spans="1:5" x14ac:dyDescent="0.3">
      <c r="A3313" t="s">
        <v>9325</v>
      </c>
      <c r="B3313" t="s">
        <v>17</v>
      </c>
      <c r="C3313">
        <v>19</v>
      </c>
      <c r="D3313" t="str">
        <f>VLOOKUP(B3313,Products!$A:$E,2,FALSE)</f>
        <v>Product_5</v>
      </c>
      <c r="E3313" t="str">
        <f>VLOOKUP(B3313,Products!$A:$E,3,FALSE)</f>
        <v>Networking</v>
      </c>
    </row>
    <row r="3314" spans="1:5" x14ac:dyDescent="0.3">
      <c r="A3314" t="s">
        <v>9326</v>
      </c>
      <c r="B3314" t="s">
        <v>130</v>
      </c>
      <c r="C3314">
        <v>28</v>
      </c>
      <c r="D3314" t="str">
        <f>VLOOKUP(B3314,Products!$A:$E,2,FALSE)</f>
        <v>Product_61</v>
      </c>
      <c r="E3314" t="str">
        <f>VLOOKUP(B3314,Products!$A:$E,3,FALSE)</f>
        <v>Storage</v>
      </c>
    </row>
    <row r="3315" spans="1:5" x14ac:dyDescent="0.3">
      <c r="A3315" t="s">
        <v>9327</v>
      </c>
      <c r="B3315" t="s">
        <v>310</v>
      </c>
      <c r="C3315">
        <v>47</v>
      </c>
      <c r="D3315" t="str">
        <f>VLOOKUP(B3315,Products!$A:$E,2,FALSE)</f>
        <v>Product_151</v>
      </c>
      <c r="E3315" t="str">
        <f>VLOOKUP(B3315,Products!$A:$E,3,FALSE)</f>
        <v>Storage</v>
      </c>
    </row>
    <row r="3316" spans="1:5" x14ac:dyDescent="0.3">
      <c r="A3316" t="s">
        <v>9328</v>
      </c>
      <c r="B3316" t="s">
        <v>954</v>
      </c>
      <c r="C3316">
        <v>44</v>
      </c>
      <c r="D3316" t="str">
        <f>VLOOKUP(B3316,Products!$A:$E,2,FALSE)</f>
        <v>Product_473</v>
      </c>
      <c r="E3316" t="str">
        <f>VLOOKUP(B3316,Products!$A:$E,3,FALSE)</f>
        <v>Accessories</v>
      </c>
    </row>
    <row r="3317" spans="1:5" x14ac:dyDescent="0.3">
      <c r="A3317" t="s">
        <v>9329</v>
      </c>
      <c r="B3317" t="s">
        <v>286</v>
      </c>
      <c r="C3317">
        <v>34</v>
      </c>
      <c r="D3317" t="str">
        <f>VLOOKUP(B3317,Products!$A:$E,2,FALSE)</f>
        <v>Product_139</v>
      </c>
      <c r="E3317" t="str">
        <f>VLOOKUP(B3317,Products!$A:$E,3,FALSE)</f>
        <v>Storage</v>
      </c>
    </row>
    <row r="3318" spans="1:5" x14ac:dyDescent="0.3">
      <c r="A3318" t="s">
        <v>9330</v>
      </c>
      <c r="B3318" t="s">
        <v>340</v>
      </c>
      <c r="C3318">
        <v>40</v>
      </c>
      <c r="D3318" t="str">
        <f>VLOOKUP(B3318,Products!$A:$E,2,FALSE)</f>
        <v>Product_166</v>
      </c>
      <c r="E3318" t="str">
        <f>VLOOKUP(B3318,Products!$A:$E,3,FALSE)</f>
        <v>Accessories</v>
      </c>
    </row>
    <row r="3319" spans="1:5" x14ac:dyDescent="0.3">
      <c r="A3319" t="s">
        <v>9331</v>
      </c>
      <c r="B3319" t="s">
        <v>920</v>
      </c>
      <c r="C3319">
        <v>24</v>
      </c>
      <c r="D3319" t="str">
        <f>VLOOKUP(B3319,Products!$A:$E,2,FALSE)</f>
        <v>Product_456</v>
      </c>
      <c r="E3319" t="str">
        <f>VLOOKUP(B3319,Products!$A:$E,3,FALSE)</f>
        <v>Electronics</v>
      </c>
    </row>
    <row r="3320" spans="1:5" x14ac:dyDescent="0.3">
      <c r="A3320" t="s">
        <v>9332</v>
      </c>
      <c r="B3320" t="s">
        <v>586</v>
      </c>
      <c r="C3320">
        <v>42</v>
      </c>
      <c r="D3320" t="str">
        <f>VLOOKUP(B3320,Products!$A:$E,2,FALSE)</f>
        <v>Product_289</v>
      </c>
      <c r="E3320" t="str">
        <f>VLOOKUP(B3320,Products!$A:$E,3,FALSE)</f>
        <v>Storage</v>
      </c>
    </row>
    <row r="3321" spans="1:5" x14ac:dyDescent="0.3">
      <c r="A3321" t="s">
        <v>9333</v>
      </c>
      <c r="B3321" t="s">
        <v>178</v>
      </c>
      <c r="C3321">
        <v>10</v>
      </c>
      <c r="D3321" t="str">
        <f>VLOOKUP(B3321,Products!$A:$E,2,FALSE)</f>
        <v>Product_85</v>
      </c>
      <c r="E3321" t="str">
        <f>VLOOKUP(B3321,Products!$A:$E,3,FALSE)</f>
        <v>Electronics</v>
      </c>
    </row>
    <row r="3322" spans="1:5" x14ac:dyDescent="0.3">
      <c r="A3322" t="s">
        <v>9334</v>
      </c>
      <c r="B3322" t="s">
        <v>306</v>
      </c>
      <c r="C3322">
        <v>34</v>
      </c>
      <c r="D3322" t="str">
        <f>VLOOKUP(B3322,Products!$A:$E,2,FALSE)</f>
        <v>Product_149</v>
      </c>
      <c r="E3322" t="str">
        <f>VLOOKUP(B3322,Products!$A:$E,3,FALSE)</f>
        <v>Accessories</v>
      </c>
    </row>
    <row r="3323" spans="1:5" x14ac:dyDescent="0.3">
      <c r="A3323" t="s">
        <v>9335</v>
      </c>
      <c r="B3323" t="s">
        <v>710</v>
      </c>
      <c r="C3323">
        <v>14</v>
      </c>
      <c r="D3323" t="str">
        <f>VLOOKUP(B3323,Products!$A:$E,2,FALSE)</f>
        <v>Product_351</v>
      </c>
      <c r="E3323" t="str">
        <f>VLOOKUP(B3323,Products!$A:$E,3,FALSE)</f>
        <v>Accessories</v>
      </c>
    </row>
    <row r="3324" spans="1:5" x14ac:dyDescent="0.3">
      <c r="A3324" t="s">
        <v>9336</v>
      </c>
      <c r="B3324" t="s">
        <v>832</v>
      </c>
      <c r="C3324">
        <v>40</v>
      </c>
      <c r="D3324" t="str">
        <f>VLOOKUP(B3324,Products!$A:$E,2,FALSE)</f>
        <v>Product_412</v>
      </c>
      <c r="E3324" t="str">
        <f>VLOOKUP(B3324,Products!$A:$E,3,FALSE)</f>
        <v>Accessories</v>
      </c>
    </row>
    <row r="3325" spans="1:5" x14ac:dyDescent="0.3">
      <c r="A3325" t="s">
        <v>9337</v>
      </c>
      <c r="B3325" t="s">
        <v>984</v>
      </c>
      <c r="C3325">
        <v>46</v>
      </c>
      <c r="D3325" t="str">
        <f>VLOOKUP(B3325,Products!$A:$E,2,FALSE)</f>
        <v>Product_488</v>
      </c>
      <c r="E3325" t="str">
        <f>VLOOKUP(B3325,Products!$A:$E,3,FALSE)</f>
        <v>Accessories</v>
      </c>
    </row>
    <row r="3326" spans="1:5" x14ac:dyDescent="0.3">
      <c r="A3326" t="s">
        <v>9338</v>
      </c>
      <c r="B3326" t="s">
        <v>390</v>
      </c>
      <c r="C3326">
        <v>34</v>
      </c>
      <c r="D3326" t="str">
        <f>VLOOKUP(B3326,Products!$A:$E,2,FALSE)</f>
        <v>Product_191</v>
      </c>
      <c r="E3326" t="str">
        <f>VLOOKUP(B3326,Products!$A:$E,3,FALSE)</f>
        <v>Networking</v>
      </c>
    </row>
    <row r="3327" spans="1:5" x14ac:dyDescent="0.3">
      <c r="A3327" t="s">
        <v>9339</v>
      </c>
      <c r="B3327" t="s">
        <v>628</v>
      </c>
      <c r="C3327">
        <v>17</v>
      </c>
      <c r="D3327" t="str">
        <f>VLOOKUP(B3327,Products!$A:$E,2,FALSE)</f>
        <v>Product_310</v>
      </c>
      <c r="E3327" t="str">
        <f>VLOOKUP(B3327,Products!$A:$E,3,FALSE)</f>
        <v>Office Supplies</v>
      </c>
    </row>
    <row r="3328" spans="1:5" x14ac:dyDescent="0.3">
      <c r="A3328" t="s">
        <v>9340</v>
      </c>
      <c r="B3328" t="s">
        <v>492</v>
      </c>
      <c r="C3328">
        <v>30</v>
      </c>
      <c r="D3328" t="str">
        <f>VLOOKUP(B3328,Products!$A:$E,2,FALSE)</f>
        <v>Product_242</v>
      </c>
      <c r="E3328" t="str">
        <f>VLOOKUP(B3328,Products!$A:$E,3,FALSE)</f>
        <v>Networking</v>
      </c>
    </row>
    <row r="3329" spans="1:5" x14ac:dyDescent="0.3">
      <c r="A3329" t="s">
        <v>9341</v>
      </c>
      <c r="B3329" t="s">
        <v>224</v>
      </c>
      <c r="C3329">
        <v>22</v>
      </c>
      <c r="D3329" t="str">
        <f>VLOOKUP(B3329,Products!$A:$E,2,FALSE)</f>
        <v>Product_108</v>
      </c>
      <c r="E3329" t="str">
        <f>VLOOKUP(B3329,Products!$A:$E,3,FALSE)</f>
        <v>Networking</v>
      </c>
    </row>
    <row r="3330" spans="1:5" x14ac:dyDescent="0.3">
      <c r="A3330" t="s">
        <v>9342</v>
      </c>
      <c r="B3330" t="s">
        <v>958</v>
      </c>
      <c r="C3330">
        <v>48</v>
      </c>
      <c r="D3330" t="str">
        <f>VLOOKUP(B3330,Products!$A:$E,2,FALSE)</f>
        <v>Product_475</v>
      </c>
      <c r="E3330" t="str">
        <f>VLOOKUP(B3330,Products!$A:$E,3,FALSE)</f>
        <v>Electronics</v>
      </c>
    </row>
    <row r="3331" spans="1:5" x14ac:dyDescent="0.3">
      <c r="A3331" t="s">
        <v>9343</v>
      </c>
      <c r="B3331" t="s">
        <v>746</v>
      </c>
      <c r="C3331">
        <v>9</v>
      </c>
      <c r="D3331" t="str">
        <f>VLOOKUP(B3331,Products!$A:$E,2,FALSE)</f>
        <v>Product_369</v>
      </c>
      <c r="E3331" t="str">
        <f>VLOOKUP(B3331,Products!$A:$E,3,FALSE)</f>
        <v>Accessories</v>
      </c>
    </row>
    <row r="3332" spans="1:5" x14ac:dyDescent="0.3">
      <c r="A3332" t="s">
        <v>9344</v>
      </c>
      <c r="B3332" t="s">
        <v>178</v>
      </c>
      <c r="C3332">
        <v>34</v>
      </c>
      <c r="D3332" t="str">
        <f>VLOOKUP(B3332,Products!$A:$E,2,FALSE)</f>
        <v>Product_85</v>
      </c>
      <c r="E3332" t="str">
        <f>VLOOKUP(B3332,Products!$A:$E,3,FALSE)</f>
        <v>Electronics</v>
      </c>
    </row>
    <row r="3333" spans="1:5" x14ac:dyDescent="0.3">
      <c r="A3333" t="s">
        <v>9345</v>
      </c>
      <c r="B3333" t="s">
        <v>742</v>
      </c>
      <c r="C3333">
        <v>31</v>
      </c>
      <c r="D3333" t="str">
        <f>VLOOKUP(B3333,Products!$A:$E,2,FALSE)</f>
        <v>Product_367</v>
      </c>
      <c r="E3333" t="str">
        <f>VLOOKUP(B3333,Products!$A:$E,3,FALSE)</f>
        <v>Storage</v>
      </c>
    </row>
    <row r="3334" spans="1:5" x14ac:dyDescent="0.3">
      <c r="A3334" t="s">
        <v>9346</v>
      </c>
      <c r="B3334" t="s">
        <v>20</v>
      </c>
      <c r="C3334">
        <v>21</v>
      </c>
      <c r="D3334" t="str">
        <f>VLOOKUP(B3334,Products!$A:$E,2,FALSE)</f>
        <v>Product_6</v>
      </c>
      <c r="E3334" t="str">
        <f>VLOOKUP(B3334,Products!$A:$E,3,FALSE)</f>
        <v>Electronics</v>
      </c>
    </row>
    <row r="3335" spans="1:5" x14ac:dyDescent="0.3">
      <c r="A3335" t="s">
        <v>9347</v>
      </c>
      <c r="B3335" t="s">
        <v>436</v>
      </c>
      <c r="C3335">
        <v>12</v>
      </c>
      <c r="D3335" t="str">
        <f>VLOOKUP(B3335,Products!$A:$E,2,FALSE)</f>
        <v>Product_214</v>
      </c>
      <c r="E3335" t="str">
        <f>VLOOKUP(B3335,Products!$A:$E,3,FALSE)</f>
        <v>Electronics</v>
      </c>
    </row>
    <row r="3336" spans="1:5" x14ac:dyDescent="0.3">
      <c r="A3336" t="s">
        <v>9348</v>
      </c>
      <c r="B3336" t="s">
        <v>162</v>
      </c>
      <c r="C3336">
        <v>31</v>
      </c>
      <c r="D3336" t="str">
        <f>VLOOKUP(B3336,Products!$A:$E,2,FALSE)</f>
        <v>Product_77</v>
      </c>
      <c r="E3336" t="str">
        <f>VLOOKUP(B3336,Products!$A:$E,3,FALSE)</f>
        <v>Networking</v>
      </c>
    </row>
    <row r="3337" spans="1:5" x14ac:dyDescent="0.3">
      <c r="A3337" t="s">
        <v>9349</v>
      </c>
      <c r="B3337" t="s">
        <v>78</v>
      </c>
      <c r="C3337">
        <v>1</v>
      </c>
      <c r="D3337" t="str">
        <f>VLOOKUP(B3337,Products!$A:$E,2,FALSE)</f>
        <v>Product_35</v>
      </c>
      <c r="E3337" t="str">
        <f>VLOOKUP(B3337,Products!$A:$E,3,FALSE)</f>
        <v>Electronics</v>
      </c>
    </row>
    <row r="3338" spans="1:5" x14ac:dyDescent="0.3">
      <c r="A3338" t="s">
        <v>9350</v>
      </c>
      <c r="B3338" t="s">
        <v>328</v>
      </c>
      <c r="C3338">
        <v>45</v>
      </c>
      <c r="D3338" t="str">
        <f>VLOOKUP(B3338,Products!$A:$E,2,FALSE)</f>
        <v>Product_160</v>
      </c>
      <c r="E3338" t="str">
        <f>VLOOKUP(B3338,Products!$A:$E,3,FALSE)</f>
        <v>Office Supplies</v>
      </c>
    </row>
    <row r="3339" spans="1:5" x14ac:dyDescent="0.3">
      <c r="A3339" t="s">
        <v>9351</v>
      </c>
      <c r="B3339" t="s">
        <v>202</v>
      </c>
      <c r="C3339">
        <v>13</v>
      </c>
      <c r="D3339" t="str">
        <f>VLOOKUP(B3339,Products!$A:$E,2,FALSE)</f>
        <v>Product_97</v>
      </c>
      <c r="E3339" t="str">
        <f>VLOOKUP(B3339,Products!$A:$E,3,FALSE)</f>
        <v>Accessories</v>
      </c>
    </row>
    <row r="3340" spans="1:5" x14ac:dyDescent="0.3">
      <c r="A3340" t="s">
        <v>9352</v>
      </c>
      <c r="B3340" t="s">
        <v>720</v>
      </c>
      <c r="C3340">
        <v>7</v>
      </c>
      <c r="D3340" t="str">
        <f>VLOOKUP(B3340,Products!$A:$E,2,FALSE)</f>
        <v>Product_356</v>
      </c>
      <c r="E3340" t="str">
        <f>VLOOKUP(B3340,Products!$A:$E,3,FALSE)</f>
        <v>Accessories</v>
      </c>
    </row>
    <row r="3341" spans="1:5" x14ac:dyDescent="0.3">
      <c r="A3341" t="s">
        <v>9353</v>
      </c>
      <c r="B3341" t="s">
        <v>560</v>
      </c>
      <c r="C3341">
        <v>30</v>
      </c>
      <c r="D3341" t="str">
        <f>VLOOKUP(B3341,Products!$A:$E,2,FALSE)</f>
        <v>Product_276</v>
      </c>
      <c r="E3341" t="str">
        <f>VLOOKUP(B3341,Products!$A:$E,3,FALSE)</f>
        <v>Office Supplies</v>
      </c>
    </row>
    <row r="3342" spans="1:5" x14ac:dyDescent="0.3">
      <c r="A3342" t="s">
        <v>9354</v>
      </c>
      <c r="B3342" t="s">
        <v>348</v>
      </c>
      <c r="C3342">
        <v>7</v>
      </c>
      <c r="D3342" t="str">
        <f>VLOOKUP(B3342,Products!$A:$E,2,FALSE)</f>
        <v>Product_170</v>
      </c>
      <c r="E3342" t="str">
        <f>VLOOKUP(B3342,Products!$A:$E,3,FALSE)</f>
        <v>Office Supplies</v>
      </c>
    </row>
    <row r="3343" spans="1:5" x14ac:dyDescent="0.3">
      <c r="A3343" t="s">
        <v>9355</v>
      </c>
      <c r="B3343" t="s">
        <v>72</v>
      </c>
      <c r="C3343">
        <v>40</v>
      </c>
      <c r="D3343" t="str">
        <f>VLOOKUP(B3343,Products!$A:$E,2,FALSE)</f>
        <v>Product_32</v>
      </c>
      <c r="E3343" t="str">
        <f>VLOOKUP(B3343,Products!$A:$E,3,FALSE)</f>
        <v>Networking</v>
      </c>
    </row>
    <row r="3344" spans="1:5" x14ac:dyDescent="0.3">
      <c r="A3344" t="s">
        <v>9356</v>
      </c>
      <c r="B3344" t="s">
        <v>488</v>
      </c>
      <c r="C3344">
        <v>39</v>
      </c>
      <c r="D3344" t="str">
        <f>VLOOKUP(B3344,Products!$A:$E,2,FALSE)</f>
        <v>Product_240</v>
      </c>
      <c r="E3344" t="str">
        <f>VLOOKUP(B3344,Products!$A:$E,3,FALSE)</f>
        <v>Storage</v>
      </c>
    </row>
    <row r="3345" spans="1:5" x14ac:dyDescent="0.3">
      <c r="A3345" t="s">
        <v>9357</v>
      </c>
      <c r="B3345" t="s">
        <v>170</v>
      </c>
      <c r="C3345">
        <v>5</v>
      </c>
      <c r="D3345" t="str">
        <f>VLOOKUP(B3345,Products!$A:$E,2,FALSE)</f>
        <v>Product_81</v>
      </c>
      <c r="E3345" t="str">
        <f>VLOOKUP(B3345,Products!$A:$E,3,FALSE)</f>
        <v>Office Supplies</v>
      </c>
    </row>
    <row r="3346" spans="1:5" x14ac:dyDescent="0.3">
      <c r="A3346" t="s">
        <v>9358</v>
      </c>
      <c r="B3346" t="s">
        <v>368</v>
      </c>
      <c r="C3346">
        <v>41</v>
      </c>
      <c r="D3346" t="str">
        <f>VLOOKUP(B3346,Products!$A:$E,2,FALSE)</f>
        <v>Product_180</v>
      </c>
      <c r="E3346" t="str">
        <f>VLOOKUP(B3346,Products!$A:$E,3,FALSE)</f>
        <v>Office Supplies</v>
      </c>
    </row>
    <row r="3347" spans="1:5" x14ac:dyDescent="0.3">
      <c r="A3347" t="s">
        <v>9359</v>
      </c>
      <c r="B3347" t="s">
        <v>582</v>
      </c>
      <c r="C3347">
        <v>15</v>
      </c>
      <c r="D3347" t="str">
        <f>VLOOKUP(B3347,Products!$A:$E,2,FALSE)</f>
        <v>Product_287</v>
      </c>
      <c r="E3347" t="str">
        <f>VLOOKUP(B3347,Products!$A:$E,3,FALSE)</f>
        <v>Storage</v>
      </c>
    </row>
    <row r="3348" spans="1:5" x14ac:dyDescent="0.3">
      <c r="A3348" t="s">
        <v>9360</v>
      </c>
      <c r="B3348" t="s">
        <v>362</v>
      </c>
      <c r="C3348">
        <v>41</v>
      </c>
      <c r="D3348" t="str">
        <f>VLOOKUP(B3348,Products!$A:$E,2,FALSE)</f>
        <v>Product_177</v>
      </c>
      <c r="E3348" t="str">
        <f>VLOOKUP(B3348,Products!$A:$E,3,FALSE)</f>
        <v>Office Supplies</v>
      </c>
    </row>
    <row r="3349" spans="1:5" x14ac:dyDescent="0.3">
      <c r="A3349" t="s">
        <v>9361</v>
      </c>
      <c r="B3349" t="s">
        <v>24</v>
      </c>
      <c r="C3349">
        <v>13</v>
      </c>
      <c r="D3349" t="str">
        <f>VLOOKUP(B3349,Products!$A:$E,2,FALSE)</f>
        <v>Product_8</v>
      </c>
      <c r="E3349" t="str">
        <f>VLOOKUP(B3349,Products!$A:$E,3,FALSE)</f>
        <v>Storage</v>
      </c>
    </row>
    <row r="3350" spans="1:5" x14ac:dyDescent="0.3">
      <c r="A3350" t="s">
        <v>9362</v>
      </c>
      <c r="B3350" t="s">
        <v>290</v>
      </c>
      <c r="C3350">
        <v>19</v>
      </c>
      <c r="D3350" t="str">
        <f>VLOOKUP(B3350,Products!$A:$E,2,FALSE)</f>
        <v>Product_141</v>
      </c>
      <c r="E3350" t="str">
        <f>VLOOKUP(B3350,Products!$A:$E,3,FALSE)</f>
        <v>Electronics</v>
      </c>
    </row>
    <row r="3351" spans="1:5" x14ac:dyDescent="0.3">
      <c r="A3351" t="s">
        <v>9363</v>
      </c>
      <c r="B3351" t="s">
        <v>850</v>
      </c>
      <c r="C3351">
        <v>28</v>
      </c>
      <c r="D3351" t="str">
        <f>VLOOKUP(B3351,Products!$A:$E,2,FALSE)</f>
        <v>Product_421</v>
      </c>
      <c r="E3351" t="str">
        <f>VLOOKUP(B3351,Products!$A:$E,3,FALSE)</f>
        <v>Accessories</v>
      </c>
    </row>
    <row r="3352" spans="1:5" x14ac:dyDescent="0.3">
      <c r="A3352" t="s">
        <v>9364</v>
      </c>
      <c r="B3352" t="s">
        <v>608</v>
      </c>
      <c r="C3352">
        <v>47</v>
      </c>
      <c r="D3352" t="str">
        <f>VLOOKUP(B3352,Products!$A:$E,2,FALSE)</f>
        <v>Product_300</v>
      </c>
      <c r="E3352" t="str">
        <f>VLOOKUP(B3352,Products!$A:$E,3,FALSE)</f>
        <v>Accessories</v>
      </c>
    </row>
    <row r="3353" spans="1:5" x14ac:dyDescent="0.3">
      <c r="A3353" t="s">
        <v>9365</v>
      </c>
      <c r="B3353" t="s">
        <v>322</v>
      </c>
      <c r="C3353">
        <v>24</v>
      </c>
      <c r="D3353" t="str">
        <f>VLOOKUP(B3353,Products!$A:$E,2,FALSE)</f>
        <v>Product_157</v>
      </c>
      <c r="E3353" t="str">
        <f>VLOOKUP(B3353,Products!$A:$E,3,FALSE)</f>
        <v>Electronics</v>
      </c>
    </row>
    <row r="3354" spans="1:5" x14ac:dyDescent="0.3">
      <c r="A3354" t="s">
        <v>9366</v>
      </c>
      <c r="B3354" t="s">
        <v>648</v>
      </c>
      <c r="C3354">
        <v>50</v>
      </c>
      <c r="D3354" t="str">
        <f>VLOOKUP(B3354,Products!$A:$E,2,FALSE)</f>
        <v>Product_320</v>
      </c>
      <c r="E3354" t="str">
        <f>VLOOKUP(B3354,Products!$A:$E,3,FALSE)</f>
        <v>Office Supplies</v>
      </c>
    </row>
    <row r="3355" spans="1:5" x14ac:dyDescent="0.3">
      <c r="A3355" t="s">
        <v>9367</v>
      </c>
      <c r="B3355" t="s">
        <v>422</v>
      </c>
      <c r="C3355">
        <v>17</v>
      </c>
      <c r="D3355" t="str">
        <f>VLOOKUP(B3355,Products!$A:$E,2,FALSE)</f>
        <v>Product_207</v>
      </c>
      <c r="E3355" t="str">
        <f>VLOOKUP(B3355,Products!$A:$E,3,FALSE)</f>
        <v>Accessories</v>
      </c>
    </row>
    <row r="3356" spans="1:5" x14ac:dyDescent="0.3">
      <c r="A3356" t="s">
        <v>9368</v>
      </c>
      <c r="B3356" t="s">
        <v>584</v>
      </c>
      <c r="C3356">
        <v>35</v>
      </c>
      <c r="D3356" t="str">
        <f>VLOOKUP(B3356,Products!$A:$E,2,FALSE)</f>
        <v>Product_288</v>
      </c>
      <c r="E3356" t="str">
        <f>VLOOKUP(B3356,Products!$A:$E,3,FALSE)</f>
        <v>Networking</v>
      </c>
    </row>
    <row r="3357" spans="1:5" x14ac:dyDescent="0.3">
      <c r="A3357" t="s">
        <v>9369</v>
      </c>
      <c r="B3357" t="s">
        <v>666</v>
      </c>
      <c r="C3357">
        <v>43</v>
      </c>
      <c r="D3357" t="str">
        <f>VLOOKUP(B3357,Products!$A:$E,2,FALSE)</f>
        <v>Product_329</v>
      </c>
      <c r="E3357" t="str">
        <f>VLOOKUP(B3357,Products!$A:$E,3,FALSE)</f>
        <v>Office Supplies</v>
      </c>
    </row>
    <row r="3358" spans="1:5" x14ac:dyDescent="0.3">
      <c r="A3358" t="s">
        <v>9370</v>
      </c>
      <c r="B3358" t="s">
        <v>216</v>
      </c>
      <c r="C3358">
        <v>5</v>
      </c>
      <c r="D3358" t="str">
        <f>VLOOKUP(B3358,Products!$A:$E,2,FALSE)</f>
        <v>Product_104</v>
      </c>
      <c r="E3358" t="str">
        <f>VLOOKUP(B3358,Products!$A:$E,3,FALSE)</f>
        <v>Networking</v>
      </c>
    </row>
    <row r="3359" spans="1:5" x14ac:dyDescent="0.3">
      <c r="A3359" t="s">
        <v>9371</v>
      </c>
      <c r="B3359" t="s">
        <v>616</v>
      </c>
      <c r="C3359">
        <v>10</v>
      </c>
      <c r="D3359" t="str">
        <f>VLOOKUP(B3359,Products!$A:$E,2,FALSE)</f>
        <v>Product_304</v>
      </c>
      <c r="E3359" t="str">
        <f>VLOOKUP(B3359,Products!$A:$E,3,FALSE)</f>
        <v>Electronics</v>
      </c>
    </row>
    <row r="3360" spans="1:5" x14ac:dyDescent="0.3">
      <c r="A3360" t="s">
        <v>9372</v>
      </c>
      <c r="B3360" t="s">
        <v>114</v>
      </c>
      <c r="C3360">
        <v>47</v>
      </c>
      <c r="D3360" t="str">
        <f>VLOOKUP(B3360,Products!$A:$E,2,FALSE)</f>
        <v>Product_53</v>
      </c>
      <c r="E3360" t="str">
        <f>VLOOKUP(B3360,Products!$A:$E,3,FALSE)</f>
        <v>Electronics</v>
      </c>
    </row>
    <row r="3361" spans="1:5" x14ac:dyDescent="0.3">
      <c r="A3361" t="s">
        <v>9373</v>
      </c>
      <c r="B3361" t="s">
        <v>230</v>
      </c>
      <c r="C3361">
        <v>18</v>
      </c>
      <c r="D3361" t="str">
        <f>VLOOKUP(B3361,Products!$A:$E,2,FALSE)</f>
        <v>Product_111</v>
      </c>
      <c r="E3361" t="str">
        <f>VLOOKUP(B3361,Products!$A:$E,3,FALSE)</f>
        <v>Office Supplies</v>
      </c>
    </row>
    <row r="3362" spans="1:5" x14ac:dyDescent="0.3">
      <c r="A3362" t="s">
        <v>9374</v>
      </c>
      <c r="B3362" t="s">
        <v>192</v>
      </c>
      <c r="C3362">
        <v>17</v>
      </c>
      <c r="D3362" t="str">
        <f>VLOOKUP(B3362,Products!$A:$E,2,FALSE)</f>
        <v>Product_92</v>
      </c>
      <c r="E3362" t="str">
        <f>VLOOKUP(B3362,Products!$A:$E,3,FALSE)</f>
        <v>Electronics</v>
      </c>
    </row>
    <row r="3363" spans="1:5" x14ac:dyDescent="0.3">
      <c r="A3363" t="s">
        <v>9375</v>
      </c>
      <c r="B3363" t="s">
        <v>586</v>
      </c>
      <c r="C3363">
        <v>7</v>
      </c>
      <c r="D3363" t="str">
        <f>VLOOKUP(B3363,Products!$A:$E,2,FALSE)</f>
        <v>Product_289</v>
      </c>
      <c r="E3363" t="str">
        <f>VLOOKUP(B3363,Products!$A:$E,3,FALSE)</f>
        <v>Storage</v>
      </c>
    </row>
    <row r="3364" spans="1:5" x14ac:dyDescent="0.3">
      <c r="A3364" t="s">
        <v>9376</v>
      </c>
      <c r="B3364" t="s">
        <v>138</v>
      </c>
      <c r="C3364">
        <v>34</v>
      </c>
      <c r="D3364" t="str">
        <f>VLOOKUP(B3364,Products!$A:$E,2,FALSE)</f>
        <v>Product_65</v>
      </c>
      <c r="E3364" t="str">
        <f>VLOOKUP(B3364,Products!$A:$E,3,FALSE)</f>
        <v>Office Supplies</v>
      </c>
    </row>
    <row r="3365" spans="1:5" x14ac:dyDescent="0.3">
      <c r="A3365" t="s">
        <v>9377</v>
      </c>
      <c r="B3365" t="s">
        <v>610</v>
      </c>
      <c r="C3365">
        <v>42</v>
      </c>
      <c r="D3365" t="str">
        <f>VLOOKUP(B3365,Products!$A:$E,2,FALSE)</f>
        <v>Product_301</v>
      </c>
      <c r="E3365" t="str">
        <f>VLOOKUP(B3365,Products!$A:$E,3,FALSE)</f>
        <v>Networking</v>
      </c>
    </row>
    <row r="3366" spans="1:5" x14ac:dyDescent="0.3">
      <c r="A3366" t="s">
        <v>9378</v>
      </c>
      <c r="B3366" t="s">
        <v>794</v>
      </c>
      <c r="C3366">
        <v>25</v>
      </c>
      <c r="D3366" t="str">
        <f>VLOOKUP(B3366,Products!$A:$E,2,FALSE)</f>
        <v>Product_393</v>
      </c>
      <c r="E3366" t="str">
        <f>VLOOKUP(B3366,Products!$A:$E,3,FALSE)</f>
        <v>Electronics</v>
      </c>
    </row>
    <row r="3367" spans="1:5" x14ac:dyDescent="0.3">
      <c r="A3367" t="s">
        <v>9379</v>
      </c>
      <c r="B3367" t="s">
        <v>348</v>
      </c>
      <c r="C3367">
        <v>37</v>
      </c>
      <c r="D3367" t="str">
        <f>VLOOKUP(B3367,Products!$A:$E,2,FALSE)</f>
        <v>Product_170</v>
      </c>
      <c r="E3367" t="str">
        <f>VLOOKUP(B3367,Products!$A:$E,3,FALSE)</f>
        <v>Office Supplies</v>
      </c>
    </row>
    <row r="3368" spans="1:5" x14ac:dyDescent="0.3">
      <c r="A3368" t="s">
        <v>9380</v>
      </c>
      <c r="B3368" t="s">
        <v>800</v>
      </c>
      <c r="C3368">
        <v>38</v>
      </c>
      <c r="D3368" t="str">
        <f>VLOOKUP(B3368,Products!$A:$E,2,FALSE)</f>
        <v>Product_396</v>
      </c>
      <c r="E3368" t="str">
        <f>VLOOKUP(B3368,Products!$A:$E,3,FALSE)</f>
        <v>Office Supplies</v>
      </c>
    </row>
    <row r="3369" spans="1:5" x14ac:dyDescent="0.3">
      <c r="A3369" t="s">
        <v>9381</v>
      </c>
      <c r="B3369" t="s">
        <v>628</v>
      </c>
      <c r="C3369">
        <v>18</v>
      </c>
      <c r="D3369" t="str">
        <f>VLOOKUP(B3369,Products!$A:$E,2,FALSE)</f>
        <v>Product_310</v>
      </c>
      <c r="E3369" t="str">
        <f>VLOOKUP(B3369,Products!$A:$E,3,FALSE)</f>
        <v>Office Supplies</v>
      </c>
    </row>
    <row r="3370" spans="1:5" x14ac:dyDescent="0.3">
      <c r="A3370" t="s">
        <v>9382</v>
      </c>
      <c r="B3370" t="s">
        <v>998</v>
      </c>
      <c r="C3370">
        <v>48</v>
      </c>
      <c r="D3370" t="str">
        <f>VLOOKUP(B3370,Products!$A:$E,2,FALSE)</f>
        <v>Product_495</v>
      </c>
      <c r="E3370" t="str">
        <f>VLOOKUP(B3370,Products!$A:$E,3,FALSE)</f>
        <v>Networking</v>
      </c>
    </row>
    <row r="3371" spans="1:5" x14ac:dyDescent="0.3">
      <c r="A3371" t="s">
        <v>9383</v>
      </c>
      <c r="B3371" t="s">
        <v>902</v>
      </c>
      <c r="C3371">
        <v>40</v>
      </c>
      <c r="D3371" t="str">
        <f>VLOOKUP(B3371,Products!$A:$E,2,FALSE)</f>
        <v>Product_447</v>
      </c>
      <c r="E3371" t="str">
        <f>VLOOKUP(B3371,Products!$A:$E,3,FALSE)</f>
        <v>Office Supplies</v>
      </c>
    </row>
    <row r="3372" spans="1:5" x14ac:dyDescent="0.3">
      <c r="A3372" t="s">
        <v>9384</v>
      </c>
      <c r="B3372" t="s">
        <v>694</v>
      </c>
      <c r="C3372">
        <v>31</v>
      </c>
      <c r="D3372" t="str">
        <f>VLOOKUP(B3372,Products!$A:$E,2,FALSE)</f>
        <v>Product_343</v>
      </c>
      <c r="E3372" t="str">
        <f>VLOOKUP(B3372,Products!$A:$E,3,FALSE)</f>
        <v>Office Supplies</v>
      </c>
    </row>
    <row r="3373" spans="1:5" x14ac:dyDescent="0.3">
      <c r="A3373" t="s">
        <v>9385</v>
      </c>
      <c r="B3373" t="s">
        <v>224</v>
      </c>
      <c r="C3373">
        <v>11</v>
      </c>
      <c r="D3373" t="str">
        <f>VLOOKUP(B3373,Products!$A:$E,2,FALSE)</f>
        <v>Product_108</v>
      </c>
      <c r="E3373" t="str">
        <f>VLOOKUP(B3373,Products!$A:$E,3,FALSE)</f>
        <v>Networking</v>
      </c>
    </row>
    <row r="3374" spans="1:5" x14ac:dyDescent="0.3">
      <c r="A3374" t="s">
        <v>9386</v>
      </c>
      <c r="B3374" t="s">
        <v>8</v>
      </c>
      <c r="C3374">
        <v>15</v>
      </c>
      <c r="D3374" t="str">
        <f>VLOOKUP(B3374,Products!$A:$E,2,FALSE)</f>
        <v>Product_2</v>
      </c>
      <c r="E3374" t="str">
        <f>VLOOKUP(B3374,Products!$A:$E,3,FALSE)</f>
        <v>Office Supplies</v>
      </c>
    </row>
    <row r="3375" spans="1:5" x14ac:dyDescent="0.3">
      <c r="A3375" t="s">
        <v>9387</v>
      </c>
      <c r="B3375" t="s">
        <v>230</v>
      </c>
      <c r="C3375">
        <v>6</v>
      </c>
      <c r="D3375" t="str">
        <f>VLOOKUP(B3375,Products!$A:$E,2,FALSE)</f>
        <v>Product_111</v>
      </c>
      <c r="E3375" t="str">
        <f>VLOOKUP(B3375,Products!$A:$E,3,FALSE)</f>
        <v>Office Supplies</v>
      </c>
    </row>
    <row r="3376" spans="1:5" x14ac:dyDescent="0.3">
      <c r="A3376" t="s">
        <v>9388</v>
      </c>
      <c r="B3376" t="s">
        <v>960</v>
      </c>
      <c r="C3376">
        <v>40</v>
      </c>
      <c r="D3376" t="str">
        <f>VLOOKUP(B3376,Products!$A:$E,2,FALSE)</f>
        <v>Product_476</v>
      </c>
      <c r="E3376" t="str">
        <f>VLOOKUP(B3376,Products!$A:$E,3,FALSE)</f>
        <v>Office Supplies</v>
      </c>
    </row>
    <row r="3377" spans="1:5" x14ac:dyDescent="0.3">
      <c r="A3377" t="s">
        <v>9389</v>
      </c>
      <c r="B3377" t="s">
        <v>160</v>
      </c>
      <c r="C3377">
        <v>10</v>
      </c>
      <c r="D3377" t="str">
        <f>VLOOKUP(B3377,Products!$A:$E,2,FALSE)</f>
        <v>Product_76</v>
      </c>
      <c r="E3377" t="str">
        <f>VLOOKUP(B3377,Products!$A:$E,3,FALSE)</f>
        <v>Accessories</v>
      </c>
    </row>
    <row r="3378" spans="1:5" x14ac:dyDescent="0.3">
      <c r="A3378" t="s">
        <v>9390</v>
      </c>
      <c r="B3378" t="s">
        <v>178</v>
      </c>
      <c r="C3378">
        <v>31</v>
      </c>
      <c r="D3378" t="str">
        <f>VLOOKUP(B3378,Products!$A:$E,2,FALSE)</f>
        <v>Product_85</v>
      </c>
      <c r="E3378" t="str">
        <f>VLOOKUP(B3378,Products!$A:$E,3,FALSE)</f>
        <v>Electronics</v>
      </c>
    </row>
    <row r="3379" spans="1:5" x14ac:dyDescent="0.3">
      <c r="A3379" t="s">
        <v>9391</v>
      </c>
      <c r="B3379" t="s">
        <v>904</v>
      </c>
      <c r="C3379">
        <v>1</v>
      </c>
      <c r="D3379" t="str">
        <f>VLOOKUP(B3379,Products!$A:$E,2,FALSE)</f>
        <v>Product_448</v>
      </c>
      <c r="E3379" t="str">
        <f>VLOOKUP(B3379,Products!$A:$E,3,FALSE)</f>
        <v>Networking</v>
      </c>
    </row>
    <row r="3380" spans="1:5" x14ac:dyDescent="0.3">
      <c r="A3380" t="s">
        <v>9392</v>
      </c>
      <c r="B3380" t="s">
        <v>340</v>
      </c>
      <c r="C3380">
        <v>5</v>
      </c>
      <c r="D3380" t="str">
        <f>VLOOKUP(B3380,Products!$A:$E,2,FALSE)</f>
        <v>Product_166</v>
      </c>
      <c r="E3380" t="str">
        <f>VLOOKUP(B3380,Products!$A:$E,3,FALSE)</f>
        <v>Accessories</v>
      </c>
    </row>
    <row r="3381" spans="1:5" x14ac:dyDescent="0.3">
      <c r="A3381" t="s">
        <v>9393</v>
      </c>
      <c r="B3381" t="s">
        <v>926</v>
      </c>
      <c r="C3381">
        <v>4</v>
      </c>
      <c r="D3381" t="str">
        <f>VLOOKUP(B3381,Products!$A:$E,2,FALSE)</f>
        <v>Product_459</v>
      </c>
      <c r="E3381" t="str">
        <f>VLOOKUP(B3381,Products!$A:$E,3,FALSE)</f>
        <v>Office Supplies</v>
      </c>
    </row>
    <row r="3382" spans="1:5" x14ac:dyDescent="0.3">
      <c r="A3382" t="s">
        <v>9394</v>
      </c>
      <c r="B3382" t="s">
        <v>150</v>
      </c>
      <c r="C3382">
        <v>33</v>
      </c>
      <c r="D3382" t="str">
        <f>VLOOKUP(B3382,Products!$A:$E,2,FALSE)</f>
        <v>Product_71</v>
      </c>
      <c r="E3382" t="str">
        <f>VLOOKUP(B3382,Products!$A:$E,3,FALSE)</f>
        <v>Accessories</v>
      </c>
    </row>
    <row r="3383" spans="1:5" x14ac:dyDescent="0.3">
      <c r="A3383" t="s">
        <v>9395</v>
      </c>
      <c r="B3383" t="s">
        <v>836</v>
      </c>
      <c r="C3383">
        <v>29</v>
      </c>
      <c r="D3383" t="str">
        <f>VLOOKUP(B3383,Products!$A:$E,2,FALSE)</f>
        <v>Product_414</v>
      </c>
      <c r="E3383" t="str">
        <f>VLOOKUP(B3383,Products!$A:$E,3,FALSE)</f>
        <v>Office Supplies</v>
      </c>
    </row>
    <row r="3384" spans="1:5" x14ac:dyDescent="0.3">
      <c r="A3384" t="s">
        <v>9396</v>
      </c>
      <c r="B3384" t="s">
        <v>444</v>
      </c>
      <c r="C3384">
        <v>43</v>
      </c>
      <c r="D3384" t="str">
        <f>VLOOKUP(B3384,Products!$A:$E,2,FALSE)</f>
        <v>Product_218</v>
      </c>
      <c r="E3384" t="str">
        <f>VLOOKUP(B3384,Products!$A:$E,3,FALSE)</f>
        <v>Accessories</v>
      </c>
    </row>
    <row r="3385" spans="1:5" x14ac:dyDescent="0.3">
      <c r="A3385" t="s">
        <v>9397</v>
      </c>
      <c r="B3385" t="s">
        <v>492</v>
      </c>
      <c r="C3385">
        <v>21</v>
      </c>
      <c r="D3385" t="str">
        <f>VLOOKUP(B3385,Products!$A:$E,2,FALSE)</f>
        <v>Product_242</v>
      </c>
      <c r="E3385" t="str">
        <f>VLOOKUP(B3385,Products!$A:$E,3,FALSE)</f>
        <v>Networking</v>
      </c>
    </row>
    <row r="3386" spans="1:5" x14ac:dyDescent="0.3">
      <c r="A3386" t="s">
        <v>9398</v>
      </c>
      <c r="B3386" t="s">
        <v>318</v>
      </c>
      <c r="C3386">
        <v>33</v>
      </c>
      <c r="D3386" t="str">
        <f>VLOOKUP(B3386,Products!$A:$E,2,FALSE)</f>
        <v>Product_155</v>
      </c>
      <c r="E3386" t="str">
        <f>VLOOKUP(B3386,Products!$A:$E,3,FALSE)</f>
        <v>Office Supplies</v>
      </c>
    </row>
    <row r="3387" spans="1:5" x14ac:dyDescent="0.3">
      <c r="A3387" t="s">
        <v>9399</v>
      </c>
      <c r="B3387" t="s">
        <v>788</v>
      </c>
      <c r="C3387">
        <v>8</v>
      </c>
      <c r="D3387" t="str">
        <f>VLOOKUP(B3387,Products!$A:$E,2,FALSE)</f>
        <v>Product_390</v>
      </c>
      <c r="E3387" t="str">
        <f>VLOOKUP(B3387,Products!$A:$E,3,FALSE)</f>
        <v>Storage</v>
      </c>
    </row>
    <row r="3388" spans="1:5" x14ac:dyDescent="0.3">
      <c r="A3388" t="s">
        <v>9400</v>
      </c>
      <c r="B3388" t="s">
        <v>256</v>
      </c>
      <c r="C3388">
        <v>36</v>
      </c>
      <c r="D3388" t="str">
        <f>VLOOKUP(B3388,Products!$A:$E,2,FALSE)</f>
        <v>Product_124</v>
      </c>
      <c r="E3388" t="str">
        <f>VLOOKUP(B3388,Products!$A:$E,3,FALSE)</f>
        <v>Storage</v>
      </c>
    </row>
    <row r="3389" spans="1:5" x14ac:dyDescent="0.3">
      <c r="A3389" t="s">
        <v>9401</v>
      </c>
      <c r="B3389" t="s">
        <v>412</v>
      </c>
      <c r="C3389">
        <v>25</v>
      </c>
      <c r="D3389" t="str">
        <f>VLOOKUP(B3389,Products!$A:$E,2,FALSE)</f>
        <v>Product_202</v>
      </c>
      <c r="E3389" t="str">
        <f>VLOOKUP(B3389,Products!$A:$E,3,FALSE)</f>
        <v>Storage</v>
      </c>
    </row>
    <row r="3390" spans="1:5" x14ac:dyDescent="0.3">
      <c r="A3390" t="s">
        <v>9402</v>
      </c>
      <c r="B3390" t="s">
        <v>802</v>
      </c>
      <c r="C3390">
        <v>25</v>
      </c>
      <c r="D3390" t="str">
        <f>VLOOKUP(B3390,Products!$A:$E,2,FALSE)</f>
        <v>Product_397</v>
      </c>
      <c r="E3390" t="str">
        <f>VLOOKUP(B3390,Products!$A:$E,3,FALSE)</f>
        <v>Office Supplies</v>
      </c>
    </row>
    <row r="3391" spans="1:5" x14ac:dyDescent="0.3">
      <c r="A3391" t="s">
        <v>9403</v>
      </c>
      <c r="B3391" t="s">
        <v>732</v>
      </c>
      <c r="C3391">
        <v>31</v>
      </c>
      <c r="D3391" t="str">
        <f>VLOOKUP(B3391,Products!$A:$E,2,FALSE)</f>
        <v>Product_362</v>
      </c>
      <c r="E3391" t="str">
        <f>VLOOKUP(B3391,Products!$A:$E,3,FALSE)</f>
        <v>Networking</v>
      </c>
    </row>
    <row r="3392" spans="1:5" x14ac:dyDescent="0.3">
      <c r="A3392" t="s">
        <v>9404</v>
      </c>
      <c r="B3392" t="s">
        <v>372</v>
      </c>
      <c r="C3392">
        <v>20</v>
      </c>
      <c r="D3392" t="str">
        <f>VLOOKUP(B3392,Products!$A:$E,2,FALSE)</f>
        <v>Product_182</v>
      </c>
      <c r="E3392" t="str">
        <f>VLOOKUP(B3392,Products!$A:$E,3,FALSE)</f>
        <v>Storage</v>
      </c>
    </row>
    <row r="3393" spans="1:5" x14ac:dyDescent="0.3">
      <c r="A3393" t="s">
        <v>9405</v>
      </c>
      <c r="B3393" t="s">
        <v>868</v>
      </c>
      <c r="C3393">
        <v>34</v>
      </c>
      <c r="D3393" t="str">
        <f>VLOOKUP(B3393,Products!$A:$E,2,FALSE)</f>
        <v>Product_430</v>
      </c>
      <c r="E3393" t="str">
        <f>VLOOKUP(B3393,Products!$A:$E,3,FALSE)</f>
        <v>Electronics</v>
      </c>
    </row>
    <row r="3394" spans="1:5" x14ac:dyDescent="0.3">
      <c r="A3394" t="s">
        <v>9406</v>
      </c>
      <c r="B3394" t="s">
        <v>334</v>
      </c>
      <c r="C3394">
        <v>34</v>
      </c>
      <c r="D3394" t="str">
        <f>VLOOKUP(B3394,Products!$A:$E,2,FALSE)</f>
        <v>Product_163</v>
      </c>
      <c r="E3394" t="str">
        <f>VLOOKUP(B3394,Products!$A:$E,3,FALSE)</f>
        <v>Accessories</v>
      </c>
    </row>
    <row r="3395" spans="1:5" x14ac:dyDescent="0.3">
      <c r="A3395" t="s">
        <v>9407</v>
      </c>
      <c r="B3395" t="s">
        <v>90</v>
      </c>
      <c r="C3395">
        <v>39</v>
      </c>
      <c r="D3395" t="str">
        <f>VLOOKUP(B3395,Products!$A:$E,2,FALSE)</f>
        <v>Product_41</v>
      </c>
      <c r="E3395" t="str">
        <f>VLOOKUP(B3395,Products!$A:$E,3,FALSE)</f>
        <v>Accessories</v>
      </c>
    </row>
    <row r="3396" spans="1:5" x14ac:dyDescent="0.3">
      <c r="A3396" t="s">
        <v>9408</v>
      </c>
      <c r="B3396" t="s">
        <v>872</v>
      </c>
      <c r="C3396">
        <v>14</v>
      </c>
      <c r="D3396" t="str">
        <f>VLOOKUP(B3396,Products!$A:$E,2,FALSE)</f>
        <v>Product_432</v>
      </c>
      <c r="E3396" t="str">
        <f>VLOOKUP(B3396,Products!$A:$E,3,FALSE)</f>
        <v>Office Supplies</v>
      </c>
    </row>
    <row r="3397" spans="1:5" x14ac:dyDescent="0.3">
      <c r="A3397" t="s">
        <v>9409</v>
      </c>
      <c r="B3397" t="s">
        <v>988</v>
      </c>
      <c r="C3397">
        <v>11</v>
      </c>
      <c r="D3397" t="str">
        <f>VLOOKUP(B3397,Products!$A:$E,2,FALSE)</f>
        <v>Product_490</v>
      </c>
      <c r="E3397" t="str">
        <f>VLOOKUP(B3397,Products!$A:$E,3,FALSE)</f>
        <v>Storage</v>
      </c>
    </row>
    <row r="3398" spans="1:5" x14ac:dyDescent="0.3">
      <c r="A3398" t="s">
        <v>9410</v>
      </c>
      <c r="B3398" t="s">
        <v>978</v>
      </c>
      <c r="C3398">
        <v>41</v>
      </c>
      <c r="D3398" t="str">
        <f>VLOOKUP(B3398,Products!$A:$E,2,FALSE)</f>
        <v>Product_485</v>
      </c>
      <c r="E3398" t="str">
        <f>VLOOKUP(B3398,Products!$A:$E,3,FALSE)</f>
        <v>Networking</v>
      </c>
    </row>
    <row r="3399" spans="1:5" x14ac:dyDescent="0.3">
      <c r="A3399" t="s">
        <v>9411</v>
      </c>
      <c r="B3399" t="s">
        <v>862</v>
      </c>
      <c r="C3399">
        <v>18</v>
      </c>
      <c r="D3399" t="str">
        <f>VLOOKUP(B3399,Products!$A:$E,2,FALSE)</f>
        <v>Product_427</v>
      </c>
      <c r="E3399" t="str">
        <f>VLOOKUP(B3399,Products!$A:$E,3,FALSE)</f>
        <v>Networking</v>
      </c>
    </row>
    <row r="3400" spans="1:5" x14ac:dyDescent="0.3">
      <c r="A3400" t="s">
        <v>9412</v>
      </c>
      <c r="B3400" t="s">
        <v>738</v>
      </c>
      <c r="C3400">
        <v>10</v>
      </c>
      <c r="D3400" t="str">
        <f>VLOOKUP(B3400,Products!$A:$E,2,FALSE)</f>
        <v>Product_365</v>
      </c>
      <c r="E3400" t="str">
        <f>VLOOKUP(B3400,Products!$A:$E,3,FALSE)</f>
        <v>Storage</v>
      </c>
    </row>
    <row r="3401" spans="1:5" x14ac:dyDescent="0.3">
      <c r="A3401" t="s">
        <v>9413</v>
      </c>
      <c r="B3401" t="s">
        <v>870</v>
      </c>
      <c r="C3401">
        <v>28</v>
      </c>
      <c r="D3401" t="str">
        <f>VLOOKUP(B3401,Products!$A:$E,2,FALSE)</f>
        <v>Product_431</v>
      </c>
      <c r="E3401" t="str">
        <f>VLOOKUP(B3401,Products!$A:$E,3,FALSE)</f>
        <v>Electronics</v>
      </c>
    </row>
    <row r="3402" spans="1:5" x14ac:dyDescent="0.3">
      <c r="A3402" t="s">
        <v>9414</v>
      </c>
      <c r="B3402" t="s">
        <v>582</v>
      </c>
      <c r="C3402">
        <v>29</v>
      </c>
      <c r="D3402" t="str">
        <f>VLOOKUP(B3402,Products!$A:$E,2,FALSE)</f>
        <v>Product_287</v>
      </c>
      <c r="E3402" t="str">
        <f>VLOOKUP(B3402,Products!$A:$E,3,FALSE)</f>
        <v>Storage</v>
      </c>
    </row>
    <row r="3403" spans="1:5" x14ac:dyDescent="0.3">
      <c r="A3403" t="s">
        <v>9415</v>
      </c>
      <c r="B3403" t="s">
        <v>510</v>
      </c>
      <c r="C3403">
        <v>45</v>
      </c>
      <c r="D3403" t="str">
        <f>VLOOKUP(B3403,Products!$A:$E,2,FALSE)</f>
        <v>Product_251</v>
      </c>
      <c r="E3403" t="str">
        <f>VLOOKUP(B3403,Products!$A:$E,3,FALSE)</f>
        <v>Electronics</v>
      </c>
    </row>
    <row r="3404" spans="1:5" x14ac:dyDescent="0.3">
      <c r="A3404" t="s">
        <v>9416</v>
      </c>
      <c r="B3404" t="s">
        <v>816</v>
      </c>
      <c r="C3404">
        <v>17</v>
      </c>
      <c r="D3404" t="str">
        <f>VLOOKUP(B3404,Products!$A:$E,2,FALSE)</f>
        <v>Product_404</v>
      </c>
      <c r="E3404" t="str">
        <f>VLOOKUP(B3404,Products!$A:$E,3,FALSE)</f>
        <v>Storage</v>
      </c>
    </row>
    <row r="3405" spans="1:5" x14ac:dyDescent="0.3">
      <c r="A3405" t="s">
        <v>9417</v>
      </c>
      <c r="B3405" t="s">
        <v>710</v>
      </c>
      <c r="C3405">
        <v>8</v>
      </c>
      <c r="D3405" t="str">
        <f>VLOOKUP(B3405,Products!$A:$E,2,FALSE)</f>
        <v>Product_351</v>
      </c>
      <c r="E3405" t="str">
        <f>VLOOKUP(B3405,Products!$A:$E,3,FALSE)</f>
        <v>Accessories</v>
      </c>
    </row>
    <row r="3406" spans="1:5" x14ac:dyDescent="0.3">
      <c r="A3406" t="s">
        <v>9418</v>
      </c>
      <c r="B3406" t="s">
        <v>580</v>
      </c>
      <c r="C3406">
        <v>28</v>
      </c>
      <c r="D3406" t="str">
        <f>VLOOKUP(B3406,Products!$A:$E,2,FALSE)</f>
        <v>Product_286</v>
      </c>
      <c r="E3406" t="str">
        <f>VLOOKUP(B3406,Products!$A:$E,3,FALSE)</f>
        <v>Storage</v>
      </c>
    </row>
    <row r="3407" spans="1:5" x14ac:dyDescent="0.3">
      <c r="A3407" t="s">
        <v>9419</v>
      </c>
      <c r="B3407" t="s">
        <v>676</v>
      </c>
      <c r="C3407">
        <v>23</v>
      </c>
      <c r="D3407" t="str">
        <f>VLOOKUP(B3407,Products!$A:$E,2,FALSE)</f>
        <v>Product_334</v>
      </c>
      <c r="E3407" t="str">
        <f>VLOOKUP(B3407,Products!$A:$E,3,FALSE)</f>
        <v>Accessories</v>
      </c>
    </row>
    <row r="3408" spans="1:5" x14ac:dyDescent="0.3">
      <c r="A3408" t="s">
        <v>9420</v>
      </c>
      <c r="B3408" t="s">
        <v>192</v>
      </c>
      <c r="C3408">
        <v>2</v>
      </c>
      <c r="D3408" t="str">
        <f>VLOOKUP(B3408,Products!$A:$E,2,FALSE)</f>
        <v>Product_92</v>
      </c>
      <c r="E3408" t="str">
        <f>VLOOKUP(B3408,Products!$A:$E,3,FALSE)</f>
        <v>Electronics</v>
      </c>
    </row>
    <row r="3409" spans="1:5" x14ac:dyDescent="0.3">
      <c r="A3409" t="s">
        <v>9421</v>
      </c>
      <c r="B3409" t="s">
        <v>896</v>
      </c>
      <c r="C3409">
        <v>24</v>
      </c>
      <c r="D3409" t="str">
        <f>VLOOKUP(B3409,Products!$A:$E,2,FALSE)</f>
        <v>Product_444</v>
      </c>
      <c r="E3409" t="str">
        <f>VLOOKUP(B3409,Products!$A:$E,3,FALSE)</f>
        <v>Electronics</v>
      </c>
    </row>
    <row r="3410" spans="1:5" x14ac:dyDescent="0.3">
      <c r="A3410" t="s">
        <v>9422</v>
      </c>
      <c r="B3410" t="s">
        <v>884</v>
      </c>
      <c r="C3410">
        <v>30</v>
      </c>
      <c r="D3410" t="str">
        <f>VLOOKUP(B3410,Products!$A:$E,2,FALSE)</f>
        <v>Product_438</v>
      </c>
      <c r="E3410" t="str">
        <f>VLOOKUP(B3410,Products!$A:$E,3,FALSE)</f>
        <v>Electronics</v>
      </c>
    </row>
    <row r="3411" spans="1:5" x14ac:dyDescent="0.3">
      <c r="A3411" t="s">
        <v>9423</v>
      </c>
      <c r="B3411" t="s">
        <v>798</v>
      </c>
      <c r="C3411">
        <v>43</v>
      </c>
      <c r="D3411" t="str">
        <f>VLOOKUP(B3411,Products!$A:$E,2,FALSE)</f>
        <v>Product_395</v>
      </c>
      <c r="E3411" t="str">
        <f>VLOOKUP(B3411,Products!$A:$E,3,FALSE)</f>
        <v>Accessories</v>
      </c>
    </row>
    <row r="3412" spans="1:5" x14ac:dyDescent="0.3">
      <c r="A3412" t="s">
        <v>9424</v>
      </c>
      <c r="B3412" t="s">
        <v>364</v>
      </c>
      <c r="C3412">
        <v>47</v>
      </c>
      <c r="D3412" t="str">
        <f>VLOOKUP(B3412,Products!$A:$E,2,FALSE)</f>
        <v>Product_178</v>
      </c>
      <c r="E3412" t="str">
        <f>VLOOKUP(B3412,Products!$A:$E,3,FALSE)</f>
        <v>Office Supplies</v>
      </c>
    </row>
    <row r="3413" spans="1:5" x14ac:dyDescent="0.3">
      <c r="A3413" t="s">
        <v>9425</v>
      </c>
      <c r="B3413" t="s">
        <v>444</v>
      </c>
      <c r="C3413">
        <v>14</v>
      </c>
      <c r="D3413" t="str">
        <f>VLOOKUP(B3413,Products!$A:$E,2,FALSE)</f>
        <v>Product_218</v>
      </c>
      <c r="E3413" t="str">
        <f>VLOOKUP(B3413,Products!$A:$E,3,FALSE)</f>
        <v>Accessories</v>
      </c>
    </row>
    <row r="3414" spans="1:5" x14ac:dyDescent="0.3">
      <c r="A3414" t="s">
        <v>9426</v>
      </c>
      <c r="B3414" t="s">
        <v>640</v>
      </c>
      <c r="C3414">
        <v>36</v>
      </c>
      <c r="D3414" t="str">
        <f>VLOOKUP(B3414,Products!$A:$E,2,FALSE)</f>
        <v>Product_316</v>
      </c>
      <c r="E3414" t="str">
        <f>VLOOKUP(B3414,Products!$A:$E,3,FALSE)</f>
        <v>Networking</v>
      </c>
    </row>
    <row r="3415" spans="1:5" x14ac:dyDescent="0.3">
      <c r="A3415" t="s">
        <v>9427</v>
      </c>
      <c r="B3415" t="s">
        <v>906</v>
      </c>
      <c r="C3415">
        <v>13</v>
      </c>
      <c r="D3415" t="str">
        <f>VLOOKUP(B3415,Products!$A:$E,2,FALSE)</f>
        <v>Product_449</v>
      </c>
      <c r="E3415" t="str">
        <f>VLOOKUP(B3415,Products!$A:$E,3,FALSE)</f>
        <v>Networking</v>
      </c>
    </row>
    <row r="3416" spans="1:5" x14ac:dyDescent="0.3">
      <c r="A3416" t="s">
        <v>9428</v>
      </c>
      <c r="B3416" t="s">
        <v>400</v>
      </c>
      <c r="C3416">
        <v>24</v>
      </c>
      <c r="D3416" t="str">
        <f>VLOOKUP(B3416,Products!$A:$E,2,FALSE)</f>
        <v>Product_196</v>
      </c>
      <c r="E3416" t="str">
        <f>VLOOKUP(B3416,Products!$A:$E,3,FALSE)</f>
        <v>Office Supplies</v>
      </c>
    </row>
    <row r="3417" spans="1:5" x14ac:dyDescent="0.3">
      <c r="A3417" t="s">
        <v>9429</v>
      </c>
      <c r="B3417" t="s">
        <v>192</v>
      </c>
      <c r="C3417">
        <v>48</v>
      </c>
      <c r="D3417" t="str">
        <f>VLOOKUP(B3417,Products!$A:$E,2,FALSE)</f>
        <v>Product_92</v>
      </c>
      <c r="E3417" t="str">
        <f>VLOOKUP(B3417,Products!$A:$E,3,FALSE)</f>
        <v>Electronics</v>
      </c>
    </row>
    <row r="3418" spans="1:5" x14ac:dyDescent="0.3">
      <c r="A3418" t="s">
        <v>9430</v>
      </c>
      <c r="B3418" t="s">
        <v>20</v>
      </c>
      <c r="C3418">
        <v>13</v>
      </c>
      <c r="D3418" t="str">
        <f>VLOOKUP(B3418,Products!$A:$E,2,FALSE)</f>
        <v>Product_6</v>
      </c>
      <c r="E3418" t="str">
        <f>VLOOKUP(B3418,Products!$A:$E,3,FALSE)</f>
        <v>Electronics</v>
      </c>
    </row>
    <row r="3419" spans="1:5" x14ac:dyDescent="0.3">
      <c r="A3419" t="s">
        <v>9431</v>
      </c>
      <c r="B3419" t="s">
        <v>462</v>
      </c>
      <c r="C3419">
        <v>24</v>
      </c>
      <c r="D3419" t="str">
        <f>VLOOKUP(B3419,Products!$A:$E,2,FALSE)</f>
        <v>Product_227</v>
      </c>
      <c r="E3419" t="str">
        <f>VLOOKUP(B3419,Products!$A:$E,3,FALSE)</f>
        <v>Accessories</v>
      </c>
    </row>
    <row r="3420" spans="1:5" x14ac:dyDescent="0.3">
      <c r="A3420" t="s">
        <v>9432</v>
      </c>
      <c r="B3420" t="s">
        <v>548</v>
      </c>
      <c r="C3420">
        <v>13</v>
      </c>
      <c r="D3420" t="str">
        <f>VLOOKUP(B3420,Products!$A:$E,2,FALSE)</f>
        <v>Product_270</v>
      </c>
      <c r="E3420" t="str">
        <f>VLOOKUP(B3420,Products!$A:$E,3,FALSE)</f>
        <v>Electronics</v>
      </c>
    </row>
    <row r="3421" spans="1:5" x14ac:dyDescent="0.3">
      <c r="A3421" t="s">
        <v>9433</v>
      </c>
      <c r="B3421" t="s">
        <v>11</v>
      </c>
      <c r="C3421">
        <v>38</v>
      </c>
      <c r="D3421" t="str">
        <f>VLOOKUP(B3421,Products!$A:$E,2,FALSE)</f>
        <v>Product_3</v>
      </c>
      <c r="E3421" t="str">
        <f>VLOOKUP(B3421,Products!$A:$E,3,FALSE)</f>
        <v>Accessories</v>
      </c>
    </row>
    <row r="3422" spans="1:5" x14ac:dyDescent="0.3">
      <c r="A3422" t="s">
        <v>9434</v>
      </c>
      <c r="B3422" t="s">
        <v>326</v>
      </c>
      <c r="C3422">
        <v>22</v>
      </c>
      <c r="D3422" t="str">
        <f>VLOOKUP(B3422,Products!$A:$E,2,FALSE)</f>
        <v>Product_159</v>
      </c>
      <c r="E3422" t="str">
        <f>VLOOKUP(B3422,Products!$A:$E,3,FALSE)</f>
        <v>Accessories</v>
      </c>
    </row>
    <row r="3423" spans="1:5" x14ac:dyDescent="0.3">
      <c r="A3423" t="s">
        <v>9435</v>
      </c>
      <c r="B3423" t="s">
        <v>106</v>
      </c>
      <c r="C3423">
        <v>24</v>
      </c>
      <c r="D3423" t="str">
        <f>VLOOKUP(B3423,Products!$A:$E,2,FALSE)</f>
        <v>Product_49</v>
      </c>
      <c r="E3423" t="str">
        <f>VLOOKUP(B3423,Products!$A:$E,3,FALSE)</f>
        <v>Storage</v>
      </c>
    </row>
    <row r="3424" spans="1:5" x14ac:dyDescent="0.3">
      <c r="A3424" t="s">
        <v>9436</v>
      </c>
      <c r="B3424" t="s">
        <v>946</v>
      </c>
      <c r="C3424">
        <v>17</v>
      </c>
      <c r="D3424" t="str">
        <f>VLOOKUP(B3424,Products!$A:$E,2,FALSE)</f>
        <v>Product_469</v>
      </c>
      <c r="E3424" t="str">
        <f>VLOOKUP(B3424,Products!$A:$E,3,FALSE)</f>
        <v>Office Supplies</v>
      </c>
    </row>
    <row r="3425" spans="1:5" x14ac:dyDescent="0.3">
      <c r="A3425" t="s">
        <v>9437</v>
      </c>
      <c r="B3425" t="s">
        <v>524</v>
      </c>
      <c r="C3425">
        <v>1</v>
      </c>
      <c r="D3425" t="str">
        <f>VLOOKUP(B3425,Products!$A:$E,2,FALSE)</f>
        <v>Product_258</v>
      </c>
      <c r="E3425" t="str">
        <f>VLOOKUP(B3425,Products!$A:$E,3,FALSE)</f>
        <v>Networking</v>
      </c>
    </row>
    <row r="3426" spans="1:5" x14ac:dyDescent="0.3">
      <c r="A3426" t="s">
        <v>9438</v>
      </c>
      <c r="B3426" t="s">
        <v>630</v>
      </c>
      <c r="C3426">
        <v>18</v>
      </c>
      <c r="D3426" t="str">
        <f>VLOOKUP(B3426,Products!$A:$E,2,FALSE)</f>
        <v>Product_311</v>
      </c>
      <c r="E3426" t="str">
        <f>VLOOKUP(B3426,Products!$A:$E,3,FALSE)</f>
        <v>Networking</v>
      </c>
    </row>
    <row r="3427" spans="1:5" x14ac:dyDescent="0.3">
      <c r="A3427" t="s">
        <v>9439</v>
      </c>
      <c r="B3427" t="s">
        <v>44</v>
      </c>
      <c r="C3427">
        <v>42</v>
      </c>
      <c r="D3427" t="str">
        <f>VLOOKUP(B3427,Products!$A:$E,2,FALSE)</f>
        <v>Product_18</v>
      </c>
      <c r="E3427" t="str">
        <f>VLOOKUP(B3427,Products!$A:$E,3,FALSE)</f>
        <v>Networking</v>
      </c>
    </row>
    <row r="3428" spans="1:5" x14ac:dyDescent="0.3">
      <c r="A3428" t="s">
        <v>9440</v>
      </c>
      <c r="B3428" t="s">
        <v>290</v>
      </c>
      <c r="C3428">
        <v>42</v>
      </c>
      <c r="D3428" t="str">
        <f>VLOOKUP(B3428,Products!$A:$E,2,FALSE)</f>
        <v>Product_141</v>
      </c>
      <c r="E3428" t="str">
        <f>VLOOKUP(B3428,Products!$A:$E,3,FALSE)</f>
        <v>Electronics</v>
      </c>
    </row>
    <row r="3429" spans="1:5" x14ac:dyDescent="0.3">
      <c r="A3429" t="s">
        <v>9441</v>
      </c>
      <c r="B3429" t="s">
        <v>500</v>
      </c>
      <c r="C3429">
        <v>26</v>
      </c>
      <c r="D3429" t="str">
        <f>VLOOKUP(B3429,Products!$A:$E,2,FALSE)</f>
        <v>Product_246</v>
      </c>
      <c r="E3429" t="str">
        <f>VLOOKUP(B3429,Products!$A:$E,3,FALSE)</f>
        <v>Electronics</v>
      </c>
    </row>
    <row r="3430" spans="1:5" x14ac:dyDescent="0.3">
      <c r="A3430" t="s">
        <v>9442</v>
      </c>
      <c r="B3430" t="s">
        <v>54</v>
      </c>
      <c r="C3430">
        <v>45</v>
      </c>
      <c r="D3430" t="str">
        <f>VLOOKUP(B3430,Products!$A:$E,2,FALSE)</f>
        <v>Product_23</v>
      </c>
      <c r="E3430" t="str">
        <f>VLOOKUP(B3430,Products!$A:$E,3,FALSE)</f>
        <v>Accessories</v>
      </c>
    </row>
    <row r="3431" spans="1:5" x14ac:dyDescent="0.3">
      <c r="A3431" t="s">
        <v>9443</v>
      </c>
      <c r="B3431" t="s">
        <v>730</v>
      </c>
      <c r="C3431">
        <v>17</v>
      </c>
      <c r="D3431" t="str">
        <f>VLOOKUP(B3431,Products!$A:$E,2,FALSE)</f>
        <v>Product_361</v>
      </c>
      <c r="E3431" t="str">
        <f>VLOOKUP(B3431,Products!$A:$E,3,FALSE)</f>
        <v>Office Supplies</v>
      </c>
    </row>
    <row r="3432" spans="1:5" x14ac:dyDescent="0.3">
      <c r="A3432" t="s">
        <v>9444</v>
      </c>
      <c r="B3432" t="s">
        <v>290</v>
      </c>
      <c r="C3432">
        <v>41</v>
      </c>
      <c r="D3432" t="str">
        <f>VLOOKUP(B3432,Products!$A:$E,2,FALSE)</f>
        <v>Product_141</v>
      </c>
      <c r="E3432" t="str">
        <f>VLOOKUP(B3432,Products!$A:$E,3,FALSE)</f>
        <v>Electronics</v>
      </c>
    </row>
    <row r="3433" spans="1:5" x14ac:dyDescent="0.3">
      <c r="A3433" t="s">
        <v>9445</v>
      </c>
      <c r="B3433" t="s">
        <v>68</v>
      </c>
      <c r="C3433">
        <v>37</v>
      </c>
      <c r="D3433" t="str">
        <f>VLOOKUP(B3433,Products!$A:$E,2,FALSE)</f>
        <v>Product_30</v>
      </c>
      <c r="E3433" t="str">
        <f>VLOOKUP(B3433,Products!$A:$E,3,FALSE)</f>
        <v>Accessories</v>
      </c>
    </row>
    <row r="3434" spans="1:5" x14ac:dyDescent="0.3">
      <c r="A3434" t="s">
        <v>9446</v>
      </c>
      <c r="B3434" t="s">
        <v>852</v>
      </c>
      <c r="C3434">
        <v>2</v>
      </c>
      <c r="D3434" t="str">
        <f>VLOOKUP(B3434,Products!$A:$E,2,FALSE)</f>
        <v>Product_422</v>
      </c>
      <c r="E3434" t="str">
        <f>VLOOKUP(B3434,Products!$A:$E,3,FALSE)</f>
        <v>Accessories</v>
      </c>
    </row>
    <row r="3435" spans="1:5" x14ac:dyDescent="0.3">
      <c r="A3435" t="s">
        <v>9447</v>
      </c>
      <c r="B3435" t="s">
        <v>892</v>
      </c>
      <c r="C3435">
        <v>46</v>
      </c>
      <c r="D3435" t="str">
        <f>VLOOKUP(B3435,Products!$A:$E,2,FALSE)</f>
        <v>Product_442</v>
      </c>
      <c r="E3435" t="str">
        <f>VLOOKUP(B3435,Products!$A:$E,3,FALSE)</f>
        <v>Networking</v>
      </c>
    </row>
    <row r="3436" spans="1:5" x14ac:dyDescent="0.3">
      <c r="A3436" t="s">
        <v>9448</v>
      </c>
      <c r="B3436" t="s">
        <v>958</v>
      </c>
      <c r="C3436">
        <v>31</v>
      </c>
      <c r="D3436" t="str">
        <f>VLOOKUP(B3436,Products!$A:$E,2,FALSE)</f>
        <v>Product_475</v>
      </c>
      <c r="E3436" t="str">
        <f>VLOOKUP(B3436,Products!$A:$E,3,FALSE)</f>
        <v>Electronics</v>
      </c>
    </row>
    <row r="3437" spans="1:5" x14ac:dyDescent="0.3">
      <c r="A3437" t="s">
        <v>9449</v>
      </c>
      <c r="B3437" t="s">
        <v>632</v>
      </c>
      <c r="C3437">
        <v>41</v>
      </c>
      <c r="D3437" t="str">
        <f>VLOOKUP(B3437,Products!$A:$E,2,FALSE)</f>
        <v>Product_312</v>
      </c>
      <c r="E3437" t="str">
        <f>VLOOKUP(B3437,Products!$A:$E,3,FALSE)</f>
        <v>Office Supplies</v>
      </c>
    </row>
    <row r="3438" spans="1:5" x14ac:dyDescent="0.3">
      <c r="A3438" t="s">
        <v>9450</v>
      </c>
      <c r="B3438" t="s">
        <v>474</v>
      </c>
      <c r="C3438">
        <v>32</v>
      </c>
      <c r="D3438" t="str">
        <f>VLOOKUP(B3438,Products!$A:$E,2,FALSE)</f>
        <v>Product_233</v>
      </c>
      <c r="E3438" t="str">
        <f>VLOOKUP(B3438,Products!$A:$E,3,FALSE)</f>
        <v>Accessories</v>
      </c>
    </row>
    <row r="3439" spans="1:5" x14ac:dyDescent="0.3">
      <c r="A3439" t="s">
        <v>9451</v>
      </c>
      <c r="B3439" t="s">
        <v>186</v>
      </c>
      <c r="C3439">
        <v>31</v>
      </c>
      <c r="D3439" t="str">
        <f>VLOOKUP(B3439,Products!$A:$E,2,FALSE)</f>
        <v>Product_89</v>
      </c>
      <c r="E3439" t="str">
        <f>VLOOKUP(B3439,Products!$A:$E,3,FALSE)</f>
        <v>Storage</v>
      </c>
    </row>
    <row r="3440" spans="1:5" x14ac:dyDescent="0.3">
      <c r="A3440" t="s">
        <v>9452</v>
      </c>
      <c r="B3440" t="s">
        <v>776</v>
      </c>
      <c r="C3440">
        <v>42</v>
      </c>
      <c r="D3440" t="str">
        <f>VLOOKUP(B3440,Products!$A:$E,2,FALSE)</f>
        <v>Product_384</v>
      </c>
      <c r="E3440" t="str">
        <f>VLOOKUP(B3440,Products!$A:$E,3,FALSE)</f>
        <v>Office Supplies</v>
      </c>
    </row>
    <row r="3441" spans="1:5" x14ac:dyDescent="0.3">
      <c r="A3441" t="s">
        <v>9453</v>
      </c>
      <c r="B3441" t="s">
        <v>778</v>
      </c>
      <c r="C3441">
        <v>35</v>
      </c>
      <c r="D3441" t="str">
        <f>VLOOKUP(B3441,Products!$A:$E,2,FALSE)</f>
        <v>Product_385</v>
      </c>
      <c r="E3441" t="str">
        <f>VLOOKUP(B3441,Products!$A:$E,3,FALSE)</f>
        <v>Networking</v>
      </c>
    </row>
    <row r="3442" spans="1:5" x14ac:dyDescent="0.3">
      <c r="A3442" t="s">
        <v>9454</v>
      </c>
      <c r="B3442" t="s">
        <v>836</v>
      </c>
      <c r="C3442">
        <v>7</v>
      </c>
      <c r="D3442" t="str">
        <f>VLOOKUP(B3442,Products!$A:$E,2,FALSE)</f>
        <v>Product_414</v>
      </c>
      <c r="E3442" t="str">
        <f>VLOOKUP(B3442,Products!$A:$E,3,FALSE)</f>
        <v>Office Supplies</v>
      </c>
    </row>
    <row r="3443" spans="1:5" x14ac:dyDescent="0.3">
      <c r="A3443" t="s">
        <v>9455</v>
      </c>
      <c r="B3443" t="s">
        <v>48</v>
      </c>
      <c r="C3443">
        <v>24</v>
      </c>
      <c r="D3443" t="str">
        <f>VLOOKUP(B3443,Products!$A:$E,2,FALSE)</f>
        <v>Product_20</v>
      </c>
      <c r="E3443" t="str">
        <f>VLOOKUP(B3443,Products!$A:$E,3,FALSE)</f>
        <v>Office Supplies</v>
      </c>
    </row>
    <row r="3444" spans="1:5" x14ac:dyDescent="0.3">
      <c r="A3444" t="s">
        <v>9456</v>
      </c>
      <c r="B3444" t="s">
        <v>38</v>
      </c>
      <c r="C3444">
        <v>40</v>
      </c>
      <c r="D3444" t="str">
        <f>VLOOKUP(B3444,Products!$A:$E,2,FALSE)</f>
        <v>Product_15</v>
      </c>
      <c r="E3444" t="str">
        <f>VLOOKUP(B3444,Products!$A:$E,3,FALSE)</f>
        <v>Electronics</v>
      </c>
    </row>
    <row r="3445" spans="1:5" x14ac:dyDescent="0.3">
      <c r="A3445" t="s">
        <v>9457</v>
      </c>
      <c r="B3445" t="s">
        <v>924</v>
      </c>
      <c r="C3445">
        <v>46</v>
      </c>
      <c r="D3445" t="str">
        <f>VLOOKUP(B3445,Products!$A:$E,2,FALSE)</f>
        <v>Product_458</v>
      </c>
      <c r="E3445" t="str">
        <f>VLOOKUP(B3445,Products!$A:$E,3,FALSE)</f>
        <v>Accessories</v>
      </c>
    </row>
    <row r="3446" spans="1:5" x14ac:dyDescent="0.3">
      <c r="A3446" t="s">
        <v>9458</v>
      </c>
      <c r="B3446" t="s">
        <v>166</v>
      </c>
      <c r="C3446">
        <v>46</v>
      </c>
      <c r="D3446" t="str">
        <f>VLOOKUP(B3446,Products!$A:$E,2,FALSE)</f>
        <v>Product_79</v>
      </c>
      <c r="E3446" t="str">
        <f>VLOOKUP(B3446,Products!$A:$E,3,FALSE)</f>
        <v>Storage</v>
      </c>
    </row>
    <row r="3447" spans="1:5" x14ac:dyDescent="0.3">
      <c r="A3447" t="s">
        <v>9459</v>
      </c>
      <c r="B3447" t="s">
        <v>762</v>
      </c>
      <c r="C3447">
        <v>12</v>
      </c>
      <c r="D3447" t="str">
        <f>VLOOKUP(B3447,Products!$A:$E,2,FALSE)</f>
        <v>Product_377</v>
      </c>
      <c r="E3447" t="str">
        <f>VLOOKUP(B3447,Products!$A:$E,3,FALSE)</f>
        <v>Networking</v>
      </c>
    </row>
    <row r="3448" spans="1:5" x14ac:dyDescent="0.3">
      <c r="A3448" t="s">
        <v>9460</v>
      </c>
      <c r="B3448" t="s">
        <v>900</v>
      </c>
      <c r="C3448">
        <v>9</v>
      </c>
      <c r="D3448" t="str">
        <f>VLOOKUP(B3448,Products!$A:$E,2,FALSE)</f>
        <v>Product_446</v>
      </c>
      <c r="E3448" t="str">
        <f>VLOOKUP(B3448,Products!$A:$E,3,FALSE)</f>
        <v>Accessories</v>
      </c>
    </row>
    <row r="3449" spans="1:5" x14ac:dyDescent="0.3">
      <c r="A3449" t="s">
        <v>9461</v>
      </c>
      <c r="B3449" t="s">
        <v>94</v>
      </c>
      <c r="C3449">
        <v>27</v>
      </c>
      <c r="D3449" t="str">
        <f>VLOOKUP(B3449,Products!$A:$E,2,FALSE)</f>
        <v>Product_43</v>
      </c>
      <c r="E3449" t="str">
        <f>VLOOKUP(B3449,Products!$A:$E,3,FALSE)</f>
        <v>Storage</v>
      </c>
    </row>
    <row r="3450" spans="1:5" x14ac:dyDescent="0.3">
      <c r="A3450" t="s">
        <v>9462</v>
      </c>
      <c r="B3450" t="s">
        <v>864</v>
      </c>
      <c r="C3450">
        <v>8</v>
      </c>
      <c r="D3450" t="str">
        <f>VLOOKUP(B3450,Products!$A:$E,2,FALSE)</f>
        <v>Product_428</v>
      </c>
      <c r="E3450" t="str">
        <f>VLOOKUP(B3450,Products!$A:$E,3,FALSE)</f>
        <v>Storage</v>
      </c>
    </row>
    <row r="3451" spans="1:5" x14ac:dyDescent="0.3">
      <c r="A3451" t="s">
        <v>9463</v>
      </c>
      <c r="B3451" t="s">
        <v>66</v>
      </c>
      <c r="C3451">
        <v>29</v>
      </c>
      <c r="D3451" t="str">
        <f>VLOOKUP(B3451,Products!$A:$E,2,FALSE)</f>
        <v>Product_29</v>
      </c>
      <c r="E3451" t="str">
        <f>VLOOKUP(B3451,Products!$A:$E,3,FALSE)</f>
        <v>Electronics</v>
      </c>
    </row>
    <row r="3452" spans="1:5" x14ac:dyDescent="0.3">
      <c r="A3452" t="s">
        <v>9464</v>
      </c>
      <c r="B3452" t="s">
        <v>662</v>
      </c>
      <c r="C3452">
        <v>46</v>
      </c>
      <c r="D3452" t="str">
        <f>VLOOKUP(B3452,Products!$A:$E,2,FALSE)</f>
        <v>Product_327</v>
      </c>
      <c r="E3452" t="str">
        <f>VLOOKUP(B3452,Products!$A:$E,3,FALSE)</f>
        <v>Networking</v>
      </c>
    </row>
    <row r="3453" spans="1:5" x14ac:dyDescent="0.3">
      <c r="A3453" t="s">
        <v>9465</v>
      </c>
      <c r="B3453" t="s">
        <v>72</v>
      </c>
      <c r="C3453">
        <v>21</v>
      </c>
      <c r="D3453" t="str">
        <f>VLOOKUP(B3453,Products!$A:$E,2,FALSE)</f>
        <v>Product_32</v>
      </c>
      <c r="E3453" t="str">
        <f>VLOOKUP(B3453,Products!$A:$E,3,FALSE)</f>
        <v>Networking</v>
      </c>
    </row>
    <row r="3454" spans="1:5" x14ac:dyDescent="0.3">
      <c r="A3454" t="s">
        <v>9466</v>
      </c>
      <c r="B3454" t="s">
        <v>108</v>
      </c>
      <c r="C3454">
        <v>35</v>
      </c>
      <c r="D3454" t="str">
        <f>VLOOKUP(B3454,Products!$A:$E,2,FALSE)</f>
        <v>Product_50</v>
      </c>
      <c r="E3454" t="str">
        <f>VLOOKUP(B3454,Products!$A:$E,3,FALSE)</f>
        <v>Networking</v>
      </c>
    </row>
    <row r="3455" spans="1:5" x14ac:dyDescent="0.3">
      <c r="A3455" t="s">
        <v>9467</v>
      </c>
      <c r="B3455" t="s">
        <v>294</v>
      </c>
      <c r="C3455">
        <v>13</v>
      </c>
      <c r="D3455" t="str">
        <f>VLOOKUP(B3455,Products!$A:$E,2,FALSE)</f>
        <v>Product_143</v>
      </c>
      <c r="E3455" t="str">
        <f>VLOOKUP(B3455,Products!$A:$E,3,FALSE)</f>
        <v>Office Supplies</v>
      </c>
    </row>
    <row r="3456" spans="1:5" x14ac:dyDescent="0.3">
      <c r="A3456" t="s">
        <v>9468</v>
      </c>
      <c r="B3456" t="s">
        <v>680</v>
      </c>
      <c r="C3456">
        <v>40</v>
      </c>
      <c r="D3456" t="str">
        <f>VLOOKUP(B3456,Products!$A:$E,2,FALSE)</f>
        <v>Product_336</v>
      </c>
      <c r="E3456" t="str">
        <f>VLOOKUP(B3456,Products!$A:$E,3,FALSE)</f>
        <v>Storage</v>
      </c>
    </row>
    <row r="3457" spans="1:5" x14ac:dyDescent="0.3">
      <c r="A3457" t="s">
        <v>9469</v>
      </c>
      <c r="B3457" t="s">
        <v>764</v>
      </c>
      <c r="C3457">
        <v>2</v>
      </c>
      <c r="D3457" t="str">
        <f>VLOOKUP(B3457,Products!$A:$E,2,FALSE)</f>
        <v>Product_378</v>
      </c>
      <c r="E3457" t="str">
        <f>VLOOKUP(B3457,Products!$A:$E,3,FALSE)</f>
        <v>Electronics</v>
      </c>
    </row>
    <row r="3458" spans="1:5" x14ac:dyDescent="0.3">
      <c r="A3458" t="s">
        <v>9470</v>
      </c>
      <c r="B3458" t="s">
        <v>350</v>
      </c>
      <c r="C3458">
        <v>44</v>
      </c>
      <c r="D3458" t="str">
        <f>VLOOKUP(B3458,Products!$A:$E,2,FALSE)</f>
        <v>Product_171</v>
      </c>
      <c r="E3458" t="str">
        <f>VLOOKUP(B3458,Products!$A:$E,3,FALSE)</f>
        <v>Electronics</v>
      </c>
    </row>
    <row r="3459" spans="1:5" x14ac:dyDescent="0.3">
      <c r="A3459" t="s">
        <v>9471</v>
      </c>
      <c r="B3459" t="s">
        <v>878</v>
      </c>
      <c r="C3459">
        <v>21</v>
      </c>
      <c r="D3459" t="str">
        <f>VLOOKUP(B3459,Products!$A:$E,2,FALSE)</f>
        <v>Product_435</v>
      </c>
      <c r="E3459" t="str">
        <f>VLOOKUP(B3459,Products!$A:$E,3,FALSE)</f>
        <v>Accessories</v>
      </c>
    </row>
    <row r="3460" spans="1:5" x14ac:dyDescent="0.3">
      <c r="A3460" t="s">
        <v>9472</v>
      </c>
      <c r="B3460" t="s">
        <v>928</v>
      </c>
      <c r="C3460">
        <v>46</v>
      </c>
      <c r="D3460" t="str">
        <f>VLOOKUP(B3460,Products!$A:$E,2,FALSE)</f>
        <v>Product_460</v>
      </c>
      <c r="E3460" t="str">
        <f>VLOOKUP(B3460,Products!$A:$E,3,FALSE)</f>
        <v>Accessories</v>
      </c>
    </row>
    <row r="3461" spans="1:5" x14ac:dyDescent="0.3">
      <c r="A3461" t="s">
        <v>9473</v>
      </c>
      <c r="B3461" t="s">
        <v>182</v>
      </c>
      <c r="C3461">
        <v>38</v>
      </c>
      <c r="D3461" t="str">
        <f>VLOOKUP(B3461,Products!$A:$E,2,FALSE)</f>
        <v>Product_87</v>
      </c>
      <c r="E3461" t="str">
        <f>VLOOKUP(B3461,Products!$A:$E,3,FALSE)</f>
        <v>Networking</v>
      </c>
    </row>
    <row r="3462" spans="1:5" x14ac:dyDescent="0.3">
      <c r="A3462" t="s">
        <v>9474</v>
      </c>
      <c r="B3462" t="s">
        <v>748</v>
      </c>
      <c r="C3462">
        <v>24</v>
      </c>
      <c r="D3462" t="str">
        <f>VLOOKUP(B3462,Products!$A:$E,2,FALSE)</f>
        <v>Product_370</v>
      </c>
      <c r="E3462" t="str">
        <f>VLOOKUP(B3462,Products!$A:$E,3,FALSE)</f>
        <v>Networking</v>
      </c>
    </row>
    <row r="3463" spans="1:5" x14ac:dyDescent="0.3">
      <c r="A3463" t="s">
        <v>9475</v>
      </c>
      <c r="B3463" t="s">
        <v>538</v>
      </c>
      <c r="C3463">
        <v>1</v>
      </c>
      <c r="D3463" t="str">
        <f>VLOOKUP(B3463,Products!$A:$E,2,FALSE)</f>
        <v>Product_265</v>
      </c>
      <c r="E3463" t="str">
        <f>VLOOKUP(B3463,Products!$A:$E,3,FALSE)</f>
        <v>Accessories</v>
      </c>
    </row>
    <row r="3464" spans="1:5" x14ac:dyDescent="0.3">
      <c r="A3464" t="s">
        <v>9476</v>
      </c>
      <c r="B3464" t="s">
        <v>972</v>
      </c>
      <c r="C3464">
        <v>43</v>
      </c>
      <c r="D3464" t="str">
        <f>VLOOKUP(B3464,Products!$A:$E,2,FALSE)</f>
        <v>Product_482</v>
      </c>
      <c r="E3464" t="str">
        <f>VLOOKUP(B3464,Products!$A:$E,3,FALSE)</f>
        <v>Storage</v>
      </c>
    </row>
    <row r="3465" spans="1:5" x14ac:dyDescent="0.3">
      <c r="A3465" t="s">
        <v>9477</v>
      </c>
      <c r="B3465" t="s">
        <v>422</v>
      </c>
      <c r="C3465">
        <v>27</v>
      </c>
      <c r="D3465" t="str">
        <f>VLOOKUP(B3465,Products!$A:$E,2,FALSE)</f>
        <v>Product_207</v>
      </c>
      <c r="E3465" t="str">
        <f>VLOOKUP(B3465,Products!$A:$E,3,FALSE)</f>
        <v>Accessories</v>
      </c>
    </row>
    <row r="3466" spans="1:5" x14ac:dyDescent="0.3">
      <c r="A3466" t="s">
        <v>9478</v>
      </c>
      <c r="B3466" t="s">
        <v>866</v>
      </c>
      <c r="C3466">
        <v>43</v>
      </c>
      <c r="D3466" t="str">
        <f>VLOOKUP(B3466,Products!$A:$E,2,FALSE)</f>
        <v>Product_429</v>
      </c>
      <c r="E3466" t="str">
        <f>VLOOKUP(B3466,Products!$A:$E,3,FALSE)</f>
        <v>Office Supplies</v>
      </c>
    </row>
    <row r="3467" spans="1:5" x14ac:dyDescent="0.3">
      <c r="A3467" t="s">
        <v>9479</v>
      </c>
      <c r="B3467" t="s">
        <v>694</v>
      </c>
      <c r="C3467">
        <v>4</v>
      </c>
      <c r="D3467" t="str">
        <f>VLOOKUP(B3467,Products!$A:$E,2,FALSE)</f>
        <v>Product_343</v>
      </c>
      <c r="E3467" t="str">
        <f>VLOOKUP(B3467,Products!$A:$E,3,FALSE)</f>
        <v>Office Supplies</v>
      </c>
    </row>
    <row r="3468" spans="1:5" x14ac:dyDescent="0.3">
      <c r="A3468" t="s">
        <v>9480</v>
      </c>
      <c r="B3468" t="s">
        <v>76</v>
      </c>
      <c r="C3468">
        <v>13</v>
      </c>
      <c r="D3468" t="str">
        <f>VLOOKUP(B3468,Products!$A:$E,2,FALSE)</f>
        <v>Product_34</v>
      </c>
      <c r="E3468" t="str">
        <f>VLOOKUP(B3468,Products!$A:$E,3,FALSE)</f>
        <v>Office Supplies</v>
      </c>
    </row>
    <row r="3469" spans="1:5" x14ac:dyDescent="0.3">
      <c r="A3469" t="s">
        <v>9481</v>
      </c>
      <c r="B3469" t="s">
        <v>854</v>
      </c>
      <c r="C3469">
        <v>49</v>
      </c>
      <c r="D3469" t="str">
        <f>VLOOKUP(B3469,Products!$A:$E,2,FALSE)</f>
        <v>Product_423</v>
      </c>
      <c r="E3469" t="str">
        <f>VLOOKUP(B3469,Products!$A:$E,3,FALSE)</f>
        <v>Office Supplies</v>
      </c>
    </row>
    <row r="3470" spans="1:5" x14ac:dyDescent="0.3">
      <c r="A3470" t="s">
        <v>9482</v>
      </c>
      <c r="B3470" t="s">
        <v>522</v>
      </c>
      <c r="C3470">
        <v>10</v>
      </c>
      <c r="D3470" t="str">
        <f>VLOOKUP(B3470,Products!$A:$E,2,FALSE)</f>
        <v>Product_257</v>
      </c>
      <c r="E3470" t="str">
        <f>VLOOKUP(B3470,Products!$A:$E,3,FALSE)</f>
        <v>Networking</v>
      </c>
    </row>
    <row r="3471" spans="1:5" x14ac:dyDescent="0.3">
      <c r="A3471" t="s">
        <v>9483</v>
      </c>
      <c r="B3471" t="s">
        <v>756</v>
      </c>
      <c r="C3471">
        <v>18</v>
      </c>
      <c r="D3471" t="str">
        <f>VLOOKUP(B3471,Products!$A:$E,2,FALSE)</f>
        <v>Product_374</v>
      </c>
      <c r="E3471" t="str">
        <f>VLOOKUP(B3471,Products!$A:$E,3,FALSE)</f>
        <v>Office Supplies</v>
      </c>
    </row>
    <row r="3472" spans="1:5" x14ac:dyDescent="0.3">
      <c r="A3472" t="s">
        <v>9484</v>
      </c>
      <c r="B3472" t="s">
        <v>94</v>
      </c>
      <c r="C3472">
        <v>12</v>
      </c>
      <c r="D3472" t="str">
        <f>VLOOKUP(B3472,Products!$A:$E,2,FALSE)</f>
        <v>Product_43</v>
      </c>
      <c r="E3472" t="str">
        <f>VLOOKUP(B3472,Products!$A:$E,3,FALSE)</f>
        <v>Storage</v>
      </c>
    </row>
    <row r="3473" spans="1:5" x14ac:dyDescent="0.3">
      <c r="A3473" t="s">
        <v>9485</v>
      </c>
      <c r="B3473" t="s">
        <v>464</v>
      </c>
      <c r="C3473">
        <v>3</v>
      </c>
      <c r="D3473" t="str">
        <f>VLOOKUP(B3473,Products!$A:$E,2,FALSE)</f>
        <v>Product_228</v>
      </c>
      <c r="E3473" t="str">
        <f>VLOOKUP(B3473,Products!$A:$E,3,FALSE)</f>
        <v>Storage</v>
      </c>
    </row>
    <row r="3474" spans="1:5" x14ac:dyDescent="0.3">
      <c r="A3474" t="s">
        <v>9486</v>
      </c>
      <c r="B3474" t="s">
        <v>292</v>
      </c>
      <c r="C3474">
        <v>39</v>
      </c>
      <c r="D3474" t="str">
        <f>VLOOKUP(B3474,Products!$A:$E,2,FALSE)</f>
        <v>Product_142</v>
      </c>
      <c r="E3474" t="str">
        <f>VLOOKUP(B3474,Products!$A:$E,3,FALSE)</f>
        <v>Storage</v>
      </c>
    </row>
    <row r="3475" spans="1:5" x14ac:dyDescent="0.3">
      <c r="A3475" t="s">
        <v>9487</v>
      </c>
      <c r="B3475" t="s">
        <v>212</v>
      </c>
      <c r="C3475">
        <v>45</v>
      </c>
      <c r="D3475" t="str">
        <f>VLOOKUP(B3475,Products!$A:$E,2,FALSE)</f>
        <v>Product_102</v>
      </c>
      <c r="E3475" t="str">
        <f>VLOOKUP(B3475,Products!$A:$E,3,FALSE)</f>
        <v>Storage</v>
      </c>
    </row>
    <row r="3476" spans="1:5" x14ac:dyDescent="0.3">
      <c r="A3476" t="s">
        <v>9488</v>
      </c>
      <c r="B3476" t="s">
        <v>526</v>
      </c>
      <c r="C3476">
        <v>27</v>
      </c>
      <c r="D3476" t="str">
        <f>VLOOKUP(B3476,Products!$A:$E,2,FALSE)</f>
        <v>Product_259</v>
      </c>
      <c r="E3476" t="str">
        <f>VLOOKUP(B3476,Products!$A:$E,3,FALSE)</f>
        <v>Electronics</v>
      </c>
    </row>
    <row r="3477" spans="1:5" x14ac:dyDescent="0.3">
      <c r="A3477" t="s">
        <v>9489</v>
      </c>
      <c r="B3477" t="s">
        <v>186</v>
      </c>
      <c r="C3477">
        <v>41</v>
      </c>
      <c r="D3477" t="str">
        <f>VLOOKUP(B3477,Products!$A:$E,2,FALSE)</f>
        <v>Product_89</v>
      </c>
      <c r="E3477" t="str">
        <f>VLOOKUP(B3477,Products!$A:$E,3,FALSE)</f>
        <v>Storage</v>
      </c>
    </row>
    <row r="3478" spans="1:5" x14ac:dyDescent="0.3">
      <c r="A3478" t="s">
        <v>9490</v>
      </c>
      <c r="B3478" t="s">
        <v>774</v>
      </c>
      <c r="C3478">
        <v>1</v>
      </c>
      <c r="D3478" t="str">
        <f>VLOOKUP(B3478,Products!$A:$E,2,FALSE)</f>
        <v>Product_383</v>
      </c>
      <c r="E3478" t="str">
        <f>VLOOKUP(B3478,Products!$A:$E,3,FALSE)</f>
        <v>Electronics</v>
      </c>
    </row>
    <row r="3479" spans="1:5" x14ac:dyDescent="0.3">
      <c r="A3479" t="s">
        <v>9491</v>
      </c>
      <c r="B3479" t="s">
        <v>328</v>
      </c>
      <c r="C3479">
        <v>18</v>
      </c>
      <c r="D3479" t="str">
        <f>VLOOKUP(B3479,Products!$A:$E,2,FALSE)</f>
        <v>Product_160</v>
      </c>
      <c r="E3479" t="str">
        <f>VLOOKUP(B3479,Products!$A:$E,3,FALSE)</f>
        <v>Office Supplies</v>
      </c>
    </row>
    <row r="3480" spans="1:5" x14ac:dyDescent="0.3">
      <c r="A3480" t="s">
        <v>9492</v>
      </c>
      <c r="B3480" t="s">
        <v>584</v>
      </c>
      <c r="C3480">
        <v>23</v>
      </c>
      <c r="D3480" t="str">
        <f>VLOOKUP(B3480,Products!$A:$E,2,FALSE)</f>
        <v>Product_288</v>
      </c>
      <c r="E3480" t="str">
        <f>VLOOKUP(B3480,Products!$A:$E,3,FALSE)</f>
        <v>Networking</v>
      </c>
    </row>
    <row r="3481" spans="1:5" x14ac:dyDescent="0.3">
      <c r="A3481" t="s">
        <v>9493</v>
      </c>
      <c r="B3481" t="s">
        <v>130</v>
      </c>
      <c r="C3481">
        <v>22</v>
      </c>
      <c r="D3481" t="str">
        <f>VLOOKUP(B3481,Products!$A:$E,2,FALSE)</f>
        <v>Product_61</v>
      </c>
      <c r="E3481" t="str">
        <f>VLOOKUP(B3481,Products!$A:$E,3,FALSE)</f>
        <v>Storage</v>
      </c>
    </row>
    <row r="3482" spans="1:5" x14ac:dyDescent="0.3">
      <c r="A3482" t="s">
        <v>9494</v>
      </c>
      <c r="B3482" t="s">
        <v>486</v>
      </c>
      <c r="C3482">
        <v>37</v>
      </c>
      <c r="D3482" t="str">
        <f>VLOOKUP(B3482,Products!$A:$E,2,FALSE)</f>
        <v>Product_239</v>
      </c>
      <c r="E3482" t="str">
        <f>VLOOKUP(B3482,Products!$A:$E,3,FALSE)</f>
        <v>Storage</v>
      </c>
    </row>
    <row r="3483" spans="1:5" x14ac:dyDescent="0.3">
      <c r="A3483" t="s">
        <v>9495</v>
      </c>
      <c r="B3483" t="s">
        <v>866</v>
      </c>
      <c r="C3483">
        <v>45</v>
      </c>
      <c r="D3483" t="str">
        <f>VLOOKUP(B3483,Products!$A:$E,2,FALSE)</f>
        <v>Product_429</v>
      </c>
      <c r="E3483" t="str">
        <f>VLOOKUP(B3483,Products!$A:$E,3,FALSE)</f>
        <v>Office Supplies</v>
      </c>
    </row>
    <row r="3484" spans="1:5" x14ac:dyDescent="0.3">
      <c r="A3484" t="s">
        <v>9496</v>
      </c>
      <c r="B3484" t="s">
        <v>98</v>
      </c>
      <c r="C3484">
        <v>37</v>
      </c>
      <c r="D3484" t="str">
        <f>VLOOKUP(B3484,Products!$A:$E,2,FALSE)</f>
        <v>Product_45</v>
      </c>
      <c r="E3484" t="str">
        <f>VLOOKUP(B3484,Products!$A:$E,3,FALSE)</f>
        <v>Accessories</v>
      </c>
    </row>
    <row r="3485" spans="1:5" x14ac:dyDescent="0.3">
      <c r="A3485" t="s">
        <v>9497</v>
      </c>
      <c r="B3485" t="s">
        <v>962</v>
      </c>
      <c r="C3485">
        <v>30</v>
      </c>
      <c r="D3485" t="str">
        <f>VLOOKUP(B3485,Products!$A:$E,2,FALSE)</f>
        <v>Product_477</v>
      </c>
      <c r="E3485" t="str">
        <f>VLOOKUP(B3485,Products!$A:$E,3,FALSE)</f>
        <v>Networking</v>
      </c>
    </row>
    <row r="3486" spans="1:5" x14ac:dyDescent="0.3">
      <c r="A3486" t="s">
        <v>9498</v>
      </c>
      <c r="B3486" t="s">
        <v>100</v>
      </c>
      <c r="C3486">
        <v>8</v>
      </c>
      <c r="D3486" t="str">
        <f>VLOOKUP(B3486,Products!$A:$E,2,FALSE)</f>
        <v>Product_46</v>
      </c>
      <c r="E3486" t="str">
        <f>VLOOKUP(B3486,Products!$A:$E,3,FALSE)</f>
        <v>Networking</v>
      </c>
    </row>
    <row r="3487" spans="1:5" x14ac:dyDescent="0.3">
      <c r="A3487" t="s">
        <v>9499</v>
      </c>
      <c r="B3487" t="s">
        <v>950</v>
      </c>
      <c r="C3487">
        <v>6</v>
      </c>
      <c r="D3487" t="str">
        <f>VLOOKUP(B3487,Products!$A:$E,2,FALSE)</f>
        <v>Product_471</v>
      </c>
      <c r="E3487" t="str">
        <f>VLOOKUP(B3487,Products!$A:$E,3,FALSE)</f>
        <v>Office Supplies</v>
      </c>
    </row>
    <row r="3488" spans="1:5" x14ac:dyDescent="0.3">
      <c r="A3488" t="s">
        <v>9500</v>
      </c>
      <c r="B3488" t="s">
        <v>196</v>
      </c>
      <c r="C3488">
        <v>47</v>
      </c>
      <c r="D3488" t="str">
        <f>VLOOKUP(B3488,Products!$A:$E,2,FALSE)</f>
        <v>Product_94</v>
      </c>
      <c r="E3488" t="str">
        <f>VLOOKUP(B3488,Products!$A:$E,3,FALSE)</f>
        <v>Networking</v>
      </c>
    </row>
    <row r="3489" spans="1:5" x14ac:dyDescent="0.3">
      <c r="A3489" t="s">
        <v>9501</v>
      </c>
      <c r="B3489" t="s">
        <v>98</v>
      </c>
      <c r="C3489">
        <v>12</v>
      </c>
      <c r="D3489" t="str">
        <f>VLOOKUP(B3489,Products!$A:$E,2,FALSE)</f>
        <v>Product_45</v>
      </c>
      <c r="E3489" t="str">
        <f>VLOOKUP(B3489,Products!$A:$E,3,FALSE)</f>
        <v>Accessories</v>
      </c>
    </row>
    <row r="3490" spans="1:5" x14ac:dyDescent="0.3">
      <c r="A3490" t="s">
        <v>9502</v>
      </c>
      <c r="B3490" t="s">
        <v>334</v>
      </c>
      <c r="C3490">
        <v>38</v>
      </c>
      <c r="D3490" t="str">
        <f>VLOOKUP(B3490,Products!$A:$E,2,FALSE)</f>
        <v>Product_163</v>
      </c>
      <c r="E3490" t="str">
        <f>VLOOKUP(B3490,Products!$A:$E,3,FALSE)</f>
        <v>Accessories</v>
      </c>
    </row>
    <row r="3491" spans="1:5" x14ac:dyDescent="0.3">
      <c r="A3491" t="s">
        <v>9503</v>
      </c>
      <c r="B3491" t="s">
        <v>650</v>
      </c>
      <c r="C3491">
        <v>2</v>
      </c>
      <c r="D3491" t="str">
        <f>VLOOKUP(B3491,Products!$A:$E,2,FALSE)</f>
        <v>Product_321</v>
      </c>
      <c r="E3491" t="str">
        <f>VLOOKUP(B3491,Products!$A:$E,3,FALSE)</f>
        <v>Electronics</v>
      </c>
    </row>
    <row r="3492" spans="1:5" x14ac:dyDescent="0.3">
      <c r="A3492" t="s">
        <v>9504</v>
      </c>
      <c r="B3492" t="s">
        <v>794</v>
      </c>
      <c r="C3492">
        <v>11</v>
      </c>
      <c r="D3492" t="str">
        <f>VLOOKUP(B3492,Products!$A:$E,2,FALSE)</f>
        <v>Product_393</v>
      </c>
      <c r="E3492" t="str">
        <f>VLOOKUP(B3492,Products!$A:$E,3,FALSE)</f>
        <v>Electronics</v>
      </c>
    </row>
    <row r="3493" spans="1:5" x14ac:dyDescent="0.3">
      <c r="A3493" t="s">
        <v>9505</v>
      </c>
      <c r="B3493" t="s">
        <v>816</v>
      </c>
      <c r="C3493">
        <v>1</v>
      </c>
      <c r="D3493" t="str">
        <f>VLOOKUP(B3493,Products!$A:$E,2,FALSE)</f>
        <v>Product_404</v>
      </c>
      <c r="E3493" t="str">
        <f>VLOOKUP(B3493,Products!$A:$E,3,FALSE)</f>
        <v>Storage</v>
      </c>
    </row>
    <row r="3494" spans="1:5" x14ac:dyDescent="0.3">
      <c r="A3494" t="s">
        <v>9506</v>
      </c>
      <c r="B3494" t="s">
        <v>232</v>
      </c>
      <c r="C3494">
        <v>41</v>
      </c>
      <c r="D3494" t="str">
        <f>VLOOKUP(B3494,Products!$A:$E,2,FALSE)</f>
        <v>Product_112</v>
      </c>
      <c r="E3494" t="str">
        <f>VLOOKUP(B3494,Products!$A:$E,3,FALSE)</f>
        <v>Storage</v>
      </c>
    </row>
    <row r="3495" spans="1:5" x14ac:dyDescent="0.3">
      <c r="A3495" t="s">
        <v>9507</v>
      </c>
      <c r="B3495" t="s">
        <v>392</v>
      </c>
      <c r="C3495">
        <v>30</v>
      </c>
      <c r="D3495" t="str">
        <f>VLOOKUP(B3495,Products!$A:$E,2,FALSE)</f>
        <v>Product_192</v>
      </c>
      <c r="E3495" t="str">
        <f>VLOOKUP(B3495,Products!$A:$E,3,FALSE)</f>
        <v>Office Supplies</v>
      </c>
    </row>
    <row r="3496" spans="1:5" x14ac:dyDescent="0.3">
      <c r="A3496" t="s">
        <v>9508</v>
      </c>
      <c r="B3496" t="s">
        <v>92</v>
      </c>
      <c r="C3496">
        <v>47</v>
      </c>
      <c r="D3496" t="str">
        <f>VLOOKUP(B3496,Products!$A:$E,2,FALSE)</f>
        <v>Product_42</v>
      </c>
      <c r="E3496" t="str">
        <f>VLOOKUP(B3496,Products!$A:$E,3,FALSE)</f>
        <v>Storage</v>
      </c>
    </row>
    <row r="3497" spans="1:5" x14ac:dyDescent="0.3">
      <c r="A3497" t="s">
        <v>9509</v>
      </c>
      <c r="B3497" t="s">
        <v>974</v>
      </c>
      <c r="C3497">
        <v>16</v>
      </c>
      <c r="D3497" t="str">
        <f>VLOOKUP(B3497,Products!$A:$E,2,FALSE)</f>
        <v>Product_483</v>
      </c>
      <c r="E3497" t="str">
        <f>VLOOKUP(B3497,Products!$A:$E,3,FALSE)</f>
        <v>Electronics</v>
      </c>
    </row>
    <row r="3498" spans="1:5" x14ac:dyDescent="0.3">
      <c r="A3498" t="s">
        <v>9510</v>
      </c>
      <c r="B3498" t="s">
        <v>324</v>
      </c>
      <c r="C3498">
        <v>44</v>
      </c>
      <c r="D3498" t="str">
        <f>VLOOKUP(B3498,Products!$A:$E,2,FALSE)</f>
        <v>Product_158</v>
      </c>
      <c r="E3498" t="str">
        <f>VLOOKUP(B3498,Products!$A:$E,3,FALSE)</f>
        <v>Electronics</v>
      </c>
    </row>
    <row r="3499" spans="1:5" x14ac:dyDescent="0.3">
      <c r="A3499" t="s">
        <v>9511</v>
      </c>
      <c r="B3499" t="s">
        <v>666</v>
      </c>
      <c r="C3499">
        <v>13</v>
      </c>
      <c r="D3499" t="str">
        <f>VLOOKUP(B3499,Products!$A:$E,2,FALSE)</f>
        <v>Product_329</v>
      </c>
      <c r="E3499" t="str">
        <f>VLOOKUP(B3499,Products!$A:$E,3,FALSE)</f>
        <v>Office Supplies</v>
      </c>
    </row>
    <row r="3500" spans="1:5" x14ac:dyDescent="0.3">
      <c r="A3500" t="s">
        <v>9512</v>
      </c>
      <c r="B3500" t="s">
        <v>774</v>
      </c>
      <c r="C3500">
        <v>49</v>
      </c>
      <c r="D3500" t="str">
        <f>VLOOKUP(B3500,Products!$A:$E,2,FALSE)</f>
        <v>Product_383</v>
      </c>
      <c r="E3500" t="str">
        <f>VLOOKUP(B3500,Products!$A:$E,3,FALSE)</f>
        <v>Electronics</v>
      </c>
    </row>
    <row r="3501" spans="1:5" x14ac:dyDescent="0.3">
      <c r="A3501" t="s">
        <v>9513</v>
      </c>
      <c r="B3501" t="s">
        <v>764</v>
      </c>
      <c r="C3501">
        <v>9</v>
      </c>
      <c r="D3501" t="str">
        <f>VLOOKUP(B3501,Products!$A:$E,2,FALSE)</f>
        <v>Product_378</v>
      </c>
      <c r="E3501" t="str">
        <f>VLOOKUP(B3501,Products!$A:$E,3,FALSE)</f>
        <v>Electronics</v>
      </c>
    </row>
    <row r="3502" spans="1:5" x14ac:dyDescent="0.3">
      <c r="A3502" t="s">
        <v>9514</v>
      </c>
      <c r="B3502" t="s">
        <v>326</v>
      </c>
      <c r="C3502">
        <v>4</v>
      </c>
      <c r="D3502" t="str">
        <f>VLOOKUP(B3502,Products!$A:$E,2,FALSE)</f>
        <v>Product_159</v>
      </c>
      <c r="E3502" t="str">
        <f>VLOOKUP(B3502,Products!$A:$E,3,FALSE)</f>
        <v>Accessories</v>
      </c>
    </row>
    <row r="3503" spans="1:5" x14ac:dyDescent="0.3">
      <c r="A3503" t="s">
        <v>9515</v>
      </c>
      <c r="B3503" t="s">
        <v>398</v>
      </c>
      <c r="C3503">
        <v>46</v>
      </c>
      <c r="D3503" t="str">
        <f>VLOOKUP(B3503,Products!$A:$E,2,FALSE)</f>
        <v>Product_195</v>
      </c>
      <c r="E3503" t="str">
        <f>VLOOKUP(B3503,Products!$A:$E,3,FALSE)</f>
        <v>Accessories</v>
      </c>
    </row>
    <row r="3504" spans="1:5" x14ac:dyDescent="0.3">
      <c r="A3504" t="s">
        <v>9516</v>
      </c>
      <c r="B3504" t="s">
        <v>302</v>
      </c>
      <c r="C3504">
        <v>12</v>
      </c>
      <c r="D3504" t="str">
        <f>VLOOKUP(B3504,Products!$A:$E,2,FALSE)</f>
        <v>Product_147</v>
      </c>
      <c r="E3504" t="str">
        <f>VLOOKUP(B3504,Products!$A:$E,3,FALSE)</f>
        <v>Networking</v>
      </c>
    </row>
    <row r="3505" spans="1:5" x14ac:dyDescent="0.3">
      <c r="A3505" t="s">
        <v>9517</v>
      </c>
      <c r="B3505" t="s">
        <v>294</v>
      </c>
      <c r="C3505">
        <v>9</v>
      </c>
      <c r="D3505" t="str">
        <f>VLOOKUP(B3505,Products!$A:$E,2,FALSE)</f>
        <v>Product_143</v>
      </c>
      <c r="E3505" t="str">
        <f>VLOOKUP(B3505,Products!$A:$E,3,FALSE)</f>
        <v>Office Supplies</v>
      </c>
    </row>
    <row r="3506" spans="1:5" x14ac:dyDescent="0.3">
      <c r="A3506" t="s">
        <v>9518</v>
      </c>
      <c r="B3506" t="s">
        <v>588</v>
      </c>
      <c r="C3506">
        <v>21</v>
      </c>
      <c r="D3506" t="str">
        <f>VLOOKUP(B3506,Products!$A:$E,2,FALSE)</f>
        <v>Product_290</v>
      </c>
      <c r="E3506" t="str">
        <f>VLOOKUP(B3506,Products!$A:$E,3,FALSE)</f>
        <v>Accessories</v>
      </c>
    </row>
    <row r="3507" spans="1:5" x14ac:dyDescent="0.3">
      <c r="A3507" t="s">
        <v>9519</v>
      </c>
      <c r="B3507" t="s">
        <v>432</v>
      </c>
      <c r="C3507">
        <v>15</v>
      </c>
      <c r="D3507" t="str">
        <f>VLOOKUP(B3507,Products!$A:$E,2,FALSE)</f>
        <v>Product_212</v>
      </c>
      <c r="E3507" t="str">
        <f>VLOOKUP(B3507,Products!$A:$E,3,FALSE)</f>
        <v>Networking</v>
      </c>
    </row>
    <row r="3508" spans="1:5" x14ac:dyDescent="0.3">
      <c r="A3508" t="s">
        <v>9520</v>
      </c>
      <c r="B3508" t="s">
        <v>864</v>
      </c>
      <c r="C3508">
        <v>13</v>
      </c>
      <c r="D3508" t="str">
        <f>VLOOKUP(B3508,Products!$A:$E,2,FALSE)</f>
        <v>Product_428</v>
      </c>
      <c r="E3508" t="str">
        <f>VLOOKUP(B3508,Products!$A:$E,3,FALSE)</f>
        <v>Storage</v>
      </c>
    </row>
    <row r="3509" spans="1:5" x14ac:dyDescent="0.3">
      <c r="A3509" t="s">
        <v>9521</v>
      </c>
      <c r="B3509" t="s">
        <v>288</v>
      </c>
      <c r="C3509">
        <v>13</v>
      </c>
      <c r="D3509" t="str">
        <f>VLOOKUP(B3509,Products!$A:$E,2,FALSE)</f>
        <v>Product_140</v>
      </c>
      <c r="E3509" t="str">
        <f>VLOOKUP(B3509,Products!$A:$E,3,FALSE)</f>
        <v>Electronics</v>
      </c>
    </row>
    <row r="3510" spans="1:5" x14ac:dyDescent="0.3">
      <c r="A3510" t="s">
        <v>9522</v>
      </c>
      <c r="B3510" t="s">
        <v>190</v>
      </c>
      <c r="C3510">
        <v>19</v>
      </c>
      <c r="D3510" t="str">
        <f>VLOOKUP(B3510,Products!$A:$E,2,FALSE)</f>
        <v>Product_91</v>
      </c>
      <c r="E3510" t="str">
        <f>VLOOKUP(B3510,Products!$A:$E,3,FALSE)</f>
        <v>Networking</v>
      </c>
    </row>
    <row r="3511" spans="1:5" x14ac:dyDescent="0.3">
      <c r="A3511" t="s">
        <v>9523</v>
      </c>
      <c r="B3511" t="s">
        <v>274</v>
      </c>
      <c r="C3511">
        <v>45</v>
      </c>
      <c r="D3511" t="str">
        <f>VLOOKUP(B3511,Products!$A:$E,2,FALSE)</f>
        <v>Product_133</v>
      </c>
      <c r="E3511" t="str">
        <f>VLOOKUP(B3511,Products!$A:$E,3,FALSE)</f>
        <v>Office Supplies</v>
      </c>
    </row>
    <row r="3512" spans="1:5" x14ac:dyDescent="0.3">
      <c r="A3512" t="s">
        <v>9524</v>
      </c>
      <c r="B3512" t="s">
        <v>460</v>
      </c>
      <c r="C3512">
        <v>17</v>
      </c>
      <c r="D3512" t="str">
        <f>VLOOKUP(B3512,Products!$A:$E,2,FALSE)</f>
        <v>Product_226</v>
      </c>
      <c r="E3512" t="str">
        <f>VLOOKUP(B3512,Products!$A:$E,3,FALSE)</f>
        <v>Networking</v>
      </c>
    </row>
    <row r="3513" spans="1:5" x14ac:dyDescent="0.3">
      <c r="A3513" t="s">
        <v>9525</v>
      </c>
      <c r="B3513" t="s">
        <v>104</v>
      </c>
      <c r="C3513">
        <v>32</v>
      </c>
      <c r="D3513" t="str">
        <f>VLOOKUP(B3513,Products!$A:$E,2,FALSE)</f>
        <v>Product_48</v>
      </c>
      <c r="E3513" t="str">
        <f>VLOOKUP(B3513,Products!$A:$E,3,FALSE)</f>
        <v>Accessories</v>
      </c>
    </row>
    <row r="3514" spans="1:5" x14ac:dyDescent="0.3">
      <c r="A3514" t="s">
        <v>9526</v>
      </c>
      <c r="B3514" t="s">
        <v>372</v>
      </c>
      <c r="C3514">
        <v>38</v>
      </c>
      <c r="D3514" t="str">
        <f>VLOOKUP(B3514,Products!$A:$E,2,FALSE)</f>
        <v>Product_182</v>
      </c>
      <c r="E3514" t="str">
        <f>VLOOKUP(B3514,Products!$A:$E,3,FALSE)</f>
        <v>Storage</v>
      </c>
    </row>
    <row r="3515" spans="1:5" x14ac:dyDescent="0.3">
      <c r="A3515" t="s">
        <v>9527</v>
      </c>
      <c r="B3515" t="s">
        <v>382</v>
      </c>
      <c r="C3515">
        <v>23</v>
      </c>
      <c r="D3515" t="str">
        <f>VLOOKUP(B3515,Products!$A:$E,2,FALSE)</f>
        <v>Product_187</v>
      </c>
      <c r="E3515" t="str">
        <f>VLOOKUP(B3515,Products!$A:$E,3,FALSE)</f>
        <v>Electronics</v>
      </c>
    </row>
    <row r="3516" spans="1:5" x14ac:dyDescent="0.3">
      <c r="A3516" t="s">
        <v>9528</v>
      </c>
      <c r="B3516" t="s">
        <v>800</v>
      </c>
      <c r="C3516">
        <v>42</v>
      </c>
      <c r="D3516" t="str">
        <f>VLOOKUP(B3516,Products!$A:$E,2,FALSE)</f>
        <v>Product_396</v>
      </c>
      <c r="E3516" t="str">
        <f>VLOOKUP(B3516,Products!$A:$E,3,FALSE)</f>
        <v>Office Supplies</v>
      </c>
    </row>
    <row r="3517" spans="1:5" x14ac:dyDescent="0.3">
      <c r="A3517" t="s">
        <v>9529</v>
      </c>
      <c r="B3517" t="s">
        <v>544</v>
      </c>
      <c r="C3517">
        <v>29</v>
      </c>
      <c r="D3517" t="str">
        <f>VLOOKUP(B3517,Products!$A:$E,2,FALSE)</f>
        <v>Product_268</v>
      </c>
      <c r="E3517" t="str">
        <f>VLOOKUP(B3517,Products!$A:$E,3,FALSE)</f>
        <v>Office Supplies</v>
      </c>
    </row>
    <row r="3518" spans="1:5" x14ac:dyDescent="0.3">
      <c r="A3518" t="s">
        <v>9530</v>
      </c>
      <c r="B3518" t="s">
        <v>858</v>
      </c>
      <c r="C3518">
        <v>41</v>
      </c>
      <c r="D3518" t="str">
        <f>VLOOKUP(B3518,Products!$A:$E,2,FALSE)</f>
        <v>Product_425</v>
      </c>
      <c r="E3518" t="str">
        <f>VLOOKUP(B3518,Products!$A:$E,3,FALSE)</f>
        <v>Office Supplies</v>
      </c>
    </row>
    <row r="3519" spans="1:5" x14ac:dyDescent="0.3">
      <c r="A3519" t="s">
        <v>9531</v>
      </c>
      <c r="B3519" t="s">
        <v>712</v>
      </c>
      <c r="C3519">
        <v>11</v>
      </c>
      <c r="D3519" t="str">
        <f>VLOOKUP(B3519,Products!$A:$E,2,FALSE)</f>
        <v>Product_352</v>
      </c>
      <c r="E3519" t="str">
        <f>VLOOKUP(B3519,Products!$A:$E,3,FALSE)</f>
        <v>Storage</v>
      </c>
    </row>
    <row r="3520" spans="1:5" x14ac:dyDescent="0.3">
      <c r="A3520" t="s">
        <v>9532</v>
      </c>
      <c r="B3520" t="s">
        <v>46</v>
      </c>
      <c r="C3520">
        <v>38</v>
      </c>
      <c r="D3520" t="str">
        <f>VLOOKUP(B3520,Products!$A:$E,2,FALSE)</f>
        <v>Product_19</v>
      </c>
      <c r="E3520" t="str">
        <f>VLOOKUP(B3520,Products!$A:$E,3,FALSE)</f>
        <v>Networking</v>
      </c>
    </row>
    <row r="3521" spans="1:5" x14ac:dyDescent="0.3">
      <c r="A3521" t="s">
        <v>9533</v>
      </c>
      <c r="B3521" t="s">
        <v>404</v>
      </c>
      <c r="C3521">
        <v>10</v>
      </c>
      <c r="D3521" t="str">
        <f>VLOOKUP(B3521,Products!$A:$E,2,FALSE)</f>
        <v>Product_198</v>
      </c>
      <c r="E3521" t="str">
        <f>VLOOKUP(B3521,Products!$A:$E,3,FALSE)</f>
        <v>Accessories</v>
      </c>
    </row>
    <row r="3522" spans="1:5" x14ac:dyDescent="0.3">
      <c r="A3522" t="s">
        <v>9534</v>
      </c>
      <c r="B3522" t="s">
        <v>560</v>
      </c>
      <c r="C3522">
        <v>37</v>
      </c>
      <c r="D3522" t="str">
        <f>VLOOKUP(B3522,Products!$A:$E,2,FALSE)</f>
        <v>Product_276</v>
      </c>
      <c r="E3522" t="str">
        <f>VLOOKUP(B3522,Products!$A:$E,3,FALSE)</f>
        <v>Office Supplies</v>
      </c>
    </row>
    <row r="3523" spans="1:5" x14ac:dyDescent="0.3">
      <c r="A3523" t="s">
        <v>9535</v>
      </c>
      <c r="B3523" t="s">
        <v>224</v>
      </c>
      <c r="C3523">
        <v>45</v>
      </c>
      <c r="D3523" t="str">
        <f>VLOOKUP(B3523,Products!$A:$E,2,FALSE)</f>
        <v>Product_108</v>
      </c>
      <c r="E3523" t="str">
        <f>VLOOKUP(B3523,Products!$A:$E,3,FALSE)</f>
        <v>Networking</v>
      </c>
    </row>
    <row r="3524" spans="1:5" x14ac:dyDescent="0.3">
      <c r="A3524" t="s">
        <v>9536</v>
      </c>
      <c r="B3524" t="s">
        <v>454</v>
      </c>
      <c r="C3524">
        <v>23</v>
      </c>
      <c r="D3524" t="str">
        <f>VLOOKUP(B3524,Products!$A:$E,2,FALSE)</f>
        <v>Product_223</v>
      </c>
      <c r="E3524" t="str">
        <f>VLOOKUP(B3524,Products!$A:$E,3,FALSE)</f>
        <v>Storage</v>
      </c>
    </row>
    <row r="3525" spans="1:5" x14ac:dyDescent="0.3">
      <c r="A3525" t="s">
        <v>9537</v>
      </c>
      <c r="B3525" t="s">
        <v>670</v>
      </c>
      <c r="C3525">
        <v>44</v>
      </c>
      <c r="D3525" t="str">
        <f>VLOOKUP(B3525,Products!$A:$E,2,FALSE)</f>
        <v>Product_331</v>
      </c>
      <c r="E3525" t="str">
        <f>VLOOKUP(B3525,Products!$A:$E,3,FALSE)</f>
        <v>Electronics</v>
      </c>
    </row>
    <row r="3526" spans="1:5" x14ac:dyDescent="0.3">
      <c r="A3526" t="s">
        <v>9538</v>
      </c>
      <c r="B3526" t="s">
        <v>824</v>
      </c>
      <c r="C3526">
        <v>19</v>
      </c>
      <c r="D3526" t="str">
        <f>VLOOKUP(B3526,Products!$A:$E,2,FALSE)</f>
        <v>Product_408</v>
      </c>
      <c r="E3526" t="str">
        <f>VLOOKUP(B3526,Products!$A:$E,3,FALSE)</f>
        <v>Storage</v>
      </c>
    </row>
    <row r="3527" spans="1:5" x14ac:dyDescent="0.3">
      <c r="A3527" t="s">
        <v>9539</v>
      </c>
      <c r="B3527" t="s">
        <v>222</v>
      </c>
      <c r="C3527">
        <v>22</v>
      </c>
      <c r="D3527" t="str">
        <f>VLOOKUP(B3527,Products!$A:$E,2,FALSE)</f>
        <v>Product_107</v>
      </c>
      <c r="E3527" t="str">
        <f>VLOOKUP(B3527,Products!$A:$E,3,FALSE)</f>
        <v>Office Supplies</v>
      </c>
    </row>
    <row r="3528" spans="1:5" x14ac:dyDescent="0.3">
      <c r="A3528" t="s">
        <v>9540</v>
      </c>
      <c r="B3528" t="s">
        <v>726</v>
      </c>
      <c r="C3528">
        <v>33</v>
      </c>
      <c r="D3528" t="str">
        <f>VLOOKUP(B3528,Products!$A:$E,2,FALSE)</f>
        <v>Product_359</v>
      </c>
      <c r="E3528" t="str">
        <f>VLOOKUP(B3528,Products!$A:$E,3,FALSE)</f>
        <v>Electronics</v>
      </c>
    </row>
    <row r="3529" spans="1:5" x14ac:dyDescent="0.3">
      <c r="A3529" t="s">
        <v>9541</v>
      </c>
      <c r="B3529" t="s">
        <v>574</v>
      </c>
      <c r="C3529">
        <v>48</v>
      </c>
      <c r="D3529" t="str">
        <f>VLOOKUP(B3529,Products!$A:$E,2,FALSE)</f>
        <v>Product_283</v>
      </c>
      <c r="E3529" t="str">
        <f>VLOOKUP(B3529,Products!$A:$E,3,FALSE)</f>
        <v>Networking</v>
      </c>
    </row>
    <row r="3530" spans="1:5" x14ac:dyDescent="0.3">
      <c r="A3530" t="s">
        <v>9542</v>
      </c>
      <c r="B3530" t="s">
        <v>822</v>
      </c>
      <c r="C3530">
        <v>18</v>
      </c>
      <c r="D3530" t="str">
        <f>VLOOKUP(B3530,Products!$A:$E,2,FALSE)</f>
        <v>Product_407</v>
      </c>
      <c r="E3530" t="str">
        <f>VLOOKUP(B3530,Products!$A:$E,3,FALSE)</f>
        <v>Networking</v>
      </c>
    </row>
    <row r="3531" spans="1:5" x14ac:dyDescent="0.3">
      <c r="A3531" t="s">
        <v>9543</v>
      </c>
      <c r="B3531" t="s">
        <v>102</v>
      </c>
      <c r="C3531">
        <v>33</v>
      </c>
      <c r="D3531" t="str">
        <f>VLOOKUP(B3531,Products!$A:$E,2,FALSE)</f>
        <v>Product_47</v>
      </c>
      <c r="E3531" t="str">
        <f>VLOOKUP(B3531,Products!$A:$E,3,FALSE)</f>
        <v>Electronics</v>
      </c>
    </row>
    <row r="3532" spans="1:5" x14ac:dyDescent="0.3">
      <c r="A3532" t="s">
        <v>9544</v>
      </c>
      <c r="B3532" t="s">
        <v>800</v>
      </c>
      <c r="C3532">
        <v>14</v>
      </c>
      <c r="D3532" t="str">
        <f>VLOOKUP(B3532,Products!$A:$E,2,FALSE)</f>
        <v>Product_396</v>
      </c>
      <c r="E3532" t="str">
        <f>VLOOKUP(B3532,Products!$A:$E,3,FALSE)</f>
        <v>Office Supplies</v>
      </c>
    </row>
    <row r="3533" spans="1:5" x14ac:dyDescent="0.3">
      <c r="A3533" t="s">
        <v>9545</v>
      </c>
      <c r="B3533" t="s">
        <v>274</v>
      </c>
      <c r="C3533">
        <v>14</v>
      </c>
      <c r="D3533" t="str">
        <f>VLOOKUP(B3533,Products!$A:$E,2,FALSE)</f>
        <v>Product_133</v>
      </c>
      <c r="E3533" t="str">
        <f>VLOOKUP(B3533,Products!$A:$E,3,FALSE)</f>
        <v>Office Supplies</v>
      </c>
    </row>
    <row r="3534" spans="1:5" x14ac:dyDescent="0.3">
      <c r="A3534" t="s">
        <v>9546</v>
      </c>
      <c r="B3534" t="s">
        <v>488</v>
      </c>
      <c r="C3534">
        <v>17</v>
      </c>
      <c r="D3534" t="str">
        <f>VLOOKUP(B3534,Products!$A:$E,2,FALSE)</f>
        <v>Product_240</v>
      </c>
      <c r="E3534" t="str">
        <f>VLOOKUP(B3534,Products!$A:$E,3,FALSE)</f>
        <v>Storage</v>
      </c>
    </row>
    <row r="3535" spans="1:5" x14ac:dyDescent="0.3">
      <c r="A3535" t="s">
        <v>9547</v>
      </c>
      <c r="B3535" t="s">
        <v>42</v>
      </c>
      <c r="C3535">
        <v>8</v>
      </c>
      <c r="D3535" t="str">
        <f>VLOOKUP(B3535,Products!$A:$E,2,FALSE)</f>
        <v>Product_17</v>
      </c>
      <c r="E3535" t="str">
        <f>VLOOKUP(B3535,Products!$A:$E,3,FALSE)</f>
        <v>Office Supplies</v>
      </c>
    </row>
    <row r="3536" spans="1:5" x14ac:dyDescent="0.3">
      <c r="A3536" t="s">
        <v>9548</v>
      </c>
      <c r="B3536" t="s">
        <v>538</v>
      </c>
      <c r="C3536">
        <v>43</v>
      </c>
      <c r="D3536" t="str">
        <f>VLOOKUP(B3536,Products!$A:$E,2,FALSE)</f>
        <v>Product_265</v>
      </c>
      <c r="E3536" t="str">
        <f>VLOOKUP(B3536,Products!$A:$E,3,FALSE)</f>
        <v>Accessories</v>
      </c>
    </row>
    <row r="3537" spans="1:5" x14ac:dyDescent="0.3">
      <c r="A3537" t="s">
        <v>9549</v>
      </c>
      <c r="B3537" t="s">
        <v>656</v>
      </c>
      <c r="C3537">
        <v>12</v>
      </c>
      <c r="D3537" t="str">
        <f>VLOOKUP(B3537,Products!$A:$E,2,FALSE)</f>
        <v>Product_324</v>
      </c>
      <c r="E3537" t="str">
        <f>VLOOKUP(B3537,Products!$A:$E,3,FALSE)</f>
        <v>Accessories</v>
      </c>
    </row>
    <row r="3538" spans="1:5" x14ac:dyDescent="0.3">
      <c r="A3538" t="s">
        <v>9550</v>
      </c>
      <c r="B3538" t="s">
        <v>496</v>
      </c>
      <c r="C3538">
        <v>9</v>
      </c>
      <c r="D3538" t="str">
        <f>VLOOKUP(B3538,Products!$A:$E,2,FALSE)</f>
        <v>Product_244</v>
      </c>
      <c r="E3538" t="str">
        <f>VLOOKUP(B3538,Products!$A:$E,3,FALSE)</f>
        <v>Accessories</v>
      </c>
    </row>
    <row r="3539" spans="1:5" x14ac:dyDescent="0.3">
      <c r="A3539" t="s">
        <v>9551</v>
      </c>
      <c r="B3539" t="s">
        <v>488</v>
      </c>
      <c r="C3539">
        <v>38</v>
      </c>
      <c r="D3539" t="str">
        <f>VLOOKUP(B3539,Products!$A:$E,2,FALSE)</f>
        <v>Product_240</v>
      </c>
      <c r="E3539" t="str">
        <f>VLOOKUP(B3539,Products!$A:$E,3,FALSE)</f>
        <v>Storage</v>
      </c>
    </row>
    <row r="3540" spans="1:5" x14ac:dyDescent="0.3">
      <c r="A3540" t="s">
        <v>9552</v>
      </c>
      <c r="B3540" t="s">
        <v>340</v>
      </c>
      <c r="C3540">
        <v>24</v>
      </c>
      <c r="D3540" t="str">
        <f>VLOOKUP(B3540,Products!$A:$E,2,FALSE)</f>
        <v>Product_166</v>
      </c>
      <c r="E3540" t="str">
        <f>VLOOKUP(B3540,Products!$A:$E,3,FALSE)</f>
        <v>Accessories</v>
      </c>
    </row>
    <row r="3541" spans="1:5" x14ac:dyDescent="0.3">
      <c r="A3541" t="s">
        <v>9553</v>
      </c>
      <c r="B3541" t="s">
        <v>586</v>
      </c>
      <c r="C3541">
        <v>25</v>
      </c>
      <c r="D3541" t="str">
        <f>VLOOKUP(B3541,Products!$A:$E,2,FALSE)</f>
        <v>Product_289</v>
      </c>
      <c r="E3541" t="str">
        <f>VLOOKUP(B3541,Products!$A:$E,3,FALSE)</f>
        <v>Storage</v>
      </c>
    </row>
    <row r="3542" spans="1:5" x14ac:dyDescent="0.3">
      <c r="A3542" t="s">
        <v>9554</v>
      </c>
      <c r="B3542" t="s">
        <v>684</v>
      </c>
      <c r="C3542">
        <v>38</v>
      </c>
      <c r="D3542" t="str">
        <f>VLOOKUP(B3542,Products!$A:$E,2,FALSE)</f>
        <v>Product_338</v>
      </c>
      <c r="E3542" t="str">
        <f>VLOOKUP(B3542,Products!$A:$E,3,FALSE)</f>
        <v>Networking</v>
      </c>
    </row>
    <row r="3543" spans="1:5" x14ac:dyDescent="0.3">
      <c r="A3543" t="s">
        <v>9555</v>
      </c>
      <c r="B3543" t="s">
        <v>932</v>
      </c>
      <c r="C3543">
        <v>3</v>
      </c>
      <c r="D3543" t="str">
        <f>VLOOKUP(B3543,Products!$A:$E,2,FALSE)</f>
        <v>Product_462</v>
      </c>
      <c r="E3543" t="str">
        <f>VLOOKUP(B3543,Products!$A:$E,3,FALSE)</f>
        <v>Electronics</v>
      </c>
    </row>
    <row r="3544" spans="1:5" x14ac:dyDescent="0.3">
      <c r="A3544" t="s">
        <v>9556</v>
      </c>
      <c r="B3544" t="s">
        <v>340</v>
      </c>
      <c r="C3544">
        <v>45</v>
      </c>
      <c r="D3544" t="str">
        <f>VLOOKUP(B3544,Products!$A:$E,2,FALSE)</f>
        <v>Product_166</v>
      </c>
      <c r="E3544" t="str">
        <f>VLOOKUP(B3544,Products!$A:$E,3,FALSE)</f>
        <v>Accessories</v>
      </c>
    </row>
    <row r="3545" spans="1:5" x14ac:dyDescent="0.3">
      <c r="A3545" t="s">
        <v>9557</v>
      </c>
      <c r="B3545" t="s">
        <v>116</v>
      </c>
      <c r="C3545">
        <v>41</v>
      </c>
      <c r="D3545" t="str">
        <f>VLOOKUP(B3545,Products!$A:$E,2,FALSE)</f>
        <v>Product_54</v>
      </c>
      <c r="E3545" t="str">
        <f>VLOOKUP(B3545,Products!$A:$E,3,FALSE)</f>
        <v>Storage</v>
      </c>
    </row>
    <row r="3546" spans="1:5" x14ac:dyDescent="0.3">
      <c r="A3546" t="s">
        <v>9558</v>
      </c>
      <c r="B3546" t="s">
        <v>376</v>
      </c>
      <c r="C3546">
        <v>1</v>
      </c>
      <c r="D3546" t="str">
        <f>VLOOKUP(B3546,Products!$A:$E,2,FALSE)</f>
        <v>Product_184</v>
      </c>
      <c r="E3546" t="str">
        <f>VLOOKUP(B3546,Products!$A:$E,3,FALSE)</f>
        <v>Electronics</v>
      </c>
    </row>
    <row r="3547" spans="1:5" x14ac:dyDescent="0.3">
      <c r="A3547" t="s">
        <v>9559</v>
      </c>
      <c r="B3547" t="s">
        <v>172</v>
      </c>
      <c r="C3547">
        <v>27</v>
      </c>
      <c r="D3547" t="str">
        <f>VLOOKUP(B3547,Products!$A:$E,2,FALSE)</f>
        <v>Product_82</v>
      </c>
      <c r="E3547" t="str">
        <f>VLOOKUP(B3547,Products!$A:$E,3,FALSE)</f>
        <v>Storage</v>
      </c>
    </row>
    <row r="3548" spans="1:5" x14ac:dyDescent="0.3">
      <c r="A3548" t="s">
        <v>9560</v>
      </c>
      <c r="B3548" t="s">
        <v>496</v>
      </c>
      <c r="C3548">
        <v>22</v>
      </c>
      <c r="D3548" t="str">
        <f>VLOOKUP(B3548,Products!$A:$E,2,FALSE)</f>
        <v>Product_244</v>
      </c>
      <c r="E3548" t="str">
        <f>VLOOKUP(B3548,Products!$A:$E,3,FALSE)</f>
        <v>Accessories</v>
      </c>
    </row>
    <row r="3549" spans="1:5" x14ac:dyDescent="0.3">
      <c r="A3549" t="s">
        <v>9561</v>
      </c>
      <c r="B3549" t="s">
        <v>354</v>
      </c>
      <c r="C3549">
        <v>42</v>
      </c>
      <c r="D3549" t="str">
        <f>VLOOKUP(B3549,Products!$A:$E,2,FALSE)</f>
        <v>Product_173</v>
      </c>
      <c r="E3549" t="str">
        <f>VLOOKUP(B3549,Products!$A:$E,3,FALSE)</f>
        <v>Electronics</v>
      </c>
    </row>
    <row r="3550" spans="1:5" x14ac:dyDescent="0.3">
      <c r="A3550" t="s">
        <v>9562</v>
      </c>
      <c r="B3550" t="s">
        <v>934</v>
      </c>
      <c r="C3550">
        <v>7</v>
      </c>
      <c r="D3550" t="str">
        <f>VLOOKUP(B3550,Products!$A:$E,2,FALSE)</f>
        <v>Product_463</v>
      </c>
      <c r="E3550" t="str">
        <f>VLOOKUP(B3550,Products!$A:$E,3,FALSE)</f>
        <v>Networking</v>
      </c>
    </row>
    <row r="3551" spans="1:5" x14ac:dyDescent="0.3">
      <c r="A3551" t="s">
        <v>9563</v>
      </c>
      <c r="B3551" t="s">
        <v>200</v>
      </c>
      <c r="C3551">
        <v>23</v>
      </c>
      <c r="D3551" t="str">
        <f>VLOOKUP(B3551,Products!$A:$E,2,FALSE)</f>
        <v>Product_96</v>
      </c>
      <c r="E3551" t="str">
        <f>VLOOKUP(B3551,Products!$A:$E,3,FALSE)</f>
        <v>Office Supplies</v>
      </c>
    </row>
    <row r="3552" spans="1:5" x14ac:dyDescent="0.3">
      <c r="A3552" t="s">
        <v>9564</v>
      </c>
      <c r="B3552" t="s">
        <v>322</v>
      </c>
      <c r="C3552">
        <v>11</v>
      </c>
      <c r="D3552" t="str">
        <f>VLOOKUP(B3552,Products!$A:$E,2,FALSE)</f>
        <v>Product_157</v>
      </c>
      <c r="E3552" t="str">
        <f>VLOOKUP(B3552,Products!$A:$E,3,FALSE)</f>
        <v>Electronics</v>
      </c>
    </row>
    <row r="3553" spans="1:5" x14ac:dyDescent="0.3">
      <c r="A3553" t="s">
        <v>9565</v>
      </c>
      <c r="B3553" t="s">
        <v>488</v>
      </c>
      <c r="C3553">
        <v>35</v>
      </c>
      <c r="D3553" t="str">
        <f>VLOOKUP(B3553,Products!$A:$E,2,FALSE)</f>
        <v>Product_240</v>
      </c>
      <c r="E3553" t="str">
        <f>VLOOKUP(B3553,Products!$A:$E,3,FALSE)</f>
        <v>Storage</v>
      </c>
    </row>
    <row r="3554" spans="1:5" x14ac:dyDescent="0.3">
      <c r="A3554" t="s">
        <v>9566</v>
      </c>
      <c r="B3554" t="s">
        <v>200</v>
      </c>
      <c r="C3554">
        <v>49</v>
      </c>
      <c r="D3554" t="str">
        <f>VLOOKUP(B3554,Products!$A:$E,2,FALSE)</f>
        <v>Product_96</v>
      </c>
      <c r="E3554" t="str">
        <f>VLOOKUP(B3554,Products!$A:$E,3,FALSE)</f>
        <v>Office Supplies</v>
      </c>
    </row>
    <row r="3555" spans="1:5" x14ac:dyDescent="0.3">
      <c r="A3555" t="s">
        <v>9567</v>
      </c>
      <c r="B3555" t="s">
        <v>32</v>
      </c>
      <c r="C3555">
        <v>29</v>
      </c>
      <c r="D3555" t="str">
        <f>VLOOKUP(B3555,Products!$A:$E,2,FALSE)</f>
        <v>Product_12</v>
      </c>
      <c r="E3555" t="str">
        <f>VLOOKUP(B3555,Products!$A:$E,3,FALSE)</f>
        <v>Accessories</v>
      </c>
    </row>
    <row r="3556" spans="1:5" x14ac:dyDescent="0.3">
      <c r="A3556" t="s">
        <v>9568</v>
      </c>
      <c r="B3556" t="s">
        <v>838</v>
      </c>
      <c r="C3556">
        <v>40</v>
      </c>
      <c r="D3556" t="str">
        <f>VLOOKUP(B3556,Products!$A:$E,2,FALSE)</f>
        <v>Product_415</v>
      </c>
      <c r="E3556" t="str">
        <f>VLOOKUP(B3556,Products!$A:$E,3,FALSE)</f>
        <v>Networking</v>
      </c>
    </row>
    <row r="3557" spans="1:5" x14ac:dyDescent="0.3">
      <c r="A3557" t="s">
        <v>9569</v>
      </c>
      <c r="B3557" t="s">
        <v>476</v>
      </c>
      <c r="C3557">
        <v>38</v>
      </c>
      <c r="D3557" t="str">
        <f>VLOOKUP(B3557,Products!$A:$E,2,FALSE)</f>
        <v>Product_234</v>
      </c>
      <c r="E3557" t="str">
        <f>VLOOKUP(B3557,Products!$A:$E,3,FALSE)</f>
        <v>Networking</v>
      </c>
    </row>
    <row r="3558" spans="1:5" x14ac:dyDescent="0.3">
      <c r="A3558" t="s">
        <v>9570</v>
      </c>
      <c r="B3558" t="s">
        <v>598</v>
      </c>
      <c r="C3558">
        <v>45</v>
      </c>
      <c r="D3558" t="str">
        <f>VLOOKUP(B3558,Products!$A:$E,2,FALSE)</f>
        <v>Product_295</v>
      </c>
      <c r="E3558" t="str">
        <f>VLOOKUP(B3558,Products!$A:$E,3,FALSE)</f>
        <v>Networking</v>
      </c>
    </row>
    <row r="3559" spans="1:5" x14ac:dyDescent="0.3">
      <c r="A3559" t="s">
        <v>9571</v>
      </c>
      <c r="B3559" t="s">
        <v>454</v>
      </c>
      <c r="C3559">
        <v>47</v>
      </c>
      <c r="D3559" t="str">
        <f>VLOOKUP(B3559,Products!$A:$E,2,FALSE)</f>
        <v>Product_223</v>
      </c>
      <c r="E3559" t="str">
        <f>VLOOKUP(B3559,Products!$A:$E,3,FALSE)</f>
        <v>Storage</v>
      </c>
    </row>
    <row r="3560" spans="1:5" x14ac:dyDescent="0.3">
      <c r="A3560" t="s">
        <v>9572</v>
      </c>
      <c r="B3560" t="s">
        <v>418</v>
      </c>
      <c r="C3560">
        <v>31</v>
      </c>
      <c r="D3560" t="str">
        <f>VLOOKUP(B3560,Products!$A:$E,2,FALSE)</f>
        <v>Product_205</v>
      </c>
      <c r="E3560" t="str">
        <f>VLOOKUP(B3560,Products!$A:$E,3,FALSE)</f>
        <v>Storage</v>
      </c>
    </row>
    <row r="3561" spans="1:5" x14ac:dyDescent="0.3">
      <c r="A3561" t="s">
        <v>9573</v>
      </c>
      <c r="B3561" t="s">
        <v>864</v>
      </c>
      <c r="C3561">
        <v>16</v>
      </c>
      <c r="D3561" t="str">
        <f>VLOOKUP(B3561,Products!$A:$E,2,FALSE)</f>
        <v>Product_428</v>
      </c>
      <c r="E3561" t="str">
        <f>VLOOKUP(B3561,Products!$A:$E,3,FALSE)</f>
        <v>Storage</v>
      </c>
    </row>
    <row r="3562" spans="1:5" x14ac:dyDescent="0.3">
      <c r="A3562" t="s">
        <v>9574</v>
      </c>
      <c r="B3562" t="s">
        <v>268</v>
      </c>
      <c r="C3562">
        <v>47</v>
      </c>
      <c r="D3562" t="str">
        <f>VLOOKUP(B3562,Products!$A:$E,2,FALSE)</f>
        <v>Product_130</v>
      </c>
      <c r="E3562" t="str">
        <f>VLOOKUP(B3562,Products!$A:$E,3,FALSE)</f>
        <v>Storage</v>
      </c>
    </row>
    <row r="3563" spans="1:5" x14ac:dyDescent="0.3">
      <c r="A3563" t="s">
        <v>9575</v>
      </c>
      <c r="B3563" t="s">
        <v>392</v>
      </c>
      <c r="C3563">
        <v>39</v>
      </c>
      <c r="D3563" t="str">
        <f>VLOOKUP(B3563,Products!$A:$E,2,FALSE)</f>
        <v>Product_192</v>
      </c>
      <c r="E3563" t="str">
        <f>VLOOKUP(B3563,Products!$A:$E,3,FALSE)</f>
        <v>Office Supplies</v>
      </c>
    </row>
    <row r="3564" spans="1:5" x14ac:dyDescent="0.3">
      <c r="A3564" t="s">
        <v>9576</v>
      </c>
      <c r="B3564" t="s">
        <v>354</v>
      </c>
      <c r="C3564">
        <v>31</v>
      </c>
      <c r="D3564" t="str">
        <f>VLOOKUP(B3564,Products!$A:$E,2,FALSE)</f>
        <v>Product_173</v>
      </c>
      <c r="E3564" t="str">
        <f>VLOOKUP(B3564,Products!$A:$E,3,FALSE)</f>
        <v>Electronics</v>
      </c>
    </row>
    <row r="3565" spans="1:5" x14ac:dyDescent="0.3">
      <c r="A3565" t="s">
        <v>9577</v>
      </c>
      <c r="B3565" t="s">
        <v>704</v>
      </c>
      <c r="C3565">
        <v>26</v>
      </c>
      <c r="D3565" t="str">
        <f>VLOOKUP(B3565,Products!$A:$E,2,FALSE)</f>
        <v>Product_348</v>
      </c>
      <c r="E3565" t="str">
        <f>VLOOKUP(B3565,Products!$A:$E,3,FALSE)</f>
        <v>Electronics</v>
      </c>
    </row>
    <row r="3566" spans="1:5" x14ac:dyDescent="0.3">
      <c r="A3566" t="s">
        <v>9578</v>
      </c>
      <c r="B3566" t="s">
        <v>316</v>
      </c>
      <c r="C3566">
        <v>3</v>
      </c>
      <c r="D3566" t="str">
        <f>VLOOKUP(B3566,Products!$A:$E,2,FALSE)</f>
        <v>Product_154</v>
      </c>
      <c r="E3566" t="str">
        <f>VLOOKUP(B3566,Products!$A:$E,3,FALSE)</f>
        <v>Accessories</v>
      </c>
    </row>
    <row r="3567" spans="1:5" x14ac:dyDescent="0.3">
      <c r="A3567" t="s">
        <v>9579</v>
      </c>
      <c r="B3567" t="s">
        <v>1004</v>
      </c>
      <c r="C3567">
        <v>15</v>
      </c>
      <c r="D3567" t="str">
        <f>VLOOKUP(B3567,Products!$A:$E,2,FALSE)</f>
        <v>Product_498</v>
      </c>
      <c r="E3567" t="str">
        <f>VLOOKUP(B3567,Products!$A:$E,3,FALSE)</f>
        <v>Office Supplies</v>
      </c>
    </row>
    <row r="3568" spans="1:5" x14ac:dyDescent="0.3">
      <c r="A3568" t="s">
        <v>9580</v>
      </c>
      <c r="B3568" t="s">
        <v>790</v>
      </c>
      <c r="C3568">
        <v>33</v>
      </c>
      <c r="D3568" t="str">
        <f>VLOOKUP(B3568,Products!$A:$E,2,FALSE)</f>
        <v>Product_391</v>
      </c>
      <c r="E3568" t="str">
        <f>VLOOKUP(B3568,Products!$A:$E,3,FALSE)</f>
        <v>Accessories</v>
      </c>
    </row>
    <row r="3569" spans="1:5" x14ac:dyDescent="0.3">
      <c r="A3569" t="s">
        <v>9581</v>
      </c>
      <c r="B3569" t="s">
        <v>120</v>
      </c>
      <c r="C3569">
        <v>27</v>
      </c>
      <c r="D3569" t="str">
        <f>VLOOKUP(B3569,Products!$A:$E,2,FALSE)</f>
        <v>Product_56</v>
      </c>
      <c r="E3569" t="str">
        <f>VLOOKUP(B3569,Products!$A:$E,3,FALSE)</f>
        <v>Networking</v>
      </c>
    </row>
    <row r="3570" spans="1:5" x14ac:dyDescent="0.3">
      <c r="A3570" t="s">
        <v>9582</v>
      </c>
      <c r="B3570" t="s">
        <v>446</v>
      </c>
      <c r="C3570">
        <v>50</v>
      </c>
      <c r="D3570" t="str">
        <f>VLOOKUP(B3570,Products!$A:$E,2,FALSE)</f>
        <v>Product_219</v>
      </c>
      <c r="E3570" t="str">
        <f>VLOOKUP(B3570,Products!$A:$E,3,FALSE)</f>
        <v>Accessories</v>
      </c>
    </row>
    <row r="3571" spans="1:5" x14ac:dyDescent="0.3">
      <c r="A3571" t="s">
        <v>9583</v>
      </c>
      <c r="B3571" t="s">
        <v>284</v>
      </c>
      <c r="C3571">
        <v>37</v>
      </c>
      <c r="D3571" t="str">
        <f>VLOOKUP(B3571,Products!$A:$E,2,FALSE)</f>
        <v>Product_138</v>
      </c>
      <c r="E3571" t="str">
        <f>VLOOKUP(B3571,Products!$A:$E,3,FALSE)</f>
        <v>Electronics</v>
      </c>
    </row>
    <row r="3572" spans="1:5" x14ac:dyDescent="0.3">
      <c r="A3572" t="s">
        <v>9584</v>
      </c>
      <c r="B3572" t="s">
        <v>420</v>
      </c>
      <c r="C3572">
        <v>38</v>
      </c>
      <c r="D3572" t="str">
        <f>VLOOKUP(B3572,Products!$A:$E,2,FALSE)</f>
        <v>Product_206</v>
      </c>
      <c r="E3572" t="str">
        <f>VLOOKUP(B3572,Products!$A:$E,3,FALSE)</f>
        <v>Accessories</v>
      </c>
    </row>
    <row r="3573" spans="1:5" x14ac:dyDescent="0.3">
      <c r="A3573" t="s">
        <v>9585</v>
      </c>
      <c r="B3573" t="s">
        <v>38</v>
      </c>
      <c r="C3573">
        <v>11</v>
      </c>
      <c r="D3573" t="str">
        <f>VLOOKUP(B3573,Products!$A:$E,2,FALSE)</f>
        <v>Product_15</v>
      </c>
      <c r="E3573" t="str">
        <f>VLOOKUP(B3573,Products!$A:$E,3,FALSE)</f>
        <v>Electronics</v>
      </c>
    </row>
    <row r="3574" spans="1:5" x14ac:dyDescent="0.3">
      <c r="A3574" t="s">
        <v>9586</v>
      </c>
      <c r="B3574" t="s">
        <v>534</v>
      </c>
      <c r="C3574">
        <v>11</v>
      </c>
      <c r="D3574" t="str">
        <f>VLOOKUP(B3574,Products!$A:$E,2,FALSE)</f>
        <v>Product_263</v>
      </c>
      <c r="E3574" t="str">
        <f>VLOOKUP(B3574,Products!$A:$E,3,FALSE)</f>
        <v>Accessories</v>
      </c>
    </row>
    <row r="3575" spans="1:5" x14ac:dyDescent="0.3">
      <c r="A3575" t="s">
        <v>9587</v>
      </c>
      <c r="B3575" t="s">
        <v>954</v>
      </c>
      <c r="C3575">
        <v>20</v>
      </c>
      <c r="D3575" t="str">
        <f>VLOOKUP(B3575,Products!$A:$E,2,FALSE)</f>
        <v>Product_473</v>
      </c>
      <c r="E3575" t="str">
        <f>VLOOKUP(B3575,Products!$A:$E,3,FALSE)</f>
        <v>Accessories</v>
      </c>
    </row>
    <row r="3576" spans="1:5" x14ac:dyDescent="0.3">
      <c r="A3576" t="s">
        <v>9588</v>
      </c>
      <c r="B3576" t="s">
        <v>916</v>
      </c>
      <c r="C3576">
        <v>39</v>
      </c>
      <c r="D3576" t="str">
        <f>VLOOKUP(B3576,Products!$A:$E,2,FALSE)</f>
        <v>Product_454</v>
      </c>
      <c r="E3576" t="str">
        <f>VLOOKUP(B3576,Products!$A:$E,3,FALSE)</f>
        <v>Networking</v>
      </c>
    </row>
    <row r="3577" spans="1:5" x14ac:dyDescent="0.3">
      <c r="A3577" t="s">
        <v>9589</v>
      </c>
      <c r="B3577" t="s">
        <v>998</v>
      </c>
      <c r="C3577">
        <v>45</v>
      </c>
      <c r="D3577" t="str">
        <f>VLOOKUP(B3577,Products!$A:$E,2,FALSE)</f>
        <v>Product_495</v>
      </c>
      <c r="E3577" t="str">
        <f>VLOOKUP(B3577,Products!$A:$E,3,FALSE)</f>
        <v>Networking</v>
      </c>
    </row>
    <row r="3578" spans="1:5" x14ac:dyDescent="0.3">
      <c r="A3578" t="s">
        <v>9590</v>
      </c>
      <c r="B3578" t="s">
        <v>974</v>
      </c>
      <c r="C3578">
        <v>34</v>
      </c>
      <c r="D3578" t="str">
        <f>VLOOKUP(B3578,Products!$A:$E,2,FALSE)</f>
        <v>Product_483</v>
      </c>
      <c r="E3578" t="str">
        <f>VLOOKUP(B3578,Products!$A:$E,3,FALSE)</f>
        <v>Electronics</v>
      </c>
    </row>
    <row r="3579" spans="1:5" x14ac:dyDescent="0.3">
      <c r="A3579" t="s">
        <v>9591</v>
      </c>
      <c r="B3579" t="s">
        <v>212</v>
      </c>
      <c r="C3579">
        <v>37</v>
      </c>
      <c r="D3579" t="str">
        <f>VLOOKUP(B3579,Products!$A:$E,2,FALSE)</f>
        <v>Product_102</v>
      </c>
      <c r="E3579" t="str">
        <f>VLOOKUP(B3579,Products!$A:$E,3,FALSE)</f>
        <v>Storage</v>
      </c>
    </row>
    <row r="3580" spans="1:5" x14ac:dyDescent="0.3">
      <c r="A3580" t="s">
        <v>9592</v>
      </c>
      <c r="B3580" t="s">
        <v>778</v>
      </c>
      <c r="C3580">
        <v>9</v>
      </c>
      <c r="D3580" t="str">
        <f>VLOOKUP(B3580,Products!$A:$E,2,FALSE)</f>
        <v>Product_385</v>
      </c>
      <c r="E3580" t="str">
        <f>VLOOKUP(B3580,Products!$A:$E,3,FALSE)</f>
        <v>Networking</v>
      </c>
    </row>
    <row r="3581" spans="1:5" x14ac:dyDescent="0.3">
      <c r="A3581" t="s">
        <v>9593</v>
      </c>
      <c r="B3581" t="s">
        <v>142</v>
      </c>
      <c r="C3581">
        <v>43</v>
      </c>
      <c r="D3581" t="str">
        <f>VLOOKUP(B3581,Products!$A:$E,2,FALSE)</f>
        <v>Product_67</v>
      </c>
      <c r="E3581" t="str">
        <f>VLOOKUP(B3581,Products!$A:$E,3,FALSE)</f>
        <v>Office Supplies</v>
      </c>
    </row>
    <row r="3582" spans="1:5" x14ac:dyDescent="0.3">
      <c r="A3582" t="s">
        <v>9594</v>
      </c>
      <c r="B3582" t="s">
        <v>350</v>
      </c>
      <c r="C3582">
        <v>4</v>
      </c>
      <c r="D3582" t="str">
        <f>VLOOKUP(B3582,Products!$A:$E,2,FALSE)</f>
        <v>Product_171</v>
      </c>
      <c r="E3582" t="str">
        <f>VLOOKUP(B3582,Products!$A:$E,3,FALSE)</f>
        <v>Electronics</v>
      </c>
    </row>
    <row r="3583" spans="1:5" x14ac:dyDescent="0.3">
      <c r="A3583" t="s">
        <v>9595</v>
      </c>
      <c r="B3583" t="s">
        <v>1002</v>
      </c>
      <c r="C3583">
        <v>6</v>
      </c>
      <c r="D3583" t="str">
        <f>VLOOKUP(B3583,Products!$A:$E,2,FALSE)</f>
        <v>Product_497</v>
      </c>
      <c r="E3583" t="str">
        <f>VLOOKUP(B3583,Products!$A:$E,3,FALSE)</f>
        <v>Office Supplies</v>
      </c>
    </row>
    <row r="3584" spans="1:5" x14ac:dyDescent="0.3">
      <c r="A3584" t="s">
        <v>9596</v>
      </c>
      <c r="B3584" t="s">
        <v>326</v>
      </c>
      <c r="C3584">
        <v>50</v>
      </c>
      <c r="D3584" t="str">
        <f>VLOOKUP(B3584,Products!$A:$E,2,FALSE)</f>
        <v>Product_159</v>
      </c>
      <c r="E3584" t="str">
        <f>VLOOKUP(B3584,Products!$A:$E,3,FALSE)</f>
        <v>Accessories</v>
      </c>
    </row>
    <row r="3585" spans="1:5" x14ac:dyDescent="0.3">
      <c r="A3585" t="s">
        <v>9597</v>
      </c>
      <c r="B3585" t="s">
        <v>154</v>
      </c>
      <c r="C3585">
        <v>23</v>
      </c>
      <c r="D3585" t="str">
        <f>VLOOKUP(B3585,Products!$A:$E,2,FALSE)</f>
        <v>Product_73</v>
      </c>
      <c r="E3585" t="str">
        <f>VLOOKUP(B3585,Products!$A:$E,3,FALSE)</f>
        <v>Office Supplies</v>
      </c>
    </row>
    <row r="3586" spans="1:5" x14ac:dyDescent="0.3">
      <c r="A3586" t="s">
        <v>9598</v>
      </c>
      <c r="B3586" t="s">
        <v>478</v>
      </c>
      <c r="C3586">
        <v>26</v>
      </c>
      <c r="D3586" t="str">
        <f>VLOOKUP(B3586,Products!$A:$E,2,FALSE)</f>
        <v>Product_235</v>
      </c>
      <c r="E3586" t="str">
        <f>VLOOKUP(B3586,Products!$A:$E,3,FALSE)</f>
        <v>Accessories</v>
      </c>
    </row>
    <row r="3587" spans="1:5" x14ac:dyDescent="0.3">
      <c r="A3587" t="s">
        <v>9599</v>
      </c>
      <c r="B3587" t="s">
        <v>178</v>
      </c>
      <c r="C3587">
        <v>30</v>
      </c>
      <c r="D3587" t="str">
        <f>VLOOKUP(B3587,Products!$A:$E,2,FALSE)</f>
        <v>Product_85</v>
      </c>
      <c r="E3587" t="str">
        <f>VLOOKUP(B3587,Products!$A:$E,3,FALSE)</f>
        <v>Electronics</v>
      </c>
    </row>
    <row r="3588" spans="1:5" x14ac:dyDescent="0.3">
      <c r="A3588" t="s">
        <v>9600</v>
      </c>
      <c r="B3588" t="s">
        <v>5</v>
      </c>
      <c r="C3588">
        <v>43</v>
      </c>
      <c r="D3588" t="str">
        <f>VLOOKUP(B3588,Products!$A:$E,2,FALSE)</f>
        <v>Product_1</v>
      </c>
      <c r="E3588" t="str">
        <f>VLOOKUP(B3588,Products!$A:$E,3,FALSE)</f>
        <v>Electronics</v>
      </c>
    </row>
    <row r="3589" spans="1:5" x14ac:dyDescent="0.3">
      <c r="A3589" t="s">
        <v>9601</v>
      </c>
      <c r="B3589" t="s">
        <v>160</v>
      </c>
      <c r="C3589">
        <v>13</v>
      </c>
      <c r="D3589" t="str">
        <f>VLOOKUP(B3589,Products!$A:$E,2,FALSE)</f>
        <v>Product_76</v>
      </c>
      <c r="E3589" t="str">
        <f>VLOOKUP(B3589,Products!$A:$E,3,FALSE)</f>
        <v>Accessories</v>
      </c>
    </row>
    <row r="3590" spans="1:5" x14ac:dyDescent="0.3">
      <c r="A3590" t="s">
        <v>9602</v>
      </c>
      <c r="B3590" t="s">
        <v>914</v>
      </c>
      <c r="C3590">
        <v>12</v>
      </c>
      <c r="D3590" t="str">
        <f>VLOOKUP(B3590,Products!$A:$E,2,FALSE)</f>
        <v>Product_453</v>
      </c>
      <c r="E3590" t="str">
        <f>VLOOKUP(B3590,Products!$A:$E,3,FALSE)</f>
        <v>Office Supplies</v>
      </c>
    </row>
    <row r="3591" spans="1:5" x14ac:dyDescent="0.3">
      <c r="A3591" t="s">
        <v>9603</v>
      </c>
      <c r="B3591" t="s">
        <v>318</v>
      </c>
      <c r="C3591">
        <v>20</v>
      </c>
      <c r="D3591" t="str">
        <f>VLOOKUP(B3591,Products!$A:$E,2,FALSE)</f>
        <v>Product_155</v>
      </c>
      <c r="E3591" t="str">
        <f>VLOOKUP(B3591,Products!$A:$E,3,FALSE)</f>
        <v>Office Supplies</v>
      </c>
    </row>
    <row r="3592" spans="1:5" x14ac:dyDescent="0.3">
      <c r="A3592" t="s">
        <v>9604</v>
      </c>
      <c r="B3592" t="s">
        <v>92</v>
      </c>
      <c r="C3592">
        <v>12</v>
      </c>
      <c r="D3592" t="str">
        <f>VLOOKUP(B3592,Products!$A:$E,2,FALSE)</f>
        <v>Product_42</v>
      </c>
      <c r="E3592" t="str">
        <f>VLOOKUP(B3592,Products!$A:$E,3,FALSE)</f>
        <v>Storage</v>
      </c>
    </row>
    <row r="3593" spans="1:5" x14ac:dyDescent="0.3">
      <c r="A3593" t="s">
        <v>9605</v>
      </c>
      <c r="B3593" t="s">
        <v>250</v>
      </c>
      <c r="C3593">
        <v>14</v>
      </c>
      <c r="D3593" t="str">
        <f>VLOOKUP(B3593,Products!$A:$E,2,FALSE)</f>
        <v>Product_121</v>
      </c>
      <c r="E3593" t="str">
        <f>VLOOKUP(B3593,Products!$A:$E,3,FALSE)</f>
        <v>Storage</v>
      </c>
    </row>
    <row r="3594" spans="1:5" x14ac:dyDescent="0.3">
      <c r="A3594" t="s">
        <v>9606</v>
      </c>
      <c r="B3594" t="s">
        <v>456</v>
      </c>
      <c r="C3594">
        <v>6</v>
      </c>
      <c r="D3594" t="str">
        <f>VLOOKUP(B3594,Products!$A:$E,2,FALSE)</f>
        <v>Product_224</v>
      </c>
      <c r="E3594" t="str">
        <f>VLOOKUP(B3594,Products!$A:$E,3,FALSE)</f>
        <v>Storage</v>
      </c>
    </row>
    <row r="3595" spans="1:5" x14ac:dyDescent="0.3">
      <c r="A3595" t="s">
        <v>9607</v>
      </c>
      <c r="B3595" t="s">
        <v>750</v>
      </c>
      <c r="C3595">
        <v>16</v>
      </c>
      <c r="D3595" t="str">
        <f>VLOOKUP(B3595,Products!$A:$E,2,FALSE)</f>
        <v>Product_371</v>
      </c>
      <c r="E3595" t="str">
        <f>VLOOKUP(B3595,Products!$A:$E,3,FALSE)</f>
        <v>Storage</v>
      </c>
    </row>
    <row r="3596" spans="1:5" x14ac:dyDescent="0.3">
      <c r="A3596" t="s">
        <v>9608</v>
      </c>
      <c r="B3596" t="s">
        <v>166</v>
      </c>
      <c r="C3596">
        <v>44</v>
      </c>
      <c r="D3596" t="str">
        <f>VLOOKUP(B3596,Products!$A:$E,2,FALSE)</f>
        <v>Product_79</v>
      </c>
      <c r="E3596" t="str">
        <f>VLOOKUP(B3596,Products!$A:$E,3,FALSE)</f>
        <v>Storage</v>
      </c>
    </row>
    <row r="3597" spans="1:5" x14ac:dyDescent="0.3">
      <c r="A3597" t="s">
        <v>9609</v>
      </c>
      <c r="B3597" t="s">
        <v>578</v>
      </c>
      <c r="C3597">
        <v>50</v>
      </c>
      <c r="D3597" t="str">
        <f>VLOOKUP(B3597,Products!$A:$E,2,FALSE)</f>
        <v>Product_285</v>
      </c>
      <c r="E3597" t="str">
        <f>VLOOKUP(B3597,Products!$A:$E,3,FALSE)</f>
        <v>Networking</v>
      </c>
    </row>
    <row r="3598" spans="1:5" x14ac:dyDescent="0.3">
      <c r="A3598" t="s">
        <v>9610</v>
      </c>
      <c r="B3598" t="s">
        <v>392</v>
      </c>
      <c r="C3598">
        <v>1</v>
      </c>
      <c r="D3598" t="str">
        <f>VLOOKUP(B3598,Products!$A:$E,2,FALSE)</f>
        <v>Product_192</v>
      </c>
      <c r="E3598" t="str">
        <f>VLOOKUP(B3598,Products!$A:$E,3,FALSE)</f>
        <v>Office Supplies</v>
      </c>
    </row>
    <row r="3599" spans="1:5" x14ac:dyDescent="0.3">
      <c r="A3599" t="s">
        <v>9611</v>
      </c>
      <c r="B3599" t="s">
        <v>498</v>
      </c>
      <c r="C3599">
        <v>11</v>
      </c>
      <c r="D3599" t="str">
        <f>VLOOKUP(B3599,Products!$A:$E,2,FALSE)</f>
        <v>Product_245</v>
      </c>
      <c r="E3599" t="str">
        <f>VLOOKUP(B3599,Products!$A:$E,3,FALSE)</f>
        <v>Office Supplies</v>
      </c>
    </row>
    <row r="3600" spans="1:5" x14ac:dyDescent="0.3">
      <c r="A3600" t="s">
        <v>9612</v>
      </c>
      <c r="B3600" t="s">
        <v>362</v>
      </c>
      <c r="C3600">
        <v>7</v>
      </c>
      <c r="D3600" t="str">
        <f>VLOOKUP(B3600,Products!$A:$E,2,FALSE)</f>
        <v>Product_177</v>
      </c>
      <c r="E3600" t="str">
        <f>VLOOKUP(B3600,Products!$A:$E,3,FALSE)</f>
        <v>Office Supplies</v>
      </c>
    </row>
    <row r="3601" spans="1:5" x14ac:dyDescent="0.3">
      <c r="A3601" t="s">
        <v>9613</v>
      </c>
      <c r="B3601" t="s">
        <v>492</v>
      </c>
      <c r="C3601">
        <v>36</v>
      </c>
      <c r="D3601" t="str">
        <f>VLOOKUP(B3601,Products!$A:$E,2,FALSE)</f>
        <v>Product_242</v>
      </c>
      <c r="E3601" t="str">
        <f>VLOOKUP(B3601,Products!$A:$E,3,FALSE)</f>
        <v>Networking</v>
      </c>
    </row>
    <row r="3602" spans="1:5" x14ac:dyDescent="0.3">
      <c r="A3602" t="s">
        <v>9614</v>
      </c>
      <c r="B3602" t="s">
        <v>712</v>
      </c>
      <c r="C3602">
        <v>26</v>
      </c>
      <c r="D3602" t="str">
        <f>VLOOKUP(B3602,Products!$A:$E,2,FALSE)</f>
        <v>Product_352</v>
      </c>
      <c r="E3602" t="str">
        <f>VLOOKUP(B3602,Products!$A:$E,3,FALSE)</f>
        <v>Storage</v>
      </c>
    </row>
    <row r="3603" spans="1:5" x14ac:dyDescent="0.3">
      <c r="A3603" t="s">
        <v>9615</v>
      </c>
      <c r="B3603" t="s">
        <v>724</v>
      </c>
      <c r="C3603">
        <v>14</v>
      </c>
      <c r="D3603" t="str">
        <f>VLOOKUP(B3603,Products!$A:$E,2,FALSE)</f>
        <v>Product_358</v>
      </c>
      <c r="E3603" t="str">
        <f>VLOOKUP(B3603,Products!$A:$E,3,FALSE)</f>
        <v>Storage</v>
      </c>
    </row>
    <row r="3604" spans="1:5" x14ac:dyDescent="0.3">
      <c r="A3604" t="s">
        <v>9616</v>
      </c>
      <c r="B3604" t="s">
        <v>944</v>
      </c>
      <c r="C3604">
        <v>31</v>
      </c>
      <c r="D3604" t="str">
        <f>VLOOKUP(B3604,Products!$A:$E,2,FALSE)</f>
        <v>Product_468</v>
      </c>
      <c r="E3604" t="str">
        <f>VLOOKUP(B3604,Products!$A:$E,3,FALSE)</f>
        <v>Office Supplies</v>
      </c>
    </row>
    <row r="3605" spans="1:5" x14ac:dyDescent="0.3">
      <c r="A3605" t="s">
        <v>9617</v>
      </c>
      <c r="B3605" t="s">
        <v>694</v>
      </c>
      <c r="C3605">
        <v>25</v>
      </c>
      <c r="D3605" t="str">
        <f>VLOOKUP(B3605,Products!$A:$E,2,FALSE)</f>
        <v>Product_343</v>
      </c>
      <c r="E3605" t="str">
        <f>VLOOKUP(B3605,Products!$A:$E,3,FALSE)</f>
        <v>Office Supplies</v>
      </c>
    </row>
    <row r="3606" spans="1:5" x14ac:dyDescent="0.3">
      <c r="A3606" t="s">
        <v>9618</v>
      </c>
      <c r="B3606" t="s">
        <v>860</v>
      </c>
      <c r="C3606">
        <v>30</v>
      </c>
      <c r="D3606" t="str">
        <f>VLOOKUP(B3606,Products!$A:$E,2,FALSE)</f>
        <v>Product_426</v>
      </c>
      <c r="E3606" t="str">
        <f>VLOOKUP(B3606,Products!$A:$E,3,FALSE)</f>
        <v>Storage</v>
      </c>
    </row>
    <row r="3607" spans="1:5" x14ac:dyDescent="0.3">
      <c r="A3607" t="s">
        <v>9619</v>
      </c>
      <c r="B3607" t="s">
        <v>732</v>
      </c>
      <c r="C3607">
        <v>16</v>
      </c>
      <c r="D3607" t="str">
        <f>VLOOKUP(B3607,Products!$A:$E,2,FALSE)</f>
        <v>Product_362</v>
      </c>
      <c r="E3607" t="str">
        <f>VLOOKUP(B3607,Products!$A:$E,3,FALSE)</f>
        <v>Networking</v>
      </c>
    </row>
    <row r="3608" spans="1:5" x14ac:dyDescent="0.3">
      <c r="A3608" t="s">
        <v>9620</v>
      </c>
      <c r="B3608" t="s">
        <v>790</v>
      </c>
      <c r="C3608">
        <v>7</v>
      </c>
      <c r="D3608" t="str">
        <f>VLOOKUP(B3608,Products!$A:$E,2,FALSE)</f>
        <v>Product_391</v>
      </c>
      <c r="E3608" t="str">
        <f>VLOOKUP(B3608,Products!$A:$E,3,FALSE)</f>
        <v>Accessories</v>
      </c>
    </row>
    <row r="3609" spans="1:5" x14ac:dyDescent="0.3">
      <c r="A3609" t="s">
        <v>9621</v>
      </c>
      <c r="B3609" t="s">
        <v>406</v>
      </c>
      <c r="C3609">
        <v>9</v>
      </c>
      <c r="D3609" t="str">
        <f>VLOOKUP(B3609,Products!$A:$E,2,FALSE)</f>
        <v>Product_199</v>
      </c>
      <c r="E3609" t="str">
        <f>VLOOKUP(B3609,Products!$A:$E,3,FALSE)</f>
        <v>Storage</v>
      </c>
    </row>
    <row r="3610" spans="1:5" x14ac:dyDescent="0.3">
      <c r="A3610" t="s">
        <v>9622</v>
      </c>
      <c r="B3610" t="s">
        <v>334</v>
      </c>
      <c r="C3610">
        <v>49</v>
      </c>
      <c r="D3610" t="str">
        <f>VLOOKUP(B3610,Products!$A:$E,2,FALSE)</f>
        <v>Product_163</v>
      </c>
      <c r="E3610" t="str">
        <f>VLOOKUP(B3610,Products!$A:$E,3,FALSE)</f>
        <v>Accessories</v>
      </c>
    </row>
    <row r="3611" spans="1:5" x14ac:dyDescent="0.3">
      <c r="A3611" t="s">
        <v>9623</v>
      </c>
      <c r="B3611" t="s">
        <v>966</v>
      </c>
      <c r="C3611">
        <v>9</v>
      </c>
      <c r="D3611" t="str">
        <f>VLOOKUP(B3611,Products!$A:$E,2,FALSE)</f>
        <v>Product_479</v>
      </c>
      <c r="E3611" t="str">
        <f>VLOOKUP(B3611,Products!$A:$E,3,FALSE)</f>
        <v>Office Supplies</v>
      </c>
    </row>
    <row r="3612" spans="1:5" x14ac:dyDescent="0.3">
      <c r="A3612" t="s">
        <v>9624</v>
      </c>
      <c r="B3612" t="s">
        <v>418</v>
      </c>
      <c r="C3612">
        <v>50</v>
      </c>
      <c r="D3612" t="str">
        <f>VLOOKUP(B3612,Products!$A:$E,2,FALSE)</f>
        <v>Product_205</v>
      </c>
      <c r="E3612" t="str">
        <f>VLOOKUP(B3612,Products!$A:$E,3,FALSE)</f>
        <v>Storage</v>
      </c>
    </row>
    <row r="3613" spans="1:5" x14ac:dyDescent="0.3">
      <c r="A3613" t="s">
        <v>9625</v>
      </c>
      <c r="B3613" t="s">
        <v>344</v>
      </c>
      <c r="C3613">
        <v>19</v>
      </c>
      <c r="D3613" t="str">
        <f>VLOOKUP(B3613,Products!$A:$E,2,FALSE)</f>
        <v>Product_168</v>
      </c>
      <c r="E3613" t="str">
        <f>VLOOKUP(B3613,Products!$A:$E,3,FALSE)</f>
        <v>Electronics</v>
      </c>
    </row>
    <row r="3614" spans="1:5" x14ac:dyDescent="0.3">
      <c r="A3614" t="s">
        <v>9626</v>
      </c>
      <c r="B3614" t="s">
        <v>848</v>
      </c>
      <c r="C3614">
        <v>44</v>
      </c>
      <c r="D3614" t="str">
        <f>VLOOKUP(B3614,Products!$A:$E,2,FALSE)</f>
        <v>Product_420</v>
      </c>
      <c r="E3614" t="str">
        <f>VLOOKUP(B3614,Products!$A:$E,3,FALSE)</f>
        <v>Networking</v>
      </c>
    </row>
    <row r="3615" spans="1:5" x14ac:dyDescent="0.3">
      <c r="A3615" t="s">
        <v>9627</v>
      </c>
      <c r="B3615" t="s">
        <v>756</v>
      </c>
      <c r="C3615">
        <v>28</v>
      </c>
      <c r="D3615" t="str">
        <f>VLOOKUP(B3615,Products!$A:$E,2,FALSE)</f>
        <v>Product_374</v>
      </c>
      <c r="E3615" t="str">
        <f>VLOOKUP(B3615,Products!$A:$E,3,FALSE)</f>
        <v>Office Supplies</v>
      </c>
    </row>
    <row r="3616" spans="1:5" x14ac:dyDescent="0.3">
      <c r="A3616" t="s">
        <v>9628</v>
      </c>
      <c r="B3616" t="s">
        <v>620</v>
      </c>
      <c r="C3616">
        <v>26</v>
      </c>
      <c r="D3616" t="str">
        <f>VLOOKUP(B3616,Products!$A:$E,2,FALSE)</f>
        <v>Product_306</v>
      </c>
      <c r="E3616" t="str">
        <f>VLOOKUP(B3616,Products!$A:$E,3,FALSE)</f>
        <v>Accessories</v>
      </c>
    </row>
    <row r="3617" spans="1:5" x14ac:dyDescent="0.3">
      <c r="A3617" t="s">
        <v>9629</v>
      </c>
      <c r="B3617" t="s">
        <v>556</v>
      </c>
      <c r="C3617">
        <v>5</v>
      </c>
      <c r="D3617" t="str">
        <f>VLOOKUP(B3617,Products!$A:$E,2,FALSE)</f>
        <v>Product_274</v>
      </c>
      <c r="E3617" t="str">
        <f>VLOOKUP(B3617,Products!$A:$E,3,FALSE)</f>
        <v>Accessories</v>
      </c>
    </row>
    <row r="3618" spans="1:5" x14ac:dyDescent="0.3">
      <c r="A3618" t="s">
        <v>9630</v>
      </c>
      <c r="B3618" t="s">
        <v>364</v>
      </c>
      <c r="C3618">
        <v>32</v>
      </c>
      <c r="D3618" t="str">
        <f>VLOOKUP(B3618,Products!$A:$E,2,FALSE)</f>
        <v>Product_178</v>
      </c>
      <c r="E3618" t="str">
        <f>VLOOKUP(B3618,Products!$A:$E,3,FALSE)</f>
        <v>Office Supplies</v>
      </c>
    </row>
    <row r="3619" spans="1:5" x14ac:dyDescent="0.3">
      <c r="A3619" t="s">
        <v>9631</v>
      </c>
      <c r="B3619" t="s">
        <v>694</v>
      </c>
      <c r="C3619">
        <v>48</v>
      </c>
      <c r="D3619" t="str">
        <f>VLOOKUP(B3619,Products!$A:$E,2,FALSE)</f>
        <v>Product_343</v>
      </c>
      <c r="E3619" t="str">
        <f>VLOOKUP(B3619,Products!$A:$E,3,FALSE)</f>
        <v>Office Supplies</v>
      </c>
    </row>
    <row r="3620" spans="1:5" x14ac:dyDescent="0.3">
      <c r="A3620" t="s">
        <v>9632</v>
      </c>
      <c r="B3620" t="s">
        <v>1002</v>
      </c>
      <c r="C3620">
        <v>38</v>
      </c>
      <c r="D3620" t="str">
        <f>VLOOKUP(B3620,Products!$A:$E,2,FALSE)</f>
        <v>Product_497</v>
      </c>
      <c r="E3620" t="str">
        <f>VLOOKUP(B3620,Products!$A:$E,3,FALSE)</f>
        <v>Office Supplies</v>
      </c>
    </row>
    <row r="3621" spans="1:5" x14ac:dyDescent="0.3">
      <c r="A3621" t="s">
        <v>9633</v>
      </c>
      <c r="B3621" t="s">
        <v>36</v>
      </c>
      <c r="C3621">
        <v>15</v>
      </c>
      <c r="D3621" t="str">
        <f>VLOOKUP(B3621,Products!$A:$E,2,FALSE)</f>
        <v>Product_14</v>
      </c>
      <c r="E3621" t="str">
        <f>VLOOKUP(B3621,Products!$A:$E,3,FALSE)</f>
        <v>Accessories</v>
      </c>
    </row>
    <row r="3622" spans="1:5" x14ac:dyDescent="0.3">
      <c r="A3622" t="s">
        <v>9634</v>
      </c>
      <c r="B3622" t="s">
        <v>916</v>
      </c>
      <c r="C3622">
        <v>39</v>
      </c>
      <c r="D3622" t="str">
        <f>VLOOKUP(B3622,Products!$A:$E,2,FALSE)</f>
        <v>Product_454</v>
      </c>
      <c r="E3622" t="str">
        <f>VLOOKUP(B3622,Products!$A:$E,3,FALSE)</f>
        <v>Networking</v>
      </c>
    </row>
    <row r="3623" spans="1:5" x14ac:dyDescent="0.3">
      <c r="A3623" t="s">
        <v>9635</v>
      </c>
      <c r="B3623" t="s">
        <v>192</v>
      </c>
      <c r="C3623">
        <v>50</v>
      </c>
      <c r="D3623" t="str">
        <f>VLOOKUP(B3623,Products!$A:$E,2,FALSE)</f>
        <v>Product_92</v>
      </c>
      <c r="E3623" t="str">
        <f>VLOOKUP(B3623,Products!$A:$E,3,FALSE)</f>
        <v>Electronics</v>
      </c>
    </row>
    <row r="3624" spans="1:5" x14ac:dyDescent="0.3">
      <c r="A3624" t="s">
        <v>9636</v>
      </c>
      <c r="B3624" t="s">
        <v>250</v>
      </c>
      <c r="C3624">
        <v>24</v>
      </c>
      <c r="D3624" t="str">
        <f>VLOOKUP(B3624,Products!$A:$E,2,FALSE)</f>
        <v>Product_121</v>
      </c>
      <c r="E3624" t="str">
        <f>VLOOKUP(B3624,Products!$A:$E,3,FALSE)</f>
        <v>Storage</v>
      </c>
    </row>
    <row r="3625" spans="1:5" x14ac:dyDescent="0.3">
      <c r="A3625" t="s">
        <v>9637</v>
      </c>
      <c r="B3625" t="s">
        <v>380</v>
      </c>
      <c r="C3625">
        <v>22</v>
      </c>
      <c r="D3625" t="str">
        <f>VLOOKUP(B3625,Products!$A:$E,2,FALSE)</f>
        <v>Product_186</v>
      </c>
      <c r="E3625" t="str">
        <f>VLOOKUP(B3625,Products!$A:$E,3,FALSE)</f>
        <v>Accessories</v>
      </c>
    </row>
    <row r="3626" spans="1:5" x14ac:dyDescent="0.3">
      <c r="A3626" t="s">
        <v>9638</v>
      </c>
      <c r="B3626" t="s">
        <v>522</v>
      </c>
      <c r="C3626">
        <v>1</v>
      </c>
      <c r="D3626" t="str">
        <f>VLOOKUP(B3626,Products!$A:$E,2,FALSE)</f>
        <v>Product_257</v>
      </c>
      <c r="E3626" t="str">
        <f>VLOOKUP(B3626,Products!$A:$E,3,FALSE)</f>
        <v>Networking</v>
      </c>
    </row>
    <row r="3627" spans="1:5" x14ac:dyDescent="0.3">
      <c r="A3627" t="s">
        <v>9639</v>
      </c>
      <c r="B3627" t="s">
        <v>634</v>
      </c>
      <c r="C3627">
        <v>39</v>
      </c>
      <c r="D3627" t="str">
        <f>VLOOKUP(B3627,Products!$A:$E,2,FALSE)</f>
        <v>Product_313</v>
      </c>
      <c r="E3627" t="str">
        <f>VLOOKUP(B3627,Products!$A:$E,3,FALSE)</f>
        <v>Accessories</v>
      </c>
    </row>
    <row r="3628" spans="1:5" x14ac:dyDescent="0.3">
      <c r="A3628" t="s">
        <v>9640</v>
      </c>
      <c r="B3628" t="s">
        <v>778</v>
      </c>
      <c r="C3628">
        <v>26</v>
      </c>
      <c r="D3628" t="str">
        <f>VLOOKUP(B3628,Products!$A:$E,2,FALSE)</f>
        <v>Product_385</v>
      </c>
      <c r="E3628" t="str">
        <f>VLOOKUP(B3628,Products!$A:$E,3,FALSE)</f>
        <v>Networking</v>
      </c>
    </row>
    <row r="3629" spans="1:5" x14ac:dyDescent="0.3">
      <c r="A3629" t="s">
        <v>9641</v>
      </c>
      <c r="B3629" t="s">
        <v>946</v>
      </c>
      <c r="C3629">
        <v>5</v>
      </c>
      <c r="D3629" t="str">
        <f>VLOOKUP(B3629,Products!$A:$E,2,FALSE)</f>
        <v>Product_469</v>
      </c>
      <c r="E3629" t="str">
        <f>VLOOKUP(B3629,Products!$A:$E,3,FALSE)</f>
        <v>Office Supplies</v>
      </c>
    </row>
    <row r="3630" spans="1:5" x14ac:dyDescent="0.3">
      <c r="A3630" t="s">
        <v>9642</v>
      </c>
      <c r="B3630" t="s">
        <v>670</v>
      </c>
      <c r="C3630">
        <v>15</v>
      </c>
      <c r="D3630" t="str">
        <f>VLOOKUP(B3630,Products!$A:$E,2,FALSE)</f>
        <v>Product_331</v>
      </c>
      <c r="E3630" t="str">
        <f>VLOOKUP(B3630,Products!$A:$E,3,FALSE)</f>
        <v>Electronics</v>
      </c>
    </row>
    <row r="3631" spans="1:5" x14ac:dyDescent="0.3">
      <c r="A3631" t="s">
        <v>9643</v>
      </c>
      <c r="B3631" t="s">
        <v>150</v>
      </c>
      <c r="C3631">
        <v>32</v>
      </c>
      <c r="D3631" t="str">
        <f>VLOOKUP(B3631,Products!$A:$E,2,FALSE)</f>
        <v>Product_71</v>
      </c>
      <c r="E3631" t="str">
        <f>VLOOKUP(B3631,Products!$A:$E,3,FALSE)</f>
        <v>Accessories</v>
      </c>
    </row>
    <row r="3632" spans="1:5" x14ac:dyDescent="0.3">
      <c r="A3632" t="s">
        <v>9644</v>
      </c>
      <c r="B3632" t="s">
        <v>202</v>
      </c>
      <c r="C3632">
        <v>3</v>
      </c>
      <c r="D3632" t="str">
        <f>VLOOKUP(B3632,Products!$A:$E,2,FALSE)</f>
        <v>Product_97</v>
      </c>
      <c r="E3632" t="str">
        <f>VLOOKUP(B3632,Products!$A:$E,3,FALSE)</f>
        <v>Accessories</v>
      </c>
    </row>
    <row r="3633" spans="1:5" x14ac:dyDescent="0.3">
      <c r="A3633" t="s">
        <v>9645</v>
      </c>
      <c r="B3633" t="s">
        <v>226</v>
      </c>
      <c r="C3633">
        <v>20</v>
      </c>
      <c r="D3633" t="str">
        <f>VLOOKUP(B3633,Products!$A:$E,2,FALSE)</f>
        <v>Product_109</v>
      </c>
      <c r="E3633" t="str">
        <f>VLOOKUP(B3633,Products!$A:$E,3,FALSE)</f>
        <v>Storage</v>
      </c>
    </row>
    <row r="3634" spans="1:5" x14ac:dyDescent="0.3">
      <c r="A3634" t="s">
        <v>9646</v>
      </c>
      <c r="B3634" t="s">
        <v>454</v>
      </c>
      <c r="C3634">
        <v>6</v>
      </c>
      <c r="D3634" t="str">
        <f>VLOOKUP(B3634,Products!$A:$E,2,FALSE)</f>
        <v>Product_223</v>
      </c>
      <c r="E3634" t="str">
        <f>VLOOKUP(B3634,Products!$A:$E,3,FALSE)</f>
        <v>Storage</v>
      </c>
    </row>
    <row r="3635" spans="1:5" x14ac:dyDescent="0.3">
      <c r="A3635" t="s">
        <v>9647</v>
      </c>
      <c r="B3635" t="s">
        <v>356</v>
      </c>
      <c r="C3635">
        <v>25</v>
      </c>
      <c r="D3635" t="str">
        <f>VLOOKUP(B3635,Products!$A:$E,2,FALSE)</f>
        <v>Product_174</v>
      </c>
      <c r="E3635" t="str">
        <f>VLOOKUP(B3635,Products!$A:$E,3,FALSE)</f>
        <v>Storage</v>
      </c>
    </row>
    <row r="3636" spans="1:5" x14ac:dyDescent="0.3">
      <c r="A3636" t="s">
        <v>9648</v>
      </c>
      <c r="B3636" t="s">
        <v>678</v>
      </c>
      <c r="C3636">
        <v>12</v>
      </c>
      <c r="D3636" t="str">
        <f>VLOOKUP(B3636,Products!$A:$E,2,FALSE)</f>
        <v>Product_335</v>
      </c>
      <c r="E3636" t="str">
        <f>VLOOKUP(B3636,Products!$A:$E,3,FALSE)</f>
        <v>Networking</v>
      </c>
    </row>
    <row r="3637" spans="1:5" x14ac:dyDescent="0.3">
      <c r="A3637" t="s">
        <v>9649</v>
      </c>
      <c r="B3637" t="s">
        <v>444</v>
      </c>
      <c r="C3637">
        <v>10</v>
      </c>
      <c r="D3637" t="str">
        <f>VLOOKUP(B3637,Products!$A:$E,2,FALSE)</f>
        <v>Product_218</v>
      </c>
      <c r="E3637" t="str">
        <f>VLOOKUP(B3637,Products!$A:$E,3,FALSE)</f>
        <v>Accessories</v>
      </c>
    </row>
    <row r="3638" spans="1:5" x14ac:dyDescent="0.3">
      <c r="A3638" t="s">
        <v>9650</v>
      </c>
      <c r="B3638" t="s">
        <v>300</v>
      </c>
      <c r="C3638">
        <v>20</v>
      </c>
      <c r="D3638" t="str">
        <f>VLOOKUP(B3638,Products!$A:$E,2,FALSE)</f>
        <v>Product_146</v>
      </c>
      <c r="E3638" t="str">
        <f>VLOOKUP(B3638,Products!$A:$E,3,FALSE)</f>
        <v>Office Supplies</v>
      </c>
    </row>
    <row r="3639" spans="1:5" x14ac:dyDescent="0.3">
      <c r="A3639" t="s">
        <v>9651</v>
      </c>
      <c r="B3639" t="s">
        <v>406</v>
      </c>
      <c r="C3639">
        <v>44</v>
      </c>
      <c r="D3639" t="str">
        <f>VLOOKUP(B3639,Products!$A:$E,2,FALSE)</f>
        <v>Product_199</v>
      </c>
      <c r="E3639" t="str">
        <f>VLOOKUP(B3639,Products!$A:$E,3,FALSE)</f>
        <v>Storage</v>
      </c>
    </row>
    <row r="3640" spans="1:5" x14ac:dyDescent="0.3">
      <c r="A3640" t="s">
        <v>9652</v>
      </c>
      <c r="B3640" t="s">
        <v>850</v>
      </c>
      <c r="C3640">
        <v>31</v>
      </c>
      <c r="D3640" t="str">
        <f>VLOOKUP(B3640,Products!$A:$E,2,FALSE)</f>
        <v>Product_421</v>
      </c>
      <c r="E3640" t="str">
        <f>VLOOKUP(B3640,Products!$A:$E,3,FALSE)</f>
        <v>Accessories</v>
      </c>
    </row>
    <row r="3641" spans="1:5" x14ac:dyDescent="0.3">
      <c r="A3641" t="s">
        <v>9653</v>
      </c>
      <c r="B3641" t="s">
        <v>44</v>
      </c>
      <c r="C3641">
        <v>17</v>
      </c>
      <c r="D3641" t="str">
        <f>VLOOKUP(B3641,Products!$A:$E,2,FALSE)</f>
        <v>Product_18</v>
      </c>
      <c r="E3641" t="str">
        <f>VLOOKUP(B3641,Products!$A:$E,3,FALSE)</f>
        <v>Networking</v>
      </c>
    </row>
    <row r="3642" spans="1:5" x14ac:dyDescent="0.3">
      <c r="A3642" t="s">
        <v>9654</v>
      </c>
      <c r="B3642" t="s">
        <v>990</v>
      </c>
      <c r="C3642">
        <v>27</v>
      </c>
      <c r="D3642" t="str">
        <f>VLOOKUP(B3642,Products!$A:$E,2,FALSE)</f>
        <v>Product_491</v>
      </c>
      <c r="E3642" t="str">
        <f>VLOOKUP(B3642,Products!$A:$E,3,FALSE)</f>
        <v>Accessories</v>
      </c>
    </row>
    <row r="3643" spans="1:5" x14ac:dyDescent="0.3">
      <c r="A3643" t="s">
        <v>9655</v>
      </c>
      <c r="B3643" t="s">
        <v>192</v>
      </c>
      <c r="C3643">
        <v>11</v>
      </c>
      <c r="D3643" t="str">
        <f>VLOOKUP(B3643,Products!$A:$E,2,FALSE)</f>
        <v>Product_92</v>
      </c>
      <c r="E3643" t="str">
        <f>VLOOKUP(B3643,Products!$A:$E,3,FALSE)</f>
        <v>Electronics</v>
      </c>
    </row>
    <row r="3644" spans="1:5" x14ac:dyDescent="0.3">
      <c r="A3644" t="s">
        <v>9656</v>
      </c>
      <c r="B3644" t="s">
        <v>416</v>
      </c>
      <c r="C3644">
        <v>44</v>
      </c>
      <c r="D3644" t="str">
        <f>VLOOKUP(B3644,Products!$A:$E,2,FALSE)</f>
        <v>Product_204</v>
      </c>
      <c r="E3644" t="str">
        <f>VLOOKUP(B3644,Products!$A:$E,3,FALSE)</f>
        <v>Office Supplies</v>
      </c>
    </row>
    <row r="3645" spans="1:5" x14ac:dyDescent="0.3">
      <c r="A3645" t="s">
        <v>9657</v>
      </c>
      <c r="B3645" t="s">
        <v>538</v>
      </c>
      <c r="C3645">
        <v>7</v>
      </c>
      <c r="D3645" t="str">
        <f>VLOOKUP(B3645,Products!$A:$E,2,FALSE)</f>
        <v>Product_265</v>
      </c>
      <c r="E3645" t="str">
        <f>VLOOKUP(B3645,Products!$A:$E,3,FALSE)</f>
        <v>Accessories</v>
      </c>
    </row>
    <row r="3646" spans="1:5" x14ac:dyDescent="0.3">
      <c r="A3646" t="s">
        <v>9658</v>
      </c>
      <c r="B3646" t="s">
        <v>486</v>
      </c>
      <c r="C3646">
        <v>6</v>
      </c>
      <c r="D3646" t="str">
        <f>VLOOKUP(B3646,Products!$A:$E,2,FALSE)</f>
        <v>Product_239</v>
      </c>
      <c r="E3646" t="str">
        <f>VLOOKUP(B3646,Products!$A:$E,3,FALSE)</f>
        <v>Storage</v>
      </c>
    </row>
    <row r="3647" spans="1:5" x14ac:dyDescent="0.3">
      <c r="A3647" t="s">
        <v>9659</v>
      </c>
      <c r="B3647" t="s">
        <v>364</v>
      </c>
      <c r="C3647">
        <v>44</v>
      </c>
      <c r="D3647" t="str">
        <f>VLOOKUP(B3647,Products!$A:$E,2,FALSE)</f>
        <v>Product_178</v>
      </c>
      <c r="E3647" t="str">
        <f>VLOOKUP(B3647,Products!$A:$E,3,FALSE)</f>
        <v>Office Supplies</v>
      </c>
    </row>
    <row r="3648" spans="1:5" x14ac:dyDescent="0.3">
      <c r="A3648" t="s">
        <v>9660</v>
      </c>
      <c r="B3648" t="s">
        <v>760</v>
      </c>
      <c r="C3648">
        <v>7</v>
      </c>
      <c r="D3648" t="str">
        <f>VLOOKUP(B3648,Products!$A:$E,2,FALSE)</f>
        <v>Product_376</v>
      </c>
      <c r="E3648" t="str">
        <f>VLOOKUP(B3648,Products!$A:$E,3,FALSE)</f>
        <v>Networking</v>
      </c>
    </row>
    <row r="3649" spans="1:5" x14ac:dyDescent="0.3">
      <c r="A3649" t="s">
        <v>9661</v>
      </c>
      <c r="B3649" t="s">
        <v>680</v>
      </c>
      <c r="C3649">
        <v>26</v>
      </c>
      <c r="D3649" t="str">
        <f>VLOOKUP(B3649,Products!$A:$E,2,FALSE)</f>
        <v>Product_336</v>
      </c>
      <c r="E3649" t="str">
        <f>VLOOKUP(B3649,Products!$A:$E,3,FALSE)</f>
        <v>Storage</v>
      </c>
    </row>
    <row r="3650" spans="1:5" x14ac:dyDescent="0.3">
      <c r="A3650" t="s">
        <v>9662</v>
      </c>
      <c r="B3650" t="s">
        <v>832</v>
      </c>
      <c r="C3650">
        <v>1</v>
      </c>
      <c r="D3650" t="str">
        <f>VLOOKUP(B3650,Products!$A:$E,2,FALSE)</f>
        <v>Product_412</v>
      </c>
      <c r="E3650" t="str">
        <f>VLOOKUP(B3650,Products!$A:$E,3,FALSE)</f>
        <v>Accessories</v>
      </c>
    </row>
    <row r="3651" spans="1:5" x14ac:dyDescent="0.3">
      <c r="A3651" t="s">
        <v>9663</v>
      </c>
      <c r="B3651" t="s">
        <v>174</v>
      </c>
      <c r="C3651">
        <v>21</v>
      </c>
      <c r="D3651" t="str">
        <f>VLOOKUP(B3651,Products!$A:$E,2,FALSE)</f>
        <v>Product_83</v>
      </c>
      <c r="E3651" t="str">
        <f>VLOOKUP(B3651,Products!$A:$E,3,FALSE)</f>
        <v>Accessories</v>
      </c>
    </row>
    <row r="3652" spans="1:5" x14ac:dyDescent="0.3">
      <c r="A3652" t="s">
        <v>9664</v>
      </c>
      <c r="B3652" t="s">
        <v>140</v>
      </c>
      <c r="C3652">
        <v>37</v>
      </c>
      <c r="D3652" t="str">
        <f>VLOOKUP(B3652,Products!$A:$E,2,FALSE)</f>
        <v>Product_66</v>
      </c>
      <c r="E3652" t="str">
        <f>VLOOKUP(B3652,Products!$A:$E,3,FALSE)</f>
        <v>Electronics</v>
      </c>
    </row>
    <row r="3653" spans="1:5" x14ac:dyDescent="0.3">
      <c r="A3653" t="s">
        <v>9665</v>
      </c>
      <c r="B3653" t="s">
        <v>528</v>
      </c>
      <c r="C3653">
        <v>25</v>
      </c>
      <c r="D3653" t="str">
        <f>VLOOKUP(B3653,Products!$A:$E,2,FALSE)</f>
        <v>Product_260</v>
      </c>
      <c r="E3653" t="str">
        <f>VLOOKUP(B3653,Products!$A:$E,3,FALSE)</f>
        <v>Storage</v>
      </c>
    </row>
    <row r="3654" spans="1:5" x14ac:dyDescent="0.3">
      <c r="A3654" t="s">
        <v>9666</v>
      </c>
      <c r="B3654" t="s">
        <v>712</v>
      </c>
      <c r="C3654">
        <v>30</v>
      </c>
      <c r="D3654" t="str">
        <f>VLOOKUP(B3654,Products!$A:$E,2,FALSE)</f>
        <v>Product_352</v>
      </c>
      <c r="E3654" t="str">
        <f>VLOOKUP(B3654,Products!$A:$E,3,FALSE)</f>
        <v>Storage</v>
      </c>
    </row>
    <row r="3655" spans="1:5" x14ac:dyDescent="0.3">
      <c r="A3655" t="s">
        <v>9667</v>
      </c>
      <c r="B3655" t="s">
        <v>20</v>
      </c>
      <c r="C3655">
        <v>32</v>
      </c>
      <c r="D3655" t="str">
        <f>VLOOKUP(B3655,Products!$A:$E,2,FALSE)</f>
        <v>Product_6</v>
      </c>
      <c r="E3655" t="str">
        <f>VLOOKUP(B3655,Products!$A:$E,3,FALSE)</f>
        <v>Electronics</v>
      </c>
    </row>
    <row r="3656" spans="1:5" x14ac:dyDescent="0.3">
      <c r="A3656" t="s">
        <v>9668</v>
      </c>
      <c r="B3656" t="s">
        <v>678</v>
      </c>
      <c r="C3656">
        <v>43</v>
      </c>
      <c r="D3656" t="str">
        <f>VLOOKUP(B3656,Products!$A:$E,2,FALSE)</f>
        <v>Product_335</v>
      </c>
      <c r="E3656" t="str">
        <f>VLOOKUP(B3656,Products!$A:$E,3,FALSE)</f>
        <v>Networking</v>
      </c>
    </row>
    <row r="3657" spans="1:5" x14ac:dyDescent="0.3">
      <c r="A3657" t="s">
        <v>9669</v>
      </c>
      <c r="B3657" t="s">
        <v>420</v>
      </c>
      <c r="C3657">
        <v>28</v>
      </c>
      <c r="D3657" t="str">
        <f>VLOOKUP(B3657,Products!$A:$E,2,FALSE)</f>
        <v>Product_206</v>
      </c>
      <c r="E3657" t="str">
        <f>VLOOKUP(B3657,Products!$A:$E,3,FALSE)</f>
        <v>Accessories</v>
      </c>
    </row>
    <row r="3658" spans="1:5" x14ac:dyDescent="0.3">
      <c r="A3658" t="s">
        <v>9670</v>
      </c>
      <c r="B3658" t="s">
        <v>798</v>
      </c>
      <c r="C3658">
        <v>4</v>
      </c>
      <c r="D3658" t="str">
        <f>VLOOKUP(B3658,Products!$A:$E,2,FALSE)</f>
        <v>Product_395</v>
      </c>
      <c r="E3658" t="str">
        <f>VLOOKUP(B3658,Products!$A:$E,3,FALSE)</f>
        <v>Accessories</v>
      </c>
    </row>
    <row r="3659" spans="1:5" x14ac:dyDescent="0.3">
      <c r="A3659" t="s">
        <v>9671</v>
      </c>
      <c r="B3659" t="s">
        <v>320</v>
      </c>
      <c r="C3659">
        <v>28</v>
      </c>
      <c r="D3659" t="str">
        <f>VLOOKUP(B3659,Products!$A:$E,2,FALSE)</f>
        <v>Product_156</v>
      </c>
      <c r="E3659" t="str">
        <f>VLOOKUP(B3659,Products!$A:$E,3,FALSE)</f>
        <v>Accessories</v>
      </c>
    </row>
    <row r="3660" spans="1:5" x14ac:dyDescent="0.3">
      <c r="A3660" t="s">
        <v>9672</v>
      </c>
      <c r="B3660" t="s">
        <v>274</v>
      </c>
      <c r="C3660">
        <v>48</v>
      </c>
      <c r="D3660" t="str">
        <f>VLOOKUP(B3660,Products!$A:$E,2,FALSE)</f>
        <v>Product_133</v>
      </c>
      <c r="E3660" t="str">
        <f>VLOOKUP(B3660,Products!$A:$E,3,FALSE)</f>
        <v>Office Supplies</v>
      </c>
    </row>
    <row r="3661" spans="1:5" x14ac:dyDescent="0.3">
      <c r="A3661" t="s">
        <v>9673</v>
      </c>
      <c r="B3661" t="s">
        <v>658</v>
      </c>
      <c r="C3661">
        <v>8</v>
      </c>
      <c r="D3661" t="str">
        <f>VLOOKUP(B3661,Products!$A:$E,2,FALSE)</f>
        <v>Product_325</v>
      </c>
      <c r="E3661" t="str">
        <f>VLOOKUP(B3661,Products!$A:$E,3,FALSE)</f>
        <v>Networking</v>
      </c>
    </row>
    <row r="3662" spans="1:5" x14ac:dyDescent="0.3">
      <c r="A3662" t="s">
        <v>9674</v>
      </c>
      <c r="B3662" t="s">
        <v>628</v>
      </c>
      <c r="C3662">
        <v>29</v>
      </c>
      <c r="D3662" t="str">
        <f>VLOOKUP(B3662,Products!$A:$E,2,FALSE)</f>
        <v>Product_310</v>
      </c>
      <c r="E3662" t="str">
        <f>VLOOKUP(B3662,Products!$A:$E,3,FALSE)</f>
        <v>Office Supplies</v>
      </c>
    </row>
    <row r="3663" spans="1:5" x14ac:dyDescent="0.3">
      <c r="A3663" t="s">
        <v>9675</v>
      </c>
      <c r="B3663" t="s">
        <v>524</v>
      </c>
      <c r="C3663">
        <v>24</v>
      </c>
      <c r="D3663" t="str">
        <f>VLOOKUP(B3663,Products!$A:$E,2,FALSE)</f>
        <v>Product_258</v>
      </c>
      <c r="E3663" t="str">
        <f>VLOOKUP(B3663,Products!$A:$E,3,FALSE)</f>
        <v>Networking</v>
      </c>
    </row>
    <row r="3664" spans="1:5" x14ac:dyDescent="0.3">
      <c r="A3664" t="s">
        <v>9676</v>
      </c>
      <c r="B3664" t="s">
        <v>808</v>
      </c>
      <c r="C3664">
        <v>31</v>
      </c>
      <c r="D3664" t="str">
        <f>VLOOKUP(B3664,Products!$A:$E,2,FALSE)</f>
        <v>Product_400</v>
      </c>
      <c r="E3664" t="str">
        <f>VLOOKUP(B3664,Products!$A:$E,3,FALSE)</f>
        <v>Networking</v>
      </c>
    </row>
    <row r="3665" spans="1:5" x14ac:dyDescent="0.3">
      <c r="A3665" t="s">
        <v>9677</v>
      </c>
      <c r="B3665" t="s">
        <v>738</v>
      </c>
      <c r="C3665">
        <v>22</v>
      </c>
      <c r="D3665" t="str">
        <f>VLOOKUP(B3665,Products!$A:$E,2,FALSE)</f>
        <v>Product_365</v>
      </c>
      <c r="E3665" t="str">
        <f>VLOOKUP(B3665,Products!$A:$E,3,FALSE)</f>
        <v>Storage</v>
      </c>
    </row>
    <row r="3666" spans="1:5" x14ac:dyDescent="0.3">
      <c r="A3666" t="s">
        <v>9678</v>
      </c>
      <c r="B3666" t="s">
        <v>874</v>
      </c>
      <c r="C3666">
        <v>35</v>
      </c>
      <c r="D3666" t="str">
        <f>VLOOKUP(B3666,Products!$A:$E,2,FALSE)</f>
        <v>Product_433</v>
      </c>
      <c r="E3666" t="str">
        <f>VLOOKUP(B3666,Products!$A:$E,3,FALSE)</f>
        <v>Office Supplies</v>
      </c>
    </row>
    <row r="3667" spans="1:5" x14ac:dyDescent="0.3">
      <c r="A3667" t="s">
        <v>9679</v>
      </c>
      <c r="B3667" t="s">
        <v>1004</v>
      </c>
      <c r="C3667">
        <v>24</v>
      </c>
      <c r="D3667" t="str">
        <f>VLOOKUP(B3667,Products!$A:$E,2,FALSE)</f>
        <v>Product_498</v>
      </c>
      <c r="E3667" t="str">
        <f>VLOOKUP(B3667,Products!$A:$E,3,FALSE)</f>
        <v>Office Supplies</v>
      </c>
    </row>
    <row r="3668" spans="1:5" x14ac:dyDescent="0.3">
      <c r="A3668" t="s">
        <v>9680</v>
      </c>
      <c r="B3668" t="s">
        <v>124</v>
      </c>
      <c r="C3668">
        <v>12</v>
      </c>
      <c r="D3668" t="str">
        <f>VLOOKUP(B3668,Products!$A:$E,2,FALSE)</f>
        <v>Product_58</v>
      </c>
      <c r="E3668" t="str">
        <f>VLOOKUP(B3668,Products!$A:$E,3,FALSE)</f>
        <v>Office Supplies</v>
      </c>
    </row>
    <row r="3669" spans="1:5" x14ac:dyDescent="0.3">
      <c r="A3669" t="s">
        <v>9681</v>
      </c>
      <c r="B3669" t="s">
        <v>444</v>
      </c>
      <c r="C3669">
        <v>35</v>
      </c>
      <c r="D3669" t="str">
        <f>VLOOKUP(B3669,Products!$A:$E,2,FALSE)</f>
        <v>Product_218</v>
      </c>
      <c r="E3669" t="str">
        <f>VLOOKUP(B3669,Products!$A:$E,3,FALSE)</f>
        <v>Accessories</v>
      </c>
    </row>
    <row r="3670" spans="1:5" x14ac:dyDescent="0.3">
      <c r="A3670" t="s">
        <v>9682</v>
      </c>
      <c r="B3670" t="s">
        <v>786</v>
      </c>
      <c r="C3670">
        <v>25</v>
      </c>
      <c r="D3670" t="str">
        <f>VLOOKUP(B3670,Products!$A:$E,2,FALSE)</f>
        <v>Product_389</v>
      </c>
      <c r="E3670" t="str">
        <f>VLOOKUP(B3670,Products!$A:$E,3,FALSE)</f>
        <v>Networking</v>
      </c>
    </row>
    <row r="3671" spans="1:5" x14ac:dyDescent="0.3">
      <c r="A3671" t="s">
        <v>9683</v>
      </c>
      <c r="B3671" t="s">
        <v>900</v>
      </c>
      <c r="C3671">
        <v>44</v>
      </c>
      <c r="D3671" t="str">
        <f>VLOOKUP(B3671,Products!$A:$E,2,FALSE)</f>
        <v>Product_446</v>
      </c>
      <c r="E3671" t="str">
        <f>VLOOKUP(B3671,Products!$A:$E,3,FALSE)</f>
        <v>Accessories</v>
      </c>
    </row>
    <row r="3672" spans="1:5" x14ac:dyDescent="0.3">
      <c r="A3672" t="s">
        <v>9684</v>
      </c>
      <c r="B3672" t="s">
        <v>90</v>
      </c>
      <c r="C3672">
        <v>10</v>
      </c>
      <c r="D3672" t="str">
        <f>VLOOKUP(B3672,Products!$A:$E,2,FALSE)</f>
        <v>Product_41</v>
      </c>
      <c r="E3672" t="str">
        <f>VLOOKUP(B3672,Products!$A:$E,3,FALSE)</f>
        <v>Accessories</v>
      </c>
    </row>
    <row r="3673" spans="1:5" x14ac:dyDescent="0.3">
      <c r="A3673" t="s">
        <v>9685</v>
      </c>
      <c r="B3673" t="s">
        <v>14</v>
      </c>
      <c r="C3673">
        <v>22</v>
      </c>
      <c r="D3673" t="str">
        <f>VLOOKUP(B3673,Products!$A:$E,2,FALSE)</f>
        <v>Product_4</v>
      </c>
      <c r="E3673" t="str">
        <f>VLOOKUP(B3673,Products!$A:$E,3,FALSE)</f>
        <v>Storage</v>
      </c>
    </row>
    <row r="3674" spans="1:5" x14ac:dyDescent="0.3">
      <c r="A3674" t="s">
        <v>9686</v>
      </c>
      <c r="B3674" t="s">
        <v>980</v>
      </c>
      <c r="C3674">
        <v>46</v>
      </c>
      <c r="D3674" t="str">
        <f>VLOOKUP(B3674,Products!$A:$E,2,FALSE)</f>
        <v>Product_486</v>
      </c>
      <c r="E3674" t="str">
        <f>VLOOKUP(B3674,Products!$A:$E,3,FALSE)</f>
        <v>Electronics</v>
      </c>
    </row>
    <row r="3675" spans="1:5" x14ac:dyDescent="0.3">
      <c r="A3675" t="s">
        <v>9687</v>
      </c>
      <c r="B3675" t="s">
        <v>614</v>
      </c>
      <c r="C3675">
        <v>17</v>
      </c>
      <c r="D3675" t="str">
        <f>VLOOKUP(B3675,Products!$A:$E,2,FALSE)</f>
        <v>Product_303</v>
      </c>
      <c r="E3675" t="str">
        <f>VLOOKUP(B3675,Products!$A:$E,3,FALSE)</f>
        <v>Networking</v>
      </c>
    </row>
    <row r="3676" spans="1:5" x14ac:dyDescent="0.3">
      <c r="A3676" t="s">
        <v>9688</v>
      </c>
      <c r="B3676" t="s">
        <v>212</v>
      </c>
      <c r="C3676">
        <v>33</v>
      </c>
      <c r="D3676" t="str">
        <f>VLOOKUP(B3676,Products!$A:$E,2,FALSE)</f>
        <v>Product_102</v>
      </c>
      <c r="E3676" t="str">
        <f>VLOOKUP(B3676,Products!$A:$E,3,FALSE)</f>
        <v>Storage</v>
      </c>
    </row>
    <row r="3677" spans="1:5" x14ac:dyDescent="0.3">
      <c r="A3677" t="s">
        <v>9689</v>
      </c>
      <c r="B3677" t="s">
        <v>842</v>
      </c>
      <c r="C3677">
        <v>40</v>
      </c>
      <c r="D3677" t="str">
        <f>VLOOKUP(B3677,Products!$A:$E,2,FALSE)</f>
        <v>Product_417</v>
      </c>
      <c r="E3677" t="str">
        <f>VLOOKUP(B3677,Products!$A:$E,3,FALSE)</f>
        <v>Accessories</v>
      </c>
    </row>
    <row r="3678" spans="1:5" x14ac:dyDescent="0.3">
      <c r="A3678" t="s">
        <v>9690</v>
      </c>
      <c r="B3678" t="s">
        <v>754</v>
      </c>
      <c r="C3678">
        <v>30</v>
      </c>
      <c r="D3678" t="str">
        <f>VLOOKUP(B3678,Products!$A:$E,2,FALSE)</f>
        <v>Product_373</v>
      </c>
      <c r="E3678" t="str">
        <f>VLOOKUP(B3678,Products!$A:$E,3,FALSE)</f>
        <v>Office Supplies</v>
      </c>
    </row>
    <row r="3679" spans="1:5" x14ac:dyDescent="0.3">
      <c r="A3679" t="s">
        <v>9691</v>
      </c>
      <c r="B3679" t="s">
        <v>454</v>
      </c>
      <c r="C3679">
        <v>4</v>
      </c>
      <c r="D3679" t="str">
        <f>VLOOKUP(B3679,Products!$A:$E,2,FALSE)</f>
        <v>Product_223</v>
      </c>
      <c r="E3679" t="str">
        <f>VLOOKUP(B3679,Products!$A:$E,3,FALSE)</f>
        <v>Storage</v>
      </c>
    </row>
    <row r="3680" spans="1:5" x14ac:dyDescent="0.3">
      <c r="A3680" t="s">
        <v>9692</v>
      </c>
      <c r="B3680" t="s">
        <v>484</v>
      </c>
      <c r="C3680">
        <v>19</v>
      </c>
      <c r="D3680" t="str">
        <f>VLOOKUP(B3680,Products!$A:$E,2,FALSE)</f>
        <v>Product_238</v>
      </c>
      <c r="E3680" t="str">
        <f>VLOOKUP(B3680,Products!$A:$E,3,FALSE)</f>
        <v>Accessories</v>
      </c>
    </row>
    <row r="3681" spans="1:5" x14ac:dyDescent="0.3">
      <c r="A3681" t="s">
        <v>9693</v>
      </c>
      <c r="B3681" t="s">
        <v>50</v>
      </c>
      <c r="C3681">
        <v>8</v>
      </c>
      <c r="D3681" t="str">
        <f>VLOOKUP(B3681,Products!$A:$E,2,FALSE)</f>
        <v>Product_21</v>
      </c>
      <c r="E3681" t="str">
        <f>VLOOKUP(B3681,Products!$A:$E,3,FALSE)</f>
        <v>Office Supplies</v>
      </c>
    </row>
    <row r="3682" spans="1:5" x14ac:dyDescent="0.3">
      <c r="A3682" t="s">
        <v>9694</v>
      </c>
      <c r="B3682" t="s">
        <v>898</v>
      </c>
      <c r="C3682">
        <v>32</v>
      </c>
      <c r="D3682" t="str">
        <f>VLOOKUP(B3682,Products!$A:$E,2,FALSE)</f>
        <v>Product_445</v>
      </c>
      <c r="E3682" t="str">
        <f>VLOOKUP(B3682,Products!$A:$E,3,FALSE)</f>
        <v>Office Supplies</v>
      </c>
    </row>
    <row r="3683" spans="1:5" x14ac:dyDescent="0.3">
      <c r="A3683" t="s">
        <v>9695</v>
      </c>
      <c r="B3683" t="s">
        <v>480</v>
      </c>
      <c r="C3683">
        <v>24</v>
      </c>
      <c r="D3683" t="str">
        <f>VLOOKUP(B3683,Products!$A:$E,2,FALSE)</f>
        <v>Product_236</v>
      </c>
      <c r="E3683" t="str">
        <f>VLOOKUP(B3683,Products!$A:$E,3,FALSE)</f>
        <v>Networking</v>
      </c>
    </row>
    <row r="3684" spans="1:5" x14ac:dyDescent="0.3">
      <c r="A3684" t="s">
        <v>9696</v>
      </c>
      <c r="B3684" t="s">
        <v>60</v>
      </c>
      <c r="C3684">
        <v>39</v>
      </c>
      <c r="D3684" t="str">
        <f>VLOOKUP(B3684,Products!$A:$E,2,FALSE)</f>
        <v>Product_26</v>
      </c>
      <c r="E3684" t="str">
        <f>VLOOKUP(B3684,Products!$A:$E,3,FALSE)</f>
        <v>Office Supplies</v>
      </c>
    </row>
    <row r="3685" spans="1:5" x14ac:dyDescent="0.3">
      <c r="A3685" t="s">
        <v>9697</v>
      </c>
      <c r="B3685" t="s">
        <v>712</v>
      </c>
      <c r="C3685">
        <v>24</v>
      </c>
      <c r="D3685" t="str">
        <f>VLOOKUP(B3685,Products!$A:$E,2,FALSE)</f>
        <v>Product_352</v>
      </c>
      <c r="E3685" t="str">
        <f>VLOOKUP(B3685,Products!$A:$E,3,FALSE)</f>
        <v>Storage</v>
      </c>
    </row>
    <row r="3686" spans="1:5" x14ac:dyDescent="0.3">
      <c r="A3686" t="s">
        <v>9698</v>
      </c>
      <c r="B3686" t="s">
        <v>268</v>
      </c>
      <c r="C3686">
        <v>28</v>
      </c>
      <c r="D3686" t="str">
        <f>VLOOKUP(B3686,Products!$A:$E,2,FALSE)</f>
        <v>Product_130</v>
      </c>
      <c r="E3686" t="str">
        <f>VLOOKUP(B3686,Products!$A:$E,3,FALSE)</f>
        <v>Storage</v>
      </c>
    </row>
    <row r="3687" spans="1:5" x14ac:dyDescent="0.3">
      <c r="A3687" t="s">
        <v>9699</v>
      </c>
      <c r="B3687" t="s">
        <v>354</v>
      </c>
      <c r="C3687">
        <v>44</v>
      </c>
      <c r="D3687" t="str">
        <f>VLOOKUP(B3687,Products!$A:$E,2,FALSE)</f>
        <v>Product_173</v>
      </c>
      <c r="E3687" t="str">
        <f>VLOOKUP(B3687,Products!$A:$E,3,FALSE)</f>
        <v>Electronics</v>
      </c>
    </row>
    <row r="3688" spans="1:5" x14ac:dyDescent="0.3">
      <c r="A3688" t="s">
        <v>9700</v>
      </c>
      <c r="B3688" t="s">
        <v>312</v>
      </c>
      <c r="C3688">
        <v>50</v>
      </c>
      <c r="D3688" t="str">
        <f>VLOOKUP(B3688,Products!$A:$E,2,FALSE)</f>
        <v>Product_152</v>
      </c>
      <c r="E3688" t="str">
        <f>VLOOKUP(B3688,Products!$A:$E,3,FALSE)</f>
        <v>Storage</v>
      </c>
    </row>
    <row r="3689" spans="1:5" x14ac:dyDescent="0.3">
      <c r="A3689" t="s">
        <v>9701</v>
      </c>
      <c r="B3689" t="s">
        <v>848</v>
      </c>
      <c r="C3689">
        <v>2</v>
      </c>
      <c r="D3689" t="str">
        <f>VLOOKUP(B3689,Products!$A:$E,2,FALSE)</f>
        <v>Product_420</v>
      </c>
      <c r="E3689" t="str">
        <f>VLOOKUP(B3689,Products!$A:$E,3,FALSE)</f>
        <v>Networking</v>
      </c>
    </row>
    <row r="3690" spans="1:5" x14ac:dyDescent="0.3">
      <c r="A3690" t="s">
        <v>9702</v>
      </c>
      <c r="B3690" t="s">
        <v>564</v>
      </c>
      <c r="C3690">
        <v>18</v>
      </c>
      <c r="D3690" t="str">
        <f>VLOOKUP(B3690,Products!$A:$E,2,FALSE)</f>
        <v>Product_278</v>
      </c>
      <c r="E3690" t="str">
        <f>VLOOKUP(B3690,Products!$A:$E,3,FALSE)</f>
        <v>Electronics</v>
      </c>
    </row>
    <row r="3691" spans="1:5" x14ac:dyDescent="0.3">
      <c r="A3691" t="s">
        <v>9703</v>
      </c>
      <c r="B3691" t="s">
        <v>192</v>
      </c>
      <c r="C3691">
        <v>19</v>
      </c>
      <c r="D3691" t="str">
        <f>VLOOKUP(B3691,Products!$A:$E,2,FALSE)</f>
        <v>Product_92</v>
      </c>
      <c r="E3691" t="str">
        <f>VLOOKUP(B3691,Products!$A:$E,3,FALSE)</f>
        <v>Electronics</v>
      </c>
    </row>
    <row r="3692" spans="1:5" x14ac:dyDescent="0.3">
      <c r="A3692" t="s">
        <v>9704</v>
      </c>
      <c r="B3692" t="s">
        <v>374</v>
      </c>
      <c r="C3692">
        <v>27</v>
      </c>
      <c r="D3692" t="str">
        <f>VLOOKUP(B3692,Products!$A:$E,2,FALSE)</f>
        <v>Product_183</v>
      </c>
      <c r="E3692" t="str">
        <f>VLOOKUP(B3692,Products!$A:$E,3,FALSE)</f>
        <v>Electronics</v>
      </c>
    </row>
    <row r="3693" spans="1:5" x14ac:dyDescent="0.3">
      <c r="A3693" t="s">
        <v>9705</v>
      </c>
      <c r="B3693" t="s">
        <v>26</v>
      </c>
      <c r="C3693">
        <v>29</v>
      </c>
      <c r="D3693" t="str">
        <f>VLOOKUP(B3693,Products!$A:$E,2,FALSE)</f>
        <v>Product_9</v>
      </c>
      <c r="E3693" t="str">
        <f>VLOOKUP(B3693,Products!$A:$E,3,FALSE)</f>
        <v>Storage</v>
      </c>
    </row>
    <row r="3694" spans="1:5" x14ac:dyDescent="0.3">
      <c r="A3694" t="s">
        <v>9706</v>
      </c>
      <c r="B3694" t="s">
        <v>342</v>
      </c>
      <c r="C3694">
        <v>20</v>
      </c>
      <c r="D3694" t="str">
        <f>VLOOKUP(B3694,Products!$A:$E,2,FALSE)</f>
        <v>Product_167</v>
      </c>
      <c r="E3694" t="str">
        <f>VLOOKUP(B3694,Products!$A:$E,3,FALSE)</f>
        <v>Electronics</v>
      </c>
    </row>
    <row r="3695" spans="1:5" x14ac:dyDescent="0.3">
      <c r="A3695" t="s">
        <v>9707</v>
      </c>
      <c r="B3695" t="s">
        <v>660</v>
      </c>
      <c r="C3695">
        <v>3</v>
      </c>
      <c r="D3695" t="str">
        <f>VLOOKUP(B3695,Products!$A:$E,2,FALSE)</f>
        <v>Product_326</v>
      </c>
      <c r="E3695" t="str">
        <f>VLOOKUP(B3695,Products!$A:$E,3,FALSE)</f>
        <v>Electronics</v>
      </c>
    </row>
    <row r="3696" spans="1:5" x14ac:dyDescent="0.3">
      <c r="A3696" t="s">
        <v>9708</v>
      </c>
      <c r="B3696" t="s">
        <v>620</v>
      </c>
      <c r="C3696">
        <v>8</v>
      </c>
      <c r="D3696" t="str">
        <f>VLOOKUP(B3696,Products!$A:$E,2,FALSE)</f>
        <v>Product_306</v>
      </c>
      <c r="E3696" t="str">
        <f>VLOOKUP(B3696,Products!$A:$E,3,FALSE)</f>
        <v>Accessories</v>
      </c>
    </row>
    <row r="3697" spans="1:5" x14ac:dyDescent="0.3">
      <c r="A3697" t="s">
        <v>9709</v>
      </c>
      <c r="B3697" t="s">
        <v>374</v>
      </c>
      <c r="C3697">
        <v>47</v>
      </c>
      <c r="D3697" t="str">
        <f>VLOOKUP(B3697,Products!$A:$E,2,FALSE)</f>
        <v>Product_183</v>
      </c>
      <c r="E3697" t="str">
        <f>VLOOKUP(B3697,Products!$A:$E,3,FALSE)</f>
        <v>Electronics</v>
      </c>
    </row>
    <row r="3698" spans="1:5" x14ac:dyDescent="0.3">
      <c r="A3698" t="s">
        <v>9710</v>
      </c>
      <c r="B3698" t="s">
        <v>46</v>
      </c>
      <c r="C3698">
        <v>35</v>
      </c>
      <c r="D3698" t="str">
        <f>VLOOKUP(B3698,Products!$A:$E,2,FALSE)</f>
        <v>Product_19</v>
      </c>
      <c r="E3698" t="str">
        <f>VLOOKUP(B3698,Products!$A:$E,3,FALSE)</f>
        <v>Networking</v>
      </c>
    </row>
    <row r="3699" spans="1:5" x14ac:dyDescent="0.3">
      <c r="A3699" t="s">
        <v>9711</v>
      </c>
      <c r="B3699" t="s">
        <v>766</v>
      </c>
      <c r="C3699">
        <v>26</v>
      </c>
      <c r="D3699" t="str">
        <f>VLOOKUP(B3699,Products!$A:$E,2,FALSE)</f>
        <v>Product_379</v>
      </c>
      <c r="E3699" t="str">
        <f>VLOOKUP(B3699,Products!$A:$E,3,FALSE)</f>
        <v>Office Supplies</v>
      </c>
    </row>
    <row r="3700" spans="1:5" x14ac:dyDescent="0.3">
      <c r="A3700" t="s">
        <v>9712</v>
      </c>
      <c r="B3700" t="s">
        <v>264</v>
      </c>
      <c r="C3700">
        <v>12</v>
      </c>
      <c r="D3700" t="str">
        <f>VLOOKUP(B3700,Products!$A:$E,2,FALSE)</f>
        <v>Product_128</v>
      </c>
      <c r="E3700" t="str">
        <f>VLOOKUP(B3700,Products!$A:$E,3,FALSE)</f>
        <v>Office Supplies</v>
      </c>
    </row>
    <row r="3701" spans="1:5" x14ac:dyDescent="0.3">
      <c r="A3701" t="s">
        <v>9713</v>
      </c>
      <c r="B3701" t="s">
        <v>96</v>
      </c>
      <c r="C3701">
        <v>35</v>
      </c>
      <c r="D3701" t="str">
        <f>VLOOKUP(B3701,Products!$A:$E,2,FALSE)</f>
        <v>Product_44</v>
      </c>
      <c r="E3701" t="str">
        <f>VLOOKUP(B3701,Products!$A:$E,3,FALSE)</f>
        <v>Storage</v>
      </c>
    </row>
    <row r="3702" spans="1:5" x14ac:dyDescent="0.3">
      <c r="A3702" t="s">
        <v>9714</v>
      </c>
      <c r="B3702" t="s">
        <v>106</v>
      </c>
      <c r="C3702">
        <v>9</v>
      </c>
      <c r="D3702" t="str">
        <f>VLOOKUP(B3702,Products!$A:$E,2,FALSE)</f>
        <v>Product_49</v>
      </c>
      <c r="E3702" t="str">
        <f>VLOOKUP(B3702,Products!$A:$E,3,FALSE)</f>
        <v>Storage</v>
      </c>
    </row>
    <row r="3703" spans="1:5" x14ac:dyDescent="0.3">
      <c r="A3703" t="s">
        <v>9715</v>
      </c>
      <c r="B3703" t="s">
        <v>754</v>
      </c>
      <c r="C3703">
        <v>10</v>
      </c>
      <c r="D3703" t="str">
        <f>VLOOKUP(B3703,Products!$A:$E,2,FALSE)</f>
        <v>Product_373</v>
      </c>
      <c r="E3703" t="str">
        <f>VLOOKUP(B3703,Products!$A:$E,3,FALSE)</f>
        <v>Office Supplies</v>
      </c>
    </row>
    <row r="3704" spans="1:5" x14ac:dyDescent="0.3">
      <c r="A3704" t="s">
        <v>9716</v>
      </c>
      <c r="B3704" t="s">
        <v>658</v>
      </c>
      <c r="C3704">
        <v>32</v>
      </c>
      <c r="D3704" t="str">
        <f>VLOOKUP(B3704,Products!$A:$E,2,FALSE)</f>
        <v>Product_325</v>
      </c>
      <c r="E3704" t="str">
        <f>VLOOKUP(B3704,Products!$A:$E,3,FALSE)</f>
        <v>Networking</v>
      </c>
    </row>
    <row r="3705" spans="1:5" x14ac:dyDescent="0.3">
      <c r="A3705" t="s">
        <v>9717</v>
      </c>
      <c r="B3705" t="s">
        <v>450</v>
      </c>
      <c r="C3705">
        <v>18</v>
      </c>
      <c r="D3705" t="str">
        <f>VLOOKUP(B3705,Products!$A:$E,2,FALSE)</f>
        <v>Product_221</v>
      </c>
      <c r="E3705" t="str">
        <f>VLOOKUP(B3705,Products!$A:$E,3,FALSE)</f>
        <v>Office Supplies</v>
      </c>
    </row>
    <row r="3706" spans="1:5" x14ac:dyDescent="0.3">
      <c r="A3706" t="s">
        <v>9718</v>
      </c>
      <c r="B3706" t="s">
        <v>362</v>
      </c>
      <c r="C3706">
        <v>30</v>
      </c>
      <c r="D3706" t="str">
        <f>VLOOKUP(B3706,Products!$A:$E,2,FALSE)</f>
        <v>Product_177</v>
      </c>
      <c r="E3706" t="str">
        <f>VLOOKUP(B3706,Products!$A:$E,3,FALSE)</f>
        <v>Office Supplies</v>
      </c>
    </row>
    <row r="3707" spans="1:5" x14ac:dyDescent="0.3">
      <c r="A3707" t="s">
        <v>9719</v>
      </c>
      <c r="B3707" t="s">
        <v>714</v>
      </c>
      <c r="C3707">
        <v>40</v>
      </c>
      <c r="D3707" t="str">
        <f>VLOOKUP(B3707,Products!$A:$E,2,FALSE)</f>
        <v>Product_353</v>
      </c>
      <c r="E3707" t="str">
        <f>VLOOKUP(B3707,Products!$A:$E,3,FALSE)</f>
        <v>Accessories</v>
      </c>
    </row>
    <row r="3708" spans="1:5" x14ac:dyDescent="0.3">
      <c r="A3708" t="s">
        <v>9720</v>
      </c>
      <c r="B3708" t="s">
        <v>258</v>
      </c>
      <c r="C3708">
        <v>47</v>
      </c>
      <c r="D3708" t="str">
        <f>VLOOKUP(B3708,Products!$A:$E,2,FALSE)</f>
        <v>Product_125</v>
      </c>
      <c r="E3708" t="str">
        <f>VLOOKUP(B3708,Products!$A:$E,3,FALSE)</f>
        <v>Office Supplies</v>
      </c>
    </row>
    <row r="3709" spans="1:5" x14ac:dyDescent="0.3">
      <c r="A3709" t="s">
        <v>9721</v>
      </c>
      <c r="B3709" t="s">
        <v>850</v>
      </c>
      <c r="C3709">
        <v>34</v>
      </c>
      <c r="D3709" t="str">
        <f>VLOOKUP(B3709,Products!$A:$E,2,FALSE)</f>
        <v>Product_421</v>
      </c>
      <c r="E3709" t="str">
        <f>VLOOKUP(B3709,Products!$A:$E,3,FALSE)</f>
        <v>Accessories</v>
      </c>
    </row>
    <row r="3710" spans="1:5" x14ac:dyDescent="0.3">
      <c r="A3710" t="s">
        <v>9722</v>
      </c>
      <c r="B3710" t="s">
        <v>592</v>
      </c>
      <c r="C3710">
        <v>30</v>
      </c>
      <c r="D3710" t="str">
        <f>VLOOKUP(B3710,Products!$A:$E,2,FALSE)</f>
        <v>Product_292</v>
      </c>
      <c r="E3710" t="str">
        <f>VLOOKUP(B3710,Products!$A:$E,3,FALSE)</f>
        <v>Networking</v>
      </c>
    </row>
    <row r="3711" spans="1:5" x14ac:dyDescent="0.3">
      <c r="A3711" t="s">
        <v>9723</v>
      </c>
      <c r="B3711" t="s">
        <v>50</v>
      </c>
      <c r="C3711">
        <v>5</v>
      </c>
      <c r="D3711" t="str">
        <f>VLOOKUP(B3711,Products!$A:$E,2,FALSE)</f>
        <v>Product_21</v>
      </c>
      <c r="E3711" t="str">
        <f>VLOOKUP(B3711,Products!$A:$E,3,FALSE)</f>
        <v>Office Supplies</v>
      </c>
    </row>
    <row r="3712" spans="1:5" x14ac:dyDescent="0.3">
      <c r="A3712" t="s">
        <v>9724</v>
      </c>
      <c r="B3712" t="s">
        <v>344</v>
      </c>
      <c r="C3712">
        <v>24</v>
      </c>
      <c r="D3712" t="str">
        <f>VLOOKUP(B3712,Products!$A:$E,2,FALSE)</f>
        <v>Product_168</v>
      </c>
      <c r="E3712" t="str">
        <f>VLOOKUP(B3712,Products!$A:$E,3,FALSE)</f>
        <v>Electronics</v>
      </c>
    </row>
    <row r="3713" spans="1:5" x14ac:dyDescent="0.3">
      <c r="A3713" t="s">
        <v>9725</v>
      </c>
      <c r="B3713" t="s">
        <v>48</v>
      </c>
      <c r="C3713">
        <v>10</v>
      </c>
      <c r="D3713" t="str">
        <f>VLOOKUP(B3713,Products!$A:$E,2,FALSE)</f>
        <v>Product_20</v>
      </c>
      <c r="E3713" t="str">
        <f>VLOOKUP(B3713,Products!$A:$E,3,FALSE)</f>
        <v>Office Supplies</v>
      </c>
    </row>
    <row r="3714" spans="1:5" x14ac:dyDescent="0.3">
      <c r="A3714" t="s">
        <v>9726</v>
      </c>
      <c r="B3714" t="s">
        <v>632</v>
      </c>
      <c r="C3714">
        <v>47</v>
      </c>
      <c r="D3714" t="str">
        <f>VLOOKUP(B3714,Products!$A:$E,2,FALSE)</f>
        <v>Product_312</v>
      </c>
      <c r="E3714" t="str">
        <f>VLOOKUP(B3714,Products!$A:$E,3,FALSE)</f>
        <v>Office Supplies</v>
      </c>
    </row>
    <row r="3715" spans="1:5" x14ac:dyDescent="0.3">
      <c r="A3715" t="s">
        <v>9727</v>
      </c>
      <c r="B3715" t="s">
        <v>662</v>
      </c>
      <c r="C3715">
        <v>7</v>
      </c>
      <c r="D3715" t="str">
        <f>VLOOKUP(B3715,Products!$A:$E,2,FALSE)</f>
        <v>Product_327</v>
      </c>
      <c r="E3715" t="str">
        <f>VLOOKUP(B3715,Products!$A:$E,3,FALSE)</f>
        <v>Networking</v>
      </c>
    </row>
    <row r="3716" spans="1:5" x14ac:dyDescent="0.3">
      <c r="A3716" t="s">
        <v>9728</v>
      </c>
      <c r="B3716" t="s">
        <v>400</v>
      </c>
      <c r="C3716">
        <v>33</v>
      </c>
      <c r="D3716" t="str">
        <f>VLOOKUP(B3716,Products!$A:$E,2,FALSE)</f>
        <v>Product_196</v>
      </c>
      <c r="E3716" t="str">
        <f>VLOOKUP(B3716,Products!$A:$E,3,FALSE)</f>
        <v>Office Supplies</v>
      </c>
    </row>
    <row r="3717" spans="1:5" x14ac:dyDescent="0.3">
      <c r="A3717" t="s">
        <v>9729</v>
      </c>
      <c r="B3717" t="s">
        <v>752</v>
      </c>
      <c r="C3717">
        <v>6</v>
      </c>
      <c r="D3717" t="str">
        <f>VLOOKUP(B3717,Products!$A:$E,2,FALSE)</f>
        <v>Product_372</v>
      </c>
      <c r="E3717" t="str">
        <f>VLOOKUP(B3717,Products!$A:$E,3,FALSE)</f>
        <v>Networking</v>
      </c>
    </row>
    <row r="3718" spans="1:5" x14ac:dyDescent="0.3">
      <c r="A3718" t="s">
        <v>9730</v>
      </c>
      <c r="B3718" t="s">
        <v>354</v>
      </c>
      <c r="C3718">
        <v>41</v>
      </c>
      <c r="D3718" t="str">
        <f>VLOOKUP(B3718,Products!$A:$E,2,FALSE)</f>
        <v>Product_173</v>
      </c>
      <c r="E3718" t="str">
        <f>VLOOKUP(B3718,Products!$A:$E,3,FALSE)</f>
        <v>Electronics</v>
      </c>
    </row>
    <row r="3719" spans="1:5" x14ac:dyDescent="0.3">
      <c r="A3719" t="s">
        <v>9731</v>
      </c>
      <c r="B3719" t="s">
        <v>776</v>
      </c>
      <c r="C3719">
        <v>20</v>
      </c>
      <c r="D3719" t="str">
        <f>VLOOKUP(B3719,Products!$A:$E,2,FALSE)</f>
        <v>Product_384</v>
      </c>
      <c r="E3719" t="str">
        <f>VLOOKUP(B3719,Products!$A:$E,3,FALSE)</f>
        <v>Office Supplies</v>
      </c>
    </row>
    <row r="3720" spans="1:5" x14ac:dyDescent="0.3">
      <c r="A3720" t="s">
        <v>9732</v>
      </c>
      <c r="B3720" t="s">
        <v>442</v>
      </c>
      <c r="C3720">
        <v>26</v>
      </c>
      <c r="D3720" t="str">
        <f>VLOOKUP(B3720,Products!$A:$E,2,FALSE)</f>
        <v>Product_217</v>
      </c>
      <c r="E3720" t="str">
        <f>VLOOKUP(B3720,Products!$A:$E,3,FALSE)</f>
        <v>Networking</v>
      </c>
    </row>
    <row r="3721" spans="1:5" x14ac:dyDescent="0.3">
      <c r="A3721" t="s">
        <v>9733</v>
      </c>
      <c r="B3721" t="s">
        <v>32</v>
      </c>
      <c r="C3721">
        <v>12</v>
      </c>
      <c r="D3721" t="str">
        <f>VLOOKUP(B3721,Products!$A:$E,2,FALSE)</f>
        <v>Product_12</v>
      </c>
      <c r="E3721" t="str">
        <f>VLOOKUP(B3721,Products!$A:$E,3,FALSE)</f>
        <v>Accessories</v>
      </c>
    </row>
    <row r="3722" spans="1:5" x14ac:dyDescent="0.3">
      <c r="A3722" t="s">
        <v>9734</v>
      </c>
      <c r="B3722" t="s">
        <v>982</v>
      </c>
      <c r="C3722">
        <v>48</v>
      </c>
      <c r="D3722" t="str">
        <f>VLOOKUP(B3722,Products!$A:$E,2,FALSE)</f>
        <v>Product_487</v>
      </c>
      <c r="E3722" t="str">
        <f>VLOOKUP(B3722,Products!$A:$E,3,FALSE)</f>
        <v>Networking</v>
      </c>
    </row>
    <row r="3723" spans="1:5" x14ac:dyDescent="0.3">
      <c r="A3723" t="s">
        <v>9735</v>
      </c>
      <c r="B3723" t="s">
        <v>272</v>
      </c>
      <c r="C3723">
        <v>47</v>
      </c>
      <c r="D3723" t="str">
        <f>VLOOKUP(B3723,Products!$A:$E,2,FALSE)</f>
        <v>Product_132</v>
      </c>
      <c r="E3723" t="str">
        <f>VLOOKUP(B3723,Products!$A:$E,3,FALSE)</f>
        <v>Storage</v>
      </c>
    </row>
    <row r="3724" spans="1:5" x14ac:dyDescent="0.3">
      <c r="A3724" t="s">
        <v>9736</v>
      </c>
      <c r="B3724" t="s">
        <v>678</v>
      </c>
      <c r="C3724">
        <v>48</v>
      </c>
      <c r="D3724" t="str">
        <f>VLOOKUP(B3724,Products!$A:$E,2,FALSE)</f>
        <v>Product_335</v>
      </c>
      <c r="E3724" t="str">
        <f>VLOOKUP(B3724,Products!$A:$E,3,FALSE)</f>
        <v>Networking</v>
      </c>
    </row>
    <row r="3725" spans="1:5" x14ac:dyDescent="0.3">
      <c r="A3725" t="s">
        <v>9737</v>
      </c>
      <c r="B3725" t="s">
        <v>914</v>
      </c>
      <c r="C3725">
        <v>6</v>
      </c>
      <c r="D3725" t="str">
        <f>VLOOKUP(B3725,Products!$A:$E,2,FALSE)</f>
        <v>Product_453</v>
      </c>
      <c r="E3725" t="str">
        <f>VLOOKUP(B3725,Products!$A:$E,3,FALSE)</f>
        <v>Office Supplies</v>
      </c>
    </row>
    <row r="3726" spans="1:5" x14ac:dyDescent="0.3">
      <c r="A3726" t="s">
        <v>9738</v>
      </c>
      <c r="B3726" t="s">
        <v>866</v>
      </c>
      <c r="C3726">
        <v>28</v>
      </c>
      <c r="D3726" t="str">
        <f>VLOOKUP(B3726,Products!$A:$E,2,FALSE)</f>
        <v>Product_429</v>
      </c>
      <c r="E3726" t="str">
        <f>VLOOKUP(B3726,Products!$A:$E,3,FALSE)</f>
        <v>Office Supplies</v>
      </c>
    </row>
    <row r="3727" spans="1:5" x14ac:dyDescent="0.3">
      <c r="A3727" t="s">
        <v>9739</v>
      </c>
      <c r="B3727" t="s">
        <v>998</v>
      </c>
      <c r="C3727">
        <v>8</v>
      </c>
      <c r="D3727" t="str">
        <f>VLOOKUP(B3727,Products!$A:$E,2,FALSE)</f>
        <v>Product_495</v>
      </c>
      <c r="E3727" t="str">
        <f>VLOOKUP(B3727,Products!$A:$E,3,FALSE)</f>
        <v>Networking</v>
      </c>
    </row>
    <row r="3728" spans="1:5" x14ac:dyDescent="0.3">
      <c r="A3728" t="s">
        <v>9740</v>
      </c>
      <c r="B3728" t="s">
        <v>822</v>
      </c>
      <c r="C3728">
        <v>13</v>
      </c>
      <c r="D3728" t="str">
        <f>VLOOKUP(B3728,Products!$A:$E,2,FALSE)</f>
        <v>Product_407</v>
      </c>
      <c r="E3728" t="str">
        <f>VLOOKUP(B3728,Products!$A:$E,3,FALSE)</f>
        <v>Networking</v>
      </c>
    </row>
    <row r="3729" spans="1:5" x14ac:dyDescent="0.3">
      <c r="A3729" t="s">
        <v>9741</v>
      </c>
      <c r="B3729" t="s">
        <v>594</v>
      </c>
      <c r="C3729">
        <v>17</v>
      </c>
      <c r="D3729" t="str">
        <f>VLOOKUP(B3729,Products!$A:$E,2,FALSE)</f>
        <v>Product_293</v>
      </c>
      <c r="E3729" t="str">
        <f>VLOOKUP(B3729,Products!$A:$E,3,FALSE)</f>
        <v>Networking</v>
      </c>
    </row>
    <row r="3730" spans="1:5" x14ac:dyDescent="0.3">
      <c r="A3730" t="s">
        <v>9742</v>
      </c>
      <c r="B3730" t="s">
        <v>320</v>
      </c>
      <c r="C3730">
        <v>40</v>
      </c>
      <c r="D3730" t="str">
        <f>VLOOKUP(B3730,Products!$A:$E,2,FALSE)</f>
        <v>Product_156</v>
      </c>
      <c r="E3730" t="str">
        <f>VLOOKUP(B3730,Products!$A:$E,3,FALSE)</f>
        <v>Accessories</v>
      </c>
    </row>
    <row r="3731" spans="1:5" x14ac:dyDescent="0.3">
      <c r="A3731" t="s">
        <v>9743</v>
      </c>
      <c r="B3731" t="s">
        <v>536</v>
      </c>
      <c r="C3731">
        <v>35</v>
      </c>
      <c r="D3731" t="str">
        <f>VLOOKUP(B3731,Products!$A:$E,2,FALSE)</f>
        <v>Product_264</v>
      </c>
      <c r="E3731" t="str">
        <f>VLOOKUP(B3731,Products!$A:$E,3,FALSE)</f>
        <v>Electronics</v>
      </c>
    </row>
    <row r="3732" spans="1:5" x14ac:dyDescent="0.3">
      <c r="A3732" t="s">
        <v>9744</v>
      </c>
      <c r="B3732" t="s">
        <v>884</v>
      </c>
      <c r="C3732">
        <v>16</v>
      </c>
      <c r="D3732" t="str">
        <f>VLOOKUP(B3732,Products!$A:$E,2,FALSE)</f>
        <v>Product_438</v>
      </c>
      <c r="E3732" t="str">
        <f>VLOOKUP(B3732,Products!$A:$E,3,FALSE)</f>
        <v>Electronics</v>
      </c>
    </row>
    <row r="3733" spans="1:5" x14ac:dyDescent="0.3">
      <c r="A3733" t="s">
        <v>9745</v>
      </c>
      <c r="B3733" t="s">
        <v>720</v>
      </c>
      <c r="C3733">
        <v>4</v>
      </c>
      <c r="D3733" t="str">
        <f>VLOOKUP(B3733,Products!$A:$E,2,FALSE)</f>
        <v>Product_356</v>
      </c>
      <c r="E3733" t="str">
        <f>VLOOKUP(B3733,Products!$A:$E,3,FALSE)</f>
        <v>Accessories</v>
      </c>
    </row>
    <row r="3734" spans="1:5" x14ac:dyDescent="0.3">
      <c r="A3734" t="s">
        <v>9746</v>
      </c>
      <c r="B3734" t="s">
        <v>392</v>
      </c>
      <c r="C3734">
        <v>37</v>
      </c>
      <c r="D3734" t="str">
        <f>VLOOKUP(B3734,Products!$A:$E,2,FALSE)</f>
        <v>Product_192</v>
      </c>
      <c r="E3734" t="str">
        <f>VLOOKUP(B3734,Products!$A:$E,3,FALSE)</f>
        <v>Office Supplies</v>
      </c>
    </row>
    <row r="3735" spans="1:5" x14ac:dyDescent="0.3">
      <c r="A3735" t="s">
        <v>9747</v>
      </c>
      <c r="B3735" t="s">
        <v>494</v>
      </c>
      <c r="C3735">
        <v>14</v>
      </c>
      <c r="D3735" t="str">
        <f>VLOOKUP(B3735,Products!$A:$E,2,FALSE)</f>
        <v>Product_243</v>
      </c>
      <c r="E3735" t="str">
        <f>VLOOKUP(B3735,Products!$A:$E,3,FALSE)</f>
        <v>Storage</v>
      </c>
    </row>
    <row r="3736" spans="1:5" x14ac:dyDescent="0.3">
      <c r="A3736" t="s">
        <v>9748</v>
      </c>
      <c r="B3736" t="s">
        <v>788</v>
      </c>
      <c r="C3736">
        <v>28</v>
      </c>
      <c r="D3736" t="str">
        <f>VLOOKUP(B3736,Products!$A:$E,2,FALSE)</f>
        <v>Product_390</v>
      </c>
      <c r="E3736" t="str">
        <f>VLOOKUP(B3736,Products!$A:$E,3,FALSE)</f>
        <v>Storage</v>
      </c>
    </row>
    <row r="3737" spans="1:5" x14ac:dyDescent="0.3">
      <c r="A3737" t="s">
        <v>9749</v>
      </c>
      <c r="B3737" t="s">
        <v>290</v>
      </c>
      <c r="C3737">
        <v>48</v>
      </c>
      <c r="D3737" t="str">
        <f>VLOOKUP(B3737,Products!$A:$E,2,FALSE)</f>
        <v>Product_141</v>
      </c>
      <c r="E3737" t="str">
        <f>VLOOKUP(B3737,Products!$A:$E,3,FALSE)</f>
        <v>Electronics</v>
      </c>
    </row>
    <row r="3738" spans="1:5" x14ac:dyDescent="0.3">
      <c r="A3738" t="s">
        <v>9750</v>
      </c>
      <c r="B3738" t="s">
        <v>714</v>
      </c>
      <c r="C3738">
        <v>50</v>
      </c>
      <c r="D3738" t="str">
        <f>VLOOKUP(B3738,Products!$A:$E,2,FALSE)</f>
        <v>Product_353</v>
      </c>
      <c r="E3738" t="str">
        <f>VLOOKUP(B3738,Products!$A:$E,3,FALSE)</f>
        <v>Accessories</v>
      </c>
    </row>
    <row r="3739" spans="1:5" x14ac:dyDescent="0.3">
      <c r="A3739" t="s">
        <v>9751</v>
      </c>
      <c r="B3739" t="s">
        <v>200</v>
      </c>
      <c r="C3739">
        <v>18</v>
      </c>
      <c r="D3739" t="str">
        <f>VLOOKUP(B3739,Products!$A:$E,2,FALSE)</f>
        <v>Product_96</v>
      </c>
      <c r="E3739" t="str">
        <f>VLOOKUP(B3739,Products!$A:$E,3,FALSE)</f>
        <v>Office Supplies</v>
      </c>
    </row>
    <row r="3740" spans="1:5" x14ac:dyDescent="0.3">
      <c r="A3740" t="s">
        <v>9752</v>
      </c>
      <c r="B3740" t="s">
        <v>522</v>
      </c>
      <c r="C3740">
        <v>43</v>
      </c>
      <c r="D3740" t="str">
        <f>VLOOKUP(B3740,Products!$A:$E,2,FALSE)</f>
        <v>Product_257</v>
      </c>
      <c r="E3740" t="str">
        <f>VLOOKUP(B3740,Products!$A:$E,3,FALSE)</f>
        <v>Networking</v>
      </c>
    </row>
    <row r="3741" spans="1:5" x14ac:dyDescent="0.3">
      <c r="A3741" t="s">
        <v>9753</v>
      </c>
      <c r="B3741" t="s">
        <v>56</v>
      </c>
      <c r="C3741">
        <v>39</v>
      </c>
      <c r="D3741" t="str">
        <f>VLOOKUP(B3741,Products!$A:$E,2,FALSE)</f>
        <v>Product_24</v>
      </c>
      <c r="E3741" t="str">
        <f>VLOOKUP(B3741,Products!$A:$E,3,FALSE)</f>
        <v>Accessories</v>
      </c>
    </row>
    <row r="3742" spans="1:5" x14ac:dyDescent="0.3">
      <c r="A3742" t="s">
        <v>9754</v>
      </c>
      <c r="B3742" t="s">
        <v>418</v>
      </c>
      <c r="C3742">
        <v>12</v>
      </c>
      <c r="D3742" t="str">
        <f>VLOOKUP(B3742,Products!$A:$E,2,FALSE)</f>
        <v>Product_205</v>
      </c>
      <c r="E3742" t="str">
        <f>VLOOKUP(B3742,Products!$A:$E,3,FALSE)</f>
        <v>Storage</v>
      </c>
    </row>
    <row r="3743" spans="1:5" x14ac:dyDescent="0.3">
      <c r="A3743" t="s">
        <v>9755</v>
      </c>
      <c r="B3743" t="s">
        <v>704</v>
      </c>
      <c r="C3743">
        <v>19</v>
      </c>
      <c r="D3743" t="str">
        <f>VLOOKUP(B3743,Products!$A:$E,2,FALSE)</f>
        <v>Product_348</v>
      </c>
      <c r="E3743" t="str">
        <f>VLOOKUP(B3743,Products!$A:$E,3,FALSE)</f>
        <v>Electronics</v>
      </c>
    </row>
    <row r="3744" spans="1:5" x14ac:dyDescent="0.3">
      <c r="A3744" t="s">
        <v>9756</v>
      </c>
      <c r="B3744" t="s">
        <v>288</v>
      </c>
      <c r="C3744">
        <v>1</v>
      </c>
      <c r="D3744" t="str">
        <f>VLOOKUP(B3744,Products!$A:$E,2,FALSE)</f>
        <v>Product_140</v>
      </c>
      <c r="E3744" t="str">
        <f>VLOOKUP(B3744,Products!$A:$E,3,FALSE)</f>
        <v>Electronics</v>
      </c>
    </row>
    <row r="3745" spans="1:5" x14ac:dyDescent="0.3">
      <c r="A3745" t="s">
        <v>9757</v>
      </c>
      <c r="B3745" t="s">
        <v>426</v>
      </c>
      <c r="C3745">
        <v>14</v>
      </c>
      <c r="D3745" t="str">
        <f>VLOOKUP(B3745,Products!$A:$E,2,FALSE)</f>
        <v>Product_209</v>
      </c>
      <c r="E3745" t="str">
        <f>VLOOKUP(B3745,Products!$A:$E,3,FALSE)</f>
        <v>Networking</v>
      </c>
    </row>
    <row r="3746" spans="1:5" x14ac:dyDescent="0.3">
      <c r="A3746" t="s">
        <v>9758</v>
      </c>
      <c r="B3746" t="s">
        <v>28</v>
      </c>
      <c r="C3746">
        <v>27</v>
      </c>
      <c r="D3746" t="str">
        <f>VLOOKUP(B3746,Products!$A:$E,2,FALSE)</f>
        <v>Product_10</v>
      </c>
      <c r="E3746" t="str">
        <f>VLOOKUP(B3746,Products!$A:$E,3,FALSE)</f>
        <v>Networking</v>
      </c>
    </row>
    <row r="3747" spans="1:5" x14ac:dyDescent="0.3">
      <c r="A3747" t="s">
        <v>9759</v>
      </c>
      <c r="B3747" t="s">
        <v>682</v>
      </c>
      <c r="C3747">
        <v>9</v>
      </c>
      <c r="D3747" t="str">
        <f>VLOOKUP(B3747,Products!$A:$E,2,FALSE)</f>
        <v>Product_337</v>
      </c>
      <c r="E3747" t="str">
        <f>VLOOKUP(B3747,Products!$A:$E,3,FALSE)</f>
        <v>Storage</v>
      </c>
    </row>
    <row r="3748" spans="1:5" x14ac:dyDescent="0.3">
      <c r="A3748" t="s">
        <v>9760</v>
      </c>
      <c r="B3748" t="s">
        <v>290</v>
      </c>
      <c r="C3748">
        <v>18</v>
      </c>
      <c r="D3748" t="str">
        <f>VLOOKUP(B3748,Products!$A:$E,2,FALSE)</f>
        <v>Product_141</v>
      </c>
      <c r="E3748" t="str">
        <f>VLOOKUP(B3748,Products!$A:$E,3,FALSE)</f>
        <v>Electronics</v>
      </c>
    </row>
    <row r="3749" spans="1:5" x14ac:dyDescent="0.3">
      <c r="A3749" t="s">
        <v>9761</v>
      </c>
      <c r="B3749" t="s">
        <v>482</v>
      </c>
      <c r="C3749">
        <v>39</v>
      </c>
      <c r="D3749" t="str">
        <f>VLOOKUP(B3749,Products!$A:$E,2,FALSE)</f>
        <v>Product_237</v>
      </c>
      <c r="E3749" t="str">
        <f>VLOOKUP(B3749,Products!$A:$E,3,FALSE)</f>
        <v>Networking</v>
      </c>
    </row>
    <row r="3750" spans="1:5" x14ac:dyDescent="0.3">
      <c r="A3750" t="s">
        <v>9762</v>
      </c>
      <c r="B3750" t="s">
        <v>818</v>
      </c>
      <c r="C3750">
        <v>41</v>
      </c>
      <c r="D3750" t="str">
        <f>VLOOKUP(B3750,Products!$A:$E,2,FALSE)</f>
        <v>Product_405</v>
      </c>
      <c r="E3750" t="str">
        <f>VLOOKUP(B3750,Products!$A:$E,3,FALSE)</f>
        <v>Electronics</v>
      </c>
    </row>
    <row r="3751" spans="1:5" x14ac:dyDescent="0.3">
      <c r="A3751" t="s">
        <v>9763</v>
      </c>
      <c r="B3751" t="s">
        <v>334</v>
      </c>
      <c r="C3751">
        <v>7</v>
      </c>
      <c r="D3751" t="str">
        <f>VLOOKUP(B3751,Products!$A:$E,2,FALSE)</f>
        <v>Product_163</v>
      </c>
      <c r="E3751" t="str">
        <f>VLOOKUP(B3751,Products!$A:$E,3,FALSE)</f>
        <v>Accessories</v>
      </c>
    </row>
    <row r="3752" spans="1:5" x14ac:dyDescent="0.3">
      <c r="A3752" t="s">
        <v>9764</v>
      </c>
      <c r="B3752" t="s">
        <v>236</v>
      </c>
      <c r="C3752">
        <v>15</v>
      </c>
      <c r="D3752" t="str">
        <f>VLOOKUP(B3752,Products!$A:$E,2,FALSE)</f>
        <v>Product_114</v>
      </c>
      <c r="E3752" t="str">
        <f>VLOOKUP(B3752,Products!$A:$E,3,FALSE)</f>
        <v>Electronics</v>
      </c>
    </row>
    <row r="3753" spans="1:5" x14ac:dyDescent="0.3">
      <c r="A3753" t="s">
        <v>9765</v>
      </c>
      <c r="B3753" t="s">
        <v>28</v>
      </c>
      <c r="C3753">
        <v>46</v>
      </c>
      <c r="D3753" t="str">
        <f>VLOOKUP(B3753,Products!$A:$E,2,FALSE)</f>
        <v>Product_10</v>
      </c>
      <c r="E3753" t="str">
        <f>VLOOKUP(B3753,Products!$A:$E,3,FALSE)</f>
        <v>Networking</v>
      </c>
    </row>
    <row r="3754" spans="1:5" x14ac:dyDescent="0.3">
      <c r="A3754" t="s">
        <v>9766</v>
      </c>
      <c r="B3754" t="s">
        <v>342</v>
      </c>
      <c r="C3754">
        <v>15</v>
      </c>
      <c r="D3754" t="str">
        <f>VLOOKUP(B3754,Products!$A:$E,2,FALSE)</f>
        <v>Product_167</v>
      </c>
      <c r="E3754" t="str">
        <f>VLOOKUP(B3754,Products!$A:$E,3,FALSE)</f>
        <v>Electronics</v>
      </c>
    </row>
    <row r="3755" spans="1:5" x14ac:dyDescent="0.3">
      <c r="A3755" t="s">
        <v>9767</v>
      </c>
      <c r="B3755" t="s">
        <v>74</v>
      </c>
      <c r="C3755">
        <v>40</v>
      </c>
      <c r="D3755" t="str">
        <f>VLOOKUP(B3755,Products!$A:$E,2,FALSE)</f>
        <v>Product_33</v>
      </c>
      <c r="E3755" t="str">
        <f>VLOOKUP(B3755,Products!$A:$E,3,FALSE)</f>
        <v>Storage</v>
      </c>
    </row>
    <row r="3756" spans="1:5" x14ac:dyDescent="0.3">
      <c r="A3756" t="s">
        <v>9768</v>
      </c>
      <c r="B3756" t="s">
        <v>304</v>
      </c>
      <c r="C3756">
        <v>47</v>
      </c>
      <c r="D3756" t="str">
        <f>VLOOKUP(B3756,Products!$A:$E,2,FALSE)</f>
        <v>Product_148</v>
      </c>
      <c r="E3756" t="str">
        <f>VLOOKUP(B3756,Products!$A:$E,3,FALSE)</f>
        <v>Electronics</v>
      </c>
    </row>
    <row r="3757" spans="1:5" x14ac:dyDescent="0.3">
      <c r="A3757" t="s">
        <v>9769</v>
      </c>
      <c r="B3757" t="s">
        <v>738</v>
      </c>
      <c r="C3757">
        <v>39</v>
      </c>
      <c r="D3757" t="str">
        <f>VLOOKUP(B3757,Products!$A:$E,2,FALSE)</f>
        <v>Product_365</v>
      </c>
      <c r="E3757" t="str">
        <f>VLOOKUP(B3757,Products!$A:$E,3,FALSE)</f>
        <v>Storage</v>
      </c>
    </row>
    <row r="3758" spans="1:5" x14ac:dyDescent="0.3">
      <c r="A3758" t="s">
        <v>9770</v>
      </c>
      <c r="B3758" t="s">
        <v>856</v>
      </c>
      <c r="C3758">
        <v>30</v>
      </c>
      <c r="D3758" t="str">
        <f>VLOOKUP(B3758,Products!$A:$E,2,FALSE)</f>
        <v>Product_424</v>
      </c>
      <c r="E3758" t="str">
        <f>VLOOKUP(B3758,Products!$A:$E,3,FALSE)</f>
        <v>Networking</v>
      </c>
    </row>
    <row r="3759" spans="1:5" x14ac:dyDescent="0.3">
      <c r="A3759" t="s">
        <v>9771</v>
      </c>
      <c r="B3759" t="s">
        <v>612</v>
      </c>
      <c r="C3759">
        <v>27</v>
      </c>
      <c r="D3759" t="str">
        <f>VLOOKUP(B3759,Products!$A:$E,2,FALSE)</f>
        <v>Product_302</v>
      </c>
      <c r="E3759" t="str">
        <f>VLOOKUP(B3759,Products!$A:$E,3,FALSE)</f>
        <v>Accessories</v>
      </c>
    </row>
    <row r="3760" spans="1:5" x14ac:dyDescent="0.3">
      <c r="A3760" t="s">
        <v>9772</v>
      </c>
      <c r="B3760" t="s">
        <v>660</v>
      </c>
      <c r="C3760">
        <v>39</v>
      </c>
      <c r="D3760" t="str">
        <f>VLOOKUP(B3760,Products!$A:$E,2,FALSE)</f>
        <v>Product_326</v>
      </c>
      <c r="E3760" t="str">
        <f>VLOOKUP(B3760,Products!$A:$E,3,FALSE)</f>
        <v>Electronics</v>
      </c>
    </row>
    <row r="3761" spans="1:5" x14ac:dyDescent="0.3">
      <c r="A3761" t="s">
        <v>9773</v>
      </c>
      <c r="B3761" t="s">
        <v>346</v>
      </c>
      <c r="C3761">
        <v>35</v>
      </c>
      <c r="D3761" t="str">
        <f>VLOOKUP(B3761,Products!$A:$E,2,FALSE)</f>
        <v>Product_169</v>
      </c>
      <c r="E3761" t="str">
        <f>VLOOKUP(B3761,Products!$A:$E,3,FALSE)</f>
        <v>Accessories</v>
      </c>
    </row>
    <row r="3762" spans="1:5" x14ac:dyDescent="0.3">
      <c r="A3762" t="s">
        <v>9774</v>
      </c>
      <c r="B3762" t="s">
        <v>408</v>
      </c>
      <c r="C3762">
        <v>31</v>
      </c>
      <c r="D3762" t="str">
        <f>VLOOKUP(B3762,Products!$A:$E,2,FALSE)</f>
        <v>Product_200</v>
      </c>
      <c r="E3762" t="str">
        <f>VLOOKUP(B3762,Products!$A:$E,3,FALSE)</f>
        <v>Office Supplies</v>
      </c>
    </row>
    <row r="3763" spans="1:5" x14ac:dyDescent="0.3">
      <c r="A3763" t="s">
        <v>9775</v>
      </c>
      <c r="B3763" t="s">
        <v>962</v>
      </c>
      <c r="C3763">
        <v>36</v>
      </c>
      <c r="D3763" t="str">
        <f>VLOOKUP(B3763,Products!$A:$E,2,FALSE)</f>
        <v>Product_477</v>
      </c>
      <c r="E3763" t="str">
        <f>VLOOKUP(B3763,Products!$A:$E,3,FALSE)</f>
        <v>Networking</v>
      </c>
    </row>
    <row r="3764" spans="1:5" x14ac:dyDescent="0.3">
      <c r="A3764" t="s">
        <v>9776</v>
      </c>
      <c r="B3764" t="s">
        <v>22</v>
      </c>
      <c r="C3764">
        <v>22</v>
      </c>
      <c r="D3764" t="str">
        <f>VLOOKUP(B3764,Products!$A:$E,2,FALSE)</f>
        <v>Product_7</v>
      </c>
      <c r="E3764" t="str">
        <f>VLOOKUP(B3764,Products!$A:$E,3,FALSE)</f>
        <v>Storage</v>
      </c>
    </row>
    <row r="3765" spans="1:5" x14ac:dyDescent="0.3">
      <c r="A3765" t="s">
        <v>9777</v>
      </c>
      <c r="B3765" t="s">
        <v>358</v>
      </c>
      <c r="C3765">
        <v>21</v>
      </c>
      <c r="D3765" t="str">
        <f>VLOOKUP(B3765,Products!$A:$E,2,FALSE)</f>
        <v>Product_175</v>
      </c>
      <c r="E3765" t="str">
        <f>VLOOKUP(B3765,Products!$A:$E,3,FALSE)</f>
        <v>Storage</v>
      </c>
    </row>
    <row r="3766" spans="1:5" x14ac:dyDescent="0.3">
      <c r="A3766" t="s">
        <v>9778</v>
      </c>
      <c r="B3766" t="s">
        <v>364</v>
      </c>
      <c r="C3766">
        <v>29</v>
      </c>
      <c r="D3766" t="str">
        <f>VLOOKUP(B3766,Products!$A:$E,2,FALSE)</f>
        <v>Product_178</v>
      </c>
      <c r="E3766" t="str">
        <f>VLOOKUP(B3766,Products!$A:$E,3,FALSE)</f>
        <v>Office Supplies</v>
      </c>
    </row>
    <row r="3767" spans="1:5" x14ac:dyDescent="0.3">
      <c r="A3767" t="s">
        <v>9779</v>
      </c>
      <c r="B3767" t="s">
        <v>164</v>
      </c>
      <c r="C3767">
        <v>30</v>
      </c>
      <c r="D3767" t="str">
        <f>VLOOKUP(B3767,Products!$A:$E,2,FALSE)</f>
        <v>Product_78</v>
      </c>
      <c r="E3767" t="str">
        <f>VLOOKUP(B3767,Products!$A:$E,3,FALSE)</f>
        <v>Office Supplies</v>
      </c>
    </row>
    <row r="3768" spans="1:5" x14ac:dyDescent="0.3">
      <c r="A3768" t="s">
        <v>9780</v>
      </c>
      <c r="B3768" t="s">
        <v>884</v>
      </c>
      <c r="C3768">
        <v>48</v>
      </c>
      <c r="D3768" t="str">
        <f>VLOOKUP(B3768,Products!$A:$E,2,FALSE)</f>
        <v>Product_438</v>
      </c>
      <c r="E3768" t="str">
        <f>VLOOKUP(B3768,Products!$A:$E,3,FALSE)</f>
        <v>Electronics</v>
      </c>
    </row>
    <row r="3769" spans="1:5" x14ac:dyDescent="0.3">
      <c r="A3769" t="s">
        <v>9781</v>
      </c>
      <c r="B3769" t="s">
        <v>520</v>
      </c>
      <c r="C3769">
        <v>14</v>
      </c>
      <c r="D3769" t="str">
        <f>VLOOKUP(B3769,Products!$A:$E,2,FALSE)</f>
        <v>Product_256</v>
      </c>
      <c r="E3769" t="str">
        <f>VLOOKUP(B3769,Products!$A:$E,3,FALSE)</f>
        <v>Office Supplies</v>
      </c>
    </row>
    <row r="3770" spans="1:5" x14ac:dyDescent="0.3">
      <c r="A3770" t="s">
        <v>9782</v>
      </c>
      <c r="B3770" t="s">
        <v>554</v>
      </c>
      <c r="C3770">
        <v>45</v>
      </c>
      <c r="D3770" t="str">
        <f>VLOOKUP(B3770,Products!$A:$E,2,FALSE)</f>
        <v>Product_273</v>
      </c>
      <c r="E3770" t="str">
        <f>VLOOKUP(B3770,Products!$A:$E,3,FALSE)</f>
        <v>Networking</v>
      </c>
    </row>
    <row r="3771" spans="1:5" x14ac:dyDescent="0.3">
      <c r="A3771" t="s">
        <v>9783</v>
      </c>
      <c r="B3771" t="s">
        <v>184</v>
      </c>
      <c r="C3771">
        <v>44</v>
      </c>
      <c r="D3771" t="str">
        <f>VLOOKUP(B3771,Products!$A:$E,2,FALSE)</f>
        <v>Product_88</v>
      </c>
      <c r="E3771" t="str">
        <f>VLOOKUP(B3771,Products!$A:$E,3,FALSE)</f>
        <v>Accessories</v>
      </c>
    </row>
    <row r="3772" spans="1:5" x14ac:dyDescent="0.3">
      <c r="A3772" t="s">
        <v>9784</v>
      </c>
      <c r="B3772" t="s">
        <v>408</v>
      </c>
      <c r="C3772">
        <v>17</v>
      </c>
      <c r="D3772" t="str">
        <f>VLOOKUP(B3772,Products!$A:$E,2,FALSE)</f>
        <v>Product_200</v>
      </c>
      <c r="E3772" t="str">
        <f>VLOOKUP(B3772,Products!$A:$E,3,FALSE)</f>
        <v>Office Supplies</v>
      </c>
    </row>
    <row r="3773" spans="1:5" x14ac:dyDescent="0.3">
      <c r="A3773" t="s">
        <v>9785</v>
      </c>
      <c r="B3773" t="s">
        <v>422</v>
      </c>
      <c r="C3773">
        <v>3</v>
      </c>
      <c r="D3773" t="str">
        <f>VLOOKUP(B3773,Products!$A:$E,2,FALSE)</f>
        <v>Product_207</v>
      </c>
      <c r="E3773" t="str">
        <f>VLOOKUP(B3773,Products!$A:$E,3,FALSE)</f>
        <v>Accessories</v>
      </c>
    </row>
    <row r="3774" spans="1:5" x14ac:dyDescent="0.3">
      <c r="A3774" t="s">
        <v>9786</v>
      </c>
      <c r="B3774" t="s">
        <v>686</v>
      </c>
      <c r="C3774">
        <v>37</v>
      </c>
      <c r="D3774" t="str">
        <f>VLOOKUP(B3774,Products!$A:$E,2,FALSE)</f>
        <v>Product_339</v>
      </c>
      <c r="E3774" t="str">
        <f>VLOOKUP(B3774,Products!$A:$E,3,FALSE)</f>
        <v>Storage</v>
      </c>
    </row>
    <row r="3775" spans="1:5" x14ac:dyDescent="0.3">
      <c r="A3775" t="s">
        <v>9787</v>
      </c>
      <c r="B3775" t="s">
        <v>1000</v>
      </c>
      <c r="C3775">
        <v>6</v>
      </c>
      <c r="D3775" t="str">
        <f>VLOOKUP(B3775,Products!$A:$E,2,FALSE)</f>
        <v>Product_496</v>
      </c>
      <c r="E3775" t="str">
        <f>VLOOKUP(B3775,Products!$A:$E,3,FALSE)</f>
        <v>Office Supplies</v>
      </c>
    </row>
    <row r="3776" spans="1:5" x14ac:dyDescent="0.3">
      <c r="A3776" t="s">
        <v>9788</v>
      </c>
      <c r="B3776" t="s">
        <v>656</v>
      </c>
      <c r="C3776">
        <v>32</v>
      </c>
      <c r="D3776" t="str">
        <f>VLOOKUP(B3776,Products!$A:$E,2,FALSE)</f>
        <v>Product_324</v>
      </c>
      <c r="E3776" t="str">
        <f>VLOOKUP(B3776,Products!$A:$E,3,FALSE)</f>
        <v>Accessories</v>
      </c>
    </row>
    <row r="3777" spans="1:5" x14ac:dyDescent="0.3">
      <c r="A3777" t="s">
        <v>9789</v>
      </c>
      <c r="B3777" t="s">
        <v>584</v>
      </c>
      <c r="C3777">
        <v>23</v>
      </c>
      <c r="D3777" t="str">
        <f>VLOOKUP(B3777,Products!$A:$E,2,FALSE)</f>
        <v>Product_288</v>
      </c>
      <c r="E3777" t="str">
        <f>VLOOKUP(B3777,Products!$A:$E,3,FALSE)</f>
        <v>Networking</v>
      </c>
    </row>
    <row r="3778" spans="1:5" x14ac:dyDescent="0.3">
      <c r="A3778" t="s">
        <v>9790</v>
      </c>
      <c r="B3778" t="s">
        <v>94</v>
      </c>
      <c r="C3778">
        <v>14</v>
      </c>
      <c r="D3778" t="str">
        <f>VLOOKUP(B3778,Products!$A:$E,2,FALSE)</f>
        <v>Product_43</v>
      </c>
      <c r="E3778" t="str">
        <f>VLOOKUP(B3778,Products!$A:$E,3,FALSE)</f>
        <v>Storage</v>
      </c>
    </row>
    <row r="3779" spans="1:5" x14ac:dyDescent="0.3">
      <c r="A3779" t="s">
        <v>9791</v>
      </c>
      <c r="B3779" t="s">
        <v>774</v>
      </c>
      <c r="C3779">
        <v>34</v>
      </c>
      <c r="D3779" t="str">
        <f>VLOOKUP(B3779,Products!$A:$E,2,FALSE)</f>
        <v>Product_383</v>
      </c>
      <c r="E3779" t="str">
        <f>VLOOKUP(B3779,Products!$A:$E,3,FALSE)</f>
        <v>Electronics</v>
      </c>
    </row>
    <row r="3780" spans="1:5" x14ac:dyDescent="0.3">
      <c r="A3780" t="s">
        <v>9792</v>
      </c>
      <c r="B3780" t="s">
        <v>388</v>
      </c>
      <c r="C3780">
        <v>20</v>
      </c>
      <c r="D3780" t="str">
        <f>VLOOKUP(B3780,Products!$A:$E,2,FALSE)</f>
        <v>Product_190</v>
      </c>
      <c r="E3780" t="str">
        <f>VLOOKUP(B3780,Products!$A:$E,3,FALSE)</f>
        <v>Office Supplies</v>
      </c>
    </row>
    <row r="3781" spans="1:5" x14ac:dyDescent="0.3">
      <c r="A3781" t="s">
        <v>9793</v>
      </c>
      <c r="B3781" t="s">
        <v>308</v>
      </c>
      <c r="C3781">
        <v>49</v>
      </c>
      <c r="D3781" t="str">
        <f>VLOOKUP(B3781,Products!$A:$E,2,FALSE)</f>
        <v>Product_150</v>
      </c>
      <c r="E3781" t="str">
        <f>VLOOKUP(B3781,Products!$A:$E,3,FALSE)</f>
        <v>Accessories</v>
      </c>
    </row>
    <row r="3782" spans="1:5" x14ac:dyDescent="0.3">
      <c r="A3782" t="s">
        <v>9794</v>
      </c>
      <c r="B3782" t="s">
        <v>332</v>
      </c>
      <c r="C3782">
        <v>29</v>
      </c>
      <c r="D3782" t="str">
        <f>VLOOKUP(B3782,Products!$A:$E,2,FALSE)</f>
        <v>Product_162</v>
      </c>
      <c r="E3782" t="str">
        <f>VLOOKUP(B3782,Products!$A:$E,3,FALSE)</f>
        <v>Accessories</v>
      </c>
    </row>
    <row r="3783" spans="1:5" x14ac:dyDescent="0.3">
      <c r="A3783" t="s">
        <v>9795</v>
      </c>
      <c r="B3783" t="s">
        <v>700</v>
      </c>
      <c r="C3783">
        <v>30</v>
      </c>
      <c r="D3783" t="str">
        <f>VLOOKUP(B3783,Products!$A:$E,2,FALSE)</f>
        <v>Product_346</v>
      </c>
      <c r="E3783" t="str">
        <f>VLOOKUP(B3783,Products!$A:$E,3,FALSE)</f>
        <v>Electronics</v>
      </c>
    </row>
    <row r="3784" spans="1:5" x14ac:dyDescent="0.3">
      <c r="A3784" t="s">
        <v>9796</v>
      </c>
      <c r="B3784" t="s">
        <v>40</v>
      </c>
      <c r="C3784">
        <v>10</v>
      </c>
      <c r="D3784" t="str">
        <f>VLOOKUP(B3784,Products!$A:$E,2,FALSE)</f>
        <v>Product_16</v>
      </c>
      <c r="E3784" t="str">
        <f>VLOOKUP(B3784,Products!$A:$E,3,FALSE)</f>
        <v>Office Supplies</v>
      </c>
    </row>
    <row r="3785" spans="1:5" x14ac:dyDescent="0.3">
      <c r="A3785" t="s">
        <v>9797</v>
      </c>
      <c r="B3785" t="s">
        <v>648</v>
      </c>
      <c r="C3785">
        <v>38</v>
      </c>
      <c r="D3785" t="str">
        <f>VLOOKUP(B3785,Products!$A:$E,2,FALSE)</f>
        <v>Product_320</v>
      </c>
      <c r="E3785" t="str">
        <f>VLOOKUP(B3785,Products!$A:$E,3,FALSE)</f>
        <v>Office Supplies</v>
      </c>
    </row>
    <row r="3786" spans="1:5" x14ac:dyDescent="0.3">
      <c r="A3786" t="s">
        <v>9798</v>
      </c>
      <c r="B3786" t="s">
        <v>180</v>
      </c>
      <c r="C3786">
        <v>40</v>
      </c>
      <c r="D3786" t="str">
        <f>VLOOKUP(B3786,Products!$A:$E,2,FALSE)</f>
        <v>Product_86</v>
      </c>
      <c r="E3786" t="str">
        <f>VLOOKUP(B3786,Products!$A:$E,3,FALSE)</f>
        <v>Storage</v>
      </c>
    </row>
    <row r="3787" spans="1:5" x14ac:dyDescent="0.3">
      <c r="A3787" t="s">
        <v>9799</v>
      </c>
      <c r="B3787" t="s">
        <v>370</v>
      </c>
      <c r="C3787">
        <v>37</v>
      </c>
      <c r="D3787" t="str">
        <f>VLOOKUP(B3787,Products!$A:$E,2,FALSE)</f>
        <v>Product_181</v>
      </c>
      <c r="E3787" t="str">
        <f>VLOOKUP(B3787,Products!$A:$E,3,FALSE)</f>
        <v>Storage</v>
      </c>
    </row>
    <row r="3788" spans="1:5" x14ac:dyDescent="0.3">
      <c r="A3788" t="s">
        <v>9800</v>
      </c>
      <c r="B3788" t="s">
        <v>450</v>
      </c>
      <c r="C3788">
        <v>27</v>
      </c>
      <c r="D3788" t="str">
        <f>VLOOKUP(B3788,Products!$A:$E,2,FALSE)</f>
        <v>Product_221</v>
      </c>
      <c r="E3788" t="str">
        <f>VLOOKUP(B3788,Products!$A:$E,3,FALSE)</f>
        <v>Office Supplies</v>
      </c>
    </row>
    <row r="3789" spans="1:5" x14ac:dyDescent="0.3">
      <c r="A3789" t="s">
        <v>9801</v>
      </c>
      <c r="B3789" t="s">
        <v>792</v>
      </c>
      <c r="C3789">
        <v>2</v>
      </c>
      <c r="D3789" t="str">
        <f>VLOOKUP(B3789,Products!$A:$E,2,FALSE)</f>
        <v>Product_392</v>
      </c>
      <c r="E3789" t="str">
        <f>VLOOKUP(B3789,Products!$A:$E,3,FALSE)</f>
        <v>Electronics</v>
      </c>
    </row>
    <row r="3790" spans="1:5" x14ac:dyDescent="0.3">
      <c r="A3790" t="s">
        <v>9802</v>
      </c>
      <c r="B3790" t="s">
        <v>778</v>
      </c>
      <c r="C3790">
        <v>19</v>
      </c>
      <c r="D3790" t="str">
        <f>VLOOKUP(B3790,Products!$A:$E,2,FALSE)</f>
        <v>Product_385</v>
      </c>
      <c r="E3790" t="str">
        <f>VLOOKUP(B3790,Products!$A:$E,3,FALSE)</f>
        <v>Networking</v>
      </c>
    </row>
    <row r="3791" spans="1:5" x14ac:dyDescent="0.3">
      <c r="A3791" t="s">
        <v>9803</v>
      </c>
      <c r="B3791" t="s">
        <v>578</v>
      </c>
      <c r="C3791">
        <v>48</v>
      </c>
      <c r="D3791" t="str">
        <f>VLOOKUP(B3791,Products!$A:$E,2,FALSE)</f>
        <v>Product_285</v>
      </c>
      <c r="E3791" t="str">
        <f>VLOOKUP(B3791,Products!$A:$E,3,FALSE)</f>
        <v>Networking</v>
      </c>
    </row>
    <row r="3792" spans="1:5" x14ac:dyDescent="0.3">
      <c r="A3792" t="s">
        <v>9804</v>
      </c>
      <c r="B3792" t="s">
        <v>512</v>
      </c>
      <c r="C3792">
        <v>16</v>
      </c>
      <c r="D3792" t="str">
        <f>VLOOKUP(B3792,Products!$A:$E,2,FALSE)</f>
        <v>Product_252</v>
      </c>
      <c r="E3792" t="str">
        <f>VLOOKUP(B3792,Products!$A:$E,3,FALSE)</f>
        <v>Networking</v>
      </c>
    </row>
    <row r="3793" spans="1:5" x14ac:dyDescent="0.3">
      <c r="A3793" t="s">
        <v>9805</v>
      </c>
      <c r="B3793" t="s">
        <v>394</v>
      </c>
      <c r="C3793">
        <v>35</v>
      </c>
      <c r="D3793" t="str">
        <f>VLOOKUP(B3793,Products!$A:$E,2,FALSE)</f>
        <v>Product_193</v>
      </c>
      <c r="E3793" t="str">
        <f>VLOOKUP(B3793,Products!$A:$E,3,FALSE)</f>
        <v>Accessories</v>
      </c>
    </row>
    <row r="3794" spans="1:5" x14ac:dyDescent="0.3">
      <c r="A3794" t="s">
        <v>9806</v>
      </c>
      <c r="B3794" t="s">
        <v>144</v>
      </c>
      <c r="C3794">
        <v>25</v>
      </c>
      <c r="D3794" t="str">
        <f>VLOOKUP(B3794,Products!$A:$E,2,FALSE)</f>
        <v>Product_68</v>
      </c>
      <c r="E3794" t="str">
        <f>VLOOKUP(B3794,Products!$A:$E,3,FALSE)</f>
        <v>Accessories</v>
      </c>
    </row>
    <row r="3795" spans="1:5" x14ac:dyDescent="0.3">
      <c r="A3795" t="s">
        <v>9807</v>
      </c>
      <c r="B3795" t="s">
        <v>630</v>
      </c>
      <c r="C3795">
        <v>8</v>
      </c>
      <c r="D3795" t="str">
        <f>VLOOKUP(B3795,Products!$A:$E,2,FALSE)</f>
        <v>Product_311</v>
      </c>
      <c r="E3795" t="str">
        <f>VLOOKUP(B3795,Products!$A:$E,3,FALSE)</f>
        <v>Networking</v>
      </c>
    </row>
    <row r="3796" spans="1:5" x14ac:dyDescent="0.3">
      <c r="A3796" t="s">
        <v>9808</v>
      </c>
      <c r="B3796" t="s">
        <v>108</v>
      </c>
      <c r="C3796">
        <v>26</v>
      </c>
      <c r="D3796" t="str">
        <f>VLOOKUP(B3796,Products!$A:$E,2,FALSE)</f>
        <v>Product_50</v>
      </c>
      <c r="E3796" t="str">
        <f>VLOOKUP(B3796,Products!$A:$E,3,FALSE)</f>
        <v>Networking</v>
      </c>
    </row>
    <row r="3797" spans="1:5" x14ac:dyDescent="0.3">
      <c r="A3797" t="s">
        <v>9809</v>
      </c>
      <c r="B3797" t="s">
        <v>232</v>
      </c>
      <c r="C3797">
        <v>14</v>
      </c>
      <c r="D3797" t="str">
        <f>VLOOKUP(B3797,Products!$A:$E,2,FALSE)</f>
        <v>Product_112</v>
      </c>
      <c r="E3797" t="str">
        <f>VLOOKUP(B3797,Products!$A:$E,3,FALSE)</f>
        <v>Storage</v>
      </c>
    </row>
    <row r="3798" spans="1:5" x14ac:dyDescent="0.3">
      <c r="A3798" t="s">
        <v>9810</v>
      </c>
      <c r="B3798" t="s">
        <v>122</v>
      </c>
      <c r="C3798">
        <v>37</v>
      </c>
      <c r="D3798" t="str">
        <f>VLOOKUP(B3798,Products!$A:$E,2,FALSE)</f>
        <v>Product_57</v>
      </c>
      <c r="E3798" t="str">
        <f>VLOOKUP(B3798,Products!$A:$E,3,FALSE)</f>
        <v>Electronics</v>
      </c>
    </row>
    <row r="3799" spans="1:5" x14ac:dyDescent="0.3">
      <c r="A3799" t="s">
        <v>9811</v>
      </c>
      <c r="B3799" t="s">
        <v>306</v>
      </c>
      <c r="C3799">
        <v>12</v>
      </c>
      <c r="D3799" t="str">
        <f>VLOOKUP(B3799,Products!$A:$E,2,FALSE)</f>
        <v>Product_149</v>
      </c>
      <c r="E3799" t="str">
        <f>VLOOKUP(B3799,Products!$A:$E,3,FALSE)</f>
        <v>Accessories</v>
      </c>
    </row>
    <row r="3800" spans="1:5" x14ac:dyDescent="0.3">
      <c r="A3800" t="s">
        <v>9812</v>
      </c>
      <c r="B3800" t="s">
        <v>894</v>
      </c>
      <c r="C3800">
        <v>11</v>
      </c>
      <c r="D3800" t="str">
        <f>VLOOKUP(B3800,Products!$A:$E,2,FALSE)</f>
        <v>Product_443</v>
      </c>
      <c r="E3800" t="str">
        <f>VLOOKUP(B3800,Products!$A:$E,3,FALSE)</f>
        <v>Networking</v>
      </c>
    </row>
    <row r="3801" spans="1:5" x14ac:dyDescent="0.3">
      <c r="A3801" t="s">
        <v>9813</v>
      </c>
      <c r="B3801" t="s">
        <v>794</v>
      </c>
      <c r="C3801">
        <v>50</v>
      </c>
      <c r="D3801" t="str">
        <f>VLOOKUP(B3801,Products!$A:$E,2,FALSE)</f>
        <v>Product_393</v>
      </c>
      <c r="E3801" t="str">
        <f>VLOOKUP(B3801,Products!$A:$E,3,FALSE)</f>
        <v>Electronics</v>
      </c>
    </row>
    <row r="3802" spans="1:5" x14ac:dyDescent="0.3">
      <c r="A3802" t="s">
        <v>9814</v>
      </c>
      <c r="B3802" t="s">
        <v>762</v>
      </c>
      <c r="C3802">
        <v>26</v>
      </c>
      <c r="D3802" t="str">
        <f>VLOOKUP(B3802,Products!$A:$E,2,FALSE)</f>
        <v>Product_377</v>
      </c>
      <c r="E3802" t="str">
        <f>VLOOKUP(B3802,Products!$A:$E,3,FALSE)</f>
        <v>Networking</v>
      </c>
    </row>
    <row r="3803" spans="1:5" x14ac:dyDescent="0.3">
      <c r="A3803" t="s">
        <v>9815</v>
      </c>
      <c r="B3803" t="s">
        <v>572</v>
      </c>
      <c r="C3803">
        <v>27</v>
      </c>
      <c r="D3803" t="str">
        <f>VLOOKUP(B3803,Products!$A:$E,2,FALSE)</f>
        <v>Product_282</v>
      </c>
      <c r="E3803" t="str">
        <f>VLOOKUP(B3803,Products!$A:$E,3,FALSE)</f>
        <v>Networking</v>
      </c>
    </row>
    <row r="3804" spans="1:5" x14ac:dyDescent="0.3">
      <c r="A3804" t="s">
        <v>9816</v>
      </c>
      <c r="B3804" t="s">
        <v>370</v>
      </c>
      <c r="C3804">
        <v>49</v>
      </c>
      <c r="D3804" t="str">
        <f>VLOOKUP(B3804,Products!$A:$E,2,FALSE)</f>
        <v>Product_181</v>
      </c>
      <c r="E3804" t="str">
        <f>VLOOKUP(B3804,Products!$A:$E,3,FALSE)</f>
        <v>Storage</v>
      </c>
    </row>
    <row r="3805" spans="1:5" x14ac:dyDescent="0.3">
      <c r="A3805" t="s">
        <v>9817</v>
      </c>
      <c r="B3805" t="s">
        <v>232</v>
      </c>
      <c r="C3805">
        <v>27</v>
      </c>
      <c r="D3805" t="str">
        <f>VLOOKUP(B3805,Products!$A:$E,2,FALSE)</f>
        <v>Product_112</v>
      </c>
      <c r="E3805" t="str">
        <f>VLOOKUP(B3805,Products!$A:$E,3,FALSE)</f>
        <v>Storage</v>
      </c>
    </row>
    <row r="3806" spans="1:5" x14ac:dyDescent="0.3">
      <c r="A3806" t="s">
        <v>9818</v>
      </c>
      <c r="B3806" t="s">
        <v>932</v>
      </c>
      <c r="C3806">
        <v>39</v>
      </c>
      <c r="D3806" t="str">
        <f>VLOOKUP(B3806,Products!$A:$E,2,FALSE)</f>
        <v>Product_462</v>
      </c>
      <c r="E3806" t="str">
        <f>VLOOKUP(B3806,Products!$A:$E,3,FALSE)</f>
        <v>Electronics</v>
      </c>
    </row>
    <row r="3807" spans="1:5" x14ac:dyDescent="0.3">
      <c r="A3807" t="s">
        <v>9819</v>
      </c>
      <c r="B3807" t="s">
        <v>294</v>
      </c>
      <c r="C3807">
        <v>21</v>
      </c>
      <c r="D3807" t="str">
        <f>VLOOKUP(B3807,Products!$A:$E,2,FALSE)</f>
        <v>Product_143</v>
      </c>
      <c r="E3807" t="str">
        <f>VLOOKUP(B3807,Products!$A:$E,3,FALSE)</f>
        <v>Office Supplies</v>
      </c>
    </row>
    <row r="3808" spans="1:5" x14ac:dyDescent="0.3">
      <c r="A3808" t="s">
        <v>9820</v>
      </c>
      <c r="B3808" t="s">
        <v>798</v>
      </c>
      <c r="C3808">
        <v>24</v>
      </c>
      <c r="D3808" t="str">
        <f>VLOOKUP(B3808,Products!$A:$E,2,FALSE)</f>
        <v>Product_395</v>
      </c>
      <c r="E3808" t="str">
        <f>VLOOKUP(B3808,Products!$A:$E,3,FALSE)</f>
        <v>Accessories</v>
      </c>
    </row>
    <row r="3809" spans="1:5" x14ac:dyDescent="0.3">
      <c r="A3809" t="s">
        <v>9821</v>
      </c>
      <c r="B3809" t="s">
        <v>654</v>
      </c>
      <c r="C3809">
        <v>7</v>
      </c>
      <c r="D3809" t="str">
        <f>VLOOKUP(B3809,Products!$A:$E,2,FALSE)</f>
        <v>Product_323</v>
      </c>
      <c r="E3809" t="str">
        <f>VLOOKUP(B3809,Products!$A:$E,3,FALSE)</f>
        <v>Electronics</v>
      </c>
    </row>
    <row r="3810" spans="1:5" x14ac:dyDescent="0.3">
      <c r="A3810" t="s">
        <v>9822</v>
      </c>
      <c r="B3810" t="s">
        <v>690</v>
      </c>
      <c r="C3810">
        <v>44</v>
      </c>
      <c r="D3810" t="str">
        <f>VLOOKUP(B3810,Products!$A:$E,2,FALSE)</f>
        <v>Product_341</v>
      </c>
      <c r="E3810" t="str">
        <f>VLOOKUP(B3810,Products!$A:$E,3,FALSE)</f>
        <v>Storage</v>
      </c>
    </row>
    <row r="3811" spans="1:5" x14ac:dyDescent="0.3">
      <c r="A3811" t="s">
        <v>9823</v>
      </c>
      <c r="B3811" t="s">
        <v>992</v>
      </c>
      <c r="C3811">
        <v>41</v>
      </c>
      <c r="D3811" t="str">
        <f>VLOOKUP(B3811,Products!$A:$E,2,FALSE)</f>
        <v>Product_492</v>
      </c>
      <c r="E3811" t="str">
        <f>VLOOKUP(B3811,Products!$A:$E,3,FALSE)</f>
        <v>Electronics</v>
      </c>
    </row>
    <row r="3812" spans="1:5" x14ac:dyDescent="0.3">
      <c r="A3812" t="s">
        <v>9824</v>
      </c>
      <c r="B3812" t="s">
        <v>790</v>
      </c>
      <c r="C3812">
        <v>41</v>
      </c>
      <c r="D3812" t="str">
        <f>VLOOKUP(B3812,Products!$A:$E,2,FALSE)</f>
        <v>Product_391</v>
      </c>
      <c r="E3812" t="str">
        <f>VLOOKUP(B3812,Products!$A:$E,3,FALSE)</f>
        <v>Accessories</v>
      </c>
    </row>
    <row r="3813" spans="1:5" x14ac:dyDescent="0.3">
      <c r="A3813" t="s">
        <v>9825</v>
      </c>
      <c r="B3813" t="s">
        <v>334</v>
      </c>
      <c r="C3813">
        <v>33</v>
      </c>
      <c r="D3813" t="str">
        <f>VLOOKUP(B3813,Products!$A:$E,2,FALSE)</f>
        <v>Product_163</v>
      </c>
      <c r="E3813" t="str">
        <f>VLOOKUP(B3813,Products!$A:$E,3,FALSE)</f>
        <v>Accessories</v>
      </c>
    </row>
    <row r="3814" spans="1:5" x14ac:dyDescent="0.3">
      <c r="A3814" t="s">
        <v>9826</v>
      </c>
      <c r="B3814" t="s">
        <v>558</v>
      </c>
      <c r="C3814">
        <v>35</v>
      </c>
      <c r="D3814" t="str">
        <f>VLOOKUP(B3814,Products!$A:$E,2,FALSE)</f>
        <v>Product_275</v>
      </c>
      <c r="E3814" t="str">
        <f>VLOOKUP(B3814,Products!$A:$E,3,FALSE)</f>
        <v>Accessories</v>
      </c>
    </row>
    <row r="3815" spans="1:5" x14ac:dyDescent="0.3">
      <c r="A3815" t="s">
        <v>9827</v>
      </c>
      <c r="B3815" t="s">
        <v>410</v>
      </c>
      <c r="C3815">
        <v>15</v>
      </c>
      <c r="D3815" t="str">
        <f>VLOOKUP(B3815,Products!$A:$E,2,FALSE)</f>
        <v>Product_201</v>
      </c>
      <c r="E3815" t="str">
        <f>VLOOKUP(B3815,Products!$A:$E,3,FALSE)</f>
        <v>Networking</v>
      </c>
    </row>
    <row r="3816" spans="1:5" x14ac:dyDescent="0.3">
      <c r="A3816" t="s">
        <v>9828</v>
      </c>
      <c r="B3816" t="s">
        <v>888</v>
      </c>
      <c r="C3816">
        <v>26</v>
      </c>
      <c r="D3816" t="str">
        <f>VLOOKUP(B3816,Products!$A:$E,2,FALSE)</f>
        <v>Product_440</v>
      </c>
      <c r="E3816" t="str">
        <f>VLOOKUP(B3816,Products!$A:$E,3,FALSE)</f>
        <v>Accessories</v>
      </c>
    </row>
    <row r="3817" spans="1:5" x14ac:dyDescent="0.3">
      <c r="A3817" t="s">
        <v>9829</v>
      </c>
      <c r="B3817" t="s">
        <v>516</v>
      </c>
      <c r="C3817">
        <v>49</v>
      </c>
      <c r="D3817" t="str">
        <f>VLOOKUP(B3817,Products!$A:$E,2,FALSE)</f>
        <v>Product_254</v>
      </c>
      <c r="E3817" t="str">
        <f>VLOOKUP(B3817,Products!$A:$E,3,FALSE)</f>
        <v>Office Supplies</v>
      </c>
    </row>
    <row r="3818" spans="1:5" x14ac:dyDescent="0.3">
      <c r="A3818" t="s">
        <v>9830</v>
      </c>
      <c r="B3818" t="s">
        <v>484</v>
      </c>
      <c r="C3818">
        <v>19</v>
      </c>
      <c r="D3818" t="str">
        <f>VLOOKUP(B3818,Products!$A:$E,2,FALSE)</f>
        <v>Product_238</v>
      </c>
      <c r="E3818" t="str">
        <f>VLOOKUP(B3818,Products!$A:$E,3,FALSE)</f>
        <v>Accessories</v>
      </c>
    </row>
    <row r="3819" spans="1:5" x14ac:dyDescent="0.3">
      <c r="A3819" t="s">
        <v>9831</v>
      </c>
      <c r="B3819" t="s">
        <v>854</v>
      </c>
      <c r="C3819">
        <v>29</v>
      </c>
      <c r="D3819" t="str">
        <f>VLOOKUP(B3819,Products!$A:$E,2,FALSE)</f>
        <v>Product_423</v>
      </c>
      <c r="E3819" t="str">
        <f>VLOOKUP(B3819,Products!$A:$E,3,FALSE)</f>
        <v>Office Supplies</v>
      </c>
    </row>
    <row r="3820" spans="1:5" x14ac:dyDescent="0.3">
      <c r="A3820" t="s">
        <v>9832</v>
      </c>
      <c r="B3820" t="s">
        <v>170</v>
      </c>
      <c r="C3820">
        <v>12</v>
      </c>
      <c r="D3820" t="str">
        <f>VLOOKUP(B3820,Products!$A:$E,2,FALSE)</f>
        <v>Product_81</v>
      </c>
      <c r="E3820" t="str">
        <f>VLOOKUP(B3820,Products!$A:$E,3,FALSE)</f>
        <v>Office Supplies</v>
      </c>
    </row>
    <row r="3821" spans="1:5" x14ac:dyDescent="0.3">
      <c r="A3821" t="s">
        <v>9833</v>
      </c>
      <c r="B3821" t="s">
        <v>418</v>
      </c>
      <c r="C3821">
        <v>19</v>
      </c>
      <c r="D3821" t="str">
        <f>VLOOKUP(B3821,Products!$A:$E,2,FALSE)</f>
        <v>Product_205</v>
      </c>
      <c r="E3821" t="str">
        <f>VLOOKUP(B3821,Products!$A:$E,3,FALSE)</f>
        <v>Storage</v>
      </c>
    </row>
    <row r="3822" spans="1:5" x14ac:dyDescent="0.3">
      <c r="A3822" t="s">
        <v>9834</v>
      </c>
      <c r="B3822" t="s">
        <v>8</v>
      </c>
      <c r="C3822">
        <v>35</v>
      </c>
      <c r="D3822" t="str">
        <f>VLOOKUP(B3822,Products!$A:$E,2,FALSE)</f>
        <v>Product_2</v>
      </c>
      <c r="E3822" t="str">
        <f>VLOOKUP(B3822,Products!$A:$E,3,FALSE)</f>
        <v>Office Supplies</v>
      </c>
    </row>
    <row r="3823" spans="1:5" x14ac:dyDescent="0.3">
      <c r="A3823" t="s">
        <v>9835</v>
      </c>
      <c r="B3823" t="s">
        <v>858</v>
      </c>
      <c r="C3823">
        <v>22</v>
      </c>
      <c r="D3823" t="str">
        <f>VLOOKUP(B3823,Products!$A:$E,2,FALSE)</f>
        <v>Product_425</v>
      </c>
      <c r="E3823" t="str">
        <f>VLOOKUP(B3823,Products!$A:$E,3,FALSE)</f>
        <v>Office Supplies</v>
      </c>
    </row>
    <row r="3824" spans="1:5" x14ac:dyDescent="0.3">
      <c r="A3824" t="s">
        <v>9836</v>
      </c>
      <c r="B3824" t="s">
        <v>790</v>
      </c>
      <c r="C3824">
        <v>30</v>
      </c>
      <c r="D3824" t="str">
        <f>VLOOKUP(B3824,Products!$A:$E,2,FALSE)</f>
        <v>Product_391</v>
      </c>
      <c r="E3824" t="str">
        <f>VLOOKUP(B3824,Products!$A:$E,3,FALSE)</f>
        <v>Accessories</v>
      </c>
    </row>
    <row r="3825" spans="1:5" x14ac:dyDescent="0.3">
      <c r="A3825" t="s">
        <v>9837</v>
      </c>
      <c r="B3825" t="s">
        <v>680</v>
      </c>
      <c r="C3825">
        <v>12</v>
      </c>
      <c r="D3825" t="str">
        <f>VLOOKUP(B3825,Products!$A:$E,2,FALSE)</f>
        <v>Product_336</v>
      </c>
      <c r="E3825" t="str">
        <f>VLOOKUP(B3825,Products!$A:$E,3,FALSE)</f>
        <v>Storage</v>
      </c>
    </row>
    <row r="3826" spans="1:5" x14ac:dyDescent="0.3">
      <c r="A3826" t="s">
        <v>9838</v>
      </c>
      <c r="B3826" t="s">
        <v>708</v>
      </c>
      <c r="C3826">
        <v>7</v>
      </c>
      <c r="D3826" t="str">
        <f>VLOOKUP(B3826,Products!$A:$E,2,FALSE)</f>
        <v>Product_350</v>
      </c>
      <c r="E3826" t="str">
        <f>VLOOKUP(B3826,Products!$A:$E,3,FALSE)</f>
        <v>Networking</v>
      </c>
    </row>
    <row r="3827" spans="1:5" x14ac:dyDescent="0.3">
      <c r="A3827" t="s">
        <v>9839</v>
      </c>
      <c r="B3827" t="s">
        <v>402</v>
      </c>
      <c r="C3827">
        <v>38</v>
      </c>
      <c r="D3827" t="str">
        <f>VLOOKUP(B3827,Products!$A:$E,2,FALSE)</f>
        <v>Product_197</v>
      </c>
      <c r="E3827" t="str">
        <f>VLOOKUP(B3827,Products!$A:$E,3,FALSE)</f>
        <v>Electronics</v>
      </c>
    </row>
    <row r="3828" spans="1:5" x14ac:dyDescent="0.3">
      <c r="A3828" t="s">
        <v>9840</v>
      </c>
      <c r="B3828" t="s">
        <v>678</v>
      </c>
      <c r="C3828">
        <v>27</v>
      </c>
      <c r="D3828" t="str">
        <f>VLOOKUP(B3828,Products!$A:$E,2,FALSE)</f>
        <v>Product_335</v>
      </c>
      <c r="E3828" t="str">
        <f>VLOOKUP(B3828,Products!$A:$E,3,FALSE)</f>
        <v>Networking</v>
      </c>
    </row>
    <row r="3829" spans="1:5" x14ac:dyDescent="0.3">
      <c r="A3829" t="s">
        <v>9841</v>
      </c>
      <c r="B3829" t="s">
        <v>1006</v>
      </c>
      <c r="C3829">
        <v>27</v>
      </c>
      <c r="D3829" t="str">
        <f>VLOOKUP(B3829,Products!$A:$E,2,FALSE)</f>
        <v>Product_499</v>
      </c>
      <c r="E3829" t="str">
        <f>VLOOKUP(B3829,Products!$A:$E,3,FALSE)</f>
        <v>Office Supplies</v>
      </c>
    </row>
    <row r="3830" spans="1:5" x14ac:dyDescent="0.3">
      <c r="A3830" t="s">
        <v>9842</v>
      </c>
      <c r="B3830" t="s">
        <v>430</v>
      </c>
      <c r="C3830">
        <v>13</v>
      </c>
      <c r="D3830" t="str">
        <f>VLOOKUP(B3830,Products!$A:$E,2,FALSE)</f>
        <v>Product_211</v>
      </c>
      <c r="E3830" t="str">
        <f>VLOOKUP(B3830,Products!$A:$E,3,FALSE)</f>
        <v>Storage</v>
      </c>
    </row>
    <row r="3831" spans="1:5" x14ac:dyDescent="0.3">
      <c r="A3831" t="s">
        <v>9843</v>
      </c>
      <c r="B3831" t="s">
        <v>660</v>
      </c>
      <c r="C3831">
        <v>2</v>
      </c>
      <c r="D3831" t="str">
        <f>VLOOKUP(B3831,Products!$A:$E,2,FALSE)</f>
        <v>Product_326</v>
      </c>
      <c r="E3831" t="str">
        <f>VLOOKUP(B3831,Products!$A:$E,3,FALSE)</f>
        <v>Electronics</v>
      </c>
    </row>
    <row r="3832" spans="1:5" x14ac:dyDescent="0.3">
      <c r="A3832" t="s">
        <v>9844</v>
      </c>
      <c r="B3832" t="s">
        <v>642</v>
      </c>
      <c r="C3832">
        <v>15</v>
      </c>
      <c r="D3832" t="str">
        <f>VLOOKUP(B3832,Products!$A:$E,2,FALSE)</f>
        <v>Product_317</v>
      </c>
      <c r="E3832" t="str">
        <f>VLOOKUP(B3832,Products!$A:$E,3,FALSE)</f>
        <v>Storage</v>
      </c>
    </row>
    <row r="3833" spans="1:5" x14ac:dyDescent="0.3">
      <c r="A3833" t="s">
        <v>9845</v>
      </c>
      <c r="B3833" t="s">
        <v>150</v>
      </c>
      <c r="C3833">
        <v>40</v>
      </c>
      <c r="D3833" t="str">
        <f>VLOOKUP(B3833,Products!$A:$E,2,FALSE)</f>
        <v>Product_71</v>
      </c>
      <c r="E3833" t="str">
        <f>VLOOKUP(B3833,Products!$A:$E,3,FALSE)</f>
        <v>Accessories</v>
      </c>
    </row>
    <row r="3834" spans="1:5" x14ac:dyDescent="0.3">
      <c r="A3834" t="s">
        <v>9846</v>
      </c>
      <c r="B3834" t="s">
        <v>644</v>
      </c>
      <c r="C3834">
        <v>33</v>
      </c>
      <c r="D3834" t="str">
        <f>VLOOKUP(B3834,Products!$A:$E,2,FALSE)</f>
        <v>Product_318</v>
      </c>
      <c r="E3834" t="str">
        <f>VLOOKUP(B3834,Products!$A:$E,3,FALSE)</f>
        <v>Storage</v>
      </c>
    </row>
    <row r="3835" spans="1:5" x14ac:dyDescent="0.3">
      <c r="A3835" t="s">
        <v>9847</v>
      </c>
      <c r="B3835" t="s">
        <v>92</v>
      </c>
      <c r="C3835">
        <v>39</v>
      </c>
      <c r="D3835" t="str">
        <f>VLOOKUP(B3835,Products!$A:$E,2,FALSE)</f>
        <v>Product_42</v>
      </c>
      <c r="E3835" t="str">
        <f>VLOOKUP(B3835,Products!$A:$E,3,FALSE)</f>
        <v>Storage</v>
      </c>
    </row>
    <row r="3836" spans="1:5" x14ac:dyDescent="0.3">
      <c r="A3836" t="s">
        <v>9848</v>
      </c>
      <c r="B3836" t="s">
        <v>594</v>
      </c>
      <c r="C3836">
        <v>47</v>
      </c>
      <c r="D3836" t="str">
        <f>VLOOKUP(B3836,Products!$A:$E,2,FALSE)</f>
        <v>Product_293</v>
      </c>
      <c r="E3836" t="str">
        <f>VLOOKUP(B3836,Products!$A:$E,3,FALSE)</f>
        <v>Networking</v>
      </c>
    </row>
    <row r="3837" spans="1:5" x14ac:dyDescent="0.3">
      <c r="A3837" t="s">
        <v>9849</v>
      </c>
      <c r="B3837" t="s">
        <v>428</v>
      </c>
      <c r="C3837">
        <v>2</v>
      </c>
      <c r="D3837" t="str">
        <f>VLOOKUP(B3837,Products!$A:$E,2,FALSE)</f>
        <v>Product_210</v>
      </c>
      <c r="E3837" t="str">
        <f>VLOOKUP(B3837,Products!$A:$E,3,FALSE)</f>
        <v>Electronics</v>
      </c>
    </row>
    <row r="3838" spans="1:5" x14ac:dyDescent="0.3">
      <c r="A3838" t="s">
        <v>9850</v>
      </c>
      <c r="B3838" t="s">
        <v>342</v>
      </c>
      <c r="C3838">
        <v>40</v>
      </c>
      <c r="D3838" t="str">
        <f>VLOOKUP(B3838,Products!$A:$E,2,FALSE)</f>
        <v>Product_167</v>
      </c>
      <c r="E3838" t="str">
        <f>VLOOKUP(B3838,Products!$A:$E,3,FALSE)</f>
        <v>Electronics</v>
      </c>
    </row>
    <row r="3839" spans="1:5" x14ac:dyDescent="0.3">
      <c r="A3839" t="s">
        <v>9851</v>
      </c>
      <c r="B3839" t="s">
        <v>264</v>
      </c>
      <c r="C3839">
        <v>11</v>
      </c>
      <c r="D3839" t="str">
        <f>VLOOKUP(B3839,Products!$A:$E,2,FALSE)</f>
        <v>Product_128</v>
      </c>
      <c r="E3839" t="str">
        <f>VLOOKUP(B3839,Products!$A:$E,3,FALSE)</f>
        <v>Office Supplies</v>
      </c>
    </row>
    <row r="3840" spans="1:5" x14ac:dyDescent="0.3">
      <c r="A3840" t="s">
        <v>9852</v>
      </c>
      <c r="B3840" t="s">
        <v>592</v>
      </c>
      <c r="C3840">
        <v>41</v>
      </c>
      <c r="D3840" t="str">
        <f>VLOOKUP(B3840,Products!$A:$E,2,FALSE)</f>
        <v>Product_292</v>
      </c>
      <c r="E3840" t="str">
        <f>VLOOKUP(B3840,Products!$A:$E,3,FALSE)</f>
        <v>Networking</v>
      </c>
    </row>
    <row r="3841" spans="1:5" x14ac:dyDescent="0.3">
      <c r="A3841" t="s">
        <v>9853</v>
      </c>
      <c r="B3841" t="s">
        <v>492</v>
      </c>
      <c r="C3841">
        <v>44</v>
      </c>
      <c r="D3841" t="str">
        <f>VLOOKUP(B3841,Products!$A:$E,2,FALSE)</f>
        <v>Product_242</v>
      </c>
      <c r="E3841" t="str">
        <f>VLOOKUP(B3841,Products!$A:$E,3,FALSE)</f>
        <v>Networking</v>
      </c>
    </row>
    <row r="3842" spans="1:5" x14ac:dyDescent="0.3">
      <c r="A3842" t="s">
        <v>9854</v>
      </c>
      <c r="B3842" t="s">
        <v>102</v>
      </c>
      <c r="C3842">
        <v>24</v>
      </c>
      <c r="D3842" t="str">
        <f>VLOOKUP(B3842,Products!$A:$E,2,FALSE)</f>
        <v>Product_47</v>
      </c>
      <c r="E3842" t="str">
        <f>VLOOKUP(B3842,Products!$A:$E,3,FALSE)</f>
        <v>Electronics</v>
      </c>
    </row>
    <row r="3843" spans="1:5" x14ac:dyDescent="0.3">
      <c r="A3843" t="s">
        <v>9855</v>
      </c>
      <c r="B3843" t="s">
        <v>32</v>
      </c>
      <c r="C3843">
        <v>48</v>
      </c>
      <c r="D3843" t="str">
        <f>VLOOKUP(B3843,Products!$A:$E,2,FALSE)</f>
        <v>Product_12</v>
      </c>
      <c r="E3843" t="str">
        <f>VLOOKUP(B3843,Products!$A:$E,3,FALSE)</f>
        <v>Accessories</v>
      </c>
    </row>
    <row r="3844" spans="1:5" x14ac:dyDescent="0.3">
      <c r="A3844" t="s">
        <v>9856</v>
      </c>
      <c r="B3844" t="s">
        <v>624</v>
      </c>
      <c r="C3844">
        <v>42</v>
      </c>
      <c r="D3844" t="str">
        <f>VLOOKUP(B3844,Products!$A:$E,2,FALSE)</f>
        <v>Product_308</v>
      </c>
      <c r="E3844" t="str">
        <f>VLOOKUP(B3844,Products!$A:$E,3,FALSE)</f>
        <v>Storage</v>
      </c>
    </row>
    <row r="3845" spans="1:5" x14ac:dyDescent="0.3">
      <c r="A3845" t="s">
        <v>9857</v>
      </c>
      <c r="B3845" t="s">
        <v>408</v>
      </c>
      <c r="C3845">
        <v>36</v>
      </c>
      <c r="D3845" t="str">
        <f>VLOOKUP(B3845,Products!$A:$E,2,FALSE)</f>
        <v>Product_200</v>
      </c>
      <c r="E3845" t="str">
        <f>VLOOKUP(B3845,Products!$A:$E,3,FALSE)</f>
        <v>Office Supplies</v>
      </c>
    </row>
    <row r="3846" spans="1:5" x14ac:dyDescent="0.3">
      <c r="A3846" t="s">
        <v>9858</v>
      </c>
      <c r="B3846" t="s">
        <v>532</v>
      </c>
      <c r="C3846">
        <v>13</v>
      </c>
      <c r="D3846" t="str">
        <f>VLOOKUP(B3846,Products!$A:$E,2,FALSE)</f>
        <v>Product_262</v>
      </c>
      <c r="E3846" t="str">
        <f>VLOOKUP(B3846,Products!$A:$E,3,FALSE)</f>
        <v>Electronics</v>
      </c>
    </row>
    <row r="3847" spans="1:5" x14ac:dyDescent="0.3">
      <c r="A3847" t="s">
        <v>9859</v>
      </c>
      <c r="B3847" t="s">
        <v>880</v>
      </c>
      <c r="C3847">
        <v>11</v>
      </c>
      <c r="D3847" t="str">
        <f>VLOOKUP(B3847,Products!$A:$E,2,FALSE)</f>
        <v>Product_436</v>
      </c>
      <c r="E3847" t="str">
        <f>VLOOKUP(B3847,Products!$A:$E,3,FALSE)</f>
        <v>Networking</v>
      </c>
    </row>
    <row r="3848" spans="1:5" x14ac:dyDescent="0.3">
      <c r="A3848" t="s">
        <v>9860</v>
      </c>
      <c r="B3848" t="s">
        <v>478</v>
      </c>
      <c r="C3848">
        <v>24</v>
      </c>
      <c r="D3848" t="str">
        <f>VLOOKUP(B3848,Products!$A:$E,2,FALSE)</f>
        <v>Product_235</v>
      </c>
      <c r="E3848" t="str">
        <f>VLOOKUP(B3848,Products!$A:$E,3,FALSE)</f>
        <v>Accessories</v>
      </c>
    </row>
    <row r="3849" spans="1:5" x14ac:dyDescent="0.3">
      <c r="A3849" t="s">
        <v>9861</v>
      </c>
      <c r="B3849" t="s">
        <v>750</v>
      </c>
      <c r="C3849">
        <v>16</v>
      </c>
      <c r="D3849" t="str">
        <f>VLOOKUP(B3849,Products!$A:$E,2,FALSE)</f>
        <v>Product_371</v>
      </c>
      <c r="E3849" t="str">
        <f>VLOOKUP(B3849,Products!$A:$E,3,FALSE)</f>
        <v>Storage</v>
      </c>
    </row>
    <row r="3850" spans="1:5" x14ac:dyDescent="0.3">
      <c r="A3850" t="s">
        <v>9862</v>
      </c>
      <c r="B3850" t="s">
        <v>188</v>
      </c>
      <c r="C3850">
        <v>31</v>
      </c>
      <c r="D3850" t="str">
        <f>VLOOKUP(B3850,Products!$A:$E,2,FALSE)</f>
        <v>Product_90</v>
      </c>
      <c r="E3850" t="str">
        <f>VLOOKUP(B3850,Products!$A:$E,3,FALSE)</f>
        <v>Accessories</v>
      </c>
    </row>
    <row r="3851" spans="1:5" x14ac:dyDescent="0.3">
      <c r="A3851" t="s">
        <v>9863</v>
      </c>
      <c r="B3851" t="s">
        <v>968</v>
      </c>
      <c r="C3851">
        <v>46</v>
      </c>
      <c r="D3851" t="str">
        <f>VLOOKUP(B3851,Products!$A:$E,2,FALSE)</f>
        <v>Product_480</v>
      </c>
      <c r="E3851" t="str">
        <f>VLOOKUP(B3851,Products!$A:$E,3,FALSE)</f>
        <v>Accessories</v>
      </c>
    </row>
    <row r="3852" spans="1:5" x14ac:dyDescent="0.3">
      <c r="A3852" t="s">
        <v>9864</v>
      </c>
      <c r="B3852" t="s">
        <v>952</v>
      </c>
      <c r="C3852">
        <v>13</v>
      </c>
      <c r="D3852" t="str">
        <f>VLOOKUP(B3852,Products!$A:$E,2,FALSE)</f>
        <v>Product_472</v>
      </c>
      <c r="E3852" t="str">
        <f>VLOOKUP(B3852,Products!$A:$E,3,FALSE)</f>
        <v>Electronics</v>
      </c>
    </row>
    <row r="3853" spans="1:5" x14ac:dyDescent="0.3">
      <c r="A3853" t="s">
        <v>9865</v>
      </c>
      <c r="B3853" t="s">
        <v>340</v>
      </c>
      <c r="C3853">
        <v>9</v>
      </c>
      <c r="D3853" t="str">
        <f>VLOOKUP(B3853,Products!$A:$E,2,FALSE)</f>
        <v>Product_166</v>
      </c>
      <c r="E3853" t="str">
        <f>VLOOKUP(B3853,Products!$A:$E,3,FALSE)</f>
        <v>Accessories</v>
      </c>
    </row>
    <row r="3854" spans="1:5" x14ac:dyDescent="0.3">
      <c r="A3854" t="s">
        <v>9866</v>
      </c>
      <c r="B3854" t="s">
        <v>310</v>
      </c>
      <c r="C3854">
        <v>5</v>
      </c>
      <c r="D3854" t="str">
        <f>VLOOKUP(B3854,Products!$A:$E,2,FALSE)</f>
        <v>Product_151</v>
      </c>
      <c r="E3854" t="str">
        <f>VLOOKUP(B3854,Products!$A:$E,3,FALSE)</f>
        <v>Storage</v>
      </c>
    </row>
    <row r="3855" spans="1:5" x14ac:dyDescent="0.3">
      <c r="A3855" t="s">
        <v>9867</v>
      </c>
      <c r="B3855" t="s">
        <v>924</v>
      </c>
      <c r="C3855">
        <v>2</v>
      </c>
      <c r="D3855" t="str">
        <f>VLOOKUP(B3855,Products!$A:$E,2,FALSE)</f>
        <v>Product_458</v>
      </c>
      <c r="E3855" t="str">
        <f>VLOOKUP(B3855,Products!$A:$E,3,FALSE)</f>
        <v>Accessories</v>
      </c>
    </row>
    <row r="3856" spans="1:5" x14ac:dyDescent="0.3">
      <c r="A3856" t="s">
        <v>9868</v>
      </c>
      <c r="B3856" t="s">
        <v>220</v>
      </c>
      <c r="C3856">
        <v>37</v>
      </c>
      <c r="D3856" t="str">
        <f>VLOOKUP(B3856,Products!$A:$E,2,FALSE)</f>
        <v>Product_106</v>
      </c>
      <c r="E3856" t="str">
        <f>VLOOKUP(B3856,Products!$A:$E,3,FALSE)</f>
        <v>Networking</v>
      </c>
    </row>
    <row r="3857" spans="1:5" x14ac:dyDescent="0.3">
      <c r="A3857" t="s">
        <v>9869</v>
      </c>
      <c r="B3857" t="s">
        <v>482</v>
      </c>
      <c r="C3857">
        <v>30</v>
      </c>
      <c r="D3857" t="str">
        <f>VLOOKUP(B3857,Products!$A:$E,2,FALSE)</f>
        <v>Product_237</v>
      </c>
      <c r="E3857" t="str">
        <f>VLOOKUP(B3857,Products!$A:$E,3,FALSE)</f>
        <v>Networking</v>
      </c>
    </row>
    <row r="3858" spans="1:5" x14ac:dyDescent="0.3">
      <c r="A3858" t="s">
        <v>9870</v>
      </c>
      <c r="B3858" t="s">
        <v>260</v>
      </c>
      <c r="C3858">
        <v>44</v>
      </c>
      <c r="D3858" t="str">
        <f>VLOOKUP(B3858,Products!$A:$E,2,FALSE)</f>
        <v>Product_126</v>
      </c>
      <c r="E3858" t="str">
        <f>VLOOKUP(B3858,Products!$A:$E,3,FALSE)</f>
        <v>Office Supplies</v>
      </c>
    </row>
    <row r="3859" spans="1:5" x14ac:dyDescent="0.3">
      <c r="A3859" t="s">
        <v>9871</v>
      </c>
      <c r="B3859" t="s">
        <v>626</v>
      </c>
      <c r="C3859">
        <v>29</v>
      </c>
      <c r="D3859" t="str">
        <f>VLOOKUP(B3859,Products!$A:$E,2,FALSE)</f>
        <v>Product_309</v>
      </c>
      <c r="E3859" t="str">
        <f>VLOOKUP(B3859,Products!$A:$E,3,FALSE)</f>
        <v>Networking</v>
      </c>
    </row>
    <row r="3860" spans="1:5" x14ac:dyDescent="0.3">
      <c r="A3860" t="s">
        <v>9872</v>
      </c>
      <c r="B3860" t="s">
        <v>256</v>
      </c>
      <c r="C3860">
        <v>12</v>
      </c>
      <c r="D3860" t="str">
        <f>VLOOKUP(B3860,Products!$A:$E,2,FALSE)</f>
        <v>Product_124</v>
      </c>
      <c r="E3860" t="str">
        <f>VLOOKUP(B3860,Products!$A:$E,3,FALSE)</f>
        <v>Storage</v>
      </c>
    </row>
    <row r="3861" spans="1:5" x14ac:dyDescent="0.3">
      <c r="A3861" t="s">
        <v>9873</v>
      </c>
      <c r="B3861" t="s">
        <v>1006</v>
      </c>
      <c r="C3861">
        <v>30</v>
      </c>
      <c r="D3861" t="str">
        <f>VLOOKUP(B3861,Products!$A:$E,2,FALSE)</f>
        <v>Product_499</v>
      </c>
      <c r="E3861" t="str">
        <f>VLOOKUP(B3861,Products!$A:$E,3,FALSE)</f>
        <v>Office Supplies</v>
      </c>
    </row>
    <row r="3862" spans="1:5" x14ac:dyDescent="0.3">
      <c r="A3862" t="s">
        <v>9874</v>
      </c>
      <c r="B3862" t="s">
        <v>522</v>
      </c>
      <c r="C3862">
        <v>42</v>
      </c>
      <c r="D3862" t="str">
        <f>VLOOKUP(B3862,Products!$A:$E,2,FALSE)</f>
        <v>Product_257</v>
      </c>
      <c r="E3862" t="str">
        <f>VLOOKUP(B3862,Products!$A:$E,3,FALSE)</f>
        <v>Networking</v>
      </c>
    </row>
    <row r="3863" spans="1:5" x14ac:dyDescent="0.3">
      <c r="A3863" t="s">
        <v>9875</v>
      </c>
      <c r="B3863" t="s">
        <v>122</v>
      </c>
      <c r="C3863">
        <v>39</v>
      </c>
      <c r="D3863" t="str">
        <f>VLOOKUP(B3863,Products!$A:$E,2,FALSE)</f>
        <v>Product_57</v>
      </c>
      <c r="E3863" t="str">
        <f>VLOOKUP(B3863,Products!$A:$E,3,FALSE)</f>
        <v>Electronics</v>
      </c>
    </row>
    <row r="3864" spans="1:5" x14ac:dyDescent="0.3">
      <c r="A3864" t="s">
        <v>9876</v>
      </c>
      <c r="B3864" t="s">
        <v>866</v>
      </c>
      <c r="C3864">
        <v>22</v>
      </c>
      <c r="D3864" t="str">
        <f>VLOOKUP(B3864,Products!$A:$E,2,FALSE)</f>
        <v>Product_429</v>
      </c>
      <c r="E3864" t="str">
        <f>VLOOKUP(B3864,Products!$A:$E,3,FALSE)</f>
        <v>Office Supplies</v>
      </c>
    </row>
    <row r="3865" spans="1:5" x14ac:dyDescent="0.3">
      <c r="A3865" t="s">
        <v>9877</v>
      </c>
      <c r="B3865" t="s">
        <v>902</v>
      </c>
      <c r="C3865">
        <v>11</v>
      </c>
      <c r="D3865" t="str">
        <f>VLOOKUP(B3865,Products!$A:$E,2,FALSE)</f>
        <v>Product_447</v>
      </c>
      <c r="E3865" t="str">
        <f>VLOOKUP(B3865,Products!$A:$E,3,FALSE)</f>
        <v>Office Supplies</v>
      </c>
    </row>
    <row r="3866" spans="1:5" x14ac:dyDescent="0.3">
      <c r="A3866" t="s">
        <v>9878</v>
      </c>
      <c r="B3866" t="s">
        <v>260</v>
      </c>
      <c r="C3866">
        <v>30</v>
      </c>
      <c r="D3866" t="str">
        <f>VLOOKUP(B3866,Products!$A:$E,2,FALSE)</f>
        <v>Product_126</v>
      </c>
      <c r="E3866" t="str">
        <f>VLOOKUP(B3866,Products!$A:$E,3,FALSE)</f>
        <v>Office Supplies</v>
      </c>
    </row>
    <row r="3867" spans="1:5" x14ac:dyDescent="0.3">
      <c r="A3867" t="s">
        <v>9879</v>
      </c>
      <c r="B3867" t="s">
        <v>748</v>
      </c>
      <c r="C3867">
        <v>5</v>
      </c>
      <c r="D3867" t="str">
        <f>VLOOKUP(B3867,Products!$A:$E,2,FALSE)</f>
        <v>Product_370</v>
      </c>
      <c r="E3867" t="str">
        <f>VLOOKUP(B3867,Products!$A:$E,3,FALSE)</f>
        <v>Networking</v>
      </c>
    </row>
    <row r="3868" spans="1:5" x14ac:dyDescent="0.3">
      <c r="A3868" t="s">
        <v>9880</v>
      </c>
      <c r="B3868" t="s">
        <v>14</v>
      </c>
      <c r="C3868">
        <v>48</v>
      </c>
      <c r="D3868" t="str">
        <f>VLOOKUP(B3868,Products!$A:$E,2,FALSE)</f>
        <v>Product_4</v>
      </c>
      <c r="E3868" t="str">
        <f>VLOOKUP(B3868,Products!$A:$E,3,FALSE)</f>
        <v>Storage</v>
      </c>
    </row>
    <row r="3869" spans="1:5" x14ac:dyDescent="0.3">
      <c r="A3869" t="s">
        <v>9881</v>
      </c>
      <c r="B3869" t="s">
        <v>42</v>
      </c>
      <c r="C3869">
        <v>44</v>
      </c>
      <c r="D3869" t="str">
        <f>VLOOKUP(B3869,Products!$A:$E,2,FALSE)</f>
        <v>Product_17</v>
      </c>
      <c r="E3869" t="str">
        <f>VLOOKUP(B3869,Products!$A:$E,3,FALSE)</f>
        <v>Office Supplies</v>
      </c>
    </row>
    <row r="3870" spans="1:5" x14ac:dyDescent="0.3">
      <c r="A3870" t="s">
        <v>9882</v>
      </c>
      <c r="B3870" t="s">
        <v>702</v>
      </c>
      <c r="C3870">
        <v>27</v>
      </c>
      <c r="D3870" t="str">
        <f>VLOOKUP(B3870,Products!$A:$E,2,FALSE)</f>
        <v>Product_347</v>
      </c>
      <c r="E3870" t="str">
        <f>VLOOKUP(B3870,Products!$A:$E,3,FALSE)</f>
        <v>Storage</v>
      </c>
    </row>
    <row r="3871" spans="1:5" x14ac:dyDescent="0.3">
      <c r="A3871" t="s">
        <v>9883</v>
      </c>
      <c r="B3871" t="s">
        <v>896</v>
      </c>
      <c r="C3871">
        <v>34</v>
      </c>
      <c r="D3871" t="str">
        <f>VLOOKUP(B3871,Products!$A:$E,2,FALSE)</f>
        <v>Product_444</v>
      </c>
      <c r="E3871" t="str">
        <f>VLOOKUP(B3871,Products!$A:$E,3,FALSE)</f>
        <v>Electronics</v>
      </c>
    </row>
    <row r="3872" spans="1:5" x14ac:dyDescent="0.3">
      <c r="A3872" t="s">
        <v>9884</v>
      </c>
      <c r="B3872" t="s">
        <v>490</v>
      </c>
      <c r="C3872">
        <v>25</v>
      </c>
      <c r="D3872" t="str">
        <f>VLOOKUP(B3872,Products!$A:$E,2,FALSE)</f>
        <v>Product_241</v>
      </c>
      <c r="E3872" t="str">
        <f>VLOOKUP(B3872,Products!$A:$E,3,FALSE)</f>
        <v>Electronics</v>
      </c>
    </row>
    <row r="3873" spans="1:5" x14ac:dyDescent="0.3">
      <c r="A3873" t="s">
        <v>9885</v>
      </c>
      <c r="B3873" t="s">
        <v>82</v>
      </c>
      <c r="C3873">
        <v>27</v>
      </c>
      <c r="D3873" t="str">
        <f>VLOOKUP(B3873,Products!$A:$E,2,FALSE)</f>
        <v>Product_37</v>
      </c>
      <c r="E3873" t="str">
        <f>VLOOKUP(B3873,Products!$A:$E,3,FALSE)</f>
        <v>Storage</v>
      </c>
    </row>
    <row r="3874" spans="1:5" x14ac:dyDescent="0.3">
      <c r="A3874" t="s">
        <v>9886</v>
      </c>
      <c r="B3874" t="s">
        <v>990</v>
      </c>
      <c r="C3874">
        <v>17</v>
      </c>
      <c r="D3874" t="str">
        <f>VLOOKUP(B3874,Products!$A:$E,2,FALSE)</f>
        <v>Product_491</v>
      </c>
      <c r="E3874" t="str">
        <f>VLOOKUP(B3874,Products!$A:$E,3,FALSE)</f>
        <v>Accessories</v>
      </c>
    </row>
    <row r="3875" spans="1:5" x14ac:dyDescent="0.3">
      <c r="A3875" t="s">
        <v>9887</v>
      </c>
      <c r="B3875" t="s">
        <v>914</v>
      </c>
      <c r="C3875">
        <v>46</v>
      </c>
      <c r="D3875" t="str">
        <f>VLOOKUP(B3875,Products!$A:$E,2,FALSE)</f>
        <v>Product_453</v>
      </c>
      <c r="E3875" t="str">
        <f>VLOOKUP(B3875,Products!$A:$E,3,FALSE)</f>
        <v>Office Supplies</v>
      </c>
    </row>
    <row r="3876" spans="1:5" x14ac:dyDescent="0.3">
      <c r="A3876" t="s">
        <v>9888</v>
      </c>
      <c r="B3876" t="s">
        <v>560</v>
      </c>
      <c r="C3876">
        <v>8</v>
      </c>
      <c r="D3876" t="str">
        <f>VLOOKUP(B3876,Products!$A:$E,2,FALSE)</f>
        <v>Product_276</v>
      </c>
      <c r="E3876" t="str">
        <f>VLOOKUP(B3876,Products!$A:$E,3,FALSE)</f>
        <v>Office Supplies</v>
      </c>
    </row>
    <row r="3877" spans="1:5" x14ac:dyDescent="0.3">
      <c r="A3877" t="s">
        <v>9889</v>
      </c>
      <c r="B3877" t="s">
        <v>742</v>
      </c>
      <c r="C3877">
        <v>50</v>
      </c>
      <c r="D3877" t="str">
        <f>VLOOKUP(B3877,Products!$A:$E,2,FALSE)</f>
        <v>Product_367</v>
      </c>
      <c r="E3877" t="str">
        <f>VLOOKUP(B3877,Products!$A:$E,3,FALSE)</f>
        <v>Storage</v>
      </c>
    </row>
    <row r="3878" spans="1:5" x14ac:dyDescent="0.3">
      <c r="A3878" t="s">
        <v>9890</v>
      </c>
      <c r="B3878" t="s">
        <v>630</v>
      </c>
      <c r="C3878">
        <v>42</v>
      </c>
      <c r="D3878" t="str">
        <f>VLOOKUP(B3878,Products!$A:$E,2,FALSE)</f>
        <v>Product_311</v>
      </c>
      <c r="E3878" t="str">
        <f>VLOOKUP(B3878,Products!$A:$E,3,FALSE)</f>
        <v>Networking</v>
      </c>
    </row>
    <row r="3879" spans="1:5" x14ac:dyDescent="0.3">
      <c r="A3879" t="s">
        <v>9891</v>
      </c>
      <c r="B3879" t="s">
        <v>556</v>
      </c>
      <c r="C3879">
        <v>46</v>
      </c>
      <c r="D3879" t="str">
        <f>VLOOKUP(B3879,Products!$A:$E,2,FALSE)</f>
        <v>Product_274</v>
      </c>
      <c r="E3879" t="str">
        <f>VLOOKUP(B3879,Products!$A:$E,3,FALSE)</f>
        <v>Accessories</v>
      </c>
    </row>
    <row r="3880" spans="1:5" x14ac:dyDescent="0.3">
      <c r="A3880" t="s">
        <v>9892</v>
      </c>
      <c r="B3880" t="s">
        <v>34</v>
      </c>
      <c r="C3880">
        <v>29</v>
      </c>
      <c r="D3880" t="str">
        <f>VLOOKUP(B3880,Products!$A:$E,2,FALSE)</f>
        <v>Product_13</v>
      </c>
      <c r="E3880" t="str">
        <f>VLOOKUP(B3880,Products!$A:$E,3,FALSE)</f>
        <v>Office Supplies</v>
      </c>
    </row>
    <row r="3881" spans="1:5" x14ac:dyDescent="0.3">
      <c r="A3881" t="s">
        <v>9893</v>
      </c>
      <c r="B3881" t="s">
        <v>502</v>
      </c>
      <c r="C3881">
        <v>47</v>
      </c>
      <c r="D3881" t="str">
        <f>VLOOKUP(B3881,Products!$A:$E,2,FALSE)</f>
        <v>Product_247</v>
      </c>
      <c r="E3881" t="str">
        <f>VLOOKUP(B3881,Products!$A:$E,3,FALSE)</f>
        <v>Networking</v>
      </c>
    </row>
    <row r="3882" spans="1:5" x14ac:dyDescent="0.3">
      <c r="A3882" t="s">
        <v>9894</v>
      </c>
      <c r="B3882" t="s">
        <v>70</v>
      </c>
      <c r="C3882">
        <v>19</v>
      </c>
      <c r="D3882" t="str">
        <f>VLOOKUP(B3882,Products!$A:$E,2,FALSE)</f>
        <v>Product_31</v>
      </c>
      <c r="E3882" t="str">
        <f>VLOOKUP(B3882,Products!$A:$E,3,FALSE)</f>
        <v>Accessories</v>
      </c>
    </row>
    <row r="3883" spans="1:5" x14ac:dyDescent="0.3">
      <c r="A3883" t="s">
        <v>9895</v>
      </c>
      <c r="B3883" t="s">
        <v>840</v>
      </c>
      <c r="C3883">
        <v>26</v>
      </c>
      <c r="D3883" t="str">
        <f>VLOOKUP(B3883,Products!$A:$E,2,FALSE)</f>
        <v>Product_416</v>
      </c>
      <c r="E3883" t="str">
        <f>VLOOKUP(B3883,Products!$A:$E,3,FALSE)</f>
        <v>Accessories</v>
      </c>
    </row>
    <row r="3884" spans="1:5" x14ac:dyDescent="0.3">
      <c r="A3884" t="s">
        <v>9896</v>
      </c>
      <c r="B3884" t="s">
        <v>858</v>
      </c>
      <c r="C3884">
        <v>47</v>
      </c>
      <c r="D3884" t="str">
        <f>VLOOKUP(B3884,Products!$A:$E,2,FALSE)</f>
        <v>Product_425</v>
      </c>
      <c r="E3884" t="str">
        <f>VLOOKUP(B3884,Products!$A:$E,3,FALSE)</f>
        <v>Office Supplies</v>
      </c>
    </row>
    <row r="3885" spans="1:5" x14ac:dyDescent="0.3">
      <c r="A3885" t="s">
        <v>9897</v>
      </c>
      <c r="B3885" t="s">
        <v>796</v>
      </c>
      <c r="C3885">
        <v>3</v>
      </c>
      <c r="D3885" t="str">
        <f>VLOOKUP(B3885,Products!$A:$E,2,FALSE)</f>
        <v>Product_394</v>
      </c>
      <c r="E3885" t="str">
        <f>VLOOKUP(B3885,Products!$A:$E,3,FALSE)</f>
        <v>Electronics</v>
      </c>
    </row>
    <row r="3886" spans="1:5" x14ac:dyDescent="0.3">
      <c r="A3886" t="s">
        <v>9898</v>
      </c>
      <c r="B3886" t="s">
        <v>382</v>
      </c>
      <c r="C3886">
        <v>26</v>
      </c>
      <c r="D3886" t="str">
        <f>VLOOKUP(B3886,Products!$A:$E,2,FALSE)</f>
        <v>Product_187</v>
      </c>
      <c r="E3886" t="str">
        <f>VLOOKUP(B3886,Products!$A:$E,3,FALSE)</f>
        <v>Electronics</v>
      </c>
    </row>
    <row r="3887" spans="1:5" x14ac:dyDescent="0.3">
      <c r="A3887" t="s">
        <v>9899</v>
      </c>
      <c r="B3887" t="s">
        <v>742</v>
      </c>
      <c r="C3887">
        <v>33</v>
      </c>
      <c r="D3887" t="str">
        <f>VLOOKUP(B3887,Products!$A:$E,2,FALSE)</f>
        <v>Product_367</v>
      </c>
      <c r="E3887" t="str">
        <f>VLOOKUP(B3887,Products!$A:$E,3,FALSE)</f>
        <v>Storage</v>
      </c>
    </row>
    <row r="3888" spans="1:5" x14ac:dyDescent="0.3">
      <c r="A3888" t="s">
        <v>9900</v>
      </c>
      <c r="B3888" t="s">
        <v>654</v>
      </c>
      <c r="C3888">
        <v>42</v>
      </c>
      <c r="D3888" t="str">
        <f>VLOOKUP(B3888,Products!$A:$E,2,FALSE)</f>
        <v>Product_323</v>
      </c>
      <c r="E3888" t="str">
        <f>VLOOKUP(B3888,Products!$A:$E,3,FALSE)</f>
        <v>Electronics</v>
      </c>
    </row>
    <row r="3889" spans="1:5" x14ac:dyDescent="0.3">
      <c r="A3889" t="s">
        <v>9901</v>
      </c>
      <c r="B3889" t="s">
        <v>460</v>
      </c>
      <c r="C3889">
        <v>28</v>
      </c>
      <c r="D3889" t="str">
        <f>VLOOKUP(B3889,Products!$A:$E,2,FALSE)</f>
        <v>Product_226</v>
      </c>
      <c r="E3889" t="str">
        <f>VLOOKUP(B3889,Products!$A:$E,3,FALSE)</f>
        <v>Networking</v>
      </c>
    </row>
    <row r="3890" spans="1:5" x14ac:dyDescent="0.3">
      <c r="A3890" t="s">
        <v>9902</v>
      </c>
      <c r="B3890" t="s">
        <v>816</v>
      </c>
      <c r="C3890">
        <v>8</v>
      </c>
      <c r="D3890" t="str">
        <f>VLOOKUP(B3890,Products!$A:$E,2,FALSE)</f>
        <v>Product_404</v>
      </c>
      <c r="E3890" t="str">
        <f>VLOOKUP(B3890,Products!$A:$E,3,FALSE)</f>
        <v>Storage</v>
      </c>
    </row>
    <row r="3891" spans="1:5" x14ac:dyDescent="0.3">
      <c r="A3891" t="s">
        <v>9903</v>
      </c>
      <c r="B3891" t="s">
        <v>116</v>
      </c>
      <c r="C3891">
        <v>10</v>
      </c>
      <c r="D3891" t="str">
        <f>VLOOKUP(B3891,Products!$A:$E,2,FALSE)</f>
        <v>Product_54</v>
      </c>
      <c r="E3891" t="str">
        <f>VLOOKUP(B3891,Products!$A:$E,3,FALSE)</f>
        <v>Storage</v>
      </c>
    </row>
    <row r="3892" spans="1:5" x14ac:dyDescent="0.3">
      <c r="A3892" t="s">
        <v>9904</v>
      </c>
      <c r="B3892" t="s">
        <v>876</v>
      </c>
      <c r="C3892">
        <v>17</v>
      </c>
      <c r="D3892" t="str">
        <f>VLOOKUP(B3892,Products!$A:$E,2,FALSE)</f>
        <v>Product_434</v>
      </c>
      <c r="E3892" t="str">
        <f>VLOOKUP(B3892,Products!$A:$E,3,FALSE)</f>
        <v>Office Supplies</v>
      </c>
    </row>
    <row r="3893" spans="1:5" x14ac:dyDescent="0.3">
      <c r="A3893" t="s">
        <v>9905</v>
      </c>
      <c r="B3893" t="s">
        <v>786</v>
      </c>
      <c r="C3893">
        <v>38</v>
      </c>
      <c r="D3893" t="str">
        <f>VLOOKUP(B3893,Products!$A:$E,2,FALSE)</f>
        <v>Product_389</v>
      </c>
      <c r="E3893" t="str">
        <f>VLOOKUP(B3893,Products!$A:$E,3,FALSE)</f>
        <v>Networking</v>
      </c>
    </row>
    <row r="3894" spans="1:5" x14ac:dyDescent="0.3">
      <c r="A3894" t="s">
        <v>9906</v>
      </c>
      <c r="B3894" t="s">
        <v>780</v>
      </c>
      <c r="C3894">
        <v>8</v>
      </c>
      <c r="D3894" t="str">
        <f>VLOOKUP(B3894,Products!$A:$E,2,FALSE)</f>
        <v>Product_386</v>
      </c>
      <c r="E3894" t="str">
        <f>VLOOKUP(B3894,Products!$A:$E,3,FALSE)</f>
        <v>Electronics</v>
      </c>
    </row>
    <row r="3895" spans="1:5" x14ac:dyDescent="0.3">
      <c r="A3895" t="s">
        <v>9907</v>
      </c>
      <c r="B3895" t="s">
        <v>748</v>
      </c>
      <c r="C3895">
        <v>11</v>
      </c>
      <c r="D3895" t="str">
        <f>VLOOKUP(B3895,Products!$A:$E,2,FALSE)</f>
        <v>Product_370</v>
      </c>
      <c r="E3895" t="str">
        <f>VLOOKUP(B3895,Products!$A:$E,3,FALSE)</f>
        <v>Networking</v>
      </c>
    </row>
    <row r="3896" spans="1:5" x14ac:dyDescent="0.3">
      <c r="A3896" t="s">
        <v>9908</v>
      </c>
      <c r="B3896" t="s">
        <v>384</v>
      </c>
      <c r="C3896">
        <v>27</v>
      </c>
      <c r="D3896" t="str">
        <f>VLOOKUP(B3896,Products!$A:$E,2,FALSE)</f>
        <v>Product_188</v>
      </c>
      <c r="E3896" t="str">
        <f>VLOOKUP(B3896,Products!$A:$E,3,FALSE)</f>
        <v>Office Supplies</v>
      </c>
    </row>
    <row r="3897" spans="1:5" x14ac:dyDescent="0.3">
      <c r="A3897" t="s">
        <v>9909</v>
      </c>
      <c r="B3897" t="s">
        <v>682</v>
      </c>
      <c r="C3897">
        <v>22</v>
      </c>
      <c r="D3897" t="str">
        <f>VLOOKUP(B3897,Products!$A:$E,2,FALSE)</f>
        <v>Product_337</v>
      </c>
      <c r="E3897" t="str">
        <f>VLOOKUP(B3897,Products!$A:$E,3,FALSE)</f>
        <v>Storage</v>
      </c>
    </row>
    <row r="3898" spans="1:5" x14ac:dyDescent="0.3">
      <c r="A3898" t="s">
        <v>9910</v>
      </c>
      <c r="B3898" t="s">
        <v>154</v>
      </c>
      <c r="C3898">
        <v>16</v>
      </c>
      <c r="D3898" t="str">
        <f>VLOOKUP(B3898,Products!$A:$E,2,FALSE)</f>
        <v>Product_73</v>
      </c>
      <c r="E3898" t="str">
        <f>VLOOKUP(B3898,Products!$A:$E,3,FALSE)</f>
        <v>Office Supplies</v>
      </c>
    </row>
    <row r="3899" spans="1:5" x14ac:dyDescent="0.3">
      <c r="A3899" t="s">
        <v>9911</v>
      </c>
      <c r="B3899" t="s">
        <v>824</v>
      </c>
      <c r="C3899">
        <v>31</v>
      </c>
      <c r="D3899" t="str">
        <f>VLOOKUP(B3899,Products!$A:$E,2,FALSE)</f>
        <v>Product_408</v>
      </c>
      <c r="E3899" t="str">
        <f>VLOOKUP(B3899,Products!$A:$E,3,FALSE)</f>
        <v>Storage</v>
      </c>
    </row>
    <row r="3900" spans="1:5" x14ac:dyDescent="0.3">
      <c r="A3900" t="s">
        <v>9912</v>
      </c>
      <c r="B3900" t="s">
        <v>224</v>
      </c>
      <c r="C3900">
        <v>17</v>
      </c>
      <c r="D3900" t="str">
        <f>VLOOKUP(B3900,Products!$A:$E,2,FALSE)</f>
        <v>Product_108</v>
      </c>
      <c r="E3900" t="str">
        <f>VLOOKUP(B3900,Products!$A:$E,3,FALSE)</f>
        <v>Networking</v>
      </c>
    </row>
    <row r="3901" spans="1:5" x14ac:dyDescent="0.3">
      <c r="A3901" t="s">
        <v>9913</v>
      </c>
      <c r="B3901" t="s">
        <v>108</v>
      </c>
      <c r="C3901">
        <v>22</v>
      </c>
      <c r="D3901" t="str">
        <f>VLOOKUP(B3901,Products!$A:$E,2,FALSE)</f>
        <v>Product_50</v>
      </c>
      <c r="E3901" t="str">
        <f>VLOOKUP(B3901,Products!$A:$E,3,FALSE)</f>
        <v>Networking</v>
      </c>
    </row>
    <row r="3902" spans="1:5" x14ac:dyDescent="0.3">
      <c r="A3902" t="s">
        <v>9914</v>
      </c>
      <c r="B3902" t="s">
        <v>666</v>
      </c>
      <c r="C3902">
        <v>45</v>
      </c>
      <c r="D3902" t="str">
        <f>VLOOKUP(B3902,Products!$A:$E,2,FALSE)</f>
        <v>Product_329</v>
      </c>
      <c r="E3902" t="str">
        <f>VLOOKUP(B3902,Products!$A:$E,3,FALSE)</f>
        <v>Office Supplies</v>
      </c>
    </row>
    <row r="3903" spans="1:5" x14ac:dyDescent="0.3">
      <c r="A3903" t="s">
        <v>9915</v>
      </c>
      <c r="B3903" t="s">
        <v>84</v>
      </c>
      <c r="C3903">
        <v>30</v>
      </c>
      <c r="D3903" t="str">
        <f>VLOOKUP(B3903,Products!$A:$E,2,FALSE)</f>
        <v>Product_38</v>
      </c>
      <c r="E3903" t="str">
        <f>VLOOKUP(B3903,Products!$A:$E,3,FALSE)</f>
        <v>Accessories</v>
      </c>
    </row>
    <row r="3904" spans="1:5" x14ac:dyDescent="0.3">
      <c r="A3904" t="s">
        <v>9916</v>
      </c>
      <c r="B3904" t="s">
        <v>930</v>
      </c>
      <c r="C3904">
        <v>46</v>
      </c>
      <c r="D3904" t="str">
        <f>VLOOKUP(B3904,Products!$A:$E,2,FALSE)</f>
        <v>Product_461</v>
      </c>
      <c r="E3904" t="str">
        <f>VLOOKUP(B3904,Products!$A:$E,3,FALSE)</f>
        <v>Accessories</v>
      </c>
    </row>
    <row r="3905" spans="1:5" x14ac:dyDescent="0.3">
      <c r="A3905" t="s">
        <v>9917</v>
      </c>
      <c r="B3905" t="s">
        <v>512</v>
      </c>
      <c r="C3905">
        <v>49</v>
      </c>
      <c r="D3905" t="str">
        <f>VLOOKUP(B3905,Products!$A:$E,2,FALSE)</f>
        <v>Product_252</v>
      </c>
      <c r="E3905" t="str">
        <f>VLOOKUP(B3905,Products!$A:$E,3,FALSE)</f>
        <v>Networking</v>
      </c>
    </row>
    <row r="3906" spans="1:5" x14ac:dyDescent="0.3">
      <c r="A3906" t="s">
        <v>9918</v>
      </c>
      <c r="B3906" t="s">
        <v>260</v>
      </c>
      <c r="C3906">
        <v>49</v>
      </c>
      <c r="D3906" t="str">
        <f>VLOOKUP(B3906,Products!$A:$E,2,FALSE)</f>
        <v>Product_126</v>
      </c>
      <c r="E3906" t="str">
        <f>VLOOKUP(B3906,Products!$A:$E,3,FALSE)</f>
        <v>Office Supplies</v>
      </c>
    </row>
    <row r="3907" spans="1:5" x14ac:dyDescent="0.3">
      <c r="A3907" t="s">
        <v>9919</v>
      </c>
      <c r="B3907" t="s">
        <v>276</v>
      </c>
      <c r="C3907">
        <v>22</v>
      </c>
      <c r="D3907" t="str">
        <f>VLOOKUP(B3907,Products!$A:$E,2,FALSE)</f>
        <v>Product_134</v>
      </c>
      <c r="E3907" t="str">
        <f>VLOOKUP(B3907,Products!$A:$E,3,FALSE)</f>
        <v>Accessories</v>
      </c>
    </row>
    <row r="3908" spans="1:5" x14ac:dyDescent="0.3">
      <c r="A3908" t="s">
        <v>9920</v>
      </c>
      <c r="B3908" t="s">
        <v>312</v>
      </c>
      <c r="C3908">
        <v>45</v>
      </c>
      <c r="D3908" t="str">
        <f>VLOOKUP(B3908,Products!$A:$E,2,FALSE)</f>
        <v>Product_152</v>
      </c>
      <c r="E3908" t="str">
        <f>VLOOKUP(B3908,Products!$A:$E,3,FALSE)</f>
        <v>Storage</v>
      </c>
    </row>
    <row r="3909" spans="1:5" x14ac:dyDescent="0.3">
      <c r="A3909" t="s">
        <v>9921</v>
      </c>
      <c r="B3909" t="s">
        <v>464</v>
      </c>
      <c r="C3909">
        <v>22</v>
      </c>
      <c r="D3909" t="str">
        <f>VLOOKUP(B3909,Products!$A:$E,2,FALSE)</f>
        <v>Product_228</v>
      </c>
      <c r="E3909" t="str">
        <f>VLOOKUP(B3909,Products!$A:$E,3,FALSE)</f>
        <v>Storage</v>
      </c>
    </row>
    <row r="3910" spans="1:5" x14ac:dyDescent="0.3">
      <c r="A3910" t="s">
        <v>9922</v>
      </c>
      <c r="B3910" t="s">
        <v>816</v>
      </c>
      <c r="C3910">
        <v>29</v>
      </c>
      <c r="D3910" t="str">
        <f>VLOOKUP(B3910,Products!$A:$E,2,FALSE)</f>
        <v>Product_404</v>
      </c>
      <c r="E3910" t="str">
        <f>VLOOKUP(B3910,Products!$A:$E,3,FALSE)</f>
        <v>Storage</v>
      </c>
    </row>
    <row r="3911" spans="1:5" x14ac:dyDescent="0.3">
      <c r="A3911" t="s">
        <v>9923</v>
      </c>
      <c r="B3911" t="s">
        <v>726</v>
      </c>
      <c r="C3911">
        <v>17</v>
      </c>
      <c r="D3911" t="str">
        <f>VLOOKUP(B3911,Products!$A:$E,2,FALSE)</f>
        <v>Product_359</v>
      </c>
      <c r="E3911" t="str">
        <f>VLOOKUP(B3911,Products!$A:$E,3,FALSE)</f>
        <v>Electronics</v>
      </c>
    </row>
    <row r="3912" spans="1:5" x14ac:dyDescent="0.3">
      <c r="A3912" t="s">
        <v>9924</v>
      </c>
      <c r="B3912" t="s">
        <v>590</v>
      </c>
      <c r="C3912">
        <v>18</v>
      </c>
      <c r="D3912" t="str">
        <f>VLOOKUP(B3912,Products!$A:$E,2,FALSE)</f>
        <v>Product_291</v>
      </c>
      <c r="E3912" t="str">
        <f>VLOOKUP(B3912,Products!$A:$E,3,FALSE)</f>
        <v>Networking</v>
      </c>
    </row>
    <row r="3913" spans="1:5" x14ac:dyDescent="0.3">
      <c r="A3913" t="s">
        <v>9925</v>
      </c>
      <c r="B3913" t="s">
        <v>618</v>
      </c>
      <c r="C3913">
        <v>3</v>
      </c>
      <c r="D3913" t="str">
        <f>VLOOKUP(B3913,Products!$A:$E,2,FALSE)</f>
        <v>Product_305</v>
      </c>
      <c r="E3913" t="str">
        <f>VLOOKUP(B3913,Products!$A:$E,3,FALSE)</f>
        <v>Accessories</v>
      </c>
    </row>
    <row r="3914" spans="1:5" x14ac:dyDescent="0.3">
      <c r="A3914" t="s">
        <v>9926</v>
      </c>
      <c r="B3914" t="s">
        <v>788</v>
      </c>
      <c r="C3914">
        <v>9</v>
      </c>
      <c r="D3914" t="str">
        <f>VLOOKUP(B3914,Products!$A:$E,2,FALSE)</f>
        <v>Product_390</v>
      </c>
      <c r="E3914" t="str">
        <f>VLOOKUP(B3914,Products!$A:$E,3,FALSE)</f>
        <v>Storage</v>
      </c>
    </row>
    <row r="3915" spans="1:5" x14ac:dyDescent="0.3">
      <c r="A3915" t="s">
        <v>9927</v>
      </c>
      <c r="B3915" t="s">
        <v>160</v>
      </c>
      <c r="C3915">
        <v>34</v>
      </c>
      <c r="D3915" t="str">
        <f>VLOOKUP(B3915,Products!$A:$E,2,FALSE)</f>
        <v>Product_76</v>
      </c>
      <c r="E3915" t="str">
        <f>VLOOKUP(B3915,Products!$A:$E,3,FALSE)</f>
        <v>Accessories</v>
      </c>
    </row>
    <row r="3916" spans="1:5" x14ac:dyDescent="0.3">
      <c r="A3916" t="s">
        <v>9928</v>
      </c>
      <c r="B3916" t="s">
        <v>304</v>
      </c>
      <c r="C3916">
        <v>2</v>
      </c>
      <c r="D3916" t="str">
        <f>VLOOKUP(B3916,Products!$A:$E,2,FALSE)</f>
        <v>Product_148</v>
      </c>
      <c r="E3916" t="str">
        <f>VLOOKUP(B3916,Products!$A:$E,3,FALSE)</f>
        <v>Electronics</v>
      </c>
    </row>
    <row r="3917" spans="1:5" x14ac:dyDescent="0.3">
      <c r="A3917" t="s">
        <v>9929</v>
      </c>
      <c r="B3917" t="s">
        <v>236</v>
      </c>
      <c r="C3917">
        <v>24</v>
      </c>
      <c r="D3917" t="str">
        <f>VLOOKUP(B3917,Products!$A:$E,2,FALSE)</f>
        <v>Product_114</v>
      </c>
      <c r="E3917" t="str">
        <f>VLOOKUP(B3917,Products!$A:$E,3,FALSE)</f>
        <v>Electronics</v>
      </c>
    </row>
    <row r="3918" spans="1:5" x14ac:dyDescent="0.3">
      <c r="A3918" t="s">
        <v>9930</v>
      </c>
      <c r="B3918" t="s">
        <v>586</v>
      </c>
      <c r="C3918">
        <v>24</v>
      </c>
      <c r="D3918" t="str">
        <f>VLOOKUP(B3918,Products!$A:$E,2,FALSE)</f>
        <v>Product_289</v>
      </c>
      <c r="E3918" t="str">
        <f>VLOOKUP(B3918,Products!$A:$E,3,FALSE)</f>
        <v>Storage</v>
      </c>
    </row>
    <row r="3919" spans="1:5" x14ac:dyDescent="0.3">
      <c r="A3919" t="s">
        <v>9931</v>
      </c>
      <c r="B3919" t="s">
        <v>740</v>
      </c>
      <c r="C3919">
        <v>19</v>
      </c>
      <c r="D3919" t="str">
        <f>VLOOKUP(B3919,Products!$A:$E,2,FALSE)</f>
        <v>Product_366</v>
      </c>
      <c r="E3919" t="str">
        <f>VLOOKUP(B3919,Products!$A:$E,3,FALSE)</f>
        <v>Electronics</v>
      </c>
    </row>
    <row r="3920" spans="1:5" x14ac:dyDescent="0.3">
      <c r="A3920" t="s">
        <v>9932</v>
      </c>
      <c r="B3920" t="s">
        <v>324</v>
      </c>
      <c r="C3920">
        <v>46</v>
      </c>
      <c r="D3920" t="str">
        <f>VLOOKUP(B3920,Products!$A:$E,2,FALSE)</f>
        <v>Product_158</v>
      </c>
      <c r="E3920" t="str">
        <f>VLOOKUP(B3920,Products!$A:$E,3,FALSE)</f>
        <v>Electronics</v>
      </c>
    </row>
    <row r="3921" spans="1:5" x14ac:dyDescent="0.3">
      <c r="A3921" t="s">
        <v>9933</v>
      </c>
      <c r="B3921" t="s">
        <v>172</v>
      </c>
      <c r="C3921">
        <v>37</v>
      </c>
      <c r="D3921" t="str">
        <f>VLOOKUP(B3921,Products!$A:$E,2,FALSE)</f>
        <v>Product_82</v>
      </c>
      <c r="E3921" t="str">
        <f>VLOOKUP(B3921,Products!$A:$E,3,FALSE)</f>
        <v>Storage</v>
      </c>
    </row>
    <row r="3922" spans="1:5" x14ac:dyDescent="0.3">
      <c r="A3922" t="s">
        <v>9934</v>
      </c>
      <c r="B3922" t="s">
        <v>658</v>
      </c>
      <c r="C3922">
        <v>20</v>
      </c>
      <c r="D3922" t="str">
        <f>VLOOKUP(B3922,Products!$A:$E,2,FALSE)</f>
        <v>Product_325</v>
      </c>
      <c r="E3922" t="str">
        <f>VLOOKUP(B3922,Products!$A:$E,3,FALSE)</f>
        <v>Networking</v>
      </c>
    </row>
    <row r="3923" spans="1:5" x14ac:dyDescent="0.3">
      <c r="A3923" t="s">
        <v>9935</v>
      </c>
      <c r="B3923" t="s">
        <v>496</v>
      </c>
      <c r="C3923">
        <v>46</v>
      </c>
      <c r="D3923" t="str">
        <f>VLOOKUP(B3923,Products!$A:$E,2,FALSE)</f>
        <v>Product_244</v>
      </c>
      <c r="E3923" t="str">
        <f>VLOOKUP(B3923,Products!$A:$E,3,FALSE)</f>
        <v>Accessories</v>
      </c>
    </row>
    <row r="3924" spans="1:5" x14ac:dyDescent="0.3">
      <c r="A3924" t="s">
        <v>9936</v>
      </c>
      <c r="B3924" t="s">
        <v>460</v>
      </c>
      <c r="C3924">
        <v>44</v>
      </c>
      <c r="D3924" t="str">
        <f>VLOOKUP(B3924,Products!$A:$E,2,FALSE)</f>
        <v>Product_226</v>
      </c>
      <c r="E3924" t="str">
        <f>VLOOKUP(B3924,Products!$A:$E,3,FALSE)</f>
        <v>Networking</v>
      </c>
    </row>
    <row r="3925" spans="1:5" x14ac:dyDescent="0.3">
      <c r="A3925" t="s">
        <v>9937</v>
      </c>
      <c r="B3925" t="s">
        <v>310</v>
      </c>
      <c r="C3925">
        <v>10</v>
      </c>
      <c r="D3925" t="str">
        <f>VLOOKUP(B3925,Products!$A:$E,2,FALSE)</f>
        <v>Product_151</v>
      </c>
      <c r="E3925" t="str">
        <f>VLOOKUP(B3925,Products!$A:$E,3,FALSE)</f>
        <v>Storage</v>
      </c>
    </row>
    <row r="3926" spans="1:5" x14ac:dyDescent="0.3">
      <c r="A3926" t="s">
        <v>9938</v>
      </c>
      <c r="B3926" t="s">
        <v>770</v>
      </c>
      <c r="C3926">
        <v>45</v>
      </c>
      <c r="D3926" t="str">
        <f>VLOOKUP(B3926,Products!$A:$E,2,FALSE)</f>
        <v>Product_381</v>
      </c>
      <c r="E3926" t="str">
        <f>VLOOKUP(B3926,Products!$A:$E,3,FALSE)</f>
        <v>Storage</v>
      </c>
    </row>
    <row r="3927" spans="1:5" x14ac:dyDescent="0.3">
      <c r="A3927" t="s">
        <v>9939</v>
      </c>
      <c r="B3927" t="s">
        <v>140</v>
      </c>
      <c r="C3927">
        <v>10</v>
      </c>
      <c r="D3927" t="str">
        <f>VLOOKUP(B3927,Products!$A:$E,2,FALSE)</f>
        <v>Product_66</v>
      </c>
      <c r="E3927" t="str">
        <f>VLOOKUP(B3927,Products!$A:$E,3,FALSE)</f>
        <v>Electronics</v>
      </c>
    </row>
    <row r="3928" spans="1:5" x14ac:dyDescent="0.3">
      <c r="A3928" t="s">
        <v>9940</v>
      </c>
      <c r="B3928" t="s">
        <v>632</v>
      </c>
      <c r="C3928">
        <v>19</v>
      </c>
      <c r="D3928" t="str">
        <f>VLOOKUP(B3928,Products!$A:$E,2,FALSE)</f>
        <v>Product_312</v>
      </c>
      <c r="E3928" t="str">
        <f>VLOOKUP(B3928,Products!$A:$E,3,FALSE)</f>
        <v>Office Supplies</v>
      </c>
    </row>
    <row r="3929" spans="1:5" x14ac:dyDescent="0.3">
      <c r="A3929" t="s">
        <v>9941</v>
      </c>
      <c r="B3929" t="s">
        <v>888</v>
      </c>
      <c r="C3929">
        <v>25</v>
      </c>
      <c r="D3929" t="str">
        <f>VLOOKUP(B3929,Products!$A:$E,2,FALSE)</f>
        <v>Product_440</v>
      </c>
      <c r="E3929" t="str">
        <f>VLOOKUP(B3929,Products!$A:$E,3,FALSE)</f>
        <v>Accessories</v>
      </c>
    </row>
    <row r="3930" spans="1:5" x14ac:dyDescent="0.3">
      <c r="A3930" t="s">
        <v>9942</v>
      </c>
      <c r="B3930" t="s">
        <v>272</v>
      </c>
      <c r="C3930">
        <v>41</v>
      </c>
      <c r="D3930" t="str">
        <f>VLOOKUP(B3930,Products!$A:$E,2,FALSE)</f>
        <v>Product_132</v>
      </c>
      <c r="E3930" t="str">
        <f>VLOOKUP(B3930,Products!$A:$E,3,FALSE)</f>
        <v>Storage</v>
      </c>
    </row>
    <row r="3931" spans="1:5" x14ac:dyDescent="0.3">
      <c r="A3931" t="s">
        <v>9943</v>
      </c>
      <c r="B3931" t="s">
        <v>242</v>
      </c>
      <c r="C3931">
        <v>2</v>
      </c>
      <c r="D3931" t="str">
        <f>VLOOKUP(B3931,Products!$A:$E,2,FALSE)</f>
        <v>Product_117</v>
      </c>
      <c r="E3931" t="str">
        <f>VLOOKUP(B3931,Products!$A:$E,3,FALSE)</f>
        <v>Storage</v>
      </c>
    </row>
    <row r="3932" spans="1:5" x14ac:dyDescent="0.3">
      <c r="A3932" t="s">
        <v>9944</v>
      </c>
      <c r="B3932" t="s">
        <v>880</v>
      </c>
      <c r="C3932">
        <v>14</v>
      </c>
      <c r="D3932" t="str">
        <f>VLOOKUP(B3932,Products!$A:$E,2,FALSE)</f>
        <v>Product_436</v>
      </c>
      <c r="E3932" t="str">
        <f>VLOOKUP(B3932,Products!$A:$E,3,FALSE)</f>
        <v>Networking</v>
      </c>
    </row>
    <row r="3933" spans="1:5" x14ac:dyDescent="0.3">
      <c r="A3933" t="s">
        <v>9945</v>
      </c>
      <c r="B3933" t="s">
        <v>606</v>
      </c>
      <c r="C3933">
        <v>20</v>
      </c>
      <c r="D3933" t="str">
        <f>VLOOKUP(B3933,Products!$A:$E,2,FALSE)</f>
        <v>Product_299</v>
      </c>
      <c r="E3933" t="str">
        <f>VLOOKUP(B3933,Products!$A:$E,3,FALSE)</f>
        <v>Storage</v>
      </c>
    </row>
    <row r="3934" spans="1:5" x14ac:dyDescent="0.3">
      <c r="A3934" t="s">
        <v>9946</v>
      </c>
      <c r="B3934" t="s">
        <v>160</v>
      </c>
      <c r="C3934">
        <v>38</v>
      </c>
      <c r="D3934" t="str">
        <f>VLOOKUP(B3934,Products!$A:$E,2,FALSE)</f>
        <v>Product_76</v>
      </c>
      <c r="E3934" t="str">
        <f>VLOOKUP(B3934,Products!$A:$E,3,FALSE)</f>
        <v>Accessories</v>
      </c>
    </row>
    <row r="3935" spans="1:5" x14ac:dyDescent="0.3">
      <c r="A3935" t="s">
        <v>9947</v>
      </c>
      <c r="B3935" t="s">
        <v>22</v>
      </c>
      <c r="C3935">
        <v>17</v>
      </c>
      <c r="D3935" t="str">
        <f>VLOOKUP(B3935,Products!$A:$E,2,FALSE)</f>
        <v>Product_7</v>
      </c>
      <c r="E3935" t="str">
        <f>VLOOKUP(B3935,Products!$A:$E,3,FALSE)</f>
        <v>Storage</v>
      </c>
    </row>
    <row r="3936" spans="1:5" x14ac:dyDescent="0.3">
      <c r="A3936" t="s">
        <v>9948</v>
      </c>
      <c r="B3936" t="s">
        <v>382</v>
      </c>
      <c r="C3936">
        <v>47</v>
      </c>
      <c r="D3936" t="str">
        <f>VLOOKUP(B3936,Products!$A:$E,2,FALSE)</f>
        <v>Product_187</v>
      </c>
      <c r="E3936" t="str">
        <f>VLOOKUP(B3936,Products!$A:$E,3,FALSE)</f>
        <v>Electronics</v>
      </c>
    </row>
    <row r="3937" spans="1:5" x14ac:dyDescent="0.3">
      <c r="A3937" t="s">
        <v>9949</v>
      </c>
      <c r="B3937" t="s">
        <v>530</v>
      </c>
      <c r="C3937">
        <v>48</v>
      </c>
      <c r="D3937" t="str">
        <f>VLOOKUP(B3937,Products!$A:$E,2,FALSE)</f>
        <v>Product_261</v>
      </c>
      <c r="E3937" t="str">
        <f>VLOOKUP(B3937,Products!$A:$E,3,FALSE)</f>
        <v>Accessories</v>
      </c>
    </row>
    <row r="3938" spans="1:5" x14ac:dyDescent="0.3">
      <c r="A3938" t="s">
        <v>9950</v>
      </c>
      <c r="B3938" t="s">
        <v>900</v>
      </c>
      <c r="C3938">
        <v>34</v>
      </c>
      <c r="D3938" t="str">
        <f>VLOOKUP(B3938,Products!$A:$E,2,FALSE)</f>
        <v>Product_446</v>
      </c>
      <c r="E3938" t="str">
        <f>VLOOKUP(B3938,Products!$A:$E,3,FALSE)</f>
        <v>Accessories</v>
      </c>
    </row>
    <row r="3939" spans="1:5" x14ac:dyDescent="0.3">
      <c r="A3939" t="s">
        <v>9951</v>
      </c>
      <c r="B3939" t="s">
        <v>424</v>
      </c>
      <c r="C3939">
        <v>31</v>
      </c>
      <c r="D3939" t="str">
        <f>VLOOKUP(B3939,Products!$A:$E,2,FALSE)</f>
        <v>Product_208</v>
      </c>
      <c r="E3939" t="str">
        <f>VLOOKUP(B3939,Products!$A:$E,3,FALSE)</f>
        <v>Electronics</v>
      </c>
    </row>
    <row r="3940" spans="1:5" x14ac:dyDescent="0.3">
      <c r="A3940" t="s">
        <v>9952</v>
      </c>
      <c r="B3940" t="s">
        <v>642</v>
      </c>
      <c r="C3940">
        <v>11</v>
      </c>
      <c r="D3940" t="str">
        <f>VLOOKUP(B3940,Products!$A:$E,2,FALSE)</f>
        <v>Product_317</v>
      </c>
      <c r="E3940" t="str">
        <f>VLOOKUP(B3940,Products!$A:$E,3,FALSE)</f>
        <v>Storage</v>
      </c>
    </row>
    <row r="3941" spans="1:5" x14ac:dyDescent="0.3">
      <c r="A3941" t="s">
        <v>9953</v>
      </c>
      <c r="B3941" t="s">
        <v>1004</v>
      </c>
      <c r="C3941">
        <v>23</v>
      </c>
      <c r="D3941" t="str">
        <f>VLOOKUP(B3941,Products!$A:$E,2,FALSE)</f>
        <v>Product_498</v>
      </c>
      <c r="E3941" t="str">
        <f>VLOOKUP(B3941,Products!$A:$E,3,FALSE)</f>
        <v>Office Supplies</v>
      </c>
    </row>
    <row r="3942" spans="1:5" x14ac:dyDescent="0.3">
      <c r="A3942" t="s">
        <v>9954</v>
      </c>
      <c r="B3942" t="s">
        <v>668</v>
      </c>
      <c r="C3942">
        <v>10</v>
      </c>
      <c r="D3942" t="str">
        <f>VLOOKUP(B3942,Products!$A:$E,2,FALSE)</f>
        <v>Product_330</v>
      </c>
      <c r="E3942" t="str">
        <f>VLOOKUP(B3942,Products!$A:$E,3,FALSE)</f>
        <v>Electronics</v>
      </c>
    </row>
    <row r="3943" spans="1:5" x14ac:dyDescent="0.3">
      <c r="A3943" t="s">
        <v>9955</v>
      </c>
      <c r="B3943" t="s">
        <v>610</v>
      </c>
      <c r="C3943">
        <v>33</v>
      </c>
      <c r="D3943" t="str">
        <f>VLOOKUP(B3943,Products!$A:$E,2,FALSE)</f>
        <v>Product_301</v>
      </c>
      <c r="E3943" t="str">
        <f>VLOOKUP(B3943,Products!$A:$E,3,FALSE)</f>
        <v>Networking</v>
      </c>
    </row>
    <row r="3944" spans="1:5" x14ac:dyDescent="0.3">
      <c r="A3944" t="s">
        <v>9956</v>
      </c>
      <c r="B3944" t="s">
        <v>330</v>
      </c>
      <c r="C3944">
        <v>34</v>
      </c>
      <c r="D3944" t="str">
        <f>VLOOKUP(B3944,Products!$A:$E,2,FALSE)</f>
        <v>Product_161</v>
      </c>
      <c r="E3944" t="str">
        <f>VLOOKUP(B3944,Products!$A:$E,3,FALSE)</f>
        <v>Networking</v>
      </c>
    </row>
    <row r="3945" spans="1:5" x14ac:dyDescent="0.3">
      <c r="A3945" t="s">
        <v>9957</v>
      </c>
      <c r="B3945" t="s">
        <v>392</v>
      </c>
      <c r="C3945">
        <v>25</v>
      </c>
      <c r="D3945" t="str">
        <f>VLOOKUP(B3945,Products!$A:$E,2,FALSE)</f>
        <v>Product_192</v>
      </c>
      <c r="E3945" t="str">
        <f>VLOOKUP(B3945,Products!$A:$E,3,FALSE)</f>
        <v>Office Supplies</v>
      </c>
    </row>
    <row r="3946" spans="1:5" x14ac:dyDescent="0.3">
      <c r="A3946" t="s">
        <v>9958</v>
      </c>
      <c r="B3946" t="s">
        <v>896</v>
      </c>
      <c r="C3946">
        <v>32</v>
      </c>
      <c r="D3946" t="str">
        <f>VLOOKUP(B3946,Products!$A:$E,2,FALSE)</f>
        <v>Product_444</v>
      </c>
      <c r="E3946" t="str">
        <f>VLOOKUP(B3946,Products!$A:$E,3,FALSE)</f>
        <v>Electronics</v>
      </c>
    </row>
    <row r="3947" spans="1:5" x14ac:dyDescent="0.3">
      <c r="A3947" t="s">
        <v>9959</v>
      </c>
      <c r="B3947" t="s">
        <v>672</v>
      </c>
      <c r="C3947">
        <v>11</v>
      </c>
      <c r="D3947" t="str">
        <f>VLOOKUP(B3947,Products!$A:$E,2,FALSE)</f>
        <v>Product_332</v>
      </c>
      <c r="E3947" t="str">
        <f>VLOOKUP(B3947,Products!$A:$E,3,FALSE)</f>
        <v>Electronics</v>
      </c>
    </row>
    <row r="3948" spans="1:5" x14ac:dyDescent="0.3">
      <c r="A3948" t="s">
        <v>9960</v>
      </c>
      <c r="B3948" t="s">
        <v>900</v>
      </c>
      <c r="C3948">
        <v>34</v>
      </c>
      <c r="D3948" t="str">
        <f>VLOOKUP(B3948,Products!$A:$E,2,FALSE)</f>
        <v>Product_446</v>
      </c>
      <c r="E3948" t="str">
        <f>VLOOKUP(B3948,Products!$A:$E,3,FALSE)</f>
        <v>Accessories</v>
      </c>
    </row>
    <row r="3949" spans="1:5" x14ac:dyDescent="0.3">
      <c r="A3949" t="s">
        <v>9961</v>
      </c>
      <c r="B3949" t="s">
        <v>502</v>
      </c>
      <c r="C3949">
        <v>12</v>
      </c>
      <c r="D3949" t="str">
        <f>VLOOKUP(B3949,Products!$A:$E,2,FALSE)</f>
        <v>Product_247</v>
      </c>
      <c r="E3949" t="str">
        <f>VLOOKUP(B3949,Products!$A:$E,3,FALSE)</f>
        <v>Networking</v>
      </c>
    </row>
    <row r="3950" spans="1:5" x14ac:dyDescent="0.3">
      <c r="A3950" t="s">
        <v>9962</v>
      </c>
      <c r="B3950" t="s">
        <v>504</v>
      </c>
      <c r="C3950">
        <v>25</v>
      </c>
      <c r="D3950" t="str">
        <f>VLOOKUP(B3950,Products!$A:$E,2,FALSE)</f>
        <v>Product_248</v>
      </c>
      <c r="E3950" t="str">
        <f>VLOOKUP(B3950,Products!$A:$E,3,FALSE)</f>
        <v>Networking</v>
      </c>
    </row>
    <row r="3951" spans="1:5" x14ac:dyDescent="0.3">
      <c r="A3951" t="s">
        <v>9963</v>
      </c>
      <c r="B3951" t="s">
        <v>24</v>
      </c>
      <c r="C3951">
        <v>43</v>
      </c>
      <c r="D3951" t="str">
        <f>VLOOKUP(B3951,Products!$A:$E,2,FALSE)</f>
        <v>Product_8</v>
      </c>
      <c r="E3951" t="str">
        <f>VLOOKUP(B3951,Products!$A:$E,3,FALSE)</f>
        <v>Storage</v>
      </c>
    </row>
    <row r="3952" spans="1:5" x14ac:dyDescent="0.3">
      <c r="A3952" t="s">
        <v>9964</v>
      </c>
      <c r="B3952" t="s">
        <v>978</v>
      </c>
      <c r="C3952">
        <v>5</v>
      </c>
      <c r="D3952" t="str">
        <f>VLOOKUP(B3952,Products!$A:$E,2,FALSE)</f>
        <v>Product_485</v>
      </c>
      <c r="E3952" t="str">
        <f>VLOOKUP(B3952,Products!$A:$E,3,FALSE)</f>
        <v>Networking</v>
      </c>
    </row>
    <row r="3953" spans="1:5" x14ac:dyDescent="0.3">
      <c r="A3953" t="s">
        <v>9965</v>
      </c>
      <c r="B3953" t="s">
        <v>360</v>
      </c>
      <c r="C3953">
        <v>15</v>
      </c>
      <c r="D3953" t="str">
        <f>VLOOKUP(B3953,Products!$A:$E,2,FALSE)</f>
        <v>Product_176</v>
      </c>
      <c r="E3953" t="str">
        <f>VLOOKUP(B3953,Products!$A:$E,3,FALSE)</f>
        <v>Electronics</v>
      </c>
    </row>
    <row r="3954" spans="1:5" x14ac:dyDescent="0.3">
      <c r="A3954" t="s">
        <v>9966</v>
      </c>
      <c r="B3954" t="s">
        <v>326</v>
      </c>
      <c r="C3954">
        <v>14</v>
      </c>
      <c r="D3954" t="str">
        <f>VLOOKUP(B3954,Products!$A:$E,2,FALSE)</f>
        <v>Product_159</v>
      </c>
      <c r="E3954" t="str">
        <f>VLOOKUP(B3954,Products!$A:$E,3,FALSE)</f>
        <v>Accessories</v>
      </c>
    </row>
    <row r="3955" spans="1:5" x14ac:dyDescent="0.3">
      <c r="A3955" t="s">
        <v>9967</v>
      </c>
      <c r="B3955" t="s">
        <v>238</v>
      </c>
      <c r="C3955">
        <v>10</v>
      </c>
      <c r="D3955" t="str">
        <f>VLOOKUP(B3955,Products!$A:$E,2,FALSE)</f>
        <v>Product_115</v>
      </c>
      <c r="E3955" t="str">
        <f>VLOOKUP(B3955,Products!$A:$E,3,FALSE)</f>
        <v>Networking</v>
      </c>
    </row>
    <row r="3956" spans="1:5" x14ac:dyDescent="0.3">
      <c r="A3956" t="s">
        <v>9968</v>
      </c>
      <c r="B3956" t="s">
        <v>294</v>
      </c>
      <c r="C3956">
        <v>39</v>
      </c>
      <c r="D3956" t="str">
        <f>VLOOKUP(B3956,Products!$A:$E,2,FALSE)</f>
        <v>Product_143</v>
      </c>
      <c r="E3956" t="str">
        <f>VLOOKUP(B3956,Products!$A:$E,3,FALSE)</f>
        <v>Office Supplies</v>
      </c>
    </row>
    <row r="3957" spans="1:5" x14ac:dyDescent="0.3">
      <c r="A3957" t="s">
        <v>9969</v>
      </c>
      <c r="B3957" t="s">
        <v>806</v>
      </c>
      <c r="C3957">
        <v>47</v>
      </c>
      <c r="D3957" t="str">
        <f>VLOOKUP(B3957,Products!$A:$E,2,FALSE)</f>
        <v>Product_399</v>
      </c>
      <c r="E3957" t="str">
        <f>VLOOKUP(B3957,Products!$A:$E,3,FALSE)</f>
        <v>Networking</v>
      </c>
    </row>
    <row r="3958" spans="1:5" x14ac:dyDescent="0.3">
      <c r="A3958" t="s">
        <v>9970</v>
      </c>
      <c r="B3958" t="s">
        <v>818</v>
      </c>
      <c r="C3958">
        <v>8</v>
      </c>
      <c r="D3958" t="str">
        <f>VLOOKUP(B3958,Products!$A:$E,2,FALSE)</f>
        <v>Product_405</v>
      </c>
      <c r="E3958" t="str">
        <f>VLOOKUP(B3958,Products!$A:$E,3,FALSE)</f>
        <v>Electronics</v>
      </c>
    </row>
    <row r="3959" spans="1:5" x14ac:dyDescent="0.3">
      <c r="A3959" t="s">
        <v>9971</v>
      </c>
      <c r="B3959" t="s">
        <v>674</v>
      </c>
      <c r="C3959">
        <v>13</v>
      </c>
      <c r="D3959" t="str">
        <f>VLOOKUP(B3959,Products!$A:$E,2,FALSE)</f>
        <v>Product_333</v>
      </c>
      <c r="E3959" t="str">
        <f>VLOOKUP(B3959,Products!$A:$E,3,FALSE)</f>
        <v>Storage</v>
      </c>
    </row>
    <row r="3960" spans="1:5" x14ac:dyDescent="0.3">
      <c r="A3960" t="s">
        <v>9972</v>
      </c>
      <c r="B3960" t="s">
        <v>374</v>
      </c>
      <c r="C3960">
        <v>32</v>
      </c>
      <c r="D3960" t="str">
        <f>VLOOKUP(B3960,Products!$A:$E,2,FALSE)</f>
        <v>Product_183</v>
      </c>
      <c r="E3960" t="str">
        <f>VLOOKUP(B3960,Products!$A:$E,3,FALSE)</f>
        <v>Electronics</v>
      </c>
    </row>
    <row r="3961" spans="1:5" x14ac:dyDescent="0.3">
      <c r="A3961" t="s">
        <v>9973</v>
      </c>
      <c r="B3961" t="s">
        <v>480</v>
      </c>
      <c r="C3961">
        <v>37</v>
      </c>
      <c r="D3961" t="str">
        <f>VLOOKUP(B3961,Products!$A:$E,2,FALSE)</f>
        <v>Product_236</v>
      </c>
      <c r="E3961" t="str">
        <f>VLOOKUP(B3961,Products!$A:$E,3,FALSE)</f>
        <v>Networking</v>
      </c>
    </row>
    <row r="3962" spans="1:5" x14ac:dyDescent="0.3">
      <c r="A3962" t="s">
        <v>9974</v>
      </c>
      <c r="B3962" t="s">
        <v>944</v>
      </c>
      <c r="C3962">
        <v>41</v>
      </c>
      <c r="D3962" t="str">
        <f>VLOOKUP(B3962,Products!$A:$E,2,FALSE)</f>
        <v>Product_468</v>
      </c>
      <c r="E3962" t="str">
        <f>VLOOKUP(B3962,Products!$A:$E,3,FALSE)</f>
        <v>Office Supplies</v>
      </c>
    </row>
    <row r="3963" spans="1:5" x14ac:dyDescent="0.3">
      <c r="A3963" t="s">
        <v>9975</v>
      </c>
      <c r="B3963" t="s">
        <v>938</v>
      </c>
      <c r="C3963">
        <v>1</v>
      </c>
      <c r="D3963" t="str">
        <f>VLOOKUP(B3963,Products!$A:$E,2,FALSE)</f>
        <v>Product_465</v>
      </c>
      <c r="E3963" t="str">
        <f>VLOOKUP(B3963,Products!$A:$E,3,FALSE)</f>
        <v>Electronics</v>
      </c>
    </row>
    <row r="3964" spans="1:5" x14ac:dyDescent="0.3">
      <c r="A3964" t="s">
        <v>9976</v>
      </c>
      <c r="B3964" t="s">
        <v>870</v>
      </c>
      <c r="C3964">
        <v>48</v>
      </c>
      <c r="D3964" t="str">
        <f>VLOOKUP(B3964,Products!$A:$E,2,FALSE)</f>
        <v>Product_431</v>
      </c>
      <c r="E3964" t="str">
        <f>VLOOKUP(B3964,Products!$A:$E,3,FALSE)</f>
        <v>Electronics</v>
      </c>
    </row>
    <row r="3965" spans="1:5" x14ac:dyDescent="0.3">
      <c r="A3965" t="s">
        <v>9977</v>
      </c>
      <c r="B3965" t="s">
        <v>876</v>
      </c>
      <c r="C3965">
        <v>34</v>
      </c>
      <c r="D3965" t="str">
        <f>VLOOKUP(B3965,Products!$A:$E,2,FALSE)</f>
        <v>Product_434</v>
      </c>
      <c r="E3965" t="str">
        <f>VLOOKUP(B3965,Products!$A:$E,3,FALSE)</f>
        <v>Office Supplies</v>
      </c>
    </row>
    <row r="3966" spans="1:5" x14ac:dyDescent="0.3">
      <c r="A3966" t="s">
        <v>9978</v>
      </c>
      <c r="B3966" t="s">
        <v>928</v>
      </c>
      <c r="C3966">
        <v>15</v>
      </c>
      <c r="D3966" t="str">
        <f>VLOOKUP(B3966,Products!$A:$E,2,FALSE)</f>
        <v>Product_460</v>
      </c>
      <c r="E3966" t="str">
        <f>VLOOKUP(B3966,Products!$A:$E,3,FALSE)</f>
        <v>Accessories</v>
      </c>
    </row>
    <row r="3967" spans="1:5" x14ac:dyDescent="0.3">
      <c r="A3967" t="s">
        <v>9979</v>
      </c>
      <c r="B3967" t="s">
        <v>768</v>
      </c>
      <c r="C3967">
        <v>13</v>
      </c>
      <c r="D3967" t="str">
        <f>VLOOKUP(B3967,Products!$A:$E,2,FALSE)</f>
        <v>Product_380</v>
      </c>
      <c r="E3967" t="str">
        <f>VLOOKUP(B3967,Products!$A:$E,3,FALSE)</f>
        <v>Electronics</v>
      </c>
    </row>
    <row r="3968" spans="1:5" x14ac:dyDescent="0.3">
      <c r="A3968" t="s">
        <v>9980</v>
      </c>
      <c r="B3968" t="s">
        <v>382</v>
      </c>
      <c r="C3968">
        <v>43</v>
      </c>
      <c r="D3968" t="str">
        <f>VLOOKUP(B3968,Products!$A:$E,2,FALSE)</f>
        <v>Product_187</v>
      </c>
      <c r="E3968" t="str">
        <f>VLOOKUP(B3968,Products!$A:$E,3,FALSE)</f>
        <v>Electronics</v>
      </c>
    </row>
    <row r="3969" spans="1:5" x14ac:dyDescent="0.3">
      <c r="A3969" t="s">
        <v>9981</v>
      </c>
      <c r="B3969" t="s">
        <v>42</v>
      </c>
      <c r="C3969">
        <v>26</v>
      </c>
      <c r="D3969" t="str">
        <f>VLOOKUP(B3969,Products!$A:$E,2,FALSE)</f>
        <v>Product_17</v>
      </c>
      <c r="E3969" t="str">
        <f>VLOOKUP(B3969,Products!$A:$E,3,FALSE)</f>
        <v>Office Supplies</v>
      </c>
    </row>
    <row r="3970" spans="1:5" x14ac:dyDescent="0.3">
      <c r="A3970" t="s">
        <v>9982</v>
      </c>
      <c r="B3970" t="s">
        <v>650</v>
      </c>
      <c r="C3970">
        <v>7</v>
      </c>
      <c r="D3970" t="str">
        <f>VLOOKUP(B3970,Products!$A:$E,2,FALSE)</f>
        <v>Product_321</v>
      </c>
      <c r="E3970" t="str">
        <f>VLOOKUP(B3970,Products!$A:$E,3,FALSE)</f>
        <v>Electronics</v>
      </c>
    </row>
    <row r="3971" spans="1:5" x14ac:dyDescent="0.3">
      <c r="A3971" t="s">
        <v>9983</v>
      </c>
      <c r="B3971" t="s">
        <v>984</v>
      </c>
      <c r="C3971">
        <v>22</v>
      </c>
      <c r="D3971" t="str">
        <f>VLOOKUP(B3971,Products!$A:$E,2,FALSE)</f>
        <v>Product_488</v>
      </c>
      <c r="E3971" t="str">
        <f>VLOOKUP(B3971,Products!$A:$E,3,FALSE)</f>
        <v>Accessories</v>
      </c>
    </row>
    <row r="3972" spans="1:5" x14ac:dyDescent="0.3">
      <c r="A3972" t="s">
        <v>9984</v>
      </c>
      <c r="B3972" t="s">
        <v>528</v>
      </c>
      <c r="C3972">
        <v>5</v>
      </c>
      <c r="D3972" t="str">
        <f>VLOOKUP(B3972,Products!$A:$E,2,FALSE)</f>
        <v>Product_260</v>
      </c>
      <c r="E3972" t="str">
        <f>VLOOKUP(B3972,Products!$A:$E,3,FALSE)</f>
        <v>Storage</v>
      </c>
    </row>
    <row r="3973" spans="1:5" x14ac:dyDescent="0.3">
      <c r="A3973" t="s">
        <v>9985</v>
      </c>
      <c r="B3973" t="s">
        <v>286</v>
      </c>
      <c r="C3973">
        <v>36</v>
      </c>
      <c r="D3973" t="str">
        <f>VLOOKUP(B3973,Products!$A:$E,2,FALSE)</f>
        <v>Product_139</v>
      </c>
      <c r="E3973" t="str">
        <f>VLOOKUP(B3973,Products!$A:$E,3,FALSE)</f>
        <v>Storage</v>
      </c>
    </row>
    <row r="3974" spans="1:5" x14ac:dyDescent="0.3">
      <c r="A3974" t="s">
        <v>9986</v>
      </c>
      <c r="B3974" t="s">
        <v>994</v>
      </c>
      <c r="C3974">
        <v>35</v>
      </c>
      <c r="D3974" t="str">
        <f>VLOOKUP(B3974,Products!$A:$E,2,FALSE)</f>
        <v>Product_493</v>
      </c>
      <c r="E3974" t="str">
        <f>VLOOKUP(B3974,Products!$A:$E,3,FALSE)</f>
        <v>Networking</v>
      </c>
    </row>
    <row r="3975" spans="1:5" x14ac:dyDescent="0.3">
      <c r="A3975" t="s">
        <v>9987</v>
      </c>
      <c r="B3975" t="s">
        <v>876</v>
      </c>
      <c r="C3975">
        <v>48</v>
      </c>
      <c r="D3975" t="str">
        <f>VLOOKUP(B3975,Products!$A:$E,2,FALSE)</f>
        <v>Product_434</v>
      </c>
      <c r="E3975" t="str">
        <f>VLOOKUP(B3975,Products!$A:$E,3,FALSE)</f>
        <v>Office Supplies</v>
      </c>
    </row>
    <row r="3976" spans="1:5" x14ac:dyDescent="0.3">
      <c r="A3976" t="s">
        <v>9988</v>
      </c>
      <c r="B3976" t="s">
        <v>560</v>
      </c>
      <c r="C3976">
        <v>6</v>
      </c>
      <c r="D3976" t="str">
        <f>VLOOKUP(B3976,Products!$A:$E,2,FALSE)</f>
        <v>Product_276</v>
      </c>
      <c r="E3976" t="str">
        <f>VLOOKUP(B3976,Products!$A:$E,3,FALSE)</f>
        <v>Office Supplies</v>
      </c>
    </row>
    <row r="3977" spans="1:5" x14ac:dyDescent="0.3">
      <c r="A3977" t="s">
        <v>9989</v>
      </c>
      <c r="B3977" t="s">
        <v>1002</v>
      </c>
      <c r="C3977">
        <v>4</v>
      </c>
      <c r="D3977" t="str">
        <f>VLOOKUP(B3977,Products!$A:$E,2,FALSE)</f>
        <v>Product_497</v>
      </c>
      <c r="E3977" t="str">
        <f>VLOOKUP(B3977,Products!$A:$E,3,FALSE)</f>
        <v>Office Supplies</v>
      </c>
    </row>
    <row r="3978" spans="1:5" x14ac:dyDescent="0.3">
      <c r="A3978" t="s">
        <v>9990</v>
      </c>
      <c r="B3978" t="s">
        <v>466</v>
      </c>
      <c r="C3978">
        <v>37</v>
      </c>
      <c r="D3978" t="str">
        <f>VLOOKUP(B3978,Products!$A:$E,2,FALSE)</f>
        <v>Product_229</v>
      </c>
      <c r="E3978" t="str">
        <f>VLOOKUP(B3978,Products!$A:$E,3,FALSE)</f>
        <v>Accessories</v>
      </c>
    </row>
    <row r="3979" spans="1:5" x14ac:dyDescent="0.3">
      <c r="A3979" t="s">
        <v>9991</v>
      </c>
      <c r="B3979" t="s">
        <v>544</v>
      </c>
      <c r="C3979">
        <v>16</v>
      </c>
      <c r="D3979" t="str">
        <f>VLOOKUP(B3979,Products!$A:$E,2,FALSE)</f>
        <v>Product_268</v>
      </c>
      <c r="E3979" t="str">
        <f>VLOOKUP(B3979,Products!$A:$E,3,FALSE)</f>
        <v>Office Supplies</v>
      </c>
    </row>
    <row r="3980" spans="1:5" x14ac:dyDescent="0.3">
      <c r="A3980" t="s">
        <v>9992</v>
      </c>
      <c r="B3980" t="s">
        <v>260</v>
      </c>
      <c r="C3980">
        <v>17</v>
      </c>
      <c r="D3980" t="str">
        <f>VLOOKUP(B3980,Products!$A:$E,2,FALSE)</f>
        <v>Product_126</v>
      </c>
      <c r="E3980" t="str">
        <f>VLOOKUP(B3980,Products!$A:$E,3,FALSE)</f>
        <v>Office Supplies</v>
      </c>
    </row>
    <row r="3981" spans="1:5" x14ac:dyDescent="0.3">
      <c r="A3981" t="s">
        <v>9993</v>
      </c>
      <c r="B3981" t="s">
        <v>826</v>
      </c>
      <c r="C3981">
        <v>48</v>
      </c>
      <c r="D3981" t="str">
        <f>VLOOKUP(B3981,Products!$A:$E,2,FALSE)</f>
        <v>Product_409</v>
      </c>
      <c r="E3981" t="str">
        <f>VLOOKUP(B3981,Products!$A:$E,3,FALSE)</f>
        <v>Office Supplies</v>
      </c>
    </row>
    <row r="3982" spans="1:5" x14ac:dyDescent="0.3">
      <c r="A3982" t="s">
        <v>9994</v>
      </c>
      <c r="B3982" t="s">
        <v>196</v>
      </c>
      <c r="C3982">
        <v>45</v>
      </c>
      <c r="D3982" t="str">
        <f>VLOOKUP(B3982,Products!$A:$E,2,FALSE)</f>
        <v>Product_94</v>
      </c>
      <c r="E3982" t="str">
        <f>VLOOKUP(B3982,Products!$A:$E,3,FALSE)</f>
        <v>Networking</v>
      </c>
    </row>
    <row r="3983" spans="1:5" x14ac:dyDescent="0.3">
      <c r="A3983" t="s">
        <v>9995</v>
      </c>
      <c r="B3983" t="s">
        <v>968</v>
      </c>
      <c r="C3983">
        <v>42</v>
      </c>
      <c r="D3983" t="str">
        <f>VLOOKUP(B3983,Products!$A:$E,2,FALSE)</f>
        <v>Product_480</v>
      </c>
      <c r="E3983" t="str">
        <f>VLOOKUP(B3983,Products!$A:$E,3,FALSE)</f>
        <v>Accessories</v>
      </c>
    </row>
    <row r="3984" spans="1:5" x14ac:dyDescent="0.3">
      <c r="A3984" t="s">
        <v>9996</v>
      </c>
      <c r="B3984" t="s">
        <v>888</v>
      </c>
      <c r="C3984">
        <v>16</v>
      </c>
      <c r="D3984" t="str">
        <f>VLOOKUP(B3984,Products!$A:$E,2,FALSE)</f>
        <v>Product_440</v>
      </c>
      <c r="E3984" t="str">
        <f>VLOOKUP(B3984,Products!$A:$E,3,FALSE)</f>
        <v>Accessories</v>
      </c>
    </row>
    <row r="3985" spans="1:5" x14ac:dyDescent="0.3">
      <c r="A3985" t="s">
        <v>9997</v>
      </c>
      <c r="B3985" t="s">
        <v>242</v>
      </c>
      <c r="C3985">
        <v>45</v>
      </c>
      <c r="D3985" t="str">
        <f>VLOOKUP(B3985,Products!$A:$E,2,FALSE)</f>
        <v>Product_117</v>
      </c>
      <c r="E3985" t="str">
        <f>VLOOKUP(B3985,Products!$A:$E,3,FALSE)</f>
        <v>Storage</v>
      </c>
    </row>
    <row r="3986" spans="1:5" x14ac:dyDescent="0.3">
      <c r="A3986" t="s">
        <v>9998</v>
      </c>
      <c r="B3986" t="s">
        <v>744</v>
      </c>
      <c r="C3986">
        <v>30</v>
      </c>
      <c r="D3986" t="str">
        <f>VLOOKUP(B3986,Products!$A:$E,2,FALSE)</f>
        <v>Product_368</v>
      </c>
      <c r="E3986" t="str">
        <f>VLOOKUP(B3986,Products!$A:$E,3,FALSE)</f>
        <v>Office Supplies</v>
      </c>
    </row>
    <row r="3987" spans="1:5" x14ac:dyDescent="0.3">
      <c r="A3987" t="s">
        <v>9999</v>
      </c>
      <c r="B3987" t="s">
        <v>190</v>
      </c>
      <c r="C3987">
        <v>3</v>
      </c>
      <c r="D3987" t="str">
        <f>VLOOKUP(B3987,Products!$A:$E,2,FALSE)</f>
        <v>Product_91</v>
      </c>
      <c r="E3987" t="str">
        <f>VLOOKUP(B3987,Products!$A:$E,3,FALSE)</f>
        <v>Networking</v>
      </c>
    </row>
    <row r="3988" spans="1:5" x14ac:dyDescent="0.3">
      <c r="A3988" t="s">
        <v>10000</v>
      </c>
      <c r="B3988" t="s">
        <v>632</v>
      </c>
      <c r="C3988">
        <v>18</v>
      </c>
      <c r="D3988" t="str">
        <f>VLOOKUP(B3988,Products!$A:$E,2,FALSE)</f>
        <v>Product_312</v>
      </c>
      <c r="E3988" t="str">
        <f>VLOOKUP(B3988,Products!$A:$E,3,FALSE)</f>
        <v>Office Supplies</v>
      </c>
    </row>
    <row r="3989" spans="1:5" x14ac:dyDescent="0.3">
      <c r="A3989" t="s">
        <v>10001</v>
      </c>
      <c r="B3989" t="s">
        <v>574</v>
      </c>
      <c r="C3989">
        <v>18</v>
      </c>
      <c r="D3989" t="str">
        <f>VLOOKUP(B3989,Products!$A:$E,2,FALSE)</f>
        <v>Product_283</v>
      </c>
      <c r="E3989" t="str">
        <f>VLOOKUP(B3989,Products!$A:$E,3,FALSE)</f>
        <v>Networking</v>
      </c>
    </row>
    <row r="3990" spans="1:5" x14ac:dyDescent="0.3">
      <c r="A3990" t="s">
        <v>10002</v>
      </c>
      <c r="B3990" t="s">
        <v>102</v>
      </c>
      <c r="C3990">
        <v>48</v>
      </c>
      <c r="D3990" t="str">
        <f>VLOOKUP(B3990,Products!$A:$E,2,FALSE)</f>
        <v>Product_47</v>
      </c>
      <c r="E3990" t="str">
        <f>VLOOKUP(B3990,Products!$A:$E,3,FALSE)</f>
        <v>Electronics</v>
      </c>
    </row>
    <row r="3991" spans="1:5" x14ac:dyDescent="0.3">
      <c r="A3991" t="s">
        <v>10003</v>
      </c>
      <c r="B3991" t="s">
        <v>204</v>
      </c>
      <c r="C3991">
        <v>47</v>
      </c>
      <c r="D3991" t="str">
        <f>VLOOKUP(B3991,Products!$A:$E,2,FALSE)</f>
        <v>Product_98</v>
      </c>
      <c r="E3991" t="str">
        <f>VLOOKUP(B3991,Products!$A:$E,3,FALSE)</f>
        <v>Networking</v>
      </c>
    </row>
    <row r="3992" spans="1:5" x14ac:dyDescent="0.3">
      <c r="A3992" t="s">
        <v>10004</v>
      </c>
      <c r="B3992" t="s">
        <v>860</v>
      </c>
      <c r="C3992">
        <v>5</v>
      </c>
      <c r="D3992" t="str">
        <f>VLOOKUP(B3992,Products!$A:$E,2,FALSE)</f>
        <v>Product_426</v>
      </c>
      <c r="E3992" t="str">
        <f>VLOOKUP(B3992,Products!$A:$E,3,FALSE)</f>
        <v>Storage</v>
      </c>
    </row>
    <row r="3993" spans="1:5" x14ac:dyDescent="0.3">
      <c r="A3993" t="s">
        <v>10005</v>
      </c>
      <c r="B3993" t="s">
        <v>936</v>
      </c>
      <c r="C3993">
        <v>9</v>
      </c>
      <c r="D3993" t="str">
        <f>VLOOKUP(B3993,Products!$A:$E,2,FALSE)</f>
        <v>Product_464</v>
      </c>
      <c r="E3993" t="str">
        <f>VLOOKUP(B3993,Products!$A:$E,3,FALSE)</f>
        <v>Office Supplies</v>
      </c>
    </row>
    <row r="3994" spans="1:5" x14ac:dyDescent="0.3">
      <c r="A3994" t="s">
        <v>10006</v>
      </c>
      <c r="B3994" t="s">
        <v>544</v>
      </c>
      <c r="C3994">
        <v>20</v>
      </c>
      <c r="D3994" t="str">
        <f>VLOOKUP(B3994,Products!$A:$E,2,FALSE)</f>
        <v>Product_268</v>
      </c>
      <c r="E3994" t="str">
        <f>VLOOKUP(B3994,Products!$A:$E,3,FALSE)</f>
        <v>Office Supplies</v>
      </c>
    </row>
    <row r="3995" spans="1:5" x14ac:dyDescent="0.3">
      <c r="A3995" t="s">
        <v>10007</v>
      </c>
      <c r="B3995" t="s">
        <v>72</v>
      </c>
      <c r="C3995">
        <v>14</v>
      </c>
      <c r="D3995" t="str">
        <f>VLOOKUP(B3995,Products!$A:$E,2,FALSE)</f>
        <v>Product_32</v>
      </c>
      <c r="E3995" t="str">
        <f>VLOOKUP(B3995,Products!$A:$E,3,FALSE)</f>
        <v>Networking</v>
      </c>
    </row>
    <row r="3996" spans="1:5" x14ac:dyDescent="0.3">
      <c r="A3996" t="s">
        <v>10008</v>
      </c>
      <c r="B3996" t="s">
        <v>242</v>
      </c>
      <c r="C3996">
        <v>16</v>
      </c>
      <c r="D3996" t="str">
        <f>VLOOKUP(B3996,Products!$A:$E,2,FALSE)</f>
        <v>Product_117</v>
      </c>
      <c r="E3996" t="str">
        <f>VLOOKUP(B3996,Products!$A:$E,3,FALSE)</f>
        <v>Storage</v>
      </c>
    </row>
    <row r="3997" spans="1:5" x14ac:dyDescent="0.3">
      <c r="A3997" t="s">
        <v>10009</v>
      </c>
      <c r="B3997" t="s">
        <v>608</v>
      </c>
      <c r="C3997">
        <v>49</v>
      </c>
      <c r="D3997" t="str">
        <f>VLOOKUP(B3997,Products!$A:$E,2,FALSE)</f>
        <v>Product_300</v>
      </c>
      <c r="E3997" t="str">
        <f>VLOOKUP(B3997,Products!$A:$E,3,FALSE)</f>
        <v>Accessories</v>
      </c>
    </row>
    <row r="3998" spans="1:5" x14ac:dyDescent="0.3">
      <c r="A3998" t="s">
        <v>10010</v>
      </c>
      <c r="B3998" t="s">
        <v>604</v>
      </c>
      <c r="C3998">
        <v>31</v>
      </c>
      <c r="D3998" t="str">
        <f>VLOOKUP(B3998,Products!$A:$E,2,FALSE)</f>
        <v>Product_298</v>
      </c>
      <c r="E3998" t="str">
        <f>VLOOKUP(B3998,Products!$A:$E,3,FALSE)</f>
        <v>Office Supplies</v>
      </c>
    </row>
    <row r="3999" spans="1:5" x14ac:dyDescent="0.3">
      <c r="A3999" t="s">
        <v>10011</v>
      </c>
      <c r="B3999" t="s">
        <v>484</v>
      </c>
      <c r="C3999">
        <v>7</v>
      </c>
      <c r="D3999" t="str">
        <f>VLOOKUP(B3999,Products!$A:$E,2,FALSE)</f>
        <v>Product_238</v>
      </c>
      <c r="E3999" t="str">
        <f>VLOOKUP(B3999,Products!$A:$E,3,FALSE)</f>
        <v>Accessories</v>
      </c>
    </row>
    <row r="4000" spans="1:5" x14ac:dyDescent="0.3">
      <c r="A4000" t="s">
        <v>10012</v>
      </c>
      <c r="B4000" t="s">
        <v>558</v>
      </c>
      <c r="C4000">
        <v>4</v>
      </c>
      <c r="D4000" t="str">
        <f>VLOOKUP(B4000,Products!$A:$E,2,FALSE)</f>
        <v>Product_275</v>
      </c>
      <c r="E4000" t="str">
        <f>VLOOKUP(B4000,Products!$A:$E,3,FALSE)</f>
        <v>Accessories</v>
      </c>
    </row>
    <row r="4001" spans="1:5" x14ac:dyDescent="0.3">
      <c r="A4001" t="s">
        <v>10013</v>
      </c>
      <c r="B4001" t="s">
        <v>336</v>
      </c>
      <c r="C4001">
        <v>41</v>
      </c>
      <c r="D4001" t="str">
        <f>VLOOKUP(B4001,Products!$A:$E,2,FALSE)</f>
        <v>Product_164</v>
      </c>
      <c r="E4001" t="str">
        <f>VLOOKUP(B4001,Products!$A:$E,3,FALSE)</f>
        <v>Networking</v>
      </c>
    </row>
    <row r="4002" spans="1:5" x14ac:dyDescent="0.3">
      <c r="A4002" t="s">
        <v>10014</v>
      </c>
      <c r="B4002" t="s">
        <v>84</v>
      </c>
      <c r="C4002">
        <v>13</v>
      </c>
      <c r="D4002" t="str">
        <f>VLOOKUP(B4002,Products!$A:$E,2,FALSE)</f>
        <v>Product_38</v>
      </c>
      <c r="E4002" t="str">
        <f>VLOOKUP(B4002,Products!$A:$E,3,FALSE)</f>
        <v>Accessories</v>
      </c>
    </row>
    <row r="4003" spans="1:5" x14ac:dyDescent="0.3">
      <c r="A4003" t="s">
        <v>10015</v>
      </c>
      <c r="B4003" t="s">
        <v>498</v>
      </c>
      <c r="C4003">
        <v>8</v>
      </c>
      <c r="D4003" t="str">
        <f>VLOOKUP(B4003,Products!$A:$E,2,FALSE)</f>
        <v>Product_245</v>
      </c>
      <c r="E4003" t="str">
        <f>VLOOKUP(B4003,Products!$A:$E,3,FALSE)</f>
        <v>Office Supplies</v>
      </c>
    </row>
    <row r="4004" spans="1:5" x14ac:dyDescent="0.3">
      <c r="A4004" t="s">
        <v>10016</v>
      </c>
      <c r="B4004" t="s">
        <v>462</v>
      </c>
      <c r="C4004">
        <v>6</v>
      </c>
      <c r="D4004" t="str">
        <f>VLOOKUP(B4004,Products!$A:$E,2,FALSE)</f>
        <v>Product_227</v>
      </c>
      <c r="E4004" t="str">
        <f>VLOOKUP(B4004,Products!$A:$E,3,FALSE)</f>
        <v>Accessories</v>
      </c>
    </row>
    <row r="4005" spans="1:5" x14ac:dyDescent="0.3">
      <c r="A4005" t="s">
        <v>10017</v>
      </c>
      <c r="B4005" t="s">
        <v>496</v>
      </c>
      <c r="C4005">
        <v>13</v>
      </c>
      <c r="D4005" t="str">
        <f>VLOOKUP(B4005,Products!$A:$E,2,FALSE)</f>
        <v>Product_244</v>
      </c>
      <c r="E4005" t="str">
        <f>VLOOKUP(B4005,Products!$A:$E,3,FALSE)</f>
        <v>Accessories</v>
      </c>
    </row>
    <row r="4006" spans="1:5" x14ac:dyDescent="0.3">
      <c r="A4006" t="s">
        <v>10018</v>
      </c>
      <c r="B4006" t="s">
        <v>112</v>
      </c>
      <c r="C4006">
        <v>35</v>
      </c>
      <c r="D4006" t="str">
        <f>VLOOKUP(B4006,Products!$A:$E,2,FALSE)</f>
        <v>Product_52</v>
      </c>
      <c r="E4006" t="str">
        <f>VLOOKUP(B4006,Products!$A:$E,3,FALSE)</f>
        <v>Electronics</v>
      </c>
    </row>
    <row r="4007" spans="1:5" x14ac:dyDescent="0.3">
      <c r="A4007" t="s">
        <v>10019</v>
      </c>
      <c r="B4007" t="s">
        <v>612</v>
      </c>
      <c r="C4007">
        <v>14</v>
      </c>
      <c r="D4007" t="str">
        <f>VLOOKUP(B4007,Products!$A:$E,2,FALSE)</f>
        <v>Product_302</v>
      </c>
      <c r="E4007" t="str">
        <f>VLOOKUP(B4007,Products!$A:$E,3,FALSE)</f>
        <v>Accessories</v>
      </c>
    </row>
    <row r="4008" spans="1:5" x14ac:dyDescent="0.3">
      <c r="A4008" t="s">
        <v>10020</v>
      </c>
      <c r="B4008" t="s">
        <v>622</v>
      </c>
      <c r="C4008">
        <v>32</v>
      </c>
      <c r="D4008" t="str">
        <f>VLOOKUP(B4008,Products!$A:$E,2,FALSE)</f>
        <v>Product_307</v>
      </c>
      <c r="E4008" t="str">
        <f>VLOOKUP(B4008,Products!$A:$E,3,FALSE)</f>
        <v>Storage</v>
      </c>
    </row>
    <row r="4009" spans="1:5" x14ac:dyDescent="0.3">
      <c r="A4009" t="s">
        <v>10021</v>
      </c>
      <c r="B4009" t="s">
        <v>316</v>
      </c>
      <c r="C4009">
        <v>37</v>
      </c>
      <c r="D4009" t="str">
        <f>VLOOKUP(B4009,Products!$A:$E,2,FALSE)</f>
        <v>Product_154</v>
      </c>
      <c r="E4009" t="str">
        <f>VLOOKUP(B4009,Products!$A:$E,3,FALSE)</f>
        <v>Accessories</v>
      </c>
    </row>
    <row r="4010" spans="1:5" x14ac:dyDescent="0.3">
      <c r="A4010" t="s">
        <v>10022</v>
      </c>
      <c r="B4010" t="s">
        <v>17</v>
      </c>
      <c r="C4010">
        <v>38</v>
      </c>
      <c r="D4010" t="str">
        <f>VLOOKUP(B4010,Products!$A:$E,2,FALSE)</f>
        <v>Product_5</v>
      </c>
      <c r="E4010" t="str">
        <f>VLOOKUP(B4010,Products!$A:$E,3,FALSE)</f>
        <v>Networking</v>
      </c>
    </row>
    <row r="4011" spans="1:5" x14ac:dyDescent="0.3">
      <c r="A4011" t="s">
        <v>10023</v>
      </c>
      <c r="B4011" t="s">
        <v>450</v>
      </c>
      <c r="C4011">
        <v>8</v>
      </c>
      <c r="D4011" t="str">
        <f>VLOOKUP(B4011,Products!$A:$E,2,FALSE)</f>
        <v>Product_221</v>
      </c>
      <c r="E4011" t="str">
        <f>VLOOKUP(B4011,Products!$A:$E,3,FALSE)</f>
        <v>Office Supplies</v>
      </c>
    </row>
    <row r="4012" spans="1:5" x14ac:dyDescent="0.3">
      <c r="A4012" t="s">
        <v>10024</v>
      </c>
      <c r="B4012" t="s">
        <v>746</v>
      </c>
      <c r="C4012">
        <v>29</v>
      </c>
      <c r="D4012" t="str">
        <f>VLOOKUP(B4012,Products!$A:$E,2,FALSE)</f>
        <v>Product_369</v>
      </c>
      <c r="E4012" t="str">
        <f>VLOOKUP(B4012,Products!$A:$E,3,FALSE)</f>
        <v>Accessories</v>
      </c>
    </row>
    <row r="4013" spans="1:5" x14ac:dyDescent="0.3">
      <c r="A4013" t="s">
        <v>10025</v>
      </c>
      <c r="B4013" t="s">
        <v>806</v>
      </c>
      <c r="C4013">
        <v>42</v>
      </c>
      <c r="D4013" t="str">
        <f>VLOOKUP(B4013,Products!$A:$E,2,FALSE)</f>
        <v>Product_399</v>
      </c>
      <c r="E4013" t="str">
        <f>VLOOKUP(B4013,Products!$A:$E,3,FALSE)</f>
        <v>Networking</v>
      </c>
    </row>
    <row r="4014" spans="1:5" x14ac:dyDescent="0.3">
      <c r="A4014" t="s">
        <v>10026</v>
      </c>
      <c r="B4014" t="s">
        <v>208</v>
      </c>
      <c r="C4014">
        <v>38</v>
      </c>
      <c r="D4014" t="str">
        <f>VLOOKUP(B4014,Products!$A:$E,2,FALSE)</f>
        <v>Product_100</v>
      </c>
      <c r="E4014" t="str">
        <f>VLOOKUP(B4014,Products!$A:$E,3,FALSE)</f>
        <v>Accessories</v>
      </c>
    </row>
    <row r="4015" spans="1:5" x14ac:dyDescent="0.3">
      <c r="A4015" t="s">
        <v>10027</v>
      </c>
      <c r="B4015" t="s">
        <v>834</v>
      </c>
      <c r="C4015">
        <v>41</v>
      </c>
      <c r="D4015" t="str">
        <f>VLOOKUP(B4015,Products!$A:$E,2,FALSE)</f>
        <v>Product_413</v>
      </c>
      <c r="E4015" t="str">
        <f>VLOOKUP(B4015,Products!$A:$E,3,FALSE)</f>
        <v>Accessories</v>
      </c>
    </row>
    <row r="4016" spans="1:5" x14ac:dyDescent="0.3">
      <c r="A4016" t="s">
        <v>10028</v>
      </c>
      <c r="B4016" t="s">
        <v>638</v>
      </c>
      <c r="C4016">
        <v>49</v>
      </c>
      <c r="D4016" t="str">
        <f>VLOOKUP(B4016,Products!$A:$E,2,FALSE)</f>
        <v>Product_315</v>
      </c>
      <c r="E4016" t="str">
        <f>VLOOKUP(B4016,Products!$A:$E,3,FALSE)</f>
        <v>Accessories</v>
      </c>
    </row>
    <row r="4017" spans="1:5" x14ac:dyDescent="0.3">
      <c r="A4017" t="s">
        <v>10029</v>
      </c>
      <c r="B4017" t="s">
        <v>476</v>
      </c>
      <c r="C4017">
        <v>1</v>
      </c>
      <c r="D4017" t="str">
        <f>VLOOKUP(B4017,Products!$A:$E,2,FALSE)</f>
        <v>Product_234</v>
      </c>
      <c r="E4017" t="str">
        <f>VLOOKUP(B4017,Products!$A:$E,3,FALSE)</f>
        <v>Networking</v>
      </c>
    </row>
    <row r="4018" spans="1:5" x14ac:dyDescent="0.3">
      <c r="A4018" t="s">
        <v>10030</v>
      </c>
      <c r="B4018" t="s">
        <v>266</v>
      </c>
      <c r="C4018">
        <v>49</v>
      </c>
      <c r="D4018" t="str">
        <f>VLOOKUP(B4018,Products!$A:$E,2,FALSE)</f>
        <v>Product_129</v>
      </c>
      <c r="E4018" t="str">
        <f>VLOOKUP(B4018,Products!$A:$E,3,FALSE)</f>
        <v>Electronics</v>
      </c>
    </row>
    <row r="4019" spans="1:5" x14ac:dyDescent="0.3">
      <c r="A4019" t="s">
        <v>10031</v>
      </c>
      <c r="B4019" t="s">
        <v>426</v>
      </c>
      <c r="C4019">
        <v>39</v>
      </c>
      <c r="D4019" t="str">
        <f>VLOOKUP(B4019,Products!$A:$E,2,FALSE)</f>
        <v>Product_209</v>
      </c>
      <c r="E4019" t="str">
        <f>VLOOKUP(B4019,Products!$A:$E,3,FALSE)</f>
        <v>Networking</v>
      </c>
    </row>
    <row r="4020" spans="1:5" x14ac:dyDescent="0.3">
      <c r="A4020" t="s">
        <v>10032</v>
      </c>
      <c r="B4020" t="s">
        <v>286</v>
      </c>
      <c r="C4020">
        <v>32</v>
      </c>
      <c r="D4020" t="str">
        <f>VLOOKUP(B4020,Products!$A:$E,2,FALSE)</f>
        <v>Product_139</v>
      </c>
      <c r="E4020" t="str">
        <f>VLOOKUP(B4020,Products!$A:$E,3,FALSE)</f>
        <v>Storage</v>
      </c>
    </row>
    <row r="4021" spans="1:5" x14ac:dyDescent="0.3">
      <c r="A4021" t="s">
        <v>10033</v>
      </c>
      <c r="B4021" t="s">
        <v>656</v>
      </c>
      <c r="C4021">
        <v>12</v>
      </c>
      <c r="D4021" t="str">
        <f>VLOOKUP(B4021,Products!$A:$E,2,FALSE)</f>
        <v>Product_324</v>
      </c>
      <c r="E4021" t="str">
        <f>VLOOKUP(B4021,Products!$A:$E,3,FALSE)</f>
        <v>Accessories</v>
      </c>
    </row>
    <row r="4022" spans="1:5" x14ac:dyDescent="0.3">
      <c r="A4022" t="s">
        <v>10034</v>
      </c>
      <c r="B4022" t="s">
        <v>346</v>
      </c>
      <c r="C4022">
        <v>33</v>
      </c>
      <c r="D4022" t="str">
        <f>VLOOKUP(B4022,Products!$A:$E,2,FALSE)</f>
        <v>Product_169</v>
      </c>
      <c r="E4022" t="str">
        <f>VLOOKUP(B4022,Products!$A:$E,3,FALSE)</f>
        <v>Accessories</v>
      </c>
    </row>
    <row r="4023" spans="1:5" x14ac:dyDescent="0.3">
      <c r="A4023" t="s">
        <v>10035</v>
      </c>
      <c r="B4023" t="s">
        <v>504</v>
      </c>
      <c r="C4023">
        <v>33</v>
      </c>
      <c r="D4023" t="str">
        <f>VLOOKUP(B4023,Products!$A:$E,2,FALSE)</f>
        <v>Product_248</v>
      </c>
      <c r="E4023" t="str">
        <f>VLOOKUP(B4023,Products!$A:$E,3,FALSE)</f>
        <v>Networking</v>
      </c>
    </row>
    <row r="4024" spans="1:5" x14ac:dyDescent="0.3">
      <c r="A4024" t="s">
        <v>10036</v>
      </c>
      <c r="B4024" t="s">
        <v>300</v>
      </c>
      <c r="C4024">
        <v>42</v>
      </c>
      <c r="D4024" t="str">
        <f>VLOOKUP(B4024,Products!$A:$E,2,FALSE)</f>
        <v>Product_146</v>
      </c>
      <c r="E4024" t="str">
        <f>VLOOKUP(B4024,Products!$A:$E,3,FALSE)</f>
        <v>Office Supplies</v>
      </c>
    </row>
    <row r="4025" spans="1:5" x14ac:dyDescent="0.3">
      <c r="A4025" t="s">
        <v>10037</v>
      </c>
      <c r="B4025" t="s">
        <v>316</v>
      </c>
      <c r="C4025">
        <v>17</v>
      </c>
      <c r="D4025" t="str">
        <f>VLOOKUP(B4025,Products!$A:$E,2,FALSE)</f>
        <v>Product_154</v>
      </c>
      <c r="E4025" t="str">
        <f>VLOOKUP(B4025,Products!$A:$E,3,FALSE)</f>
        <v>Accessories</v>
      </c>
    </row>
    <row r="4026" spans="1:5" x14ac:dyDescent="0.3">
      <c r="A4026" t="s">
        <v>10038</v>
      </c>
      <c r="B4026" t="s">
        <v>898</v>
      </c>
      <c r="C4026">
        <v>35</v>
      </c>
      <c r="D4026" t="str">
        <f>VLOOKUP(B4026,Products!$A:$E,2,FALSE)</f>
        <v>Product_445</v>
      </c>
      <c r="E4026" t="str">
        <f>VLOOKUP(B4026,Products!$A:$E,3,FALSE)</f>
        <v>Office Supplies</v>
      </c>
    </row>
    <row r="4027" spans="1:5" x14ac:dyDescent="0.3">
      <c r="A4027" t="s">
        <v>10039</v>
      </c>
      <c r="B4027" t="s">
        <v>264</v>
      </c>
      <c r="C4027">
        <v>22</v>
      </c>
      <c r="D4027" t="str">
        <f>VLOOKUP(B4027,Products!$A:$E,2,FALSE)</f>
        <v>Product_128</v>
      </c>
      <c r="E4027" t="str">
        <f>VLOOKUP(B4027,Products!$A:$E,3,FALSE)</f>
        <v>Office Supplies</v>
      </c>
    </row>
    <row r="4028" spans="1:5" x14ac:dyDescent="0.3">
      <c r="A4028" t="s">
        <v>10040</v>
      </c>
      <c r="B4028" t="s">
        <v>290</v>
      </c>
      <c r="C4028">
        <v>44</v>
      </c>
      <c r="D4028" t="str">
        <f>VLOOKUP(B4028,Products!$A:$E,2,FALSE)</f>
        <v>Product_141</v>
      </c>
      <c r="E4028" t="str">
        <f>VLOOKUP(B4028,Products!$A:$E,3,FALSE)</f>
        <v>Electronics</v>
      </c>
    </row>
    <row r="4029" spans="1:5" x14ac:dyDescent="0.3">
      <c r="A4029" t="s">
        <v>10041</v>
      </c>
      <c r="B4029" t="s">
        <v>584</v>
      </c>
      <c r="C4029">
        <v>33</v>
      </c>
      <c r="D4029" t="str">
        <f>VLOOKUP(B4029,Products!$A:$E,2,FALSE)</f>
        <v>Product_288</v>
      </c>
      <c r="E4029" t="str">
        <f>VLOOKUP(B4029,Products!$A:$E,3,FALSE)</f>
        <v>Networking</v>
      </c>
    </row>
    <row r="4030" spans="1:5" x14ac:dyDescent="0.3">
      <c r="A4030" t="s">
        <v>10042</v>
      </c>
      <c r="B4030" t="s">
        <v>326</v>
      </c>
      <c r="C4030">
        <v>41</v>
      </c>
      <c r="D4030" t="str">
        <f>VLOOKUP(B4030,Products!$A:$E,2,FALSE)</f>
        <v>Product_159</v>
      </c>
      <c r="E4030" t="str">
        <f>VLOOKUP(B4030,Products!$A:$E,3,FALSE)</f>
        <v>Accessories</v>
      </c>
    </row>
    <row r="4031" spans="1:5" x14ac:dyDescent="0.3">
      <c r="A4031" t="s">
        <v>10043</v>
      </c>
      <c r="B4031" t="s">
        <v>460</v>
      </c>
      <c r="C4031">
        <v>8</v>
      </c>
      <c r="D4031" t="str">
        <f>VLOOKUP(B4031,Products!$A:$E,2,FALSE)</f>
        <v>Product_226</v>
      </c>
      <c r="E4031" t="str">
        <f>VLOOKUP(B4031,Products!$A:$E,3,FALSE)</f>
        <v>Networking</v>
      </c>
    </row>
    <row r="4032" spans="1:5" x14ac:dyDescent="0.3">
      <c r="A4032" t="s">
        <v>10044</v>
      </c>
      <c r="B4032" t="s">
        <v>784</v>
      </c>
      <c r="C4032">
        <v>12</v>
      </c>
      <c r="D4032" t="str">
        <f>VLOOKUP(B4032,Products!$A:$E,2,FALSE)</f>
        <v>Product_388</v>
      </c>
      <c r="E4032" t="str">
        <f>VLOOKUP(B4032,Products!$A:$E,3,FALSE)</f>
        <v>Office Supplies</v>
      </c>
    </row>
    <row r="4033" spans="1:5" x14ac:dyDescent="0.3">
      <c r="A4033" t="s">
        <v>10045</v>
      </c>
      <c r="B4033" t="s">
        <v>508</v>
      </c>
      <c r="C4033">
        <v>1</v>
      </c>
      <c r="D4033" t="str">
        <f>VLOOKUP(B4033,Products!$A:$E,2,FALSE)</f>
        <v>Product_250</v>
      </c>
      <c r="E4033" t="str">
        <f>VLOOKUP(B4033,Products!$A:$E,3,FALSE)</f>
        <v>Networking</v>
      </c>
    </row>
    <row r="4034" spans="1:5" x14ac:dyDescent="0.3">
      <c r="A4034" t="s">
        <v>10046</v>
      </c>
      <c r="B4034" t="s">
        <v>336</v>
      </c>
      <c r="C4034">
        <v>33</v>
      </c>
      <c r="D4034" t="str">
        <f>VLOOKUP(B4034,Products!$A:$E,2,FALSE)</f>
        <v>Product_164</v>
      </c>
      <c r="E4034" t="str">
        <f>VLOOKUP(B4034,Products!$A:$E,3,FALSE)</f>
        <v>Networking</v>
      </c>
    </row>
    <row r="4035" spans="1:5" x14ac:dyDescent="0.3">
      <c r="A4035" t="s">
        <v>10047</v>
      </c>
      <c r="B4035" t="s">
        <v>490</v>
      </c>
      <c r="C4035">
        <v>32</v>
      </c>
      <c r="D4035" t="str">
        <f>VLOOKUP(B4035,Products!$A:$E,2,FALSE)</f>
        <v>Product_241</v>
      </c>
      <c r="E4035" t="str">
        <f>VLOOKUP(B4035,Products!$A:$E,3,FALSE)</f>
        <v>Electronics</v>
      </c>
    </row>
    <row r="4036" spans="1:5" x14ac:dyDescent="0.3">
      <c r="A4036" t="s">
        <v>10048</v>
      </c>
      <c r="B4036" t="s">
        <v>176</v>
      </c>
      <c r="C4036">
        <v>12</v>
      </c>
      <c r="D4036" t="str">
        <f>VLOOKUP(B4036,Products!$A:$E,2,FALSE)</f>
        <v>Product_84</v>
      </c>
      <c r="E4036" t="str">
        <f>VLOOKUP(B4036,Products!$A:$E,3,FALSE)</f>
        <v>Electronics</v>
      </c>
    </row>
    <row r="4037" spans="1:5" x14ac:dyDescent="0.3">
      <c r="A4037" t="s">
        <v>10049</v>
      </c>
      <c r="B4037" t="s">
        <v>76</v>
      </c>
      <c r="C4037">
        <v>49</v>
      </c>
      <c r="D4037" t="str">
        <f>VLOOKUP(B4037,Products!$A:$E,2,FALSE)</f>
        <v>Product_34</v>
      </c>
      <c r="E4037" t="str">
        <f>VLOOKUP(B4037,Products!$A:$E,3,FALSE)</f>
        <v>Office Supplies</v>
      </c>
    </row>
    <row r="4038" spans="1:5" x14ac:dyDescent="0.3">
      <c r="A4038" t="s">
        <v>10050</v>
      </c>
      <c r="B4038" t="s">
        <v>452</v>
      </c>
      <c r="C4038">
        <v>44</v>
      </c>
      <c r="D4038" t="str">
        <f>VLOOKUP(B4038,Products!$A:$E,2,FALSE)</f>
        <v>Product_222</v>
      </c>
      <c r="E4038" t="str">
        <f>VLOOKUP(B4038,Products!$A:$E,3,FALSE)</f>
        <v>Networking</v>
      </c>
    </row>
    <row r="4039" spans="1:5" x14ac:dyDescent="0.3">
      <c r="A4039" t="s">
        <v>10051</v>
      </c>
      <c r="B4039" t="s">
        <v>320</v>
      </c>
      <c r="C4039">
        <v>7</v>
      </c>
      <c r="D4039" t="str">
        <f>VLOOKUP(B4039,Products!$A:$E,2,FALSE)</f>
        <v>Product_156</v>
      </c>
      <c r="E4039" t="str">
        <f>VLOOKUP(B4039,Products!$A:$E,3,FALSE)</f>
        <v>Accessories</v>
      </c>
    </row>
    <row r="4040" spans="1:5" x14ac:dyDescent="0.3">
      <c r="A4040" t="s">
        <v>10052</v>
      </c>
      <c r="B4040" t="s">
        <v>956</v>
      </c>
      <c r="C4040">
        <v>29</v>
      </c>
      <c r="D4040" t="str">
        <f>VLOOKUP(B4040,Products!$A:$E,2,FALSE)</f>
        <v>Product_474</v>
      </c>
      <c r="E4040" t="str">
        <f>VLOOKUP(B4040,Products!$A:$E,3,FALSE)</f>
        <v>Networking</v>
      </c>
    </row>
    <row r="4041" spans="1:5" x14ac:dyDescent="0.3">
      <c r="A4041" t="s">
        <v>10053</v>
      </c>
      <c r="B4041" t="s">
        <v>360</v>
      </c>
      <c r="C4041">
        <v>41</v>
      </c>
      <c r="D4041" t="str">
        <f>VLOOKUP(B4041,Products!$A:$E,2,FALSE)</f>
        <v>Product_176</v>
      </c>
      <c r="E4041" t="str">
        <f>VLOOKUP(B4041,Products!$A:$E,3,FALSE)</f>
        <v>Electronics</v>
      </c>
    </row>
    <row r="4042" spans="1:5" x14ac:dyDescent="0.3">
      <c r="A4042" t="s">
        <v>10054</v>
      </c>
      <c r="B4042" t="s">
        <v>712</v>
      </c>
      <c r="C4042">
        <v>35</v>
      </c>
      <c r="D4042" t="str">
        <f>VLOOKUP(B4042,Products!$A:$E,2,FALSE)</f>
        <v>Product_352</v>
      </c>
      <c r="E4042" t="str">
        <f>VLOOKUP(B4042,Products!$A:$E,3,FALSE)</f>
        <v>Storage</v>
      </c>
    </row>
    <row r="4043" spans="1:5" x14ac:dyDescent="0.3">
      <c r="A4043" t="s">
        <v>10055</v>
      </c>
      <c r="B4043" t="s">
        <v>852</v>
      </c>
      <c r="C4043">
        <v>12</v>
      </c>
      <c r="D4043" t="str">
        <f>VLOOKUP(B4043,Products!$A:$E,2,FALSE)</f>
        <v>Product_422</v>
      </c>
      <c r="E4043" t="str">
        <f>VLOOKUP(B4043,Products!$A:$E,3,FALSE)</f>
        <v>Accessories</v>
      </c>
    </row>
    <row r="4044" spans="1:5" x14ac:dyDescent="0.3">
      <c r="A4044" t="s">
        <v>10056</v>
      </c>
      <c r="B4044" t="s">
        <v>208</v>
      </c>
      <c r="C4044">
        <v>50</v>
      </c>
      <c r="D4044" t="str">
        <f>VLOOKUP(B4044,Products!$A:$E,2,FALSE)</f>
        <v>Product_100</v>
      </c>
      <c r="E4044" t="str">
        <f>VLOOKUP(B4044,Products!$A:$E,3,FALSE)</f>
        <v>Accessories</v>
      </c>
    </row>
    <row r="4045" spans="1:5" x14ac:dyDescent="0.3">
      <c r="A4045" t="s">
        <v>10057</v>
      </c>
      <c r="B4045" t="s">
        <v>120</v>
      </c>
      <c r="C4045">
        <v>49</v>
      </c>
      <c r="D4045" t="str">
        <f>VLOOKUP(B4045,Products!$A:$E,2,FALSE)</f>
        <v>Product_56</v>
      </c>
      <c r="E4045" t="str">
        <f>VLOOKUP(B4045,Products!$A:$E,3,FALSE)</f>
        <v>Networking</v>
      </c>
    </row>
    <row r="4046" spans="1:5" x14ac:dyDescent="0.3">
      <c r="A4046" t="s">
        <v>10058</v>
      </c>
      <c r="B4046" t="s">
        <v>246</v>
      </c>
      <c r="C4046">
        <v>14</v>
      </c>
      <c r="D4046" t="str">
        <f>VLOOKUP(B4046,Products!$A:$E,2,FALSE)</f>
        <v>Product_119</v>
      </c>
      <c r="E4046" t="str">
        <f>VLOOKUP(B4046,Products!$A:$E,3,FALSE)</f>
        <v>Electronics</v>
      </c>
    </row>
    <row r="4047" spans="1:5" x14ac:dyDescent="0.3">
      <c r="A4047" t="s">
        <v>10059</v>
      </c>
      <c r="B4047" t="s">
        <v>324</v>
      </c>
      <c r="C4047">
        <v>33</v>
      </c>
      <c r="D4047" t="str">
        <f>VLOOKUP(B4047,Products!$A:$E,2,FALSE)</f>
        <v>Product_158</v>
      </c>
      <c r="E4047" t="str">
        <f>VLOOKUP(B4047,Products!$A:$E,3,FALSE)</f>
        <v>Electronics</v>
      </c>
    </row>
    <row r="4048" spans="1:5" x14ac:dyDescent="0.3">
      <c r="A4048" t="s">
        <v>10060</v>
      </c>
      <c r="B4048" t="s">
        <v>322</v>
      </c>
      <c r="C4048">
        <v>21</v>
      </c>
      <c r="D4048" t="str">
        <f>VLOOKUP(B4048,Products!$A:$E,2,FALSE)</f>
        <v>Product_157</v>
      </c>
      <c r="E4048" t="str">
        <f>VLOOKUP(B4048,Products!$A:$E,3,FALSE)</f>
        <v>Electronics</v>
      </c>
    </row>
    <row r="4049" spans="1:5" x14ac:dyDescent="0.3">
      <c r="A4049" t="s">
        <v>10061</v>
      </c>
      <c r="B4049" t="s">
        <v>794</v>
      </c>
      <c r="C4049">
        <v>34</v>
      </c>
      <c r="D4049" t="str">
        <f>VLOOKUP(B4049,Products!$A:$E,2,FALSE)</f>
        <v>Product_393</v>
      </c>
      <c r="E4049" t="str">
        <f>VLOOKUP(B4049,Products!$A:$E,3,FALSE)</f>
        <v>Electronics</v>
      </c>
    </row>
    <row r="4050" spans="1:5" x14ac:dyDescent="0.3">
      <c r="A4050" t="s">
        <v>10062</v>
      </c>
      <c r="B4050" t="s">
        <v>492</v>
      </c>
      <c r="C4050">
        <v>7</v>
      </c>
      <c r="D4050" t="str">
        <f>VLOOKUP(B4050,Products!$A:$E,2,FALSE)</f>
        <v>Product_242</v>
      </c>
      <c r="E4050" t="str">
        <f>VLOOKUP(B4050,Products!$A:$E,3,FALSE)</f>
        <v>Networking</v>
      </c>
    </row>
    <row r="4051" spans="1:5" x14ac:dyDescent="0.3">
      <c r="A4051" t="s">
        <v>10063</v>
      </c>
      <c r="B4051" t="s">
        <v>710</v>
      </c>
      <c r="C4051">
        <v>20</v>
      </c>
      <c r="D4051" t="str">
        <f>VLOOKUP(B4051,Products!$A:$E,2,FALSE)</f>
        <v>Product_351</v>
      </c>
      <c r="E4051" t="str">
        <f>VLOOKUP(B4051,Products!$A:$E,3,FALSE)</f>
        <v>Accessories</v>
      </c>
    </row>
    <row r="4052" spans="1:5" x14ac:dyDescent="0.3">
      <c r="A4052" t="s">
        <v>10064</v>
      </c>
      <c r="B4052" t="s">
        <v>958</v>
      </c>
      <c r="C4052">
        <v>40</v>
      </c>
      <c r="D4052" t="str">
        <f>VLOOKUP(B4052,Products!$A:$E,2,FALSE)</f>
        <v>Product_475</v>
      </c>
      <c r="E4052" t="str">
        <f>VLOOKUP(B4052,Products!$A:$E,3,FALSE)</f>
        <v>Electronics</v>
      </c>
    </row>
    <row r="4053" spans="1:5" x14ac:dyDescent="0.3">
      <c r="A4053" t="s">
        <v>10065</v>
      </c>
      <c r="B4053" t="s">
        <v>224</v>
      </c>
      <c r="C4053">
        <v>37</v>
      </c>
      <c r="D4053" t="str">
        <f>VLOOKUP(B4053,Products!$A:$E,2,FALSE)</f>
        <v>Product_108</v>
      </c>
      <c r="E4053" t="str">
        <f>VLOOKUP(B4053,Products!$A:$E,3,FALSE)</f>
        <v>Networking</v>
      </c>
    </row>
    <row r="4054" spans="1:5" x14ac:dyDescent="0.3">
      <c r="A4054" t="s">
        <v>10066</v>
      </c>
      <c r="B4054" t="s">
        <v>698</v>
      </c>
      <c r="C4054">
        <v>10</v>
      </c>
      <c r="D4054" t="str">
        <f>VLOOKUP(B4054,Products!$A:$E,2,FALSE)</f>
        <v>Product_345</v>
      </c>
      <c r="E4054" t="str">
        <f>VLOOKUP(B4054,Products!$A:$E,3,FALSE)</f>
        <v>Storage</v>
      </c>
    </row>
    <row r="4055" spans="1:5" x14ac:dyDescent="0.3">
      <c r="A4055" t="s">
        <v>10067</v>
      </c>
      <c r="B4055" t="s">
        <v>340</v>
      </c>
      <c r="C4055">
        <v>11</v>
      </c>
      <c r="D4055" t="str">
        <f>VLOOKUP(B4055,Products!$A:$E,2,FALSE)</f>
        <v>Product_166</v>
      </c>
      <c r="E4055" t="str">
        <f>VLOOKUP(B4055,Products!$A:$E,3,FALSE)</f>
        <v>Accessories</v>
      </c>
    </row>
    <row r="4056" spans="1:5" x14ac:dyDescent="0.3">
      <c r="A4056" t="s">
        <v>10068</v>
      </c>
      <c r="B4056" t="s">
        <v>206</v>
      </c>
      <c r="C4056">
        <v>50</v>
      </c>
      <c r="D4056" t="str">
        <f>VLOOKUP(B4056,Products!$A:$E,2,FALSE)</f>
        <v>Product_99</v>
      </c>
      <c r="E4056" t="str">
        <f>VLOOKUP(B4056,Products!$A:$E,3,FALSE)</f>
        <v>Accessories</v>
      </c>
    </row>
    <row r="4057" spans="1:5" x14ac:dyDescent="0.3">
      <c r="A4057" t="s">
        <v>10069</v>
      </c>
      <c r="B4057" t="s">
        <v>414</v>
      </c>
      <c r="C4057">
        <v>11</v>
      </c>
      <c r="D4057" t="str">
        <f>VLOOKUP(B4057,Products!$A:$E,2,FALSE)</f>
        <v>Product_203</v>
      </c>
      <c r="E4057" t="str">
        <f>VLOOKUP(B4057,Products!$A:$E,3,FALSE)</f>
        <v>Accessories</v>
      </c>
    </row>
    <row r="4058" spans="1:5" x14ac:dyDescent="0.3">
      <c r="A4058" t="s">
        <v>10070</v>
      </c>
      <c r="B4058" t="s">
        <v>882</v>
      </c>
      <c r="C4058">
        <v>11</v>
      </c>
      <c r="D4058" t="str">
        <f>VLOOKUP(B4058,Products!$A:$E,2,FALSE)</f>
        <v>Product_437</v>
      </c>
      <c r="E4058" t="str">
        <f>VLOOKUP(B4058,Products!$A:$E,3,FALSE)</f>
        <v>Accessories</v>
      </c>
    </row>
    <row r="4059" spans="1:5" x14ac:dyDescent="0.3">
      <c r="A4059" t="s">
        <v>10071</v>
      </c>
      <c r="B4059" t="s">
        <v>634</v>
      </c>
      <c r="C4059">
        <v>43</v>
      </c>
      <c r="D4059" t="str">
        <f>VLOOKUP(B4059,Products!$A:$E,2,FALSE)</f>
        <v>Product_313</v>
      </c>
      <c r="E4059" t="str">
        <f>VLOOKUP(B4059,Products!$A:$E,3,FALSE)</f>
        <v>Accessories</v>
      </c>
    </row>
    <row r="4060" spans="1:5" x14ac:dyDescent="0.3">
      <c r="A4060" t="s">
        <v>10072</v>
      </c>
      <c r="B4060" t="s">
        <v>170</v>
      </c>
      <c r="C4060">
        <v>21</v>
      </c>
      <c r="D4060" t="str">
        <f>VLOOKUP(B4060,Products!$A:$E,2,FALSE)</f>
        <v>Product_81</v>
      </c>
      <c r="E4060" t="str">
        <f>VLOOKUP(B4060,Products!$A:$E,3,FALSE)</f>
        <v>Office Supplies</v>
      </c>
    </row>
    <row r="4061" spans="1:5" x14ac:dyDescent="0.3">
      <c r="A4061" t="s">
        <v>10073</v>
      </c>
      <c r="B4061" t="s">
        <v>988</v>
      </c>
      <c r="C4061">
        <v>34</v>
      </c>
      <c r="D4061" t="str">
        <f>VLOOKUP(B4061,Products!$A:$E,2,FALSE)</f>
        <v>Product_490</v>
      </c>
      <c r="E4061" t="str">
        <f>VLOOKUP(B4061,Products!$A:$E,3,FALSE)</f>
        <v>Storage</v>
      </c>
    </row>
    <row r="4062" spans="1:5" x14ac:dyDescent="0.3">
      <c r="A4062" t="s">
        <v>10074</v>
      </c>
      <c r="B4062" t="s">
        <v>494</v>
      </c>
      <c r="C4062">
        <v>42</v>
      </c>
      <c r="D4062" t="str">
        <f>VLOOKUP(B4062,Products!$A:$E,2,FALSE)</f>
        <v>Product_243</v>
      </c>
      <c r="E4062" t="str">
        <f>VLOOKUP(B4062,Products!$A:$E,3,FALSE)</f>
        <v>Storage</v>
      </c>
    </row>
    <row r="4063" spans="1:5" x14ac:dyDescent="0.3">
      <c r="A4063" t="s">
        <v>10075</v>
      </c>
      <c r="B4063" t="s">
        <v>618</v>
      </c>
      <c r="C4063">
        <v>27</v>
      </c>
      <c r="D4063" t="str">
        <f>VLOOKUP(B4063,Products!$A:$E,2,FALSE)</f>
        <v>Product_305</v>
      </c>
      <c r="E4063" t="str">
        <f>VLOOKUP(B4063,Products!$A:$E,3,FALSE)</f>
        <v>Accessories</v>
      </c>
    </row>
    <row r="4064" spans="1:5" x14ac:dyDescent="0.3">
      <c r="A4064" t="s">
        <v>10076</v>
      </c>
      <c r="B4064" t="s">
        <v>808</v>
      </c>
      <c r="C4064">
        <v>47</v>
      </c>
      <c r="D4064" t="str">
        <f>VLOOKUP(B4064,Products!$A:$E,2,FALSE)</f>
        <v>Product_400</v>
      </c>
      <c r="E4064" t="str">
        <f>VLOOKUP(B4064,Products!$A:$E,3,FALSE)</f>
        <v>Networking</v>
      </c>
    </row>
    <row r="4065" spans="1:5" x14ac:dyDescent="0.3">
      <c r="A4065" t="s">
        <v>10077</v>
      </c>
      <c r="B4065" t="s">
        <v>284</v>
      </c>
      <c r="C4065">
        <v>15</v>
      </c>
      <c r="D4065" t="str">
        <f>VLOOKUP(B4065,Products!$A:$E,2,FALSE)</f>
        <v>Product_138</v>
      </c>
      <c r="E4065" t="str">
        <f>VLOOKUP(B4065,Products!$A:$E,3,FALSE)</f>
        <v>Electronics</v>
      </c>
    </row>
    <row r="4066" spans="1:5" x14ac:dyDescent="0.3">
      <c r="A4066" t="s">
        <v>10078</v>
      </c>
      <c r="B4066" t="s">
        <v>964</v>
      </c>
      <c r="C4066">
        <v>17</v>
      </c>
      <c r="D4066" t="str">
        <f>VLOOKUP(B4066,Products!$A:$E,2,FALSE)</f>
        <v>Product_478</v>
      </c>
      <c r="E4066" t="str">
        <f>VLOOKUP(B4066,Products!$A:$E,3,FALSE)</f>
        <v>Office Supplies</v>
      </c>
    </row>
    <row r="4067" spans="1:5" x14ac:dyDescent="0.3">
      <c r="A4067" t="s">
        <v>10079</v>
      </c>
      <c r="B4067" t="s">
        <v>492</v>
      </c>
      <c r="C4067">
        <v>20</v>
      </c>
      <c r="D4067" t="str">
        <f>VLOOKUP(B4067,Products!$A:$E,2,FALSE)</f>
        <v>Product_242</v>
      </c>
      <c r="E4067" t="str">
        <f>VLOOKUP(B4067,Products!$A:$E,3,FALSE)</f>
        <v>Networking</v>
      </c>
    </row>
    <row r="4068" spans="1:5" x14ac:dyDescent="0.3">
      <c r="A4068" t="s">
        <v>10080</v>
      </c>
      <c r="B4068" t="s">
        <v>388</v>
      </c>
      <c r="C4068">
        <v>10</v>
      </c>
      <c r="D4068" t="str">
        <f>VLOOKUP(B4068,Products!$A:$E,2,FALSE)</f>
        <v>Product_190</v>
      </c>
      <c r="E4068" t="str">
        <f>VLOOKUP(B4068,Products!$A:$E,3,FALSE)</f>
        <v>Office Supplies</v>
      </c>
    </row>
    <row r="4069" spans="1:5" x14ac:dyDescent="0.3">
      <c r="A4069" t="s">
        <v>10081</v>
      </c>
      <c r="B4069" t="s">
        <v>322</v>
      </c>
      <c r="C4069">
        <v>22</v>
      </c>
      <c r="D4069" t="str">
        <f>VLOOKUP(B4069,Products!$A:$E,2,FALSE)</f>
        <v>Product_157</v>
      </c>
      <c r="E4069" t="str">
        <f>VLOOKUP(B4069,Products!$A:$E,3,FALSE)</f>
        <v>Electronics</v>
      </c>
    </row>
    <row r="4070" spans="1:5" x14ac:dyDescent="0.3">
      <c r="A4070" t="s">
        <v>10082</v>
      </c>
      <c r="B4070" t="s">
        <v>754</v>
      </c>
      <c r="C4070">
        <v>23</v>
      </c>
      <c r="D4070" t="str">
        <f>VLOOKUP(B4070,Products!$A:$E,2,FALSE)</f>
        <v>Product_373</v>
      </c>
      <c r="E4070" t="str">
        <f>VLOOKUP(B4070,Products!$A:$E,3,FALSE)</f>
        <v>Office Supplies</v>
      </c>
    </row>
    <row r="4071" spans="1:5" x14ac:dyDescent="0.3">
      <c r="A4071" t="s">
        <v>10083</v>
      </c>
      <c r="B4071" t="s">
        <v>858</v>
      </c>
      <c r="C4071">
        <v>48</v>
      </c>
      <c r="D4071" t="str">
        <f>VLOOKUP(B4071,Products!$A:$E,2,FALSE)</f>
        <v>Product_425</v>
      </c>
      <c r="E4071" t="str">
        <f>VLOOKUP(B4071,Products!$A:$E,3,FALSE)</f>
        <v>Office Supplies</v>
      </c>
    </row>
    <row r="4072" spans="1:5" x14ac:dyDescent="0.3">
      <c r="A4072" t="s">
        <v>10084</v>
      </c>
      <c r="B4072" t="s">
        <v>332</v>
      </c>
      <c r="C4072">
        <v>29</v>
      </c>
      <c r="D4072" t="str">
        <f>VLOOKUP(B4072,Products!$A:$E,2,FALSE)</f>
        <v>Product_162</v>
      </c>
      <c r="E4072" t="str">
        <f>VLOOKUP(B4072,Products!$A:$E,3,FALSE)</f>
        <v>Accessories</v>
      </c>
    </row>
    <row r="4073" spans="1:5" x14ac:dyDescent="0.3">
      <c r="A4073" t="s">
        <v>10085</v>
      </c>
      <c r="B4073" t="s">
        <v>324</v>
      </c>
      <c r="C4073">
        <v>28</v>
      </c>
      <c r="D4073" t="str">
        <f>VLOOKUP(B4073,Products!$A:$E,2,FALSE)</f>
        <v>Product_158</v>
      </c>
      <c r="E4073" t="str">
        <f>VLOOKUP(B4073,Products!$A:$E,3,FALSE)</f>
        <v>Electronics</v>
      </c>
    </row>
    <row r="4074" spans="1:5" x14ac:dyDescent="0.3">
      <c r="A4074" t="s">
        <v>10086</v>
      </c>
      <c r="B4074" t="s">
        <v>586</v>
      </c>
      <c r="C4074">
        <v>26</v>
      </c>
      <c r="D4074" t="str">
        <f>VLOOKUP(B4074,Products!$A:$E,2,FALSE)</f>
        <v>Product_289</v>
      </c>
      <c r="E4074" t="str">
        <f>VLOOKUP(B4074,Products!$A:$E,3,FALSE)</f>
        <v>Storage</v>
      </c>
    </row>
    <row r="4075" spans="1:5" x14ac:dyDescent="0.3">
      <c r="A4075" t="s">
        <v>10087</v>
      </c>
      <c r="B4075" t="s">
        <v>790</v>
      </c>
      <c r="C4075">
        <v>27</v>
      </c>
      <c r="D4075" t="str">
        <f>VLOOKUP(B4075,Products!$A:$E,2,FALSE)</f>
        <v>Product_391</v>
      </c>
      <c r="E4075" t="str">
        <f>VLOOKUP(B4075,Products!$A:$E,3,FALSE)</f>
        <v>Accessories</v>
      </c>
    </row>
    <row r="4076" spans="1:5" x14ac:dyDescent="0.3">
      <c r="A4076" t="s">
        <v>10088</v>
      </c>
      <c r="B4076" t="s">
        <v>11</v>
      </c>
      <c r="C4076">
        <v>49</v>
      </c>
      <c r="D4076" t="str">
        <f>VLOOKUP(B4076,Products!$A:$E,2,FALSE)</f>
        <v>Product_3</v>
      </c>
      <c r="E4076" t="str">
        <f>VLOOKUP(B4076,Products!$A:$E,3,FALSE)</f>
        <v>Accessories</v>
      </c>
    </row>
    <row r="4077" spans="1:5" x14ac:dyDescent="0.3">
      <c r="A4077" t="s">
        <v>10089</v>
      </c>
      <c r="B4077" t="s">
        <v>972</v>
      </c>
      <c r="C4077">
        <v>26</v>
      </c>
      <c r="D4077" t="str">
        <f>VLOOKUP(B4077,Products!$A:$E,2,FALSE)</f>
        <v>Product_482</v>
      </c>
      <c r="E4077" t="str">
        <f>VLOOKUP(B4077,Products!$A:$E,3,FALSE)</f>
        <v>Storage</v>
      </c>
    </row>
    <row r="4078" spans="1:5" x14ac:dyDescent="0.3">
      <c r="A4078" t="s">
        <v>10090</v>
      </c>
      <c r="B4078" t="s">
        <v>66</v>
      </c>
      <c r="C4078">
        <v>27</v>
      </c>
      <c r="D4078" t="str">
        <f>VLOOKUP(B4078,Products!$A:$E,2,FALSE)</f>
        <v>Product_29</v>
      </c>
      <c r="E4078" t="str">
        <f>VLOOKUP(B4078,Products!$A:$E,3,FALSE)</f>
        <v>Electronics</v>
      </c>
    </row>
    <row r="4079" spans="1:5" x14ac:dyDescent="0.3">
      <c r="A4079" t="s">
        <v>10091</v>
      </c>
      <c r="B4079" t="s">
        <v>372</v>
      </c>
      <c r="C4079">
        <v>42</v>
      </c>
      <c r="D4079" t="str">
        <f>VLOOKUP(B4079,Products!$A:$E,2,FALSE)</f>
        <v>Product_182</v>
      </c>
      <c r="E4079" t="str">
        <f>VLOOKUP(B4079,Products!$A:$E,3,FALSE)</f>
        <v>Storage</v>
      </c>
    </row>
    <row r="4080" spans="1:5" x14ac:dyDescent="0.3">
      <c r="A4080" t="s">
        <v>10092</v>
      </c>
      <c r="B4080" t="s">
        <v>834</v>
      </c>
      <c r="C4080">
        <v>9</v>
      </c>
      <c r="D4080" t="str">
        <f>VLOOKUP(B4080,Products!$A:$E,2,FALSE)</f>
        <v>Product_413</v>
      </c>
      <c r="E4080" t="str">
        <f>VLOOKUP(B4080,Products!$A:$E,3,FALSE)</f>
        <v>Accessories</v>
      </c>
    </row>
    <row r="4081" spans="1:5" x14ac:dyDescent="0.3">
      <c r="A4081" t="s">
        <v>10093</v>
      </c>
      <c r="B4081" t="s">
        <v>1008</v>
      </c>
      <c r="C4081">
        <v>30</v>
      </c>
      <c r="D4081" t="str">
        <f>VLOOKUP(B4081,Products!$A:$E,2,FALSE)</f>
        <v>Product_500</v>
      </c>
      <c r="E4081" t="str">
        <f>VLOOKUP(B4081,Products!$A:$E,3,FALSE)</f>
        <v>Networking</v>
      </c>
    </row>
    <row r="4082" spans="1:5" x14ac:dyDescent="0.3">
      <c r="A4082" t="s">
        <v>10094</v>
      </c>
      <c r="B4082" t="s">
        <v>794</v>
      </c>
      <c r="C4082">
        <v>18</v>
      </c>
      <c r="D4082" t="str">
        <f>VLOOKUP(B4082,Products!$A:$E,2,FALSE)</f>
        <v>Product_393</v>
      </c>
      <c r="E4082" t="str">
        <f>VLOOKUP(B4082,Products!$A:$E,3,FALSE)</f>
        <v>Electronics</v>
      </c>
    </row>
    <row r="4083" spans="1:5" x14ac:dyDescent="0.3">
      <c r="A4083" t="s">
        <v>10095</v>
      </c>
      <c r="B4083" t="s">
        <v>28</v>
      </c>
      <c r="C4083">
        <v>46</v>
      </c>
      <c r="D4083" t="str">
        <f>VLOOKUP(B4083,Products!$A:$E,2,FALSE)</f>
        <v>Product_10</v>
      </c>
      <c r="E4083" t="str">
        <f>VLOOKUP(B4083,Products!$A:$E,3,FALSE)</f>
        <v>Networking</v>
      </c>
    </row>
    <row r="4084" spans="1:5" x14ac:dyDescent="0.3">
      <c r="A4084" t="s">
        <v>10096</v>
      </c>
      <c r="B4084" t="s">
        <v>216</v>
      </c>
      <c r="C4084">
        <v>14</v>
      </c>
      <c r="D4084" t="str">
        <f>VLOOKUP(B4084,Products!$A:$E,2,FALSE)</f>
        <v>Product_104</v>
      </c>
      <c r="E4084" t="str">
        <f>VLOOKUP(B4084,Products!$A:$E,3,FALSE)</f>
        <v>Networking</v>
      </c>
    </row>
    <row r="4085" spans="1:5" x14ac:dyDescent="0.3">
      <c r="A4085" t="s">
        <v>10097</v>
      </c>
      <c r="B4085" t="s">
        <v>686</v>
      </c>
      <c r="C4085">
        <v>46</v>
      </c>
      <c r="D4085" t="str">
        <f>VLOOKUP(B4085,Products!$A:$E,2,FALSE)</f>
        <v>Product_339</v>
      </c>
      <c r="E4085" t="str">
        <f>VLOOKUP(B4085,Products!$A:$E,3,FALSE)</f>
        <v>Storage</v>
      </c>
    </row>
    <row r="4086" spans="1:5" x14ac:dyDescent="0.3">
      <c r="A4086" t="s">
        <v>10098</v>
      </c>
      <c r="B4086" t="s">
        <v>272</v>
      </c>
      <c r="C4086">
        <v>19</v>
      </c>
      <c r="D4086" t="str">
        <f>VLOOKUP(B4086,Products!$A:$E,2,FALSE)</f>
        <v>Product_132</v>
      </c>
      <c r="E4086" t="str">
        <f>VLOOKUP(B4086,Products!$A:$E,3,FALSE)</f>
        <v>Storage</v>
      </c>
    </row>
    <row r="4087" spans="1:5" x14ac:dyDescent="0.3">
      <c r="A4087" t="s">
        <v>10099</v>
      </c>
      <c r="B4087" t="s">
        <v>862</v>
      </c>
      <c r="C4087">
        <v>24</v>
      </c>
      <c r="D4087" t="str">
        <f>VLOOKUP(B4087,Products!$A:$E,2,FALSE)</f>
        <v>Product_427</v>
      </c>
      <c r="E4087" t="str">
        <f>VLOOKUP(B4087,Products!$A:$E,3,FALSE)</f>
        <v>Networking</v>
      </c>
    </row>
    <row r="4088" spans="1:5" x14ac:dyDescent="0.3">
      <c r="A4088" t="s">
        <v>10100</v>
      </c>
      <c r="B4088" t="s">
        <v>34</v>
      </c>
      <c r="C4088">
        <v>21</v>
      </c>
      <c r="D4088" t="str">
        <f>VLOOKUP(B4088,Products!$A:$E,2,FALSE)</f>
        <v>Product_13</v>
      </c>
      <c r="E4088" t="str">
        <f>VLOOKUP(B4088,Products!$A:$E,3,FALSE)</f>
        <v>Office Supplies</v>
      </c>
    </row>
    <row r="4089" spans="1:5" x14ac:dyDescent="0.3">
      <c r="A4089" t="s">
        <v>10101</v>
      </c>
      <c r="B4089" t="s">
        <v>446</v>
      </c>
      <c r="C4089">
        <v>25</v>
      </c>
      <c r="D4089" t="str">
        <f>VLOOKUP(B4089,Products!$A:$E,2,FALSE)</f>
        <v>Product_219</v>
      </c>
      <c r="E4089" t="str">
        <f>VLOOKUP(B4089,Products!$A:$E,3,FALSE)</f>
        <v>Accessories</v>
      </c>
    </row>
    <row r="4090" spans="1:5" x14ac:dyDescent="0.3">
      <c r="A4090" t="s">
        <v>10102</v>
      </c>
      <c r="B4090" t="s">
        <v>342</v>
      </c>
      <c r="C4090">
        <v>36</v>
      </c>
      <c r="D4090" t="str">
        <f>VLOOKUP(B4090,Products!$A:$E,2,FALSE)</f>
        <v>Product_167</v>
      </c>
      <c r="E4090" t="str">
        <f>VLOOKUP(B4090,Products!$A:$E,3,FALSE)</f>
        <v>Electronics</v>
      </c>
    </row>
    <row r="4091" spans="1:5" x14ac:dyDescent="0.3">
      <c r="A4091" t="s">
        <v>10103</v>
      </c>
      <c r="B4091" t="s">
        <v>582</v>
      </c>
      <c r="C4091">
        <v>48</v>
      </c>
      <c r="D4091" t="str">
        <f>VLOOKUP(B4091,Products!$A:$E,2,FALSE)</f>
        <v>Product_287</v>
      </c>
      <c r="E4091" t="str">
        <f>VLOOKUP(B4091,Products!$A:$E,3,FALSE)</f>
        <v>Storage</v>
      </c>
    </row>
    <row r="4092" spans="1:5" x14ac:dyDescent="0.3">
      <c r="A4092" t="s">
        <v>10104</v>
      </c>
      <c r="B4092" t="s">
        <v>214</v>
      </c>
      <c r="C4092">
        <v>14</v>
      </c>
      <c r="D4092" t="str">
        <f>VLOOKUP(B4092,Products!$A:$E,2,FALSE)</f>
        <v>Product_103</v>
      </c>
      <c r="E4092" t="str">
        <f>VLOOKUP(B4092,Products!$A:$E,3,FALSE)</f>
        <v>Accessories</v>
      </c>
    </row>
    <row r="4093" spans="1:5" x14ac:dyDescent="0.3">
      <c r="A4093" t="s">
        <v>10105</v>
      </c>
      <c r="B4093" t="s">
        <v>642</v>
      </c>
      <c r="C4093">
        <v>33</v>
      </c>
      <c r="D4093" t="str">
        <f>VLOOKUP(B4093,Products!$A:$E,2,FALSE)</f>
        <v>Product_317</v>
      </c>
      <c r="E4093" t="str">
        <f>VLOOKUP(B4093,Products!$A:$E,3,FALSE)</f>
        <v>Storage</v>
      </c>
    </row>
    <row r="4094" spans="1:5" x14ac:dyDescent="0.3">
      <c r="A4094" t="s">
        <v>10106</v>
      </c>
      <c r="B4094" t="s">
        <v>460</v>
      </c>
      <c r="C4094">
        <v>18</v>
      </c>
      <c r="D4094" t="str">
        <f>VLOOKUP(B4094,Products!$A:$E,2,FALSE)</f>
        <v>Product_226</v>
      </c>
      <c r="E4094" t="str">
        <f>VLOOKUP(B4094,Products!$A:$E,3,FALSE)</f>
        <v>Networking</v>
      </c>
    </row>
    <row r="4095" spans="1:5" x14ac:dyDescent="0.3">
      <c r="A4095" t="s">
        <v>10107</v>
      </c>
      <c r="B4095" t="s">
        <v>118</v>
      </c>
      <c r="C4095">
        <v>5</v>
      </c>
      <c r="D4095" t="str">
        <f>VLOOKUP(B4095,Products!$A:$E,2,FALSE)</f>
        <v>Product_55</v>
      </c>
      <c r="E4095" t="str">
        <f>VLOOKUP(B4095,Products!$A:$E,3,FALSE)</f>
        <v>Office Supplies</v>
      </c>
    </row>
    <row r="4096" spans="1:5" x14ac:dyDescent="0.3">
      <c r="A4096" t="s">
        <v>10108</v>
      </c>
      <c r="B4096" t="s">
        <v>258</v>
      </c>
      <c r="C4096">
        <v>11</v>
      </c>
      <c r="D4096" t="str">
        <f>VLOOKUP(B4096,Products!$A:$E,2,FALSE)</f>
        <v>Product_125</v>
      </c>
      <c r="E4096" t="str">
        <f>VLOOKUP(B4096,Products!$A:$E,3,FALSE)</f>
        <v>Office Supplies</v>
      </c>
    </row>
    <row r="4097" spans="1:5" x14ac:dyDescent="0.3">
      <c r="A4097" t="s">
        <v>10109</v>
      </c>
      <c r="B4097" t="s">
        <v>342</v>
      </c>
      <c r="C4097">
        <v>47</v>
      </c>
      <c r="D4097" t="str">
        <f>VLOOKUP(B4097,Products!$A:$E,2,FALSE)</f>
        <v>Product_167</v>
      </c>
      <c r="E4097" t="str">
        <f>VLOOKUP(B4097,Products!$A:$E,3,FALSE)</f>
        <v>Electronics</v>
      </c>
    </row>
    <row r="4098" spans="1:5" x14ac:dyDescent="0.3">
      <c r="A4098" t="s">
        <v>10110</v>
      </c>
      <c r="B4098" t="s">
        <v>500</v>
      </c>
      <c r="C4098">
        <v>47</v>
      </c>
      <c r="D4098" t="str">
        <f>VLOOKUP(B4098,Products!$A:$E,2,FALSE)</f>
        <v>Product_246</v>
      </c>
      <c r="E4098" t="str">
        <f>VLOOKUP(B4098,Products!$A:$E,3,FALSE)</f>
        <v>Electronics</v>
      </c>
    </row>
    <row r="4099" spans="1:5" x14ac:dyDescent="0.3">
      <c r="A4099" t="s">
        <v>10111</v>
      </c>
      <c r="B4099" t="s">
        <v>616</v>
      </c>
      <c r="C4099">
        <v>31</v>
      </c>
      <c r="D4099" t="str">
        <f>VLOOKUP(B4099,Products!$A:$E,2,FALSE)</f>
        <v>Product_304</v>
      </c>
      <c r="E4099" t="str">
        <f>VLOOKUP(B4099,Products!$A:$E,3,FALSE)</f>
        <v>Electronics</v>
      </c>
    </row>
    <row r="4100" spans="1:5" x14ac:dyDescent="0.3">
      <c r="A4100" t="s">
        <v>10112</v>
      </c>
      <c r="B4100" t="s">
        <v>984</v>
      </c>
      <c r="C4100">
        <v>3</v>
      </c>
      <c r="D4100" t="str">
        <f>VLOOKUP(B4100,Products!$A:$E,2,FALSE)</f>
        <v>Product_488</v>
      </c>
      <c r="E4100" t="str">
        <f>VLOOKUP(B4100,Products!$A:$E,3,FALSE)</f>
        <v>Accessories</v>
      </c>
    </row>
    <row r="4101" spans="1:5" x14ac:dyDescent="0.3">
      <c r="A4101" t="s">
        <v>10113</v>
      </c>
      <c r="B4101" t="s">
        <v>808</v>
      </c>
      <c r="C4101">
        <v>43</v>
      </c>
      <c r="D4101" t="str">
        <f>VLOOKUP(B4101,Products!$A:$E,2,FALSE)</f>
        <v>Product_400</v>
      </c>
      <c r="E4101" t="str">
        <f>VLOOKUP(B4101,Products!$A:$E,3,FALSE)</f>
        <v>Networking</v>
      </c>
    </row>
    <row r="4102" spans="1:5" x14ac:dyDescent="0.3">
      <c r="A4102" t="s">
        <v>10114</v>
      </c>
      <c r="B4102" t="s">
        <v>408</v>
      </c>
      <c r="C4102">
        <v>45</v>
      </c>
      <c r="D4102" t="str">
        <f>VLOOKUP(B4102,Products!$A:$E,2,FALSE)</f>
        <v>Product_200</v>
      </c>
      <c r="E4102" t="str">
        <f>VLOOKUP(B4102,Products!$A:$E,3,FALSE)</f>
        <v>Office Supplies</v>
      </c>
    </row>
    <row r="4103" spans="1:5" x14ac:dyDescent="0.3">
      <c r="A4103" t="s">
        <v>10115</v>
      </c>
      <c r="B4103" t="s">
        <v>992</v>
      </c>
      <c r="C4103">
        <v>46</v>
      </c>
      <c r="D4103" t="str">
        <f>VLOOKUP(B4103,Products!$A:$E,2,FALSE)</f>
        <v>Product_492</v>
      </c>
      <c r="E4103" t="str">
        <f>VLOOKUP(B4103,Products!$A:$E,3,FALSE)</f>
        <v>Electronics</v>
      </c>
    </row>
    <row r="4104" spans="1:5" x14ac:dyDescent="0.3">
      <c r="A4104" t="s">
        <v>10116</v>
      </c>
      <c r="B4104" t="s">
        <v>508</v>
      </c>
      <c r="C4104">
        <v>16</v>
      </c>
      <c r="D4104" t="str">
        <f>VLOOKUP(B4104,Products!$A:$E,2,FALSE)</f>
        <v>Product_250</v>
      </c>
      <c r="E4104" t="str">
        <f>VLOOKUP(B4104,Products!$A:$E,3,FALSE)</f>
        <v>Networking</v>
      </c>
    </row>
    <row r="4105" spans="1:5" x14ac:dyDescent="0.3">
      <c r="A4105" t="s">
        <v>10117</v>
      </c>
      <c r="B4105" t="s">
        <v>296</v>
      </c>
      <c r="C4105">
        <v>39</v>
      </c>
      <c r="D4105" t="str">
        <f>VLOOKUP(B4105,Products!$A:$E,2,FALSE)</f>
        <v>Product_144</v>
      </c>
      <c r="E4105" t="str">
        <f>VLOOKUP(B4105,Products!$A:$E,3,FALSE)</f>
        <v>Office Supplies</v>
      </c>
    </row>
    <row r="4106" spans="1:5" x14ac:dyDescent="0.3">
      <c r="A4106" t="s">
        <v>10118</v>
      </c>
      <c r="B4106" t="s">
        <v>610</v>
      </c>
      <c r="C4106">
        <v>25</v>
      </c>
      <c r="D4106" t="str">
        <f>VLOOKUP(B4106,Products!$A:$E,2,FALSE)</f>
        <v>Product_301</v>
      </c>
      <c r="E4106" t="str">
        <f>VLOOKUP(B4106,Products!$A:$E,3,FALSE)</f>
        <v>Networking</v>
      </c>
    </row>
    <row r="4107" spans="1:5" x14ac:dyDescent="0.3">
      <c r="A4107" t="s">
        <v>10119</v>
      </c>
      <c r="B4107" t="s">
        <v>70</v>
      </c>
      <c r="C4107">
        <v>7</v>
      </c>
      <c r="D4107" t="str">
        <f>VLOOKUP(B4107,Products!$A:$E,2,FALSE)</f>
        <v>Product_31</v>
      </c>
      <c r="E4107" t="str">
        <f>VLOOKUP(B4107,Products!$A:$E,3,FALSE)</f>
        <v>Accessories</v>
      </c>
    </row>
    <row r="4108" spans="1:5" x14ac:dyDescent="0.3">
      <c r="A4108" t="s">
        <v>10120</v>
      </c>
      <c r="B4108" t="s">
        <v>66</v>
      </c>
      <c r="C4108">
        <v>41</v>
      </c>
      <c r="D4108" t="str">
        <f>VLOOKUP(B4108,Products!$A:$E,2,FALSE)</f>
        <v>Product_29</v>
      </c>
      <c r="E4108" t="str">
        <f>VLOOKUP(B4108,Products!$A:$E,3,FALSE)</f>
        <v>Electronics</v>
      </c>
    </row>
    <row r="4109" spans="1:5" x14ac:dyDescent="0.3">
      <c r="A4109" t="s">
        <v>10121</v>
      </c>
      <c r="B4109" t="s">
        <v>360</v>
      </c>
      <c r="C4109">
        <v>18</v>
      </c>
      <c r="D4109" t="str">
        <f>VLOOKUP(B4109,Products!$A:$E,2,FALSE)</f>
        <v>Product_176</v>
      </c>
      <c r="E4109" t="str">
        <f>VLOOKUP(B4109,Products!$A:$E,3,FALSE)</f>
        <v>Electronics</v>
      </c>
    </row>
    <row r="4110" spans="1:5" x14ac:dyDescent="0.3">
      <c r="A4110" t="s">
        <v>10122</v>
      </c>
      <c r="B4110" t="s">
        <v>560</v>
      </c>
      <c r="C4110">
        <v>24</v>
      </c>
      <c r="D4110" t="str">
        <f>VLOOKUP(B4110,Products!$A:$E,2,FALSE)</f>
        <v>Product_276</v>
      </c>
      <c r="E4110" t="str">
        <f>VLOOKUP(B4110,Products!$A:$E,3,FALSE)</f>
        <v>Office Supplies</v>
      </c>
    </row>
    <row r="4111" spans="1:5" x14ac:dyDescent="0.3">
      <c r="A4111" t="s">
        <v>10123</v>
      </c>
      <c r="B4111" t="s">
        <v>458</v>
      </c>
      <c r="C4111">
        <v>19</v>
      </c>
      <c r="D4111" t="str">
        <f>VLOOKUP(B4111,Products!$A:$E,2,FALSE)</f>
        <v>Product_225</v>
      </c>
      <c r="E4111" t="str">
        <f>VLOOKUP(B4111,Products!$A:$E,3,FALSE)</f>
        <v>Accessories</v>
      </c>
    </row>
    <row r="4112" spans="1:5" x14ac:dyDescent="0.3">
      <c r="A4112" t="s">
        <v>10124</v>
      </c>
      <c r="B4112" t="s">
        <v>122</v>
      </c>
      <c r="C4112">
        <v>31</v>
      </c>
      <c r="D4112" t="str">
        <f>VLOOKUP(B4112,Products!$A:$E,2,FALSE)</f>
        <v>Product_57</v>
      </c>
      <c r="E4112" t="str">
        <f>VLOOKUP(B4112,Products!$A:$E,3,FALSE)</f>
        <v>Electronics</v>
      </c>
    </row>
    <row r="4113" spans="1:5" x14ac:dyDescent="0.3">
      <c r="A4113" t="s">
        <v>10125</v>
      </c>
      <c r="B4113" t="s">
        <v>146</v>
      </c>
      <c r="C4113">
        <v>48</v>
      </c>
      <c r="D4113" t="str">
        <f>VLOOKUP(B4113,Products!$A:$E,2,FALSE)</f>
        <v>Product_69</v>
      </c>
      <c r="E4113" t="str">
        <f>VLOOKUP(B4113,Products!$A:$E,3,FALSE)</f>
        <v>Electronics</v>
      </c>
    </row>
    <row r="4114" spans="1:5" x14ac:dyDescent="0.3">
      <c r="A4114" t="s">
        <v>10126</v>
      </c>
      <c r="B4114" t="s">
        <v>84</v>
      </c>
      <c r="C4114">
        <v>21</v>
      </c>
      <c r="D4114" t="str">
        <f>VLOOKUP(B4114,Products!$A:$E,2,FALSE)</f>
        <v>Product_38</v>
      </c>
      <c r="E4114" t="str">
        <f>VLOOKUP(B4114,Products!$A:$E,3,FALSE)</f>
        <v>Accessories</v>
      </c>
    </row>
    <row r="4115" spans="1:5" x14ac:dyDescent="0.3">
      <c r="A4115" t="s">
        <v>10127</v>
      </c>
      <c r="B4115" t="s">
        <v>802</v>
      </c>
      <c r="C4115">
        <v>47</v>
      </c>
      <c r="D4115" t="str">
        <f>VLOOKUP(B4115,Products!$A:$E,2,FALSE)</f>
        <v>Product_397</v>
      </c>
      <c r="E4115" t="str">
        <f>VLOOKUP(B4115,Products!$A:$E,3,FALSE)</f>
        <v>Office Supplies</v>
      </c>
    </row>
    <row r="4116" spans="1:5" x14ac:dyDescent="0.3">
      <c r="A4116" t="s">
        <v>10128</v>
      </c>
      <c r="B4116" t="s">
        <v>432</v>
      </c>
      <c r="C4116">
        <v>10</v>
      </c>
      <c r="D4116" t="str">
        <f>VLOOKUP(B4116,Products!$A:$E,2,FALSE)</f>
        <v>Product_212</v>
      </c>
      <c r="E4116" t="str">
        <f>VLOOKUP(B4116,Products!$A:$E,3,FALSE)</f>
        <v>Networking</v>
      </c>
    </row>
    <row r="4117" spans="1:5" x14ac:dyDescent="0.3">
      <c r="A4117" t="s">
        <v>10129</v>
      </c>
      <c r="B4117" t="s">
        <v>904</v>
      </c>
      <c r="C4117">
        <v>10</v>
      </c>
      <c r="D4117" t="str">
        <f>VLOOKUP(B4117,Products!$A:$E,2,FALSE)</f>
        <v>Product_448</v>
      </c>
      <c r="E4117" t="str">
        <f>VLOOKUP(B4117,Products!$A:$E,3,FALSE)</f>
        <v>Networking</v>
      </c>
    </row>
    <row r="4118" spans="1:5" x14ac:dyDescent="0.3">
      <c r="A4118" t="s">
        <v>10130</v>
      </c>
      <c r="B4118" t="s">
        <v>612</v>
      </c>
      <c r="C4118">
        <v>20</v>
      </c>
      <c r="D4118" t="str">
        <f>VLOOKUP(B4118,Products!$A:$E,2,FALSE)</f>
        <v>Product_302</v>
      </c>
      <c r="E4118" t="str">
        <f>VLOOKUP(B4118,Products!$A:$E,3,FALSE)</f>
        <v>Accessories</v>
      </c>
    </row>
    <row r="4119" spans="1:5" x14ac:dyDescent="0.3">
      <c r="A4119" t="s">
        <v>10131</v>
      </c>
      <c r="B4119" t="s">
        <v>596</v>
      </c>
      <c r="C4119">
        <v>13</v>
      </c>
      <c r="D4119" t="str">
        <f>VLOOKUP(B4119,Products!$A:$E,2,FALSE)</f>
        <v>Product_294</v>
      </c>
      <c r="E4119" t="str">
        <f>VLOOKUP(B4119,Products!$A:$E,3,FALSE)</f>
        <v>Networking</v>
      </c>
    </row>
    <row r="4120" spans="1:5" x14ac:dyDescent="0.3">
      <c r="A4120" t="s">
        <v>10132</v>
      </c>
      <c r="B4120" t="s">
        <v>584</v>
      </c>
      <c r="C4120">
        <v>6</v>
      </c>
      <c r="D4120" t="str">
        <f>VLOOKUP(B4120,Products!$A:$E,2,FALSE)</f>
        <v>Product_288</v>
      </c>
      <c r="E4120" t="str">
        <f>VLOOKUP(B4120,Products!$A:$E,3,FALSE)</f>
        <v>Networking</v>
      </c>
    </row>
    <row r="4121" spans="1:5" x14ac:dyDescent="0.3">
      <c r="A4121" t="s">
        <v>10133</v>
      </c>
      <c r="B4121" t="s">
        <v>458</v>
      </c>
      <c r="C4121">
        <v>16</v>
      </c>
      <c r="D4121" t="str">
        <f>VLOOKUP(B4121,Products!$A:$E,2,FALSE)</f>
        <v>Product_225</v>
      </c>
      <c r="E4121" t="str">
        <f>VLOOKUP(B4121,Products!$A:$E,3,FALSE)</f>
        <v>Accessories</v>
      </c>
    </row>
    <row r="4122" spans="1:5" x14ac:dyDescent="0.3">
      <c r="A4122" t="s">
        <v>10134</v>
      </c>
      <c r="B4122" t="s">
        <v>344</v>
      </c>
      <c r="C4122">
        <v>37</v>
      </c>
      <c r="D4122" t="str">
        <f>VLOOKUP(B4122,Products!$A:$E,2,FALSE)</f>
        <v>Product_168</v>
      </c>
      <c r="E4122" t="str">
        <f>VLOOKUP(B4122,Products!$A:$E,3,FALSE)</f>
        <v>Electronics</v>
      </c>
    </row>
    <row r="4123" spans="1:5" x14ac:dyDescent="0.3">
      <c r="A4123" t="s">
        <v>10135</v>
      </c>
      <c r="B4123" t="s">
        <v>568</v>
      </c>
      <c r="C4123">
        <v>49</v>
      </c>
      <c r="D4123" t="str">
        <f>VLOOKUP(B4123,Products!$A:$E,2,FALSE)</f>
        <v>Product_280</v>
      </c>
      <c r="E4123" t="str">
        <f>VLOOKUP(B4123,Products!$A:$E,3,FALSE)</f>
        <v>Electronics</v>
      </c>
    </row>
    <row r="4124" spans="1:5" x14ac:dyDescent="0.3">
      <c r="A4124" t="s">
        <v>10136</v>
      </c>
      <c r="B4124" t="s">
        <v>686</v>
      </c>
      <c r="C4124">
        <v>17</v>
      </c>
      <c r="D4124" t="str">
        <f>VLOOKUP(B4124,Products!$A:$E,2,FALSE)</f>
        <v>Product_339</v>
      </c>
      <c r="E4124" t="str">
        <f>VLOOKUP(B4124,Products!$A:$E,3,FALSE)</f>
        <v>Storage</v>
      </c>
    </row>
    <row r="4125" spans="1:5" x14ac:dyDescent="0.3">
      <c r="A4125" t="s">
        <v>10137</v>
      </c>
      <c r="B4125" t="s">
        <v>580</v>
      </c>
      <c r="C4125">
        <v>34</v>
      </c>
      <c r="D4125" t="str">
        <f>VLOOKUP(B4125,Products!$A:$E,2,FALSE)</f>
        <v>Product_286</v>
      </c>
      <c r="E4125" t="str">
        <f>VLOOKUP(B4125,Products!$A:$E,3,FALSE)</f>
        <v>Storage</v>
      </c>
    </row>
    <row r="4126" spans="1:5" x14ac:dyDescent="0.3">
      <c r="A4126" t="s">
        <v>10138</v>
      </c>
      <c r="B4126" t="s">
        <v>846</v>
      </c>
      <c r="C4126">
        <v>19</v>
      </c>
      <c r="D4126" t="str">
        <f>VLOOKUP(B4126,Products!$A:$E,2,FALSE)</f>
        <v>Product_419</v>
      </c>
      <c r="E4126" t="str">
        <f>VLOOKUP(B4126,Products!$A:$E,3,FALSE)</f>
        <v>Networking</v>
      </c>
    </row>
    <row r="4127" spans="1:5" x14ac:dyDescent="0.3">
      <c r="A4127" t="s">
        <v>10139</v>
      </c>
      <c r="B4127" t="s">
        <v>716</v>
      </c>
      <c r="C4127">
        <v>2</v>
      </c>
      <c r="D4127" t="str">
        <f>VLOOKUP(B4127,Products!$A:$E,2,FALSE)</f>
        <v>Product_354</v>
      </c>
      <c r="E4127" t="str">
        <f>VLOOKUP(B4127,Products!$A:$E,3,FALSE)</f>
        <v>Storage</v>
      </c>
    </row>
    <row r="4128" spans="1:5" x14ac:dyDescent="0.3">
      <c r="A4128" t="s">
        <v>10140</v>
      </c>
      <c r="B4128" t="s">
        <v>152</v>
      </c>
      <c r="C4128">
        <v>50</v>
      </c>
      <c r="D4128" t="str">
        <f>VLOOKUP(B4128,Products!$A:$E,2,FALSE)</f>
        <v>Product_72</v>
      </c>
      <c r="E4128" t="str">
        <f>VLOOKUP(B4128,Products!$A:$E,3,FALSE)</f>
        <v>Networking</v>
      </c>
    </row>
    <row r="4129" spans="1:5" x14ac:dyDescent="0.3">
      <c r="A4129" t="s">
        <v>10141</v>
      </c>
      <c r="B4129" t="s">
        <v>798</v>
      </c>
      <c r="C4129">
        <v>5</v>
      </c>
      <c r="D4129" t="str">
        <f>VLOOKUP(B4129,Products!$A:$E,2,FALSE)</f>
        <v>Product_395</v>
      </c>
      <c r="E4129" t="str">
        <f>VLOOKUP(B4129,Products!$A:$E,3,FALSE)</f>
        <v>Accessories</v>
      </c>
    </row>
    <row r="4130" spans="1:5" x14ac:dyDescent="0.3">
      <c r="A4130" t="s">
        <v>10142</v>
      </c>
      <c r="B4130" t="s">
        <v>900</v>
      </c>
      <c r="C4130">
        <v>45</v>
      </c>
      <c r="D4130" t="str">
        <f>VLOOKUP(B4130,Products!$A:$E,2,FALSE)</f>
        <v>Product_446</v>
      </c>
      <c r="E4130" t="str">
        <f>VLOOKUP(B4130,Products!$A:$E,3,FALSE)</f>
        <v>Accessories</v>
      </c>
    </row>
    <row r="4131" spans="1:5" x14ac:dyDescent="0.3">
      <c r="A4131" t="s">
        <v>10143</v>
      </c>
      <c r="B4131" t="s">
        <v>738</v>
      </c>
      <c r="C4131">
        <v>48</v>
      </c>
      <c r="D4131" t="str">
        <f>VLOOKUP(B4131,Products!$A:$E,2,FALSE)</f>
        <v>Product_365</v>
      </c>
      <c r="E4131" t="str">
        <f>VLOOKUP(B4131,Products!$A:$E,3,FALSE)</f>
        <v>Storage</v>
      </c>
    </row>
    <row r="4132" spans="1:5" x14ac:dyDescent="0.3">
      <c r="A4132" t="s">
        <v>10144</v>
      </c>
      <c r="B4132" t="s">
        <v>330</v>
      </c>
      <c r="C4132">
        <v>24</v>
      </c>
      <c r="D4132" t="str">
        <f>VLOOKUP(B4132,Products!$A:$E,2,FALSE)</f>
        <v>Product_161</v>
      </c>
      <c r="E4132" t="str">
        <f>VLOOKUP(B4132,Products!$A:$E,3,FALSE)</f>
        <v>Networking</v>
      </c>
    </row>
    <row r="4133" spans="1:5" x14ac:dyDescent="0.3">
      <c r="A4133" t="s">
        <v>10145</v>
      </c>
      <c r="B4133" t="s">
        <v>936</v>
      </c>
      <c r="C4133">
        <v>50</v>
      </c>
      <c r="D4133" t="str">
        <f>VLOOKUP(B4133,Products!$A:$E,2,FALSE)</f>
        <v>Product_464</v>
      </c>
      <c r="E4133" t="str">
        <f>VLOOKUP(B4133,Products!$A:$E,3,FALSE)</f>
        <v>Office Supplies</v>
      </c>
    </row>
    <row r="4134" spans="1:5" x14ac:dyDescent="0.3">
      <c r="A4134" t="s">
        <v>10146</v>
      </c>
      <c r="B4134" t="s">
        <v>466</v>
      </c>
      <c r="C4134">
        <v>48</v>
      </c>
      <c r="D4134" t="str">
        <f>VLOOKUP(B4134,Products!$A:$E,2,FALSE)</f>
        <v>Product_229</v>
      </c>
      <c r="E4134" t="str">
        <f>VLOOKUP(B4134,Products!$A:$E,3,FALSE)</f>
        <v>Accessories</v>
      </c>
    </row>
    <row r="4135" spans="1:5" x14ac:dyDescent="0.3">
      <c r="A4135" t="s">
        <v>10147</v>
      </c>
      <c r="B4135" t="s">
        <v>914</v>
      </c>
      <c r="C4135">
        <v>14</v>
      </c>
      <c r="D4135" t="str">
        <f>VLOOKUP(B4135,Products!$A:$E,2,FALSE)</f>
        <v>Product_453</v>
      </c>
      <c r="E4135" t="str">
        <f>VLOOKUP(B4135,Products!$A:$E,3,FALSE)</f>
        <v>Office Supplies</v>
      </c>
    </row>
    <row r="4136" spans="1:5" x14ac:dyDescent="0.3">
      <c r="A4136" t="s">
        <v>10148</v>
      </c>
      <c r="B4136" t="s">
        <v>198</v>
      </c>
      <c r="C4136">
        <v>21</v>
      </c>
      <c r="D4136" t="str">
        <f>VLOOKUP(B4136,Products!$A:$E,2,FALSE)</f>
        <v>Product_95</v>
      </c>
      <c r="E4136" t="str">
        <f>VLOOKUP(B4136,Products!$A:$E,3,FALSE)</f>
        <v>Electronics</v>
      </c>
    </row>
    <row r="4137" spans="1:5" x14ac:dyDescent="0.3">
      <c r="A4137" t="s">
        <v>10149</v>
      </c>
      <c r="B4137" t="s">
        <v>488</v>
      </c>
      <c r="C4137">
        <v>15</v>
      </c>
      <c r="D4137" t="str">
        <f>VLOOKUP(B4137,Products!$A:$E,2,FALSE)</f>
        <v>Product_240</v>
      </c>
      <c r="E4137" t="str">
        <f>VLOOKUP(B4137,Products!$A:$E,3,FALSE)</f>
        <v>Storage</v>
      </c>
    </row>
    <row r="4138" spans="1:5" x14ac:dyDescent="0.3">
      <c r="A4138" t="s">
        <v>10150</v>
      </c>
      <c r="B4138" t="s">
        <v>480</v>
      </c>
      <c r="C4138">
        <v>24</v>
      </c>
      <c r="D4138" t="str">
        <f>VLOOKUP(B4138,Products!$A:$E,2,FALSE)</f>
        <v>Product_236</v>
      </c>
      <c r="E4138" t="str">
        <f>VLOOKUP(B4138,Products!$A:$E,3,FALSE)</f>
        <v>Networking</v>
      </c>
    </row>
    <row r="4139" spans="1:5" x14ac:dyDescent="0.3">
      <c r="A4139" t="s">
        <v>10151</v>
      </c>
      <c r="B4139" t="s">
        <v>350</v>
      </c>
      <c r="C4139">
        <v>13</v>
      </c>
      <c r="D4139" t="str">
        <f>VLOOKUP(B4139,Products!$A:$E,2,FALSE)</f>
        <v>Product_171</v>
      </c>
      <c r="E4139" t="str">
        <f>VLOOKUP(B4139,Products!$A:$E,3,FALSE)</f>
        <v>Electronics</v>
      </c>
    </row>
    <row r="4140" spans="1:5" x14ac:dyDescent="0.3">
      <c r="A4140" t="s">
        <v>10152</v>
      </c>
      <c r="B4140" t="s">
        <v>702</v>
      </c>
      <c r="C4140">
        <v>46</v>
      </c>
      <c r="D4140" t="str">
        <f>VLOOKUP(B4140,Products!$A:$E,2,FALSE)</f>
        <v>Product_347</v>
      </c>
      <c r="E4140" t="str">
        <f>VLOOKUP(B4140,Products!$A:$E,3,FALSE)</f>
        <v>Storage</v>
      </c>
    </row>
    <row r="4141" spans="1:5" x14ac:dyDescent="0.3">
      <c r="A4141" t="s">
        <v>10153</v>
      </c>
      <c r="B4141" t="s">
        <v>274</v>
      </c>
      <c r="C4141">
        <v>17</v>
      </c>
      <c r="D4141" t="str">
        <f>VLOOKUP(B4141,Products!$A:$E,2,FALSE)</f>
        <v>Product_133</v>
      </c>
      <c r="E4141" t="str">
        <f>VLOOKUP(B4141,Products!$A:$E,3,FALSE)</f>
        <v>Office Supplies</v>
      </c>
    </row>
    <row r="4142" spans="1:5" x14ac:dyDescent="0.3">
      <c r="A4142" t="s">
        <v>10154</v>
      </c>
      <c r="B4142" t="s">
        <v>628</v>
      </c>
      <c r="C4142">
        <v>48</v>
      </c>
      <c r="D4142" t="str">
        <f>VLOOKUP(B4142,Products!$A:$E,2,FALSE)</f>
        <v>Product_310</v>
      </c>
      <c r="E4142" t="str">
        <f>VLOOKUP(B4142,Products!$A:$E,3,FALSE)</f>
        <v>Office Supplies</v>
      </c>
    </row>
    <row r="4143" spans="1:5" x14ac:dyDescent="0.3">
      <c r="A4143" t="s">
        <v>10155</v>
      </c>
      <c r="B4143" t="s">
        <v>964</v>
      </c>
      <c r="C4143">
        <v>2</v>
      </c>
      <c r="D4143" t="str">
        <f>VLOOKUP(B4143,Products!$A:$E,2,FALSE)</f>
        <v>Product_478</v>
      </c>
      <c r="E4143" t="str">
        <f>VLOOKUP(B4143,Products!$A:$E,3,FALSE)</f>
        <v>Office Supplies</v>
      </c>
    </row>
    <row r="4144" spans="1:5" x14ac:dyDescent="0.3">
      <c r="A4144" t="s">
        <v>10156</v>
      </c>
      <c r="B4144" t="s">
        <v>152</v>
      </c>
      <c r="C4144">
        <v>8</v>
      </c>
      <c r="D4144" t="str">
        <f>VLOOKUP(B4144,Products!$A:$E,2,FALSE)</f>
        <v>Product_72</v>
      </c>
      <c r="E4144" t="str">
        <f>VLOOKUP(B4144,Products!$A:$E,3,FALSE)</f>
        <v>Networking</v>
      </c>
    </row>
    <row r="4145" spans="1:5" x14ac:dyDescent="0.3">
      <c r="A4145" t="s">
        <v>10157</v>
      </c>
      <c r="B4145" t="s">
        <v>666</v>
      </c>
      <c r="C4145">
        <v>27</v>
      </c>
      <c r="D4145" t="str">
        <f>VLOOKUP(B4145,Products!$A:$E,2,FALSE)</f>
        <v>Product_329</v>
      </c>
      <c r="E4145" t="str">
        <f>VLOOKUP(B4145,Products!$A:$E,3,FALSE)</f>
        <v>Office Supplies</v>
      </c>
    </row>
    <row r="4146" spans="1:5" x14ac:dyDescent="0.3">
      <c r="A4146" t="s">
        <v>10158</v>
      </c>
      <c r="B4146" t="s">
        <v>446</v>
      </c>
      <c r="C4146">
        <v>26</v>
      </c>
      <c r="D4146" t="str">
        <f>VLOOKUP(B4146,Products!$A:$E,2,FALSE)</f>
        <v>Product_219</v>
      </c>
      <c r="E4146" t="str">
        <f>VLOOKUP(B4146,Products!$A:$E,3,FALSE)</f>
        <v>Accessories</v>
      </c>
    </row>
    <row r="4147" spans="1:5" x14ac:dyDescent="0.3">
      <c r="A4147" t="s">
        <v>10159</v>
      </c>
      <c r="B4147" t="s">
        <v>834</v>
      </c>
      <c r="C4147">
        <v>32</v>
      </c>
      <c r="D4147" t="str">
        <f>VLOOKUP(B4147,Products!$A:$E,2,FALSE)</f>
        <v>Product_413</v>
      </c>
      <c r="E4147" t="str">
        <f>VLOOKUP(B4147,Products!$A:$E,3,FALSE)</f>
        <v>Accessories</v>
      </c>
    </row>
    <row r="4148" spans="1:5" x14ac:dyDescent="0.3">
      <c r="A4148" t="s">
        <v>10160</v>
      </c>
      <c r="B4148" t="s">
        <v>826</v>
      </c>
      <c r="C4148">
        <v>4</v>
      </c>
      <c r="D4148" t="str">
        <f>VLOOKUP(B4148,Products!$A:$E,2,FALSE)</f>
        <v>Product_409</v>
      </c>
      <c r="E4148" t="str">
        <f>VLOOKUP(B4148,Products!$A:$E,3,FALSE)</f>
        <v>Office Supplies</v>
      </c>
    </row>
    <row r="4149" spans="1:5" x14ac:dyDescent="0.3">
      <c r="A4149" t="s">
        <v>10161</v>
      </c>
      <c r="B4149" t="s">
        <v>860</v>
      </c>
      <c r="C4149">
        <v>34</v>
      </c>
      <c r="D4149" t="str">
        <f>VLOOKUP(B4149,Products!$A:$E,2,FALSE)</f>
        <v>Product_426</v>
      </c>
      <c r="E4149" t="str">
        <f>VLOOKUP(B4149,Products!$A:$E,3,FALSE)</f>
        <v>Storage</v>
      </c>
    </row>
    <row r="4150" spans="1:5" x14ac:dyDescent="0.3">
      <c r="A4150" t="s">
        <v>10162</v>
      </c>
      <c r="B4150" t="s">
        <v>70</v>
      </c>
      <c r="C4150">
        <v>33</v>
      </c>
      <c r="D4150" t="str">
        <f>VLOOKUP(B4150,Products!$A:$E,2,FALSE)</f>
        <v>Product_31</v>
      </c>
      <c r="E4150" t="str">
        <f>VLOOKUP(B4150,Products!$A:$E,3,FALSE)</f>
        <v>Accessories</v>
      </c>
    </row>
    <row r="4151" spans="1:5" x14ac:dyDescent="0.3">
      <c r="A4151" t="s">
        <v>10163</v>
      </c>
      <c r="B4151" t="s">
        <v>392</v>
      </c>
      <c r="C4151">
        <v>2</v>
      </c>
      <c r="D4151" t="str">
        <f>VLOOKUP(B4151,Products!$A:$E,2,FALSE)</f>
        <v>Product_192</v>
      </c>
      <c r="E4151" t="str">
        <f>VLOOKUP(B4151,Products!$A:$E,3,FALSE)</f>
        <v>Office Supplies</v>
      </c>
    </row>
    <row r="4152" spans="1:5" x14ac:dyDescent="0.3">
      <c r="A4152" t="s">
        <v>10164</v>
      </c>
      <c r="B4152" t="s">
        <v>588</v>
      </c>
      <c r="C4152">
        <v>28</v>
      </c>
      <c r="D4152" t="str">
        <f>VLOOKUP(B4152,Products!$A:$E,2,FALSE)</f>
        <v>Product_290</v>
      </c>
      <c r="E4152" t="str">
        <f>VLOOKUP(B4152,Products!$A:$E,3,FALSE)</f>
        <v>Accessories</v>
      </c>
    </row>
    <row r="4153" spans="1:5" x14ac:dyDescent="0.3">
      <c r="A4153" t="s">
        <v>10165</v>
      </c>
      <c r="B4153" t="s">
        <v>42</v>
      </c>
      <c r="C4153">
        <v>33</v>
      </c>
      <c r="D4153" t="str">
        <f>VLOOKUP(B4153,Products!$A:$E,2,FALSE)</f>
        <v>Product_17</v>
      </c>
      <c r="E4153" t="str">
        <f>VLOOKUP(B4153,Products!$A:$E,3,FALSE)</f>
        <v>Office Supplies</v>
      </c>
    </row>
    <row r="4154" spans="1:5" x14ac:dyDescent="0.3">
      <c r="A4154" t="s">
        <v>10166</v>
      </c>
      <c r="B4154" t="s">
        <v>904</v>
      </c>
      <c r="C4154">
        <v>21</v>
      </c>
      <c r="D4154" t="str">
        <f>VLOOKUP(B4154,Products!$A:$E,2,FALSE)</f>
        <v>Product_448</v>
      </c>
      <c r="E4154" t="str">
        <f>VLOOKUP(B4154,Products!$A:$E,3,FALSE)</f>
        <v>Networking</v>
      </c>
    </row>
    <row r="4155" spans="1:5" x14ac:dyDescent="0.3">
      <c r="A4155" t="s">
        <v>10167</v>
      </c>
      <c r="B4155" t="s">
        <v>818</v>
      </c>
      <c r="C4155">
        <v>35</v>
      </c>
      <c r="D4155" t="str">
        <f>VLOOKUP(B4155,Products!$A:$E,2,FALSE)</f>
        <v>Product_405</v>
      </c>
      <c r="E4155" t="str">
        <f>VLOOKUP(B4155,Products!$A:$E,3,FALSE)</f>
        <v>Electronics</v>
      </c>
    </row>
    <row r="4156" spans="1:5" x14ac:dyDescent="0.3">
      <c r="A4156" t="s">
        <v>10168</v>
      </c>
      <c r="B4156" t="s">
        <v>512</v>
      </c>
      <c r="C4156">
        <v>19</v>
      </c>
      <c r="D4156" t="str">
        <f>VLOOKUP(B4156,Products!$A:$E,2,FALSE)</f>
        <v>Product_252</v>
      </c>
      <c r="E4156" t="str">
        <f>VLOOKUP(B4156,Products!$A:$E,3,FALSE)</f>
        <v>Networking</v>
      </c>
    </row>
    <row r="4157" spans="1:5" x14ac:dyDescent="0.3">
      <c r="A4157" t="s">
        <v>10169</v>
      </c>
      <c r="B4157" t="s">
        <v>598</v>
      </c>
      <c r="C4157">
        <v>22</v>
      </c>
      <c r="D4157" t="str">
        <f>VLOOKUP(B4157,Products!$A:$E,2,FALSE)</f>
        <v>Product_295</v>
      </c>
      <c r="E4157" t="str">
        <f>VLOOKUP(B4157,Products!$A:$E,3,FALSE)</f>
        <v>Networking</v>
      </c>
    </row>
    <row r="4158" spans="1:5" x14ac:dyDescent="0.3">
      <c r="A4158" t="s">
        <v>10170</v>
      </c>
      <c r="B4158" t="s">
        <v>658</v>
      </c>
      <c r="C4158">
        <v>5</v>
      </c>
      <c r="D4158" t="str">
        <f>VLOOKUP(B4158,Products!$A:$E,2,FALSE)</f>
        <v>Product_325</v>
      </c>
      <c r="E4158" t="str">
        <f>VLOOKUP(B4158,Products!$A:$E,3,FALSE)</f>
        <v>Networking</v>
      </c>
    </row>
    <row r="4159" spans="1:5" x14ac:dyDescent="0.3">
      <c r="A4159" t="s">
        <v>10171</v>
      </c>
      <c r="B4159" t="s">
        <v>762</v>
      </c>
      <c r="C4159">
        <v>5</v>
      </c>
      <c r="D4159" t="str">
        <f>VLOOKUP(B4159,Products!$A:$E,2,FALSE)</f>
        <v>Product_377</v>
      </c>
      <c r="E4159" t="str">
        <f>VLOOKUP(B4159,Products!$A:$E,3,FALSE)</f>
        <v>Networking</v>
      </c>
    </row>
    <row r="4160" spans="1:5" x14ac:dyDescent="0.3">
      <c r="A4160" t="s">
        <v>10172</v>
      </c>
      <c r="B4160" t="s">
        <v>588</v>
      </c>
      <c r="C4160">
        <v>6</v>
      </c>
      <c r="D4160" t="str">
        <f>VLOOKUP(B4160,Products!$A:$E,2,FALSE)</f>
        <v>Product_290</v>
      </c>
      <c r="E4160" t="str">
        <f>VLOOKUP(B4160,Products!$A:$E,3,FALSE)</f>
        <v>Accessories</v>
      </c>
    </row>
    <row r="4161" spans="1:5" x14ac:dyDescent="0.3">
      <c r="A4161" t="s">
        <v>10173</v>
      </c>
      <c r="B4161" t="s">
        <v>1006</v>
      </c>
      <c r="C4161">
        <v>36</v>
      </c>
      <c r="D4161" t="str">
        <f>VLOOKUP(B4161,Products!$A:$E,2,FALSE)</f>
        <v>Product_499</v>
      </c>
      <c r="E4161" t="str">
        <f>VLOOKUP(B4161,Products!$A:$E,3,FALSE)</f>
        <v>Office Supplies</v>
      </c>
    </row>
    <row r="4162" spans="1:5" x14ac:dyDescent="0.3">
      <c r="A4162" t="s">
        <v>10174</v>
      </c>
      <c r="B4162" t="s">
        <v>808</v>
      </c>
      <c r="C4162">
        <v>8</v>
      </c>
      <c r="D4162" t="str">
        <f>VLOOKUP(B4162,Products!$A:$E,2,FALSE)</f>
        <v>Product_400</v>
      </c>
      <c r="E4162" t="str">
        <f>VLOOKUP(B4162,Products!$A:$E,3,FALSE)</f>
        <v>Networking</v>
      </c>
    </row>
    <row r="4163" spans="1:5" x14ac:dyDescent="0.3">
      <c r="A4163" t="s">
        <v>10175</v>
      </c>
      <c r="B4163" t="s">
        <v>554</v>
      </c>
      <c r="C4163">
        <v>11</v>
      </c>
      <c r="D4163" t="str">
        <f>VLOOKUP(B4163,Products!$A:$E,2,FALSE)</f>
        <v>Product_273</v>
      </c>
      <c r="E4163" t="str">
        <f>VLOOKUP(B4163,Products!$A:$E,3,FALSE)</f>
        <v>Networking</v>
      </c>
    </row>
    <row r="4164" spans="1:5" x14ac:dyDescent="0.3">
      <c r="A4164" t="s">
        <v>10176</v>
      </c>
      <c r="B4164" t="s">
        <v>826</v>
      </c>
      <c r="C4164">
        <v>33</v>
      </c>
      <c r="D4164" t="str">
        <f>VLOOKUP(B4164,Products!$A:$E,2,FALSE)</f>
        <v>Product_409</v>
      </c>
      <c r="E4164" t="str">
        <f>VLOOKUP(B4164,Products!$A:$E,3,FALSE)</f>
        <v>Office Supplies</v>
      </c>
    </row>
    <row r="4165" spans="1:5" x14ac:dyDescent="0.3">
      <c r="A4165" t="s">
        <v>10177</v>
      </c>
      <c r="B4165" t="s">
        <v>876</v>
      </c>
      <c r="C4165">
        <v>6</v>
      </c>
      <c r="D4165" t="str">
        <f>VLOOKUP(B4165,Products!$A:$E,2,FALSE)</f>
        <v>Product_434</v>
      </c>
      <c r="E4165" t="str">
        <f>VLOOKUP(B4165,Products!$A:$E,3,FALSE)</f>
        <v>Office Supplies</v>
      </c>
    </row>
    <row r="4166" spans="1:5" x14ac:dyDescent="0.3">
      <c r="A4166" t="s">
        <v>10178</v>
      </c>
      <c r="B4166" t="s">
        <v>596</v>
      </c>
      <c r="C4166">
        <v>30</v>
      </c>
      <c r="D4166" t="str">
        <f>VLOOKUP(B4166,Products!$A:$E,2,FALSE)</f>
        <v>Product_294</v>
      </c>
      <c r="E4166" t="str">
        <f>VLOOKUP(B4166,Products!$A:$E,3,FALSE)</f>
        <v>Networking</v>
      </c>
    </row>
    <row r="4167" spans="1:5" x14ac:dyDescent="0.3">
      <c r="A4167" t="s">
        <v>10179</v>
      </c>
      <c r="B4167" t="s">
        <v>634</v>
      </c>
      <c r="C4167">
        <v>42</v>
      </c>
      <c r="D4167" t="str">
        <f>VLOOKUP(B4167,Products!$A:$E,2,FALSE)</f>
        <v>Product_313</v>
      </c>
      <c r="E4167" t="str">
        <f>VLOOKUP(B4167,Products!$A:$E,3,FALSE)</f>
        <v>Accessories</v>
      </c>
    </row>
    <row r="4168" spans="1:5" x14ac:dyDescent="0.3">
      <c r="A4168" t="s">
        <v>10180</v>
      </c>
      <c r="B4168" t="s">
        <v>204</v>
      </c>
      <c r="C4168">
        <v>49</v>
      </c>
      <c r="D4168" t="str">
        <f>VLOOKUP(B4168,Products!$A:$E,2,FALSE)</f>
        <v>Product_98</v>
      </c>
      <c r="E4168" t="str">
        <f>VLOOKUP(B4168,Products!$A:$E,3,FALSE)</f>
        <v>Networking</v>
      </c>
    </row>
    <row r="4169" spans="1:5" x14ac:dyDescent="0.3">
      <c r="A4169" t="s">
        <v>10181</v>
      </c>
      <c r="B4169" t="s">
        <v>84</v>
      </c>
      <c r="C4169">
        <v>50</v>
      </c>
      <c r="D4169" t="str">
        <f>VLOOKUP(B4169,Products!$A:$E,2,FALSE)</f>
        <v>Product_38</v>
      </c>
      <c r="E4169" t="str">
        <f>VLOOKUP(B4169,Products!$A:$E,3,FALSE)</f>
        <v>Accessories</v>
      </c>
    </row>
    <row r="4170" spans="1:5" x14ac:dyDescent="0.3">
      <c r="A4170" t="s">
        <v>10182</v>
      </c>
      <c r="B4170" t="s">
        <v>710</v>
      </c>
      <c r="C4170">
        <v>28</v>
      </c>
      <c r="D4170" t="str">
        <f>VLOOKUP(B4170,Products!$A:$E,2,FALSE)</f>
        <v>Product_351</v>
      </c>
      <c r="E4170" t="str">
        <f>VLOOKUP(B4170,Products!$A:$E,3,FALSE)</f>
        <v>Accessories</v>
      </c>
    </row>
    <row r="4171" spans="1:5" x14ac:dyDescent="0.3">
      <c r="A4171" t="s">
        <v>10183</v>
      </c>
      <c r="B4171" t="s">
        <v>846</v>
      </c>
      <c r="C4171">
        <v>18</v>
      </c>
      <c r="D4171" t="str">
        <f>VLOOKUP(B4171,Products!$A:$E,2,FALSE)</f>
        <v>Product_419</v>
      </c>
      <c r="E4171" t="str">
        <f>VLOOKUP(B4171,Products!$A:$E,3,FALSE)</f>
        <v>Networking</v>
      </c>
    </row>
    <row r="4172" spans="1:5" x14ac:dyDescent="0.3">
      <c r="A4172" t="s">
        <v>10184</v>
      </c>
      <c r="B4172" t="s">
        <v>486</v>
      </c>
      <c r="C4172">
        <v>29</v>
      </c>
      <c r="D4172" t="str">
        <f>VLOOKUP(B4172,Products!$A:$E,2,FALSE)</f>
        <v>Product_239</v>
      </c>
      <c r="E4172" t="str">
        <f>VLOOKUP(B4172,Products!$A:$E,3,FALSE)</f>
        <v>Storage</v>
      </c>
    </row>
    <row r="4173" spans="1:5" x14ac:dyDescent="0.3">
      <c r="A4173" t="s">
        <v>10185</v>
      </c>
      <c r="B4173" t="s">
        <v>920</v>
      </c>
      <c r="C4173">
        <v>48</v>
      </c>
      <c r="D4173" t="str">
        <f>VLOOKUP(B4173,Products!$A:$E,2,FALSE)</f>
        <v>Product_456</v>
      </c>
      <c r="E4173" t="str">
        <f>VLOOKUP(B4173,Products!$A:$E,3,FALSE)</f>
        <v>Electronics</v>
      </c>
    </row>
    <row r="4174" spans="1:5" x14ac:dyDescent="0.3">
      <c r="A4174" t="s">
        <v>10186</v>
      </c>
      <c r="B4174" t="s">
        <v>164</v>
      </c>
      <c r="C4174">
        <v>42</v>
      </c>
      <c r="D4174" t="str">
        <f>VLOOKUP(B4174,Products!$A:$E,2,FALSE)</f>
        <v>Product_78</v>
      </c>
      <c r="E4174" t="str">
        <f>VLOOKUP(B4174,Products!$A:$E,3,FALSE)</f>
        <v>Office Supplies</v>
      </c>
    </row>
    <row r="4175" spans="1:5" x14ac:dyDescent="0.3">
      <c r="A4175" t="s">
        <v>10187</v>
      </c>
      <c r="B4175" t="s">
        <v>348</v>
      </c>
      <c r="C4175">
        <v>5</v>
      </c>
      <c r="D4175" t="str">
        <f>VLOOKUP(B4175,Products!$A:$E,2,FALSE)</f>
        <v>Product_170</v>
      </c>
      <c r="E4175" t="str">
        <f>VLOOKUP(B4175,Products!$A:$E,3,FALSE)</f>
        <v>Office Supplies</v>
      </c>
    </row>
    <row r="4176" spans="1:5" x14ac:dyDescent="0.3">
      <c r="A4176" t="s">
        <v>10188</v>
      </c>
      <c r="B4176" t="s">
        <v>196</v>
      </c>
      <c r="C4176">
        <v>42</v>
      </c>
      <c r="D4176" t="str">
        <f>VLOOKUP(B4176,Products!$A:$E,2,FALSE)</f>
        <v>Product_94</v>
      </c>
      <c r="E4176" t="str">
        <f>VLOOKUP(B4176,Products!$A:$E,3,FALSE)</f>
        <v>Networking</v>
      </c>
    </row>
    <row r="4177" spans="1:5" x14ac:dyDescent="0.3">
      <c r="A4177" t="s">
        <v>10189</v>
      </c>
      <c r="B4177" t="s">
        <v>598</v>
      </c>
      <c r="C4177">
        <v>22</v>
      </c>
      <c r="D4177" t="str">
        <f>VLOOKUP(B4177,Products!$A:$E,2,FALSE)</f>
        <v>Product_295</v>
      </c>
      <c r="E4177" t="str">
        <f>VLOOKUP(B4177,Products!$A:$E,3,FALSE)</f>
        <v>Networking</v>
      </c>
    </row>
    <row r="4178" spans="1:5" x14ac:dyDescent="0.3">
      <c r="A4178" t="s">
        <v>10190</v>
      </c>
      <c r="B4178" t="s">
        <v>474</v>
      </c>
      <c r="C4178">
        <v>34</v>
      </c>
      <c r="D4178" t="str">
        <f>VLOOKUP(B4178,Products!$A:$E,2,FALSE)</f>
        <v>Product_233</v>
      </c>
      <c r="E4178" t="str">
        <f>VLOOKUP(B4178,Products!$A:$E,3,FALSE)</f>
        <v>Accessories</v>
      </c>
    </row>
    <row r="4179" spans="1:5" x14ac:dyDescent="0.3">
      <c r="A4179" t="s">
        <v>10191</v>
      </c>
      <c r="B4179" t="s">
        <v>808</v>
      </c>
      <c r="C4179">
        <v>45</v>
      </c>
      <c r="D4179" t="str">
        <f>VLOOKUP(B4179,Products!$A:$E,2,FALSE)</f>
        <v>Product_400</v>
      </c>
      <c r="E4179" t="str">
        <f>VLOOKUP(B4179,Products!$A:$E,3,FALSE)</f>
        <v>Networking</v>
      </c>
    </row>
    <row r="4180" spans="1:5" x14ac:dyDescent="0.3">
      <c r="A4180" t="s">
        <v>10192</v>
      </c>
      <c r="B4180" t="s">
        <v>766</v>
      </c>
      <c r="C4180">
        <v>28</v>
      </c>
      <c r="D4180" t="str">
        <f>VLOOKUP(B4180,Products!$A:$E,2,FALSE)</f>
        <v>Product_379</v>
      </c>
      <c r="E4180" t="str">
        <f>VLOOKUP(B4180,Products!$A:$E,3,FALSE)</f>
        <v>Office Supplies</v>
      </c>
    </row>
    <row r="4181" spans="1:5" x14ac:dyDescent="0.3">
      <c r="A4181" t="s">
        <v>10193</v>
      </c>
      <c r="B4181" t="s">
        <v>920</v>
      </c>
      <c r="C4181">
        <v>2</v>
      </c>
      <c r="D4181" t="str">
        <f>VLOOKUP(B4181,Products!$A:$E,2,FALSE)</f>
        <v>Product_456</v>
      </c>
      <c r="E4181" t="str">
        <f>VLOOKUP(B4181,Products!$A:$E,3,FALSE)</f>
        <v>Electronics</v>
      </c>
    </row>
    <row r="4182" spans="1:5" x14ac:dyDescent="0.3">
      <c r="A4182" t="s">
        <v>10194</v>
      </c>
      <c r="B4182" t="s">
        <v>420</v>
      </c>
      <c r="C4182">
        <v>37</v>
      </c>
      <c r="D4182" t="str">
        <f>VLOOKUP(B4182,Products!$A:$E,2,FALSE)</f>
        <v>Product_206</v>
      </c>
      <c r="E4182" t="str">
        <f>VLOOKUP(B4182,Products!$A:$E,3,FALSE)</f>
        <v>Accessories</v>
      </c>
    </row>
    <row r="4183" spans="1:5" x14ac:dyDescent="0.3">
      <c r="A4183" t="s">
        <v>10195</v>
      </c>
      <c r="B4183" t="s">
        <v>310</v>
      </c>
      <c r="C4183">
        <v>1</v>
      </c>
      <c r="D4183" t="str">
        <f>VLOOKUP(B4183,Products!$A:$E,2,FALSE)</f>
        <v>Product_151</v>
      </c>
      <c r="E4183" t="str">
        <f>VLOOKUP(B4183,Products!$A:$E,3,FALSE)</f>
        <v>Storage</v>
      </c>
    </row>
    <row r="4184" spans="1:5" x14ac:dyDescent="0.3">
      <c r="A4184" t="s">
        <v>10196</v>
      </c>
      <c r="B4184" t="s">
        <v>648</v>
      </c>
      <c r="C4184">
        <v>25</v>
      </c>
      <c r="D4184" t="str">
        <f>VLOOKUP(B4184,Products!$A:$E,2,FALSE)</f>
        <v>Product_320</v>
      </c>
      <c r="E4184" t="str">
        <f>VLOOKUP(B4184,Products!$A:$E,3,FALSE)</f>
        <v>Office Supplies</v>
      </c>
    </row>
    <row r="4185" spans="1:5" x14ac:dyDescent="0.3">
      <c r="A4185" t="s">
        <v>10197</v>
      </c>
      <c r="B4185" t="s">
        <v>28</v>
      </c>
      <c r="C4185">
        <v>1</v>
      </c>
      <c r="D4185" t="str">
        <f>VLOOKUP(B4185,Products!$A:$E,2,FALSE)</f>
        <v>Product_10</v>
      </c>
      <c r="E4185" t="str">
        <f>VLOOKUP(B4185,Products!$A:$E,3,FALSE)</f>
        <v>Networking</v>
      </c>
    </row>
    <row r="4186" spans="1:5" x14ac:dyDescent="0.3">
      <c r="A4186" t="s">
        <v>10198</v>
      </c>
      <c r="B4186" t="s">
        <v>240</v>
      </c>
      <c r="C4186">
        <v>21</v>
      </c>
      <c r="D4186" t="str">
        <f>VLOOKUP(B4186,Products!$A:$E,2,FALSE)</f>
        <v>Product_116</v>
      </c>
      <c r="E4186" t="str">
        <f>VLOOKUP(B4186,Products!$A:$E,3,FALSE)</f>
        <v>Storage</v>
      </c>
    </row>
    <row r="4187" spans="1:5" x14ac:dyDescent="0.3">
      <c r="A4187" t="s">
        <v>10199</v>
      </c>
      <c r="B4187" t="s">
        <v>446</v>
      </c>
      <c r="C4187">
        <v>10</v>
      </c>
      <c r="D4187" t="str">
        <f>VLOOKUP(B4187,Products!$A:$E,2,FALSE)</f>
        <v>Product_219</v>
      </c>
      <c r="E4187" t="str">
        <f>VLOOKUP(B4187,Products!$A:$E,3,FALSE)</f>
        <v>Accessories</v>
      </c>
    </row>
    <row r="4188" spans="1:5" x14ac:dyDescent="0.3">
      <c r="A4188" t="s">
        <v>10200</v>
      </c>
      <c r="B4188" t="s">
        <v>274</v>
      </c>
      <c r="C4188">
        <v>15</v>
      </c>
      <c r="D4188" t="str">
        <f>VLOOKUP(B4188,Products!$A:$E,2,FALSE)</f>
        <v>Product_133</v>
      </c>
      <c r="E4188" t="str">
        <f>VLOOKUP(B4188,Products!$A:$E,3,FALSE)</f>
        <v>Office Supplies</v>
      </c>
    </row>
    <row r="4189" spans="1:5" x14ac:dyDescent="0.3">
      <c r="A4189" t="s">
        <v>10201</v>
      </c>
      <c r="B4189" t="s">
        <v>608</v>
      </c>
      <c r="C4189">
        <v>44</v>
      </c>
      <c r="D4189" t="str">
        <f>VLOOKUP(B4189,Products!$A:$E,2,FALSE)</f>
        <v>Product_300</v>
      </c>
      <c r="E4189" t="str">
        <f>VLOOKUP(B4189,Products!$A:$E,3,FALSE)</f>
        <v>Accessories</v>
      </c>
    </row>
    <row r="4190" spans="1:5" x14ac:dyDescent="0.3">
      <c r="A4190" t="s">
        <v>10202</v>
      </c>
      <c r="B4190" t="s">
        <v>796</v>
      </c>
      <c r="C4190">
        <v>21</v>
      </c>
      <c r="D4190" t="str">
        <f>VLOOKUP(B4190,Products!$A:$E,2,FALSE)</f>
        <v>Product_394</v>
      </c>
      <c r="E4190" t="str">
        <f>VLOOKUP(B4190,Products!$A:$E,3,FALSE)</f>
        <v>Electronics</v>
      </c>
    </row>
    <row r="4191" spans="1:5" x14ac:dyDescent="0.3">
      <c r="A4191" t="s">
        <v>10203</v>
      </c>
      <c r="B4191" t="s">
        <v>554</v>
      </c>
      <c r="C4191">
        <v>30</v>
      </c>
      <c r="D4191" t="str">
        <f>VLOOKUP(B4191,Products!$A:$E,2,FALSE)</f>
        <v>Product_273</v>
      </c>
      <c r="E4191" t="str">
        <f>VLOOKUP(B4191,Products!$A:$E,3,FALSE)</f>
        <v>Networking</v>
      </c>
    </row>
    <row r="4192" spans="1:5" x14ac:dyDescent="0.3">
      <c r="A4192" t="s">
        <v>10204</v>
      </c>
      <c r="B4192" t="s">
        <v>678</v>
      </c>
      <c r="C4192">
        <v>43</v>
      </c>
      <c r="D4192" t="str">
        <f>VLOOKUP(B4192,Products!$A:$E,2,FALSE)</f>
        <v>Product_335</v>
      </c>
      <c r="E4192" t="str">
        <f>VLOOKUP(B4192,Products!$A:$E,3,FALSE)</f>
        <v>Networking</v>
      </c>
    </row>
    <row r="4193" spans="1:5" x14ac:dyDescent="0.3">
      <c r="A4193" t="s">
        <v>10205</v>
      </c>
      <c r="B4193" t="s">
        <v>214</v>
      </c>
      <c r="C4193">
        <v>50</v>
      </c>
      <c r="D4193" t="str">
        <f>VLOOKUP(B4193,Products!$A:$E,2,FALSE)</f>
        <v>Product_103</v>
      </c>
      <c r="E4193" t="str">
        <f>VLOOKUP(B4193,Products!$A:$E,3,FALSE)</f>
        <v>Accessories</v>
      </c>
    </row>
    <row r="4194" spans="1:5" x14ac:dyDescent="0.3">
      <c r="A4194" t="s">
        <v>10206</v>
      </c>
      <c r="B4194" t="s">
        <v>850</v>
      </c>
      <c r="C4194">
        <v>37</v>
      </c>
      <c r="D4194" t="str">
        <f>VLOOKUP(B4194,Products!$A:$E,2,FALSE)</f>
        <v>Product_421</v>
      </c>
      <c r="E4194" t="str">
        <f>VLOOKUP(B4194,Products!$A:$E,3,FALSE)</f>
        <v>Accessories</v>
      </c>
    </row>
    <row r="4195" spans="1:5" x14ac:dyDescent="0.3">
      <c r="A4195" t="s">
        <v>10207</v>
      </c>
      <c r="B4195" t="s">
        <v>956</v>
      </c>
      <c r="C4195">
        <v>23</v>
      </c>
      <c r="D4195" t="str">
        <f>VLOOKUP(B4195,Products!$A:$E,2,FALSE)</f>
        <v>Product_474</v>
      </c>
      <c r="E4195" t="str">
        <f>VLOOKUP(B4195,Products!$A:$E,3,FALSE)</f>
        <v>Networking</v>
      </c>
    </row>
    <row r="4196" spans="1:5" x14ac:dyDescent="0.3">
      <c r="A4196" t="s">
        <v>10208</v>
      </c>
      <c r="B4196" t="s">
        <v>924</v>
      </c>
      <c r="C4196">
        <v>46</v>
      </c>
      <c r="D4196" t="str">
        <f>VLOOKUP(B4196,Products!$A:$E,2,FALSE)</f>
        <v>Product_458</v>
      </c>
      <c r="E4196" t="str">
        <f>VLOOKUP(B4196,Products!$A:$E,3,FALSE)</f>
        <v>Accessories</v>
      </c>
    </row>
    <row r="4197" spans="1:5" x14ac:dyDescent="0.3">
      <c r="A4197" t="s">
        <v>10209</v>
      </c>
      <c r="B4197" t="s">
        <v>898</v>
      </c>
      <c r="C4197">
        <v>37</v>
      </c>
      <c r="D4197" t="str">
        <f>VLOOKUP(B4197,Products!$A:$E,2,FALSE)</f>
        <v>Product_445</v>
      </c>
      <c r="E4197" t="str">
        <f>VLOOKUP(B4197,Products!$A:$E,3,FALSE)</f>
        <v>Office Supplies</v>
      </c>
    </row>
    <row r="4198" spans="1:5" x14ac:dyDescent="0.3">
      <c r="A4198" t="s">
        <v>10210</v>
      </c>
      <c r="B4198" t="s">
        <v>166</v>
      </c>
      <c r="C4198">
        <v>13</v>
      </c>
      <c r="D4198" t="str">
        <f>VLOOKUP(B4198,Products!$A:$E,2,FALSE)</f>
        <v>Product_79</v>
      </c>
      <c r="E4198" t="str">
        <f>VLOOKUP(B4198,Products!$A:$E,3,FALSE)</f>
        <v>Storage</v>
      </c>
    </row>
    <row r="4199" spans="1:5" x14ac:dyDescent="0.3">
      <c r="A4199" t="s">
        <v>10211</v>
      </c>
      <c r="B4199" t="s">
        <v>800</v>
      </c>
      <c r="C4199">
        <v>10</v>
      </c>
      <c r="D4199" t="str">
        <f>VLOOKUP(B4199,Products!$A:$E,2,FALSE)</f>
        <v>Product_396</v>
      </c>
      <c r="E4199" t="str">
        <f>VLOOKUP(B4199,Products!$A:$E,3,FALSE)</f>
        <v>Office Supplies</v>
      </c>
    </row>
    <row r="4200" spans="1:5" x14ac:dyDescent="0.3">
      <c r="A4200" t="s">
        <v>10212</v>
      </c>
      <c r="B4200" t="s">
        <v>220</v>
      </c>
      <c r="C4200">
        <v>20</v>
      </c>
      <c r="D4200" t="str">
        <f>VLOOKUP(B4200,Products!$A:$E,2,FALSE)</f>
        <v>Product_106</v>
      </c>
      <c r="E4200" t="str">
        <f>VLOOKUP(B4200,Products!$A:$E,3,FALSE)</f>
        <v>Networking</v>
      </c>
    </row>
    <row r="4201" spans="1:5" x14ac:dyDescent="0.3">
      <c r="A4201" t="s">
        <v>10213</v>
      </c>
      <c r="B4201" t="s">
        <v>194</v>
      </c>
      <c r="C4201">
        <v>7</v>
      </c>
      <c r="D4201" t="str">
        <f>VLOOKUP(B4201,Products!$A:$E,2,FALSE)</f>
        <v>Product_93</v>
      </c>
      <c r="E4201" t="str">
        <f>VLOOKUP(B4201,Products!$A:$E,3,FALSE)</f>
        <v>Office Supplies</v>
      </c>
    </row>
    <row r="4202" spans="1:5" x14ac:dyDescent="0.3">
      <c r="A4202" t="s">
        <v>10214</v>
      </c>
      <c r="B4202" t="s">
        <v>36</v>
      </c>
      <c r="C4202">
        <v>35</v>
      </c>
      <c r="D4202" t="str">
        <f>VLOOKUP(B4202,Products!$A:$E,2,FALSE)</f>
        <v>Product_14</v>
      </c>
      <c r="E4202" t="str">
        <f>VLOOKUP(B4202,Products!$A:$E,3,FALSE)</f>
        <v>Accessories</v>
      </c>
    </row>
    <row r="4203" spans="1:5" x14ac:dyDescent="0.3">
      <c r="A4203" t="s">
        <v>10215</v>
      </c>
      <c r="B4203" t="s">
        <v>626</v>
      </c>
      <c r="C4203">
        <v>3</v>
      </c>
      <c r="D4203" t="str">
        <f>VLOOKUP(B4203,Products!$A:$E,2,FALSE)</f>
        <v>Product_309</v>
      </c>
      <c r="E4203" t="str">
        <f>VLOOKUP(B4203,Products!$A:$E,3,FALSE)</f>
        <v>Networking</v>
      </c>
    </row>
    <row r="4204" spans="1:5" x14ac:dyDescent="0.3">
      <c r="A4204" t="s">
        <v>10216</v>
      </c>
      <c r="B4204" t="s">
        <v>808</v>
      </c>
      <c r="C4204">
        <v>9</v>
      </c>
      <c r="D4204" t="str">
        <f>VLOOKUP(B4204,Products!$A:$E,2,FALSE)</f>
        <v>Product_400</v>
      </c>
      <c r="E4204" t="str">
        <f>VLOOKUP(B4204,Products!$A:$E,3,FALSE)</f>
        <v>Networking</v>
      </c>
    </row>
    <row r="4205" spans="1:5" x14ac:dyDescent="0.3">
      <c r="A4205" t="s">
        <v>10217</v>
      </c>
      <c r="B4205" t="s">
        <v>562</v>
      </c>
      <c r="C4205">
        <v>23</v>
      </c>
      <c r="D4205" t="str">
        <f>VLOOKUP(B4205,Products!$A:$E,2,FALSE)</f>
        <v>Product_277</v>
      </c>
      <c r="E4205" t="str">
        <f>VLOOKUP(B4205,Products!$A:$E,3,FALSE)</f>
        <v>Electronics</v>
      </c>
    </row>
    <row r="4206" spans="1:5" x14ac:dyDescent="0.3">
      <c r="A4206" t="s">
        <v>10218</v>
      </c>
      <c r="B4206" t="s">
        <v>986</v>
      </c>
      <c r="C4206">
        <v>5</v>
      </c>
      <c r="D4206" t="str">
        <f>VLOOKUP(B4206,Products!$A:$E,2,FALSE)</f>
        <v>Product_489</v>
      </c>
      <c r="E4206" t="str">
        <f>VLOOKUP(B4206,Products!$A:$E,3,FALSE)</f>
        <v>Networking</v>
      </c>
    </row>
    <row r="4207" spans="1:5" x14ac:dyDescent="0.3">
      <c r="A4207" t="s">
        <v>10219</v>
      </c>
      <c r="B4207" t="s">
        <v>344</v>
      </c>
      <c r="C4207">
        <v>21</v>
      </c>
      <c r="D4207" t="str">
        <f>VLOOKUP(B4207,Products!$A:$E,2,FALSE)</f>
        <v>Product_168</v>
      </c>
      <c r="E4207" t="str">
        <f>VLOOKUP(B4207,Products!$A:$E,3,FALSE)</f>
        <v>Electronics</v>
      </c>
    </row>
    <row r="4208" spans="1:5" x14ac:dyDescent="0.3">
      <c r="A4208" t="s">
        <v>10220</v>
      </c>
      <c r="B4208" t="s">
        <v>960</v>
      </c>
      <c r="C4208">
        <v>15</v>
      </c>
      <c r="D4208" t="str">
        <f>VLOOKUP(B4208,Products!$A:$E,2,FALSE)</f>
        <v>Product_476</v>
      </c>
      <c r="E4208" t="str">
        <f>VLOOKUP(B4208,Products!$A:$E,3,FALSE)</f>
        <v>Office Supplies</v>
      </c>
    </row>
    <row r="4209" spans="1:5" x14ac:dyDescent="0.3">
      <c r="A4209" t="s">
        <v>10221</v>
      </c>
      <c r="B4209" t="s">
        <v>682</v>
      </c>
      <c r="C4209">
        <v>14</v>
      </c>
      <c r="D4209" t="str">
        <f>VLOOKUP(B4209,Products!$A:$E,2,FALSE)</f>
        <v>Product_337</v>
      </c>
      <c r="E4209" t="str">
        <f>VLOOKUP(B4209,Products!$A:$E,3,FALSE)</f>
        <v>Storage</v>
      </c>
    </row>
    <row r="4210" spans="1:5" x14ac:dyDescent="0.3">
      <c r="A4210" t="s">
        <v>10222</v>
      </c>
      <c r="B4210" t="s">
        <v>216</v>
      </c>
      <c r="C4210">
        <v>20</v>
      </c>
      <c r="D4210" t="str">
        <f>VLOOKUP(B4210,Products!$A:$E,2,FALSE)</f>
        <v>Product_104</v>
      </c>
      <c r="E4210" t="str">
        <f>VLOOKUP(B4210,Products!$A:$E,3,FALSE)</f>
        <v>Networking</v>
      </c>
    </row>
    <row r="4211" spans="1:5" x14ac:dyDescent="0.3">
      <c r="A4211" t="s">
        <v>10223</v>
      </c>
      <c r="B4211" t="s">
        <v>176</v>
      </c>
      <c r="C4211">
        <v>28</v>
      </c>
      <c r="D4211" t="str">
        <f>VLOOKUP(B4211,Products!$A:$E,2,FALSE)</f>
        <v>Product_84</v>
      </c>
      <c r="E4211" t="str">
        <f>VLOOKUP(B4211,Products!$A:$E,3,FALSE)</f>
        <v>Electronics</v>
      </c>
    </row>
    <row r="4212" spans="1:5" x14ac:dyDescent="0.3">
      <c r="A4212" t="s">
        <v>10224</v>
      </c>
      <c r="B4212" t="s">
        <v>286</v>
      </c>
      <c r="C4212">
        <v>15</v>
      </c>
      <c r="D4212" t="str">
        <f>VLOOKUP(B4212,Products!$A:$E,2,FALSE)</f>
        <v>Product_139</v>
      </c>
      <c r="E4212" t="str">
        <f>VLOOKUP(B4212,Products!$A:$E,3,FALSE)</f>
        <v>Storage</v>
      </c>
    </row>
    <row r="4213" spans="1:5" x14ac:dyDescent="0.3">
      <c r="A4213" t="s">
        <v>10225</v>
      </c>
      <c r="B4213" t="s">
        <v>968</v>
      </c>
      <c r="C4213">
        <v>14</v>
      </c>
      <c r="D4213" t="str">
        <f>VLOOKUP(B4213,Products!$A:$E,2,FALSE)</f>
        <v>Product_480</v>
      </c>
      <c r="E4213" t="str">
        <f>VLOOKUP(B4213,Products!$A:$E,3,FALSE)</f>
        <v>Accessories</v>
      </c>
    </row>
    <row r="4214" spans="1:5" x14ac:dyDescent="0.3">
      <c r="A4214" t="s">
        <v>10226</v>
      </c>
      <c r="B4214" t="s">
        <v>800</v>
      </c>
      <c r="C4214">
        <v>23</v>
      </c>
      <c r="D4214" t="str">
        <f>VLOOKUP(B4214,Products!$A:$E,2,FALSE)</f>
        <v>Product_396</v>
      </c>
      <c r="E4214" t="str">
        <f>VLOOKUP(B4214,Products!$A:$E,3,FALSE)</f>
        <v>Office Supplies</v>
      </c>
    </row>
    <row r="4215" spans="1:5" x14ac:dyDescent="0.3">
      <c r="A4215" t="s">
        <v>10227</v>
      </c>
      <c r="B4215" t="s">
        <v>36</v>
      </c>
      <c r="C4215">
        <v>9</v>
      </c>
      <c r="D4215" t="str">
        <f>VLOOKUP(B4215,Products!$A:$E,2,FALSE)</f>
        <v>Product_14</v>
      </c>
      <c r="E4215" t="str">
        <f>VLOOKUP(B4215,Products!$A:$E,3,FALSE)</f>
        <v>Accessories</v>
      </c>
    </row>
    <row r="4216" spans="1:5" x14ac:dyDescent="0.3">
      <c r="A4216" t="s">
        <v>10228</v>
      </c>
      <c r="B4216" t="s">
        <v>908</v>
      </c>
      <c r="C4216">
        <v>29</v>
      </c>
      <c r="D4216" t="str">
        <f>VLOOKUP(B4216,Products!$A:$E,2,FALSE)</f>
        <v>Product_450</v>
      </c>
      <c r="E4216" t="str">
        <f>VLOOKUP(B4216,Products!$A:$E,3,FALSE)</f>
        <v>Networking</v>
      </c>
    </row>
    <row r="4217" spans="1:5" x14ac:dyDescent="0.3">
      <c r="A4217" t="s">
        <v>10229</v>
      </c>
      <c r="B4217" t="s">
        <v>136</v>
      </c>
      <c r="C4217">
        <v>25</v>
      </c>
      <c r="D4217" t="str">
        <f>VLOOKUP(B4217,Products!$A:$E,2,FALSE)</f>
        <v>Product_64</v>
      </c>
      <c r="E4217" t="str">
        <f>VLOOKUP(B4217,Products!$A:$E,3,FALSE)</f>
        <v>Storage</v>
      </c>
    </row>
    <row r="4218" spans="1:5" x14ac:dyDescent="0.3">
      <c r="A4218" t="s">
        <v>10230</v>
      </c>
      <c r="B4218" t="s">
        <v>36</v>
      </c>
      <c r="C4218">
        <v>29</v>
      </c>
      <c r="D4218" t="str">
        <f>VLOOKUP(B4218,Products!$A:$E,2,FALSE)</f>
        <v>Product_14</v>
      </c>
      <c r="E4218" t="str">
        <f>VLOOKUP(B4218,Products!$A:$E,3,FALSE)</f>
        <v>Accessories</v>
      </c>
    </row>
    <row r="4219" spans="1:5" x14ac:dyDescent="0.3">
      <c r="A4219" t="s">
        <v>10231</v>
      </c>
      <c r="B4219" t="s">
        <v>898</v>
      </c>
      <c r="C4219">
        <v>48</v>
      </c>
      <c r="D4219" t="str">
        <f>VLOOKUP(B4219,Products!$A:$E,2,FALSE)</f>
        <v>Product_445</v>
      </c>
      <c r="E4219" t="str">
        <f>VLOOKUP(B4219,Products!$A:$E,3,FALSE)</f>
        <v>Office Supplies</v>
      </c>
    </row>
    <row r="4220" spans="1:5" x14ac:dyDescent="0.3">
      <c r="A4220" t="s">
        <v>10232</v>
      </c>
      <c r="B4220" t="s">
        <v>884</v>
      </c>
      <c r="C4220">
        <v>48</v>
      </c>
      <c r="D4220" t="str">
        <f>VLOOKUP(B4220,Products!$A:$E,2,FALSE)</f>
        <v>Product_438</v>
      </c>
      <c r="E4220" t="str">
        <f>VLOOKUP(B4220,Products!$A:$E,3,FALSE)</f>
        <v>Electronics</v>
      </c>
    </row>
    <row r="4221" spans="1:5" x14ac:dyDescent="0.3">
      <c r="A4221" t="s">
        <v>10233</v>
      </c>
      <c r="B4221" t="s">
        <v>222</v>
      </c>
      <c r="C4221">
        <v>25</v>
      </c>
      <c r="D4221" t="str">
        <f>VLOOKUP(B4221,Products!$A:$E,2,FALSE)</f>
        <v>Product_107</v>
      </c>
      <c r="E4221" t="str">
        <f>VLOOKUP(B4221,Products!$A:$E,3,FALSE)</f>
        <v>Office Supplies</v>
      </c>
    </row>
    <row r="4222" spans="1:5" x14ac:dyDescent="0.3">
      <c r="A4222" t="s">
        <v>10234</v>
      </c>
      <c r="B4222" t="s">
        <v>60</v>
      </c>
      <c r="C4222">
        <v>29</v>
      </c>
      <c r="D4222" t="str">
        <f>VLOOKUP(B4222,Products!$A:$E,2,FALSE)</f>
        <v>Product_26</v>
      </c>
      <c r="E4222" t="str">
        <f>VLOOKUP(B4222,Products!$A:$E,3,FALSE)</f>
        <v>Office Supplies</v>
      </c>
    </row>
    <row r="4223" spans="1:5" x14ac:dyDescent="0.3">
      <c r="A4223" t="s">
        <v>10235</v>
      </c>
      <c r="B4223" t="s">
        <v>458</v>
      </c>
      <c r="C4223">
        <v>26</v>
      </c>
      <c r="D4223" t="str">
        <f>VLOOKUP(B4223,Products!$A:$E,2,FALSE)</f>
        <v>Product_225</v>
      </c>
      <c r="E4223" t="str">
        <f>VLOOKUP(B4223,Products!$A:$E,3,FALSE)</f>
        <v>Accessories</v>
      </c>
    </row>
    <row r="4224" spans="1:5" x14ac:dyDescent="0.3">
      <c r="A4224" t="s">
        <v>10236</v>
      </c>
      <c r="B4224" t="s">
        <v>212</v>
      </c>
      <c r="C4224">
        <v>14</v>
      </c>
      <c r="D4224" t="str">
        <f>VLOOKUP(B4224,Products!$A:$E,2,FALSE)</f>
        <v>Product_102</v>
      </c>
      <c r="E4224" t="str">
        <f>VLOOKUP(B4224,Products!$A:$E,3,FALSE)</f>
        <v>Storage</v>
      </c>
    </row>
    <row r="4225" spans="1:5" x14ac:dyDescent="0.3">
      <c r="A4225" t="s">
        <v>10237</v>
      </c>
      <c r="B4225" t="s">
        <v>798</v>
      </c>
      <c r="C4225">
        <v>25</v>
      </c>
      <c r="D4225" t="str">
        <f>VLOOKUP(B4225,Products!$A:$E,2,FALSE)</f>
        <v>Product_395</v>
      </c>
      <c r="E4225" t="str">
        <f>VLOOKUP(B4225,Products!$A:$E,3,FALSE)</f>
        <v>Accessories</v>
      </c>
    </row>
    <row r="4226" spans="1:5" x14ac:dyDescent="0.3">
      <c r="A4226" t="s">
        <v>10238</v>
      </c>
      <c r="B4226" t="s">
        <v>614</v>
      </c>
      <c r="C4226">
        <v>8</v>
      </c>
      <c r="D4226" t="str">
        <f>VLOOKUP(B4226,Products!$A:$E,2,FALSE)</f>
        <v>Product_303</v>
      </c>
      <c r="E4226" t="str">
        <f>VLOOKUP(B4226,Products!$A:$E,3,FALSE)</f>
        <v>Networking</v>
      </c>
    </row>
    <row r="4227" spans="1:5" x14ac:dyDescent="0.3">
      <c r="A4227" t="s">
        <v>10239</v>
      </c>
      <c r="B4227" t="s">
        <v>104</v>
      </c>
      <c r="C4227">
        <v>12</v>
      </c>
      <c r="D4227" t="str">
        <f>VLOOKUP(B4227,Products!$A:$E,2,FALSE)</f>
        <v>Product_48</v>
      </c>
      <c r="E4227" t="str">
        <f>VLOOKUP(B4227,Products!$A:$E,3,FALSE)</f>
        <v>Accessories</v>
      </c>
    </row>
    <row r="4228" spans="1:5" x14ac:dyDescent="0.3">
      <c r="A4228" t="s">
        <v>10240</v>
      </c>
      <c r="B4228" t="s">
        <v>528</v>
      </c>
      <c r="C4228">
        <v>38</v>
      </c>
      <c r="D4228" t="str">
        <f>VLOOKUP(B4228,Products!$A:$E,2,FALSE)</f>
        <v>Product_260</v>
      </c>
      <c r="E4228" t="str">
        <f>VLOOKUP(B4228,Products!$A:$E,3,FALSE)</f>
        <v>Storage</v>
      </c>
    </row>
    <row r="4229" spans="1:5" x14ac:dyDescent="0.3">
      <c r="A4229" t="s">
        <v>10241</v>
      </c>
      <c r="B4229" t="s">
        <v>750</v>
      </c>
      <c r="C4229">
        <v>34</v>
      </c>
      <c r="D4229" t="str">
        <f>VLOOKUP(B4229,Products!$A:$E,2,FALSE)</f>
        <v>Product_371</v>
      </c>
      <c r="E4229" t="str">
        <f>VLOOKUP(B4229,Products!$A:$E,3,FALSE)</f>
        <v>Storage</v>
      </c>
    </row>
    <row r="4230" spans="1:5" x14ac:dyDescent="0.3">
      <c r="A4230" t="s">
        <v>10242</v>
      </c>
      <c r="B4230" t="s">
        <v>134</v>
      </c>
      <c r="C4230">
        <v>11</v>
      </c>
      <c r="D4230" t="str">
        <f>VLOOKUP(B4230,Products!$A:$E,2,FALSE)</f>
        <v>Product_63</v>
      </c>
      <c r="E4230" t="str">
        <f>VLOOKUP(B4230,Products!$A:$E,3,FALSE)</f>
        <v>Accessories</v>
      </c>
    </row>
    <row r="4231" spans="1:5" x14ac:dyDescent="0.3">
      <c r="A4231" t="s">
        <v>10243</v>
      </c>
      <c r="B4231" t="s">
        <v>784</v>
      </c>
      <c r="C4231">
        <v>14</v>
      </c>
      <c r="D4231" t="str">
        <f>VLOOKUP(B4231,Products!$A:$E,2,FALSE)</f>
        <v>Product_388</v>
      </c>
      <c r="E4231" t="str">
        <f>VLOOKUP(B4231,Products!$A:$E,3,FALSE)</f>
        <v>Office Supplies</v>
      </c>
    </row>
    <row r="4232" spans="1:5" x14ac:dyDescent="0.3">
      <c r="A4232" t="s">
        <v>10244</v>
      </c>
      <c r="B4232" t="s">
        <v>132</v>
      </c>
      <c r="C4232">
        <v>32</v>
      </c>
      <c r="D4232" t="str">
        <f>VLOOKUP(B4232,Products!$A:$E,2,FALSE)</f>
        <v>Product_62</v>
      </c>
      <c r="E4232" t="str">
        <f>VLOOKUP(B4232,Products!$A:$E,3,FALSE)</f>
        <v>Accessories</v>
      </c>
    </row>
    <row r="4233" spans="1:5" x14ac:dyDescent="0.3">
      <c r="A4233" t="s">
        <v>10245</v>
      </c>
      <c r="B4233" t="s">
        <v>768</v>
      </c>
      <c r="C4233">
        <v>39</v>
      </c>
      <c r="D4233" t="str">
        <f>VLOOKUP(B4233,Products!$A:$E,2,FALSE)</f>
        <v>Product_380</v>
      </c>
      <c r="E4233" t="str">
        <f>VLOOKUP(B4233,Products!$A:$E,3,FALSE)</f>
        <v>Electronics</v>
      </c>
    </row>
    <row r="4234" spans="1:5" x14ac:dyDescent="0.3">
      <c r="A4234" t="s">
        <v>10246</v>
      </c>
      <c r="B4234" t="s">
        <v>376</v>
      </c>
      <c r="C4234">
        <v>48</v>
      </c>
      <c r="D4234" t="str">
        <f>VLOOKUP(B4234,Products!$A:$E,2,FALSE)</f>
        <v>Product_184</v>
      </c>
      <c r="E4234" t="str">
        <f>VLOOKUP(B4234,Products!$A:$E,3,FALSE)</f>
        <v>Electronics</v>
      </c>
    </row>
    <row r="4235" spans="1:5" x14ac:dyDescent="0.3">
      <c r="A4235" t="s">
        <v>10247</v>
      </c>
      <c r="B4235" t="s">
        <v>334</v>
      </c>
      <c r="C4235">
        <v>27</v>
      </c>
      <c r="D4235" t="str">
        <f>VLOOKUP(B4235,Products!$A:$E,2,FALSE)</f>
        <v>Product_163</v>
      </c>
      <c r="E4235" t="str">
        <f>VLOOKUP(B4235,Products!$A:$E,3,FALSE)</f>
        <v>Accessories</v>
      </c>
    </row>
    <row r="4236" spans="1:5" x14ac:dyDescent="0.3">
      <c r="A4236" t="s">
        <v>10248</v>
      </c>
      <c r="B4236" t="s">
        <v>204</v>
      </c>
      <c r="C4236">
        <v>14</v>
      </c>
      <c r="D4236" t="str">
        <f>VLOOKUP(B4236,Products!$A:$E,2,FALSE)</f>
        <v>Product_98</v>
      </c>
      <c r="E4236" t="str">
        <f>VLOOKUP(B4236,Products!$A:$E,3,FALSE)</f>
        <v>Networking</v>
      </c>
    </row>
    <row r="4237" spans="1:5" x14ac:dyDescent="0.3">
      <c r="A4237" t="s">
        <v>10249</v>
      </c>
      <c r="B4237" t="s">
        <v>102</v>
      </c>
      <c r="C4237">
        <v>33</v>
      </c>
      <c r="D4237" t="str">
        <f>VLOOKUP(B4237,Products!$A:$E,2,FALSE)</f>
        <v>Product_47</v>
      </c>
      <c r="E4237" t="str">
        <f>VLOOKUP(B4237,Products!$A:$E,3,FALSE)</f>
        <v>Electronics</v>
      </c>
    </row>
    <row r="4238" spans="1:5" x14ac:dyDescent="0.3">
      <c r="A4238" t="s">
        <v>10250</v>
      </c>
      <c r="B4238" t="s">
        <v>378</v>
      </c>
      <c r="C4238">
        <v>31</v>
      </c>
      <c r="D4238" t="str">
        <f>VLOOKUP(B4238,Products!$A:$E,2,FALSE)</f>
        <v>Product_185</v>
      </c>
      <c r="E4238" t="str">
        <f>VLOOKUP(B4238,Products!$A:$E,3,FALSE)</f>
        <v>Storage</v>
      </c>
    </row>
    <row r="4239" spans="1:5" x14ac:dyDescent="0.3">
      <c r="A4239" t="s">
        <v>10251</v>
      </c>
      <c r="B4239" t="s">
        <v>270</v>
      </c>
      <c r="C4239">
        <v>33</v>
      </c>
      <c r="D4239" t="str">
        <f>VLOOKUP(B4239,Products!$A:$E,2,FALSE)</f>
        <v>Product_131</v>
      </c>
      <c r="E4239" t="str">
        <f>VLOOKUP(B4239,Products!$A:$E,3,FALSE)</f>
        <v>Electronics</v>
      </c>
    </row>
    <row r="4240" spans="1:5" x14ac:dyDescent="0.3">
      <c r="A4240" t="s">
        <v>10252</v>
      </c>
      <c r="B4240" t="s">
        <v>124</v>
      </c>
      <c r="C4240">
        <v>30</v>
      </c>
      <c r="D4240" t="str">
        <f>VLOOKUP(B4240,Products!$A:$E,2,FALSE)</f>
        <v>Product_58</v>
      </c>
      <c r="E4240" t="str">
        <f>VLOOKUP(B4240,Products!$A:$E,3,FALSE)</f>
        <v>Office Supplies</v>
      </c>
    </row>
    <row r="4241" spans="1:5" x14ac:dyDescent="0.3">
      <c r="A4241" t="s">
        <v>10253</v>
      </c>
      <c r="B4241" t="s">
        <v>26</v>
      </c>
      <c r="C4241">
        <v>1</v>
      </c>
      <c r="D4241" t="str">
        <f>VLOOKUP(B4241,Products!$A:$E,2,FALSE)</f>
        <v>Product_9</v>
      </c>
      <c r="E4241" t="str">
        <f>VLOOKUP(B4241,Products!$A:$E,3,FALSE)</f>
        <v>Storage</v>
      </c>
    </row>
    <row r="4242" spans="1:5" x14ac:dyDescent="0.3">
      <c r="A4242" t="s">
        <v>10254</v>
      </c>
      <c r="B4242" t="s">
        <v>398</v>
      </c>
      <c r="C4242">
        <v>27</v>
      </c>
      <c r="D4242" t="str">
        <f>VLOOKUP(B4242,Products!$A:$E,2,FALSE)</f>
        <v>Product_195</v>
      </c>
      <c r="E4242" t="str">
        <f>VLOOKUP(B4242,Products!$A:$E,3,FALSE)</f>
        <v>Accessories</v>
      </c>
    </row>
    <row r="4243" spans="1:5" x14ac:dyDescent="0.3">
      <c r="A4243" t="s">
        <v>10255</v>
      </c>
      <c r="B4243" t="s">
        <v>418</v>
      </c>
      <c r="C4243">
        <v>7</v>
      </c>
      <c r="D4243" t="str">
        <f>VLOOKUP(B4243,Products!$A:$E,2,FALSE)</f>
        <v>Product_205</v>
      </c>
      <c r="E4243" t="str">
        <f>VLOOKUP(B4243,Products!$A:$E,3,FALSE)</f>
        <v>Storage</v>
      </c>
    </row>
    <row r="4244" spans="1:5" x14ac:dyDescent="0.3">
      <c r="A4244" t="s">
        <v>10256</v>
      </c>
      <c r="B4244" t="s">
        <v>372</v>
      </c>
      <c r="C4244">
        <v>24</v>
      </c>
      <c r="D4244" t="str">
        <f>VLOOKUP(B4244,Products!$A:$E,2,FALSE)</f>
        <v>Product_182</v>
      </c>
      <c r="E4244" t="str">
        <f>VLOOKUP(B4244,Products!$A:$E,3,FALSE)</f>
        <v>Storage</v>
      </c>
    </row>
    <row r="4245" spans="1:5" x14ac:dyDescent="0.3">
      <c r="A4245" t="s">
        <v>10257</v>
      </c>
      <c r="B4245" t="s">
        <v>978</v>
      </c>
      <c r="C4245">
        <v>20</v>
      </c>
      <c r="D4245" t="str">
        <f>VLOOKUP(B4245,Products!$A:$E,2,FALSE)</f>
        <v>Product_485</v>
      </c>
      <c r="E4245" t="str">
        <f>VLOOKUP(B4245,Products!$A:$E,3,FALSE)</f>
        <v>Networking</v>
      </c>
    </row>
    <row r="4246" spans="1:5" x14ac:dyDescent="0.3">
      <c r="A4246" t="s">
        <v>10258</v>
      </c>
      <c r="B4246" t="s">
        <v>866</v>
      </c>
      <c r="C4246">
        <v>5</v>
      </c>
      <c r="D4246" t="str">
        <f>VLOOKUP(B4246,Products!$A:$E,2,FALSE)</f>
        <v>Product_429</v>
      </c>
      <c r="E4246" t="str">
        <f>VLOOKUP(B4246,Products!$A:$E,3,FALSE)</f>
        <v>Office Supplies</v>
      </c>
    </row>
    <row r="4247" spans="1:5" x14ac:dyDescent="0.3">
      <c r="A4247" t="s">
        <v>10259</v>
      </c>
      <c r="B4247" t="s">
        <v>454</v>
      </c>
      <c r="C4247">
        <v>42</v>
      </c>
      <c r="D4247" t="str">
        <f>VLOOKUP(B4247,Products!$A:$E,2,FALSE)</f>
        <v>Product_223</v>
      </c>
      <c r="E4247" t="str">
        <f>VLOOKUP(B4247,Products!$A:$E,3,FALSE)</f>
        <v>Storage</v>
      </c>
    </row>
    <row r="4248" spans="1:5" x14ac:dyDescent="0.3">
      <c r="A4248" t="s">
        <v>10260</v>
      </c>
      <c r="B4248" t="s">
        <v>316</v>
      </c>
      <c r="C4248">
        <v>15</v>
      </c>
      <c r="D4248" t="str">
        <f>VLOOKUP(B4248,Products!$A:$E,2,FALSE)</f>
        <v>Product_154</v>
      </c>
      <c r="E4248" t="str">
        <f>VLOOKUP(B4248,Products!$A:$E,3,FALSE)</f>
        <v>Accessories</v>
      </c>
    </row>
    <row r="4249" spans="1:5" x14ac:dyDescent="0.3">
      <c r="A4249" t="s">
        <v>10261</v>
      </c>
      <c r="B4249" t="s">
        <v>728</v>
      </c>
      <c r="C4249">
        <v>6</v>
      </c>
      <c r="D4249" t="str">
        <f>VLOOKUP(B4249,Products!$A:$E,2,FALSE)</f>
        <v>Product_360</v>
      </c>
      <c r="E4249" t="str">
        <f>VLOOKUP(B4249,Products!$A:$E,3,FALSE)</f>
        <v>Office Supplies</v>
      </c>
    </row>
    <row r="4250" spans="1:5" x14ac:dyDescent="0.3">
      <c r="A4250" t="s">
        <v>10262</v>
      </c>
      <c r="B4250" t="s">
        <v>676</v>
      </c>
      <c r="C4250">
        <v>42</v>
      </c>
      <c r="D4250" t="str">
        <f>VLOOKUP(B4250,Products!$A:$E,2,FALSE)</f>
        <v>Product_334</v>
      </c>
      <c r="E4250" t="str">
        <f>VLOOKUP(B4250,Products!$A:$E,3,FALSE)</f>
        <v>Accessories</v>
      </c>
    </row>
    <row r="4251" spans="1:5" x14ac:dyDescent="0.3">
      <c r="A4251" t="s">
        <v>10263</v>
      </c>
      <c r="B4251" t="s">
        <v>838</v>
      </c>
      <c r="C4251">
        <v>25</v>
      </c>
      <c r="D4251" t="str">
        <f>VLOOKUP(B4251,Products!$A:$E,2,FALSE)</f>
        <v>Product_415</v>
      </c>
      <c r="E4251" t="str">
        <f>VLOOKUP(B4251,Products!$A:$E,3,FALSE)</f>
        <v>Networking</v>
      </c>
    </row>
    <row r="4252" spans="1:5" x14ac:dyDescent="0.3">
      <c r="A4252" t="s">
        <v>10264</v>
      </c>
      <c r="B4252" t="s">
        <v>906</v>
      </c>
      <c r="C4252">
        <v>31</v>
      </c>
      <c r="D4252" t="str">
        <f>VLOOKUP(B4252,Products!$A:$E,2,FALSE)</f>
        <v>Product_449</v>
      </c>
      <c r="E4252" t="str">
        <f>VLOOKUP(B4252,Products!$A:$E,3,FALSE)</f>
        <v>Networking</v>
      </c>
    </row>
    <row r="4253" spans="1:5" x14ac:dyDescent="0.3">
      <c r="A4253" t="s">
        <v>10265</v>
      </c>
      <c r="B4253" t="s">
        <v>26</v>
      </c>
      <c r="C4253">
        <v>18</v>
      </c>
      <c r="D4253" t="str">
        <f>VLOOKUP(B4253,Products!$A:$E,2,FALSE)</f>
        <v>Product_9</v>
      </c>
      <c r="E4253" t="str">
        <f>VLOOKUP(B4253,Products!$A:$E,3,FALSE)</f>
        <v>Storage</v>
      </c>
    </row>
    <row r="4254" spans="1:5" x14ac:dyDescent="0.3">
      <c r="A4254" t="s">
        <v>10266</v>
      </c>
      <c r="B4254" t="s">
        <v>756</v>
      </c>
      <c r="C4254">
        <v>42</v>
      </c>
      <c r="D4254" t="str">
        <f>VLOOKUP(B4254,Products!$A:$E,2,FALSE)</f>
        <v>Product_374</v>
      </c>
      <c r="E4254" t="str">
        <f>VLOOKUP(B4254,Products!$A:$E,3,FALSE)</f>
        <v>Office Supplies</v>
      </c>
    </row>
    <row r="4255" spans="1:5" x14ac:dyDescent="0.3">
      <c r="A4255" t="s">
        <v>10267</v>
      </c>
      <c r="B4255" t="s">
        <v>928</v>
      </c>
      <c r="C4255">
        <v>21</v>
      </c>
      <c r="D4255" t="str">
        <f>VLOOKUP(B4255,Products!$A:$E,2,FALSE)</f>
        <v>Product_460</v>
      </c>
      <c r="E4255" t="str">
        <f>VLOOKUP(B4255,Products!$A:$E,3,FALSE)</f>
        <v>Accessories</v>
      </c>
    </row>
    <row r="4256" spans="1:5" x14ac:dyDescent="0.3">
      <c r="A4256" t="s">
        <v>10268</v>
      </c>
      <c r="B4256" t="s">
        <v>56</v>
      </c>
      <c r="C4256">
        <v>10</v>
      </c>
      <c r="D4256" t="str">
        <f>VLOOKUP(B4256,Products!$A:$E,2,FALSE)</f>
        <v>Product_24</v>
      </c>
      <c r="E4256" t="str">
        <f>VLOOKUP(B4256,Products!$A:$E,3,FALSE)</f>
        <v>Accessories</v>
      </c>
    </row>
    <row r="4257" spans="1:5" x14ac:dyDescent="0.3">
      <c r="A4257" t="s">
        <v>10269</v>
      </c>
      <c r="B4257" t="s">
        <v>876</v>
      </c>
      <c r="C4257">
        <v>16</v>
      </c>
      <c r="D4257" t="str">
        <f>VLOOKUP(B4257,Products!$A:$E,2,FALSE)</f>
        <v>Product_434</v>
      </c>
      <c r="E4257" t="str">
        <f>VLOOKUP(B4257,Products!$A:$E,3,FALSE)</f>
        <v>Office Supplies</v>
      </c>
    </row>
    <row r="4258" spans="1:5" x14ac:dyDescent="0.3">
      <c r="A4258" t="s">
        <v>10270</v>
      </c>
      <c r="B4258" t="s">
        <v>190</v>
      </c>
      <c r="C4258">
        <v>37</v>
      </c>
      <c r="D4258" t="str">
        <f>VLOOKUP(B4258,Products!$A:$E,2,FALSE)</f>
        <v>Product_91</v>
      </c>
      <c r="E4258" t="str">
        <f>VLOOKUP(B4258,Products!$A:$E,3,FALSE)</f>
        <v>Networking</v>
      </c>
    </row>
    <row r="4259" spans="1:5" x14ac:dyDescent="0.3">
      <c r="A4259" t="s">
        <v>10271</v>
      </c>
      <c r="B4259" t="s">
        <v>17</v>
      </c>
      <c r="C4259">
        <v>9</v>
      </c>
      <c r="D4259" t="str">
        <f>VLOOKUP(B4259,Products!$A:$E,2,FALSE)</f>
        <v>Product_5</v>
      </c>
      <c r="E4259" t="str">
        <f>VLOOKUP(B4259,Products!$A:$E,3,FALSE)</f>
        <v>Networking</v>
      </c>
    </row>
    <row r="4260" spans="1:5" x14ac:dyDescent="0.3">
      <c r="A4260" t="s">
        <v>10272</v>
      </c>
      <c r="B4260" t="s">
        <v>540</v>
      </c>
      <c r="C4260">
        <v>10</v>
      </c>
      <c r="D4260" t="str">
        <f>VLOOKUP(B4260,Products!$A:$E,2,FALSE)</f>
        <v>Product_266</v>
      </c>
      <c r="E4260" t="str">
        <f>VLOOKUP(B4260,Products!$A:$E,3,FALSE)</f>
        <v>Electronics</v>
      </c>
    </row>
    <row r="4261" spans="1:5" x14ac:dyDescent="0.3">
      <c r="A4261" t="s">
        <v>10273</v>
      </c>
      <c r="B4261" t="s">
        <v>152</v>
      </c>
      <c r="C4261">
        <v>45</v>
      </c>
      <c r="D4261" t="str">
        <f>VLOOKUP(B4261,Products!$A:$E,2,FALSE)</f>
        <v>Product_72</v>
      </c>
      <c r="E4261" t="str">
        <f>VLOOKUP(B4261,Products!$A:$E,3,FALSE)</f>
        <v>Networking</v>
      </c>
    </row>
    <row r="4262" spans="1:5" x14ac:dyDescent="0.3">
      <c r="A4262" t="s">
        <v>10274</v>
      </c>
      <c r="B4262" t="s">
        <v>490</v>
      </c>
      <c r="C4262">
        <v>49</v>
      </c>
      <c r="D4262" t="str">
        <f>VLOOKUP(B4262,Products!$A:$E,2,FALSE)</f>
        <v>Product_241</v>
      </c>
      <c r="E4262" t="str">
        <f>VLOOKUP(B4262,Products!$A:$E,3,FALSE)</f>
        <v>Electronics</v>
      </c>
    </row>
    <row r="4263" spans="1:5" x14ac:dyDescent="0.3">
      <c r="A4263" t="s">
        <v>10275</v>
      </c>
      <c r="B4263" t="s">
        <v>48</v>
      </c>
      <c r="C4263">
        <v>4</v>
      </c>
      <c r="D4263" t="str">
        <f>VLOOKUP(B4263,Products!$A:$E,2,FALSE)</f>
        <v>Product_20</v>
      </c>
      <c r="E4263" t="str">
        <f>VLOOKUP(B4263,Products!$A:$E,3,FALSE)</f>
        <v>Office Supplies</v>
      </c>
    </row>
    <row r="4264" spans="1:5" x14ac:dyDescent="0.3">
      <c r="A4264" t="s">
        <v>10276</v>
      </c>
      <c r="B4264" t="s">
        <v>620</v>
      </c>
      <c r="C4264">
        <v>14</v>
      </c>
      <c r="D4264" t="str">
        <f>VLOOKUP(B4264,Products!$A:$E,2,FALSE)</f>
        <v>Product_306</v>
      </c>
      <c r="E4264" t="str">
        <f>VLOOKUP(B4264,Products!$A:$E,3,FALSE)</f>
        <v>Accessories</v>
      </c>
    </row>
    <row r="4265" spans="1:5" x14ac:dyDescent="0.3">
      <c r="A4265" t="s">
        <v>10277</v>
      </c>
      <c r="B4265" t="s">
        <v>896</v>
      </c>
      <c r="C4265">
        <v>48</v>
      </c>
      <c r="D4265" t="str">
        <f>VLOOKUP(B4265,Products!$A:$E,2,FALSE)</f>
        <v>Product_444</v>
      </c>
      <c r="E4265" t="str">
        <f>VLOOKUP(B4265,Products!$A:$E,3,FALSE)</f>
        <v>Electronics</v>
      </c>
    </row>
    <row r="4266" spans="1:5" x14ac:dyDescent="0.3">
      <c r="A4266" t="s">
        <v>10278</v>
      </c>
      <c r="B4266" t="s">
        <v>686</v>
      </c>
      <c r="C4266">
        <v>19</v>
      </c>
      <c r="D4266" t="str">
        <f>VLOOKUP(B4266,Products!$A:$E,2,FALSE)</f>
        <v>Product_339</v>
      </c>
      <c r="E4266" t="str">
        <f>VLOOKUP(B4266,Products!$A:$E,3,FALSE)</f>
        <v>Storage</v>
      </c>
    </row>
    <row r="4267" spans="1:5" x14ac:dyDescent="0.3">
      <c r="A4267" t="s">
        <v>10279</v>
      </c>
      <c r="B4267" t="s">
        <v>390</v>
      </c>
      <c r="C4267">
        <v>40</v>
      </c>
      <c r="D4267" t="str">
        <f>VLOOKUP(B4267,Products!$A:$E,2,FALSE)</f>
        <v>Product_191</v>
      </c>
      <c r="E4267" t="str">
        <f>VLOOKUP(B4267,Products!$A:$E,3,FALSE)</f>
        <v>Networking</v>
      </c>
    </row>
    <row r="4268" spans="1:5" x14ac:dyDescent="0.3">
      <c r="A4268" t="s">
        <v>10280</v>
      </c>
      <c r="B4268" t="s">
        <v>434</v>
      </c>
      <c r="C4268">
        <v>11</v>
      </c>
      <c r="D4268" t="str">
        <f>VLOOKUP(B4268,Products!$A:$E,2,FALSE)</f>
        <v>Product_213</v>
      </c>
      <c r="E4268" t="str">
        <f>VLOOKUP(B4268,Products!$A:$E,3,FALSE)</f>
        <v>Accessories</v>
      </c>
    </row>
    <row r="4269" spans="1:5" x14ac:dyDescent="0.3">
      <c r="A4269" t="s">
        <v>10281</v>
      </c>
      <c r="B4269" t="s">
        <v>438</v>
      </c>
      <c r="C4269">
        <v>12</v>
      </c>
      <c r="D4269" t="str">
        <f>VLOOKUP(B4269,Products!$A:$E,2,FALSE)</f>
        <v>Product_215</v>
      </c>
      <c r="E4269" t="str">
        <f>VLOOKUP(B4269,Products!$A:$E,3,FALSE)</f>
        <v>Electronics</v>
      </c>
    </row>
    <row r="4270" spans="1:5" x14ac:dyDescent="0.3">
      <c r="A4270" t="s">
        <v>10282</v>
      </c>
      <c r="B4270" t="s">
        <v>188</v>
      </c>
      <c r="C4270">
        <v>34</v>
      </c>
      <c r="D4270" t="str">
        <f>VLOOKUP(B4270,Products!$A:$E,2,FALSE)</f>
        <v>Product_90</v>
      </c>
      <c r="E4270" t="str">
        <f>VLOOKUP(B4270,Products!$A:$E,3,FALSE)</f>
        <v>Accessories</v>
      </c>
    </row>
    <row r="4271" spans="1:5" x14ac:dyDescent="0.3">
      <c r="A4271" t="s">
        <v>10283</v>
      </c>
      <c r="B4271" t="s">
        <v>998</v>
      </c>
      <c r="C4271">
        <v>10</v>
      </c>
      <c r="D4271" t="str">
        <f>VLOOKUP(B4271,Products!$A:$E,2,FALSE)</f>
        <v>Product_495</v>
      </c>
      <c r="E4271" t="str">
        <f>VLOOKUP(B4271,Products!$A:$E,3,FALSE)</f>
        <v>Networking</v>
      </c>
    </row>
    <row r="4272" spans="1:5" x14ac:dyDescent="0.3">
      <c r="A4272" t="s">
        <v>10284</v>
      </c>
      <c r="B4272" t="s">
        <v>768</v>
      </c>
      <c r="C4272">
        <v>43</v>
      </c>
      <c r="D4272" t="str">
        <f>VLOOKUP(B4272,Products!$A:$E,2,FALSE)</f>
        <v>Product_380</v>
      </c>
      <c r="E4272" t="str">
        <f>VLOOKUP(B4272,Products!$A:$E,3,FALSE)</f>
        <v>Electronics</v>
      </c>
    </row>
    <row r="4273" spans="1:5" x14ac:dyDescent="0.3">
      <c r="A4273" t="s">
        <v>10285</v>
      </c>
      <c r="B4273" t="s">
        <v>194</v>
      </c>
      <c r="C4273">
        <v>24</v>
      </c>
      <c r="D4273" t="str">
        <f>VLOOKUP(B4273,Products!$A:$E,2,FALSE)</f>
        <v>Product_93</v>
      </c>
      <c r="E4273" t="str">
        <f>VLOOKUP(B4273,Products!$A:$E,3,FALSE)</f>
        <v>Office Supplies</v>
      </c>
    </row>
    <row r="4274" spans="1:5" x14ac:dyDescent="0.3">
      <c r="A4274" t="s">
        <v>10286</v>
      </c>
      <c r="B4274" t="s">
        <v>910</v>
      </c>
      <c r="C4274">
        <v>8</v>
      </c>
      <c r="D4274" t="str">
        <f>VLOOKUP(B4274,Products!$A:$E,2,FALSE)</f>
        <v>Product_451</v>
      </c>
      <c r="E4274" t="str">
        <f>VLOOKUP(B4274,Products!$A:$E,3,FALSE)</f>
        <v>Accessories</v>
      </c>
    </row>
    <row r="4275" spans="1:5" x14ac:dyDescent="0.3">
      <c r="A4275" t="s">
        <v>10287</v>
      </c>
      <c r="B4275" t="s">
        <v>814</v>
      </c>
      <c r="C4275">
        <v>11</v>
      </c>
      <c r="D4275" t="str">
        <f>VLOOKUP(B4275,Products!$A:$E,2,FALSE)</f>
        <v>Product_403</v>
      </c>
      <c r="E4275" t="str">
        <f>VLOOKUP(B4275,Products!$A:$E,3,FALSE)</f>
        <v>Networking</v>
      </c>
    </row>
    <row r="4276" spans="1:5" x14ac:dyDescent="0.3">
      <c r="A4276" t="s">
        <v>10288</v>
      </c>
      <c r="B4276" t="s">
        <v>40</v>
      </c>
      <c r="C4276">
        <v>32</v>
      </c>
      <c r="D4276" t="str">
        <f>VLOOKUP(B4276,Products!$A:$E,2,FALSE)</f>
        <v>Product_16</v>
      </c>
      <c r="E4276" t="str">
        <f>VLOOKUP(B4276,Products!$A:$E,3,FALSE)</f>
        <v>Office Supplies</v>
      </c>
    </row>
    <row r="4277" spans="1:5" x14ac:dyDescent="0.3">
      <c r="A4277" t="s">
        <v>10289</v>
      </c>
      <c r="B4277" t="s">
        <v>218</v>
      </c>
      <c r="C4277">
        <v>20</v>
      </c>
      <c r="D4277" t="str">
        <f>VLOOKUP(B4277,Products!$A:$E,2,FALSE)</f>
        <v>Product_105</v>
      </c>
      <c r="E4277" t="str">
        <f>VLOOKUP(B4277,Products!$A:$E,3,FALSE)</f>
        <v>Networking</v>
      </c>
    </row>
    <row r="4278" spans="1:5" x14ac:dyDescent="0.3">
      <c r="A4278" t="s">
        <v>10290</v>
      </c>
      <c r="B4278" t="s">
        <v>422</v>
      </c>
      <c r="C4278">
        <v>41</v>
      </c>
      <c r="D4278" t="str">
        <f>VLOOKUP(B4278,Products!$A:$E,2,FALSE)</f>
        <v>Product_207</v>
      </c>
      <c r="E4278" t="str">
        <f>VLOOKUP(B4278,Products!$A:$E,3,FALSE)</f>
        <v>Accessories</v>
      </c>
    </row>
    <row r="4279" spans="1:5" x14ac:dyDescent="0.3">
      <c r="A4279" t="s">
        <v>10291</v>
      </c>
      <c r="B4279" t="s">
        <v>392</v>
      </c>
      <c r="C4279">
        <v>17</v>
      </c>
      <c r="D4279" t="str">
        <f>VLOOKUP(B4279,Products!$A:$E,2,FALSE)</f>
        <v>Product_192</v>
      </c>
      <c r="E4279" t="str">
        <f>VLOOKUP(B4279,Products!$A:$E,3,FALSE)</f>
        <v>Office Supplies</v>
      </c>
    </row>
    <row r="4280" spans="1:5" x14ac:dyDescent="0.3">
      <c r="A4280" t="s">
        <v>10292</v>
      </c>
      <c r="B4280" t="s">
        <v>646</v>
      </c>
      <c r="C4280">
        <v>21</v>
      </c>
      <c r="D4280" t="str">
        <f>VLOOKUP(B4280,Products!$A:$E,2,FALSE)</f>
        <v>Product_319</v>
      </c>
      <c r="E4280" t="str">
        <f>VLOOKUP(B4280,Products!$A:$E,3,FALSE)</f>
        <v>Accessories</v>
      </c>
    </row>
    <row r="4281" spans="1:5" x14ac:dyDescent="0.3">
      <c r="A4281" t="s">
        <v>10293</v>
      </c>
      <c r="B4281" t="s">
        <v>38</v>
      </c>
      <c r="C4281">
        <v>2</v>
      </c>
      <c r="D4281" t="str">
        <f>VLOOKUP(B4281,Products!$A:$E,2,FALSE)</f>
        <v>Product_15</v>
      </c>
      <c r="E4281" t="str">
        <f>VLOOKUP(B4281,Products!$A:$E,3,FALSE)</f>
        <v>Electronics</v>
      </c>
    </row>
    <row r="4282" spans="1:5" x14ac:dyDescent="0.3">
      <c r="A4282" t="s">
        <v>10294</v>
      </c>
      <c r="B4282" t="s">
        <v>348</v>
      </c>
      <c r="C4282">
        <v>2</v>
      </c>
      <c r="D4282" t="str">
        <f>VLOOKUP(B4282,Products!$A:$E,2,FALSE)</f>
        <v>Product_170</v>
      </c>
      <c r="E4282" t="str">
        <f>VLOOKUP(B4282,Products!$A:$E,3,FALSE)</f>
        <v>Office Supplies</v>
      </c>
    </row>
    <row r="4283" spans="1:5" x14ac:dyDescent="0.3">
      <c r="A4283" t="s">
        <v>10295</v>
      </c>
      <c r="B4283" t="s">
        <v>920</v>
      </c>
      <c r="C4283">
        <v>31</v>
      </c>
      <c r="D4283" t="str">
        <f>VLOOKUP(B4283,Products!$A:$E,2,FALSE)</f>
        <v>Product_456</v>
      </c>
      <c r="E4283" t="str">
        <f>VLOOKUP(B4283,Products!$A:$E,3,FALSE)</f>
        <v>Electronics</v>
      </c>
    </row>
    <row r="4284" spans="1:5" x14ac:dyDescent="0.3">
      <c r="A4284" t="s">
        <v>10296</v>
      </c>
      <c r="B4284" t="s">
        <v>44</v>
      </c>
      <c r="C4284">
        <v>48</v>
      </c>
      <c r="D4284" t="str">
        <f>VLOOKUP(B4284,Products!$A:$E,2,FALSE)</f>
        <v>Product_18</v>
      </c>
      <c r="E4284" t="str">
        <f>VLOOKUP(B4284,Products!$A:$E,3,FALSE)</f>
        <v>Networking</v>
      </c>
    </row>
    <row r="4285" spans="1:5" x14ac:dyDescent="0.3">
      <c r="A4285" t="s">
        <v>10297</v>
      </c>
      <c r="B4285" t="s">
        <v>902</v>
      </c>
      <c r="C4285">
        <v>10</v>
      </c>
      <c r="D4285" t="str">
        <f>VLOOKUP(B4285,Products!$A:$E,2,FALSE)</f>
        <v>Product_447</v>
      </c>
      <c r="E4285" t="str">
        <f>VLOOKUP(B4285,Products!$A:$E,3,FALSE)</f>
        <v>Office Supplies</v>
      </c>
    </row>
    <row r="4286" spans="1:5" x14ac:dyDescent="0.3">
      <c r="A4286" t="s">
        <v>10298</v>
      </c>
      <c r="B4286" t="s">
        <v>944</v>
      </c>
      <c r="C4286">
        <v>27</v>
      </c>
      <c r="D4286" t="str">
        <f>VLOOKUP(B4286,Products!$A:$E,2,FALSE)</f>
        <v>Product_468</v>
      </c>
      <c r="E4286" t="str">
        <f>VLOOKUP(B4286,Products!$A:$E,3,FALSE)</f>
        <v>Office Supplies</v>
      </c>
    </row>
    <row r="4287" spans="1:5" x14ac:dyDescent="0.3">
      <c r="A4287" t="s">
        <v>10299</v>
      </c>
      <c r="B4287" t="s">
        <v>56</v>
      </c>
      <c r="C4287">
        <v>35</v>
      </c>
      <c r="D4287" t="str">
        <f>VLOOKUP(B4287,Products!$A:$E,2,FALSE)</f>
        <v>Product_24</v>
      </c>
      <c r="E4287" t="str">
        <f>VLOOKUP(B4287,Products!$A:$E,3,FALSE)</f>
        <v>Accessories</v>
      </c>
    </row>
    <row r="4288" spans="1:5" x14ac:dyDescent="0.3">
      <c r="A4288" t="s">
        <v>10300</v>
      </c>
      <c r="B4288" t="s">
        <v>396</v>
      </c>
      <c r="C4288">
        <v>49</v>
      </c>
      <c r="D4288" t="str">
        <f>VLOOKUP(B4288,Products!$A:$E,2,FALSE)</f>
        <v>Product_194</v>
      </c>
      <c r="E4288" t="str">
        <f>VLOOKUP(B4288,Products!$A:$E,3,FALSE)</f>
        <v>Networking</v>
      </c>
    </row>
    <row r="4289" spans="1:5" x14ac:dyDescent="0.3">
      <c r="A4289" t="s">
        <v>10301</v>
      </c>
      <c r="B4289" t="s">
        <v>622</v>
      </c>
      <c r="C4289">
        <v>47</v>
      </c>
      <c r="D4289" t="str">
        <f>VLOOKUP(B4289,Products!$A:$E,2,FALSE)</f>
        <v>Product_307</v>
      </c>
      <c r="E4289" t="str">
        <f>VLOOKUP(B4289,Products!$A:$E,3,FALSE)</f>
        <v>Storage</v>
      </c>
    </row>
    <row r="4290" spans="1:5" x14ac:dyDescent="0.3">
      <c r="A4290" t="s">
        <v>10302</v>
      </c>
      <c r="B4290" t="s">
        <v>546</v>
      </c>
      <c r="C4290">
        <v>11</v>
      </c>
      <c r="D4290" t="str">
        <f>VLOOKUP(B4290,Products!$A:$E,2,FALSE)</f>
        <v>Product_269</v>
      </c>
      <c r="E4290" t="str">
        <f>VLOOKUP(B4290,Products!$A:$E,3,FALSE)</f>
        <v>Storage</v>
      </c>
    </row>
    <row r="4291" spans="1:5" x14ac:dyDescent="0.3">
      <c r="A4291" t="s">
        <v>10303</v>
      </c>
      <c r="B4291" t="s">
        <v>170</v>
      </c>
      <c r="C4291">
        <v>7</v>
      </c>
      <c r="D4291" t="str">
        <f>VLOOKUP(B4291,Products!$A:$E,2,FALSE)</f>
        <v>Product_81</v>
      </c>
      <c r="E4291" t="str">
        <f>VLOOKUP(B4291,Products!$A:$E,3,FALSE)</f>
        <v>Office Supplies</v>
      </c>
    </row>
    <row r="4292" spans="1:5" x14ac:dyDescent="0.3">
      <c r="A4292" t="s">
        <v>10304</v>
      </c>
      <c r="B4292" t="s">
        <v>24</v>
      </c>
      <c r="C4292">
        <v>23</v>
      </c>
      <c r="D4292" t="str">
        <f>VLOOKUP(B4292,Products!$A:$E,2,FALSE)</f>
        <v>Product_8</v>
      </c>
      <c r="E4292" t="str">
        <f>VLOOKUP(B4292,Products!$A:$E,3,FALSE)</f>
        <v>Storage</v>
      </c>
    </row>
    <row r="4293" spans="1:5" x14ac:dyDescent="0.3">
      <c r="A4293" t="s">
        <v>10305</v>
      </c>
      <c r="B4293" t="s">
        <v>928</v>
      </c>
      <c r="C4293">
        <v>15</v>
      </c>
      <c r="D4293" t="str">
        <f>VLOOKUP(B4293,Products!$A:$E,2,FALSE)</f>
        <v>Product_460</v>
      </c>
      <c r="E4293" t="str">
        <f>VLOOKUP(B4293,Products!$A:$E,3,FALSE)</f>
        <v>Accessories</v>
      </c>
    </row>
    <row r="4294" spans="1:5" x14ac:dyDescent="0.3">
      <c r="A4294" t="s">
        <v>10306</v>
      </c>
      <c r="B4294" t="s">
        <v>104</v>
      </c>
      <c r="C4294">
        <v>27</v>
      </c>
      <c r="D4294" t="str">
        <f>VLOOKUP(B4294,Products!$A:$E,2,FALSE)</f>
        <v>Product_48</v>
      </c>
      <c r="E4294" t="str">
        <f>VLOOKUP(B4294,Products!$A:$E,3,FALSE)</f>
        <v>Accessories</v>
      </c>
    </row>
    <row r="4295" spans="1:5" x14ac:dyDescent="0.3">
      <c r="A4295" t="s">
        <v>10307</v>
      </c>
      <c r="B4295" t="s">
        <v>76</v>
      </c>
      <c r="C4295">
        <v>8</v>
      </c>
      <c r="D4295" t="str">
        <f>VLOOKUP(B4295,Products!$A:$E,2,FALSE)</f>
        <v>Product_34</v>
      </c>
      <c r="E4295" t="str">
        <f>VLOOKUP(B4295,Products!$A:$E,3,FALSE)</f>
        <v>Office Supplies</v>
      </c>
    </row>
    <row r="4296" spans="1:5" x14ac:dyDescent="0.3">
      <c r="A4296" t="s">
        <v>10308</v>
      </c>
      <c r="B4296" t="s">
        <v>1000</v>
      </c>
      <c r="C4296">
        <v>31</v>
      </c>
      <c r="D4296" t="str">
        <f>VLOOKUP(B4296,Products!$A:$E,2,FALSE)</f>
        <v>Product_496</v>
      </c>
      <c r="E4296" t="str">
        <f>VLOOKUP(B4296,Products!$A:$E,3,FALSE)</f>
        <v>Office Supplies</v>
      </c>
    </row>
    <row r="4297" spans="1:5" x14ac:dyDescent="0.3">
      <c r="A4297" t="s">
        <v>10309</v>
      </c>
      <c r="B4297" t="s">
        <v>484</v>
      </c>
      <c r="C4297">
        <v>27</v>
      </c>
      <c r="D4297" t="str">
        <f>VLOOKUP(B4297,Products!$A:$E,2,FALSE)</f>
        <v>Product_238</v>
      </c>
      <c r="E4297" t="str">
        <f>VLOOKUP(B4297,Products!$A:$E,3,FALSE)</f>
        <v>Accessories</v>
      </c>
    </row>
    <row r="4298" spans="1:5" x14ac:dyDescent="0.3">
      <c r="A4298" t="s">
        <v>10310</v>
      </c>
      <c r="B4298" t="s">
        <v>886</v>
      </c>
      <c r="C4298">
        <v>35</v>
      </c>
      <c r="D4298" t="str">
        <f>VLOOKUP(B4298,Products!$A:$E,2,FALSE)</f>
        <v>Product_439</v>
      </c>
      <c r="E4298" t="str">
        <f>VLOOKUP(B4298,Products!$A:$E,3,FALSE)</f>
        <v>Networking</v>
      </c>
    </row>
    <row r="4299" spans="1:5" x14ac:dyDescent="0.3">
      <c r="A4299" t="s">
        <v>10311</v>
      </c>
      <c r="B4299" t="s">
        <v>460</v>
      </c>
      <c r="C4299">
        <v>9</v>
      </c>
      <c r="D4299" t="str">
        <f>VLOOKUP(B4299,Products!$A:$E,2,FALSE)</f>
        <v>Product_226</v>
      </c>
      <c r="E4299" t="str">
        <f>VLOOKUP(B4299,Products!$A:$E,3,FALSE)</f>
        <v>Networking</v>
      </c>
    </row>
    <row r="4300" spans="1:5" x14ac:dyDescent="0.3">
      <c r="A4300" t="s">
        <v>10312</v>
      </c>
      <c r="B4300" t="s">
        <v>886</v>
      </c>
      <c r="C4300">
        <v>39</v>
      </c>
      <c r="D4300" t="str">
        <f>VLOOKUP(B4300,Products!$A:$E,2,FALSE)</f>
        <v>Product_439</v>
      </c>
      <c r="E4300" t="str">
        <f>VLOOKUP(B4300,Products!$A:$E,3,FALSE)</f>
        <v>Networking</v>
      </c>
    </row>
    <row r="4301" spans="1:5" x14ac:dyDescent="0.3">
      <c r="A4301" t="s">
        <v>10313</v>
      </c>
      <c r="B4301" t="s">
        <v>838</v>
      </c>
      <c r="C4301">
        <v>41</v>
      </c>
      <c r="D4301" t="str">
        <f>VLOOKUP(B4301,Products!$A:$E,2,FALSE)</f>
        <v>Product_415</v>
      </c>
      <c r="E4301" t="str">
        <f>VLOOKUP(B4301,Products!$A:$E,3,FALSE)</f>
        <v>Networking</v>
      </c>
    </row>
    <row r="4302" spans="1:5" x14ac:dyDescent="0.3">
      <c r="A4302" t="s">
        <v>10314</v>
      </c>
      <c r="B4302" t="s">
        <v>5</v>
      </c>
      <c r="C4302">
        <v>20</v>
      </c>
      <c r="D4302" t="str">
        <f>VLOOKUP(B4302,Products!$A:$E,2,FALSE)</f>
        <v>Product_1</v>
      </c>
      <c r="E4302" t="str">
        <f>VLOOKUP(B4302,Products!$A:$E,3,FALSE)</f>
        <v>Electronics</v>
      </c>
    </row>
    <row r="4303" spans="1:5" x14ac:dyDescent="0.3">
      <c r="A4303" t="s">
        <v>10315</v>
      </c>
      <c r="B4303" t="s">
        <v>496</v>
      </c>
      <c r="C4303">
        <v>31</v>
      </c>
      <c r="D4303" t="str">
        <f>VLOOKUP(B4303,Products!$A:$E,2,FALSE)</f>
        <v>Product_244</v>
      </c>
      <c r="E4303" t="str">
        <f>VLOOKUP(B4303,Products!$A:$E,3,FALSE)</f>
        <v>Accessories</v>
      </c>
    </row>
    <row r="4304" spans="1:5" x14ac:dyDescent="0.3">
      <c r="A4304" t="s">
        <v>10316</v>
      </c>
      <c r="B4304" t="s">
        <v>930</v>
      </c>
      <c r="C4304">
        <v>17</v>
      </c>
      <c r="D4304" t="str">
        <f>VLOOKUP(B4304,Products!$A:$E,2,FALSE)</f>
        <v>Product_461</v>
      </c>
      <c r="E4304" t="str">
        <f>VLOOKUP(B4304,Products!$A:$E,3,FALSE)</f>
        <v>Accessories</v>
      </c>
    </row>
    <row r="4305" spans="1:5" x14ac:dyDescent="0.3">
      <c r="A4305" t="s">
        <v>10317</v>
      </c>
      <c r="B4305" t="s">
        <v>140</v>
      </c>
      <c r="C4305">
        <v>21</v>
      </c>
      <c r="D4305" t="str">
        <f>VLOOKUP(B4305,Products!$A:$E,2,FALSE)</f>
        <v>Product_66</v>
      </c>
      <c r="E4305" t="str">
        <f>VLOOKUP(B4305,Products!$A:$E,3,FALSE)</f>
        <v>Electronics</v>
      </c>
    </row>
    <row r="4306" spans="1:5" x14ac:dyDescent="0.3">
      <c r="A4306" t="s">
        <v>10318</v>
      </c>
      <c r="B4306" t="s">
        <v>682</v>
      </c>
      <c r="C4306">
        <v>35</v>
      </c>
      <c r="D4306" t="str">
        <f>VLOOKUP(B4306,Products!$A:$E,2,FALSE)</f>
        <v>Product_337</v>
      </c>
      <c r="E4306" t="str">
        <f>VLOOKUP(B4306,Products!$A:$E,3,FALSE)</f>
        <v>Storage</v>
      </c>
    </row>
    <row r="4307" spans="1:5" x14ac:dyDescent="0.3">
      <c r="A4307" t="s">
        <v>10319</v>
      </c>
      <c r="B4307" t="s">
        <v>384</v>
      </c>
      <c r="C4307">
        <v>40</v>
      </c>
      <c r="D4307" t="str">
        <f>VLOOKUP(B4307,Products!$A:$E,2,FALSE)</f>
        <v>Product_188</v>
      </c>
      <c r="E4307" t="str">
        <f>VLOOKUP(B4307,Products!$A:$E,3,FALSE)</f>
        <v>Office Supplies</v>
      </c>
    </row>
    <row r="4308" spans="1:5" x14ac:dyDescent="0.3">
      <c r="A4308" t="s">
        <v>10320</v>
      </c>
      <c r="B4308" t="s">
        <v>694</v>
      </c>
      <c r="C4308">
        <v>46</v>
      </c>
      <c r="D4308" t="str">
        <f>VLOOKUP(B4308,Products!$A:$E,2,FALSE)</f>
        <v>Product_343</v>
      </c>
      <c r="E4308" t="str">
        <f>VLOOKUP(B4308,Products!$A:$E,3,FALSE)</f>
        <v>Office Supplies</v>
      </c>
    </row>
    <row r="4309" spans="1:5" x14ac:dyDescent="0.3">
      <c r="A4309" t="s">
        <v>10321</v>
      </c>
      <c r="B4309" t="s">
        <v>108</v>
      </c>
      <c r="C4309">
        <v>31</v>
      </c>
      <c r="D4309" t="str">
        <f>VLOOKUP(B4309,Products!$A:$E,2,FALSE)</f>
        <v>Product_50</v>
      </c>
      <c r="E4309" t="str">
        <f>VLOOKUP(B4309,Products!$A:$E,3,FALSE)</f>
        <v>Networking</v>
      </c>
    </row>
    <row r="4310" spans="1:5" x14ac:dyDescent="0.3">
      <c r="A4310" t="s">
        <v>10322</v>
      </c>
      <c r="B4310" t="s">
        <v>514</v>
      </c>
      <c r="C4310">
        <v>48</v>
      </c>
      <c r="D4310" t="str">
        <f>VLOOKUP(B4310,Products!$A:$E,2,FALSE)</f>
        <v>Product_253</v>
      </c>
      <c r="E4310" t="str">
        <f>VLOOKUP(B4310,Products!$A:$E,3,FALSE)</f>
        <v>Networking</v>
      </c>
    </row>
    <row r="4311" spans="1:5" x14ac:dyDescent="0.3">
      <c r="A4311" t="s">
        <v>10323</v>
      </c>
      <c r="B4311" t="s">
        <v>860</v>
      </c>
      <c r="C4311">
        <v>37</v>
      </c>
      <c r="D4311" t="str">
        <f>VLOOKUP(B4311,Products!$A:$E,2,FALSE)</f>
        <v>Product_426</v>
      </c>
      <c r="E4311" t="str">
        <f>VLOOKUP(B4311,Products!$A:$E,3,FALSE)</f>
        <v>Storage</v>
      </c>
    </row>
    <row r="4312" spans="1:5" x14ac:dyDescent="0.3">
      <c r="A4312" t="s">
        <v>10324</v>
      </c>
      <c r="B4312" t="s">
        <v>210</v>
      </c>
      <c r="C4312">
        <v>9</v>
      </c>
      <c r="D4312" t="str">
        <f>VLOOKUP(B4312,Products!$A:$E,2,FALSE)</f>
        <v>Product_101</v>
      </c>
      <c r="E4312" t="str">
        <f>VLOOKUP(B4312,Products!$A:$E,3,FALSE)</f>
        <v>Storage</v>
      </c>
    </row>
    <row r="4313" spans="1:5" x14ac:dyDescent="0.3">
      <c r="A4313" t="s">
        <v>10325</v>
      </c>
      <c r="B4313" t="s">
        <v>234</v>
      </c>
      <c r="C4313">
        <v>33</v>
      </c>
      <c r="D4313" t="str">
        <f>VLOOKUP(B4313,Products!$A:$E,2,FALSE)</f>
        <v>Product_113</v>
      </c>
      <c r="E4313" t="str">
        <f>VLOOKUP(B4313,Products!$A:$E,3,FALSE)</f>
        <v>Electronics</v>
      </c>
    </row>
    <row r="4314" spans="1:5" x14ac:dyDescent="0.3">
      <c r="A4314" t="s">
        <v>10326</v>
      </c>
      <c r="B4314" t="s">
        <v>142</v>
      </c>
      <c r="C4314">
        <v>10</v>
      </c>
      <c r="D4314" t="str">
        <f>VLOOKUP(B4314,Products!$A:$E,2,FALSE)</f>
        <v>Product_67</v>
      </c>
      <c r="E4314" t="str">
        <f>VLOOKUP(B4314,Products!$A:$E,3,FALSE)</f>
        <v>Office Supplies</v>
      </c>
    </row>
    <row r="4315" spans="1:5" x14ac:dyDescent="0.3">
      <c r="A4315" t="s">
        <v>10327</v>
      </c>
      <c r="B4315" t="s">
        <v>240</v>
      </c>
      <c r="C4315">
        <v>43</v>
      </c>
      <c r="D4315" t="str">
        <f>VLOOKUP(B4315,Products!$A:$E,2,FALSE)</f>
        <v>Product_116</v>
      </c>
      <c r="E4315" t="str">
        <f>VLOOKUP(B4315,Products!$A:$E,3,FALSE)</f>
        <v>Storage</v>
      </c>
    </row>
    <row r="4316" spans="1:5" x14ac:dyDescent="0.3">
      <c r="A4316" t="s">
        <v>10328</v>
      </c>
      <c r="B4316" t="s">
        <v>94</v>
      </c>
      <c r="C4316">
        <v>48</v>
      </c>
      <c r="D4316" t="str">
        <f>VLOOKUP(B4316,Products!$A:$E,2,FALSE)</f>
        <v>Product_43</v>
      </c>
      <c r="E4316" t="str">
        <f>VLOOKUP(B4316,Products!$A:$E,3,FALSE)</f>
        <v>Storage</v>
      </c>
    </row>
    <row r="4317" spans="1:5" x14ac:dyDescent="0.3">
      <c r="A4317" t="s">
        <v>10329</v>
      </c>
      <c r="B4317" t="s">
        <v>106</v>
      </c>
      <c r="C4317">
        <v>46</v>
      </c>
      <c r="D4317" t="str">
        <f>VLOOKUP(B4317,Products!$A:$E,2,FALSE)</f>
        <v>Product_49</v>
      </c>
      <c r="E4317" t="str">
        <f>VLOOKUP(B4317,Products!$A:$E,3,FALSE)</f>
        <v>Storage</v>
      </c>
    </row>
    <row r="4318" spans="1:5" x14ac:dyDescent="0.3">
      <c r="A4318" t="s">
        <v>10330</v>
      </c>
      <c r="B4318" t="s">
        <v>422</v>
      </c>
      <c r="C4318">
        <v>19</v>
      </c>
      <c r="D4318" t="str">
        <f>VLOOKUP(B4318,Products!$A:$E,2,FALSE)</f>
        <v>Product_207</v>
      </c>
      <c r="E4318" t="str">
        <f>VLOOKUP(B4318,Products!$A:$E,3,FALSE)</f>
        <v>Accessories</v>
      </c>
    </row>
    <row r="4319" spans="1:5" x14ac:dyDescent="0.3">
      <c r="A4319" t="s">
        <v>10331</v>
      </c>
      <c r="B4319" t="s">
        <v>918</v>
      </c>
      <c r="C4319">
        <v>40</v>
      </c>
      <c r="D4319" t="str">
        <f>VLOOKUP(B4319,Products!$A:$E,2,FALSE)</f>
        <v>Product_455</v>
      </c>
      <c r="E4319" t="str">
        <f>VLOOKUP(B4319,Products!$A:$E,3,FALSE)</f>
        <v>Storage</v>
      </c>
    </row>
    <row r="4320" spans="1:5" x14ac:dyDescent="0.3">
      <c r="A4320" t="s">
        <v>10332</v>
      </c>
      <c r="B4320" t="s">
        <v>116</v>
      </c>
      <c r="C4320">
        <v>16</v>
      </c>
      <c r="D4320" t="str">
        <f>VLOOKUP(B4320,Products!$A:$E,2,FALSE)</f>
        <v>Product_54</v>
      </c>
      <c r="E4320" t="str">
        <f>VLOOKUP(B4320,Products!$A:$E,3,FALSE)</f>
        <v>Storage</v>
      </c>
    </row>
    <row r="4321" spans="1:5" x14ac:dyDescent="0.3">
      <c r="A4321" t="s">
        <v>10333</v>
      </c>
      <c r="B4321" t="s">
        <v>240</v>
      </c>
      <c r="C4321">
        <v>17</v>
      </c>
      <c r="D4321" t="str">
        <f>VLOOKUP(B4321,Products!$A:$E,2,FALSE)</f>
        <v>Product_116</v>
      </c>
      <c r="E4321" t="str">
        <f>VLOOKUP(B4321,Products!$A:$E,3,FALSE)</f>
        <v>Storage</v>
      </c>
    </row>
    <row r="4322" spans="1:5" x14ac:dyDescent="0.3">
      <c r="A4322" t="s">
        <v>10334</v>
      </c>
      <c r="B4322" t="s">
        <v>198</v>
      </c>
      <c r="C4322">
        <v>47</v>
      </c>
      <c r="D4322" t="str">
        <f>VLOOKUP(B4322,Products!$A:$E,2,FALSE)</f>
        <v>Product_95</v>
      </c>
      <c r="E4322" t="str">
        <f>VLOOKUP(B4322,Products!$A:$E,3,FALSE)</f>
        <v>Electronics</v>
      </c>
    </row>
    <row r="4323" spans="1:5" x14ac:dyDescent="0.3">
      <c r="A4323" t="s">
        <v>10335</v>
      </c>
      <c r="B4323" t="s">
        <v>684</v>
      </c>
      <c r="C4323">
        <v>20</v>
      </c>
      <c r="D4323" t="str">
        <f>VLOOKUP(B4323,Products!$A:$E,2,FALSE)</f>
        <v>Product_338</v>
      </c>
      <c r="E4323" t="str">
        <f>VLOOKUP(B4323,Products!$A:$E,3,FALSE)</f>
        <v>Networking</v>
      </c>
    </row>
    <row r="4324" spans="1:5" x14ac:dyDescent="0.3">
      <c r="A4324" t="s">
        <v>10336</v>
      </c>
      <c r="B4324" t="s">
        <v>346</v>
      </c>
      <c r="C4324">
        <v>46</v>
      </c>
      <c r="D4324" t="str">
        <f>VLOOKUP(B4324,Products!$A:$E,2,FALSE)</f>
        <v>Product_169</v>
      </c>
      <c r="E4324" t="str">
        <f>VLOOKUP(B4324,Products!$A:$E,3,FALSE)</f>
        <v>Accessories</v>
      </c>
    </row>
    <row r="4325" spans="1:5" x14ac:dyDescent="0.3">
      <c r="A4325" t="s">
        <v>10337</v>
      </c>
      <c r="B4325" t="s">
        <v>1006</v>
      </c>
      <c r="C4325">
        <v>30</v>
      </c>
      <c r="D4325" t="str">
        <f>VLOOKUP(B4325,Products!$A:$E,2,FALSE)</f>
        <v>Product_499</v>
      </c>
      <c r="E4325" t="str">
        <f>VLOOKUP(B4325,Products!$A:$E,3,FALSE)</f>
        <v>Office Supplies</v>
      </c>
    </row>
    <row r="4326" spans="1:5" x14ac:dyDescent="0.3">
      <c r="A4326" t="s">
        <v>10338</v>
      </c>
      <c r="B4326" t="s">
        <v>694</v>
      </c>
      <c r="C4326">
        <v>38</v>
      </c>
      <c r="D4326" t="str">
        <f>VLOOKUP(B4326,Products!$A:$E,2,FALSE)</f>
        <v>Product_343</v>
      </c>
      <c r="E4326" t="str">
        <f>VLOOKUP(B4326,Products!$A:$E,3,FALSE)</f>
        <v>Office Supplies</v>
      </c>
    </row>
    <row r="4327" spans="1:5" x14ac:dyDescent="0.3">
      <c r="A4327" t="s">
        <v>10339</v>
      </c>
      <c r="B4327" t="s">
        <v>542</v>
      </c>
      <c r="C4327">
        <v>34</v>
      </c>
      <c r="D4327" t="str">
        <f>VLOOKUP(B4327,Products!$A:$E,2,FALSE)</f>
        <v>Product_267</v>
      </c>
      <c r="E4327" t="str">
        <f>VLOOKUP(B4327,Products!$A:$E,3,FALSE)</f>
        <v>Networking</v>
      </c>
    </row>
    <row r="4328" spans="1:5" x14ac:dyDescent="0.3">
      <c r="A4328" t="s">
        <v>10340</v>
      </c>
      <c r="B4328" t="s">
        <v>600</v>
      </c>
      <c r="C4328">
        <v>18</v>
      </c>
      <c r="D4328" t="str">
        <f>VLOOKUP(B4328,Products!$A:$E,2,FALSE)</f>
        <v>Product_296</v>
      </c>
      <c r="E4328" t="str">
        <f>VLOOKUP(B4328,Products!$A:$E,3,FALSE)</f>
        <v>Office Supplies</v>
      </c>
    </row>
    <row r="4329" spans="1:5" x14ac:dyDescent="0.3">
      <c r="A4329" t="s">
        <v>10341</v>
      </c>
      <c r="B4329" t="s">
        <v>788</v>
      </c>
      <c r="C4329">
        <v>9</v>
      </c>
      <c r="D4329" t="str">
        <f>VLOOKUP(B4329,Products!$A:$E,2,FALSE)</f>
        <v>Product_390</v>
      </c>
      <c r="E4329" t="str">
        <f>VLOOKUP(B4329,Products!$A:$E,3,FALSE)</f>
        <v>Storage</v>
      </c>
    </row>
    <row r="4330" spans="1:5" x14ac:dyDescent="0.3">
      <c r="A4330" t="s">
        <v>10342</v>
      </c>
      <c r="B4330" t="s">
        <v>344</v>
      </c>
      <c r="C4330">
        <v>28</v>
      </c>
      <c r="D4330" t="str">
        <f>VLOOKUP(B4330,Products!$A:$E,2,FALSE)</f>
        <v>Product_168</v>
      </c>
      <c r="E4330" t="str">
        <f>VLOOKUP(B4330,Products!$A:$E,3,FALSE)</f>
        <v>Electronics</v>
      </c>
    </row>
    <row r="4331" spans="1:5" x14ac:dyDescent="0.3">
      <c r="A4331" t="s">
        <v>10343</v>
      </c>
      <c r="B4331" t="s">
        <v>392</v>
      </c>
      <c r="C4331">
        <v>43</v>
      </c>
      <c r="D4331" t="str">
        <f>VLOOKUP(B4331,Products!$A:$E,2,FALSE)</f>
        <v>Product_192</v>
      </c>
      <c r="E4331" t="str">
        <f>VLOOKUP(B4331,Products!$A:$E,3,FALSE)</f>
        <v>Office Supplies</v>
      </c>
    </row>
    <row r="4332" spans="1:5" x14ac:dyDescent="0.3">
      <c r="A4332" t="s">
        <v>10344</v>
      </c>
      <c r="B4332" t="s">
        <v>158</v>
      </c>
      <c r="C4332">
        <v>38</v>
      </c>
      <c r="D4332" t="str">
        <f>VLOOKUP(B4332,Products!$A:$E,2,FALSE)</f>
        <v>Product_75</v>
      </c>
      <c r="E4332" t="str">
        <f>VLOOKUP(B4332,Products!$A:$E,3,FALSE)</f>
        <v>Storage</v>
      </c>
    </row>
    <row r="4333" spans="1:5" x14ac:dyDescent="0.3">
      <c r="A4333" t="s">
        <v>10345</v>
      </c>
      <c r="B4333" t="s">
        <v>764</v>
      </c>
      <c r="C4333">
        <v>3</v>
      </c>
      <c r="D4333" t="str">
        <f>VLOOKUP(B4333,Products!$A:$E,2,FALSE)</f>
        <v>Product_378</v>
      </c>
      <c r="E4333" t="str">
        <f>VLOOKUP(B4333,Products!$A:$E,3,FALSE)</f>
        <v>Electronics</v>
      </c>
    </row>
    <row r="4334" spans="1:5" x14ac:dyDescent="0.3">
      <c r="A4334" t="s">
        <v>10346</v>
      </c>
      <c r="B4334" t="s">
        <v>774</v>
      </c>
      <c r="C4334">
        <v>25</v>
      </c>
      <c r="D4334" t="str">
        <f>VLOOKUP(B4334,Products!$A:$E,2,FALSE)</f>
        <v>Product_383</v>
      </c>
      <c r="E4334" t="str">
        <f>VLOOKUP(B4334,Products!$A:$E,3,FALSE)</f>
        <v>Electronics</v>
      </c>
    </row>
    <row r="4335" spans="1:5" x14ac:dyDescent="0.3">
      <c r="A4335" t="s">
        <v>10347</v>
      </c>
      <c r="B4335" t="s">
        <v>656</v>
      </c>
      <c r="C4335">
        <v>4</v>
      </c>
      <c r="D4335" t="str">
        <f>VLOOKUP(B4335,Products!$A:$E,2,FALSE)</f>
        <v>Product_324</v>
      </c>
      <c r="E4335" t="str">
        <f>VLOOKUP(B4335,Products!$A:$E,3,FALSE)</f>
        <v>Accessories</v>
      </c>
    </row>
    <row r="4336" spans="1:5" x14ac:dyDescent="0.3">
      <c r="A4336" t="s">
        <v>10348</v>
      </c>
      <c r="B4336" t="s">
        <v>822</v>
      </c>
      <c r="C4336">
        <v>13</v>
      </c>
      <c r="D4336" t="str">
        <f>VLOOKUP(B4336,Products!$A:$E,2,FALSE)</f>
        <v>Product_407</v>
      </c>
      <c r="E4336" t="str">
        <f>VLOOKUP(B4336,Products!$A:$E,3,FALSE)</f>
        <v>Networking</v>
      </c>
    </row>
    <row r="4337" spans="1:5" x14ac:dyDescent="0.3">
      <c r="A4337" t="s">
        <v>10349</v>
      </c>
      <c r="B4337" t="s">
        <v>196</v>
      </c>
      <c r="C4337">
        <v>1</v>
      </c>
      <c r="D4337" t="str">
        <f>VLOOKUP(B4337,Products!$A:$E,2,FALSE)</f>
        <v>Product_94</v>
      </c>
      <c r="E4337" t="str">
        <f>VLOOKUP(B4337,Products!$A:$E,3,FALSE)</f>
        <v>Networking</v>
      </c>
    </row>
    <row r="4338" spans="1:5" x14ac:dyDescent="0.3">
      <c r="A4338" t="s">
        <v>10350</v>
      </c>
      <c r="B4338" t="s">
        <v>156</v>
      </c>
      <c r="C4338">
        <v>41</v>
      </c>
      <c r="D4338" t="str">
        <f>VLOOKUP(B4338,Products!$A:$E,2,FALSE)</f>
        <v>Product_74</v>
      </c>
      <c r="E4338" t="str">
        <f>VLOOKUP(B4338,Products!$A:$E,3,FALSE)</f>
        <v>Storage</v>
      </c>
    </row>
    <row r="4339" spans="1:5" x14ac:dyDescent="0.3">
      <c r="A4339" t="s">
        <v>10351</v>
      </c>
      <c r="B4339" t="s">
        <v>44</v>
      </c>
      <c r="C4339">
        <v>16</v>
      </c>
      <c r="D4339" t="str">
        <f>VLOOKUP(B4339,Products!$A:$E,2,FALSE)</f>
        <v>Product_18</v>
      </c>
      <c r="E4339" t="str">
        <f>VLOOKUP(B4339,Products!$A:$E,3,FALSE)</f>
        <v>Networking</v>
      </c>
    </row>
    <row r="4340" spans="1:5" x14ac:dyDescent="0.3">
      <c r="A4340" t="s">
        <v>10352</v>
      </c>
      <c r="B4340" t="s">
        <v>174</v>
      </c>
      <c r="C4340">
        <v>26</v>
      </c>
      <c r="D4340" t="str">
        <f>VLOOKUP(B4340,Products!$A:$E,2,FALSE)</f>
        <v>Product_83</v>
      </c>
      <c r="E4340" t="str">
        <f>VLOOKUP(B4340,Products!$A:$E,3,FALSE)</f>
        <v>Accessories</v>
      </c>
    </row>
    <row r="4341" spans="1:5" x14ac:dyDescent="0.3">
      <c r="A4341" t="s">
        <v>10353</v>
      </c>
      <c r="B4341" t="s">
        <v>340</v>
      </c>
      <c r="C4341">
        <v>1</v>
      </c>
      <c r="D4341" t="str">
        <f>VLOOKUP(B4341,Products!$A:$E,2,FALSE)</f>
        <v>Product_166</v>
      </c>
      <c r="E4341" t="str">
        <f>VLOOKUP(B4341,Products!$A:$E,3,FALSE)</f>
        <v>Accessories</v>
      </c>
    </row>
    <row r="4342" spans="1:5" x14ac:dyDescent="0.3">
      <c r="A4342" t="s">
        <v>10354</v>
      </c>
      <c r="B4342" t="s">
        <v>594</v>
      </c>
      <c r="C4342">
        <v>31</v>
      </c>
      <c r="D4342" t="str">
        <f>VLOOKUP(B4342,Products!$A:$E,2,FALSE)</f>
        <v>Product_293</v>
      </c>
      <c r="E4342" t="str">
        <f>VLOOKUP(B4342,Products!$A:$E,3,FALSE)</f>
        <v>Networking</v>
      </c>
    </row>
    <row r="4343" spans="1:5" x14ac:dyDescent="0.3">
      <c r="A4343" t="s">
        <v>10355</v>
      </c>
      <c r="B4343" t="s">
        <v>504</v>
      </c>
      <c r="C4343">
        <v>23</v>
      </c>
      <c r="D4343" t="str">
        <f>VLOOKUP(B4343,Products!$A:$E,2,FALSE)</f>
        <v>Product_248</v>
      </c>
      <c r="E4343" t="str">
        <f>VLOOKUP(B4343,Products!$A:$E,3,FALSE)</f>
        <v>Networking</v>
      </c>
    </row>
    <row r="4344" spans="1:5" x14ac:dyDescent="0.3">
      <c r="A4344" t="s">
        <v>10356</v>
      </c>
      <c r="B4344" t="s">
        <v>202</v>
      </c>
      <c r="C4344">
        <v>41</v>
      </c>
      <c r="D4344" t="str">
        <f>VLOOKUP(B4344,Products!$A:$E,2,FALSE)</f>
        <v>Product_97</v>
      </c>
      <c r="E4344" t="str">
        <f>VLOOKUP(B4344,Products!$A:$E,3,FALSE)</f>
        <v>Accessories</v>
      </c>
    </row>
    <row r="4345" spans="1:5" x14ac:dyDescent="0.3">
      <c r="A4345" t="s">
        <v>10357</v>
      </c>
      <c r="B4345" t="s">
        <v>900</v>
      </c>
      <c r="C4345">
        <v>37</v>
      </c>
      <c r="D4345" t="str">
        <f>VLOOKUP(B4345,Products!$A:$E,2,FALSE)</f>
        <v>Product_446</v>
      </c>
      <c r="E4345" t="str">
        <f>VLOOKUP(B4345,Products!$A:$E,3,FALSE)</f>
        <v>Accessories</v>
      </c>
    </row>
    <row r="4346" spans="1:5" x14ac:dyDescent="0.3">
      <c r="A4346" t="s">
        <v>10358</v>
      </c>
      <c r="B4346" t="s">
        <v>424</v>
      </c>
      <c r="C4346">
        <v>29</v>
      </c>
      <c r="D4346" t="str">
        <f>VLOOKUP(B4346,Products!$A:$E,2,FALSE)</f>
        <v>Product_208</v>
      </c>
      <c r="E4346" t="str">
        <f>VLOOKUP(B4346,Products!$A:$E,3,FALSE)</f>
        <v>Electronics</v>
      </c>
    </row>
    <row r="4347" spans="1:5" x14ac:dyDescent="0.3">
      <c r="A4347" t="s">
        <v>10359</v>
      </c>
      <c r="B4347" t="s">
        <v>228</v>
      </c>
      <c r="C4347">
        <v>30</v>
      </c>
      <c r="D4347" t="str">
        <f>VLOOKUP(B4347,Products!$A:$E,2,FALSE)</f>
        <v>Product_110</v>
      </c>
      <c r="E4347" t="str">
        <f>VLOOKUP(B4347,Products!$A:$E,3,FALSE)</f>
        <v>Networking</v>
      </c>
    </row>
    <row r="4348" spans="1:5" x14ac:dyDescent="0.3">
      <c r="A4348" t="s">
        <v>10360</v>
      </c>
      <c r="B4348" t="s">
        <v>646</v>
      </c>
      <c r="C4348">
        <v>17</v>
      </c>
      <c r="D4348" t="str">
        <f>VLOOKUP(B4348,Products!$A:$E,2,FALSE)</f>
        <v>Product_319</v>
      </c>
      <c r="E4348" t="str">
        <f>VLOOKUP(B4348,Products!$A:$E,3,FALSE)</f>
        <v>Accessories</v>
      </c>
    </row>
    <row r="4349" spans="1:5" x14ac:dyDescent="0.3">
      <c r="A4349" t="s">
        <v>10361</v>
      </c>
      <c r="B4349" t="s">
        <v>568</v>
      </c>
      <c r="C4349">
        <v>29</v>
      </c>
      <c r="D4349" t="str">
        <f>VLOOKUP(B4349,Products!$A:$E,2,FALSE)</f>
        <v>Product_280</v>
      </c>
      <c r="E4349" t="str">
        <f>VLOOKUP(B4349,Products!$A:$E,3,FALSE)</f>
        <v>Electronics</v>
      </c>
    </row>
    <row r="4350" spans="1:5" x14ac:dyDescent="0.3">
      <c r="A4350" t="s">
        <v>10362</v>
      </c>
      <c r="B4350" t="s">
        <v>130</v>
      </c>
      <c r="C4350">
        <v>48</v>
      </c>
      <c r="D4350" t="str">
        <f>VLOOKUP(B4350,Products!$A:$E,2,FALSE)</f>
        <v>Product_61</v>
      </c>
      <c r="E4350" t="str">
        <f>VLOOKUP(B4350,Products!$A:$E,3,FALSE)</f>
        <v>Storage</v>
      </c>
    </row>
    <row r="4351" spans="1:5" x14ac:dyDescent="0.3">
      <c r="A4351" t="s">
        <v>10363</v>
      </c>
      <c r="B4351" t="s">
        <v>296</v>
      </c>
      <c r="C4351">
        <v>42</v>
      </c>
      <c r="D4351" t="str">
        <f>VLOOKUP(B4351,Products!$A:$E,2,FALSE)</f>
        <v>Product_144</v>
      </c>
      <c r="E4351" t="str">
        <f>VLOOKUP(B4351,Products!$A:$E,3,FALSE)</f>
        <v>Office Supplies</v>
      </c>
    </row>
    <row r="4352" spans="1:5" x14ac:dyDescent="0.3">
      <c r="A4352" t="s">
        <v>10364</v>
      </c>
      <c r="B4352" t="s">
        <v>796</v>
      </c>
      <c r="C4352">
        <v>33</v>
      </c>
      <c r="D4352" t="str">
        <f>VLOOKUP(B4352,Products!$A:$E,2,FALSE)</f>
        <v>Product_394</v>
      </c>
      <c r="E4352" t="str">
        <f>VLOOKUP(B4352,Products!$A:$E,3,FALSE)</f>
        <v>Electronics</v>
      </c>
    </row>
    <row r="4353" spans="1:5" x14ac:dyDescent="0.3">
      <c r="A4353" t="s">
        <v>10365</v>
      </c>
      <c r="B4353" t="s">
        <v>956</v>
      </c>
      <c r="C4353">
        <v>22</v>
      </c>
      <c r="D4353" t="str">
        <f>VLOOKUP(B4353,Products!$A:$E,2,FALSE)</f>
        <v>Product_474</v>
      </c>
      <c r="E4353" t="str">
        <f>VLOOKUP(B4353,Products!$A:$E,3,FALSE)</f>
        <v>Networking</v>
      </c>
    </row>
    <row r="4354" spans="1:5" x14ac:dyDescent="0.3">
      <c r="A4354" t="s">
        <v>10366</v>
      </c>
      <c r="B4354" t="s">
        <v>354</v>
      </c>
      <c r="C4354">
        <v>12</v>
      </c>
      <c r="D4354" t="str">
        <f>VLOOKUP(B4354,Products!$A:$E,2,FALSE)</f>
        <v>Product_173</v>
      </c>
      <c r="E4354" t="str">
        <f>VLOOKUP(B4354,Products!$A:$E,3,FALSE)</f>
        <v>Electronics</v>
      </c>
    </row>
    <row r="4355" spans="1:5" x14ac:dyDescent="0.3">
      <c r="A4355" t="s">
        <v>10367</v>
      </c>
      <c r="B4355" t="s">
        <v>270</v>
      </c>
      <c r="C4355">
        <v>22</v>
      </c>
      <c r="D4355" t="str">
        <f>VLOOKUP(B4355,Products!$A:$E,2,FALSE)</f>
        <v>Product_131</v>
      </c>
      <c r="E4355" t="str">
        <f>VLOOKUP(B4355,Products!$A:$E,3,FALSE)</f>
        <v>Electronics</v>
      </c>
    </row>
    <row r="4356" spans="1:5" x14ac:dyDescent="0.3">
      <c r="A4356" t="s">
        <v>10368</v>
      </c>
      <c r="B4356" t="s">
        <v>836</v>
      </c>
      <c r="C4356">
        <v>32</v>
      </c>
      <c r="D4356" t="str">
        <f>VLOOKUP(B4356,Products!$A:$E,2,FALSE)</f>
        <v>Product_414</v>
      </c>
      <c r="E4356" t="str">
        <f>VLOOKUP(B4356,Products!$A:$E,3,FALSE)</f>
        <v>Office Supplies</v>
      </c>
    </row>
    <row r="4357" spans="1:5" x14ac:dyDescent="0.3">
      <c r="A4357" t="s">
        <v>10369</v>
      </c>
      <c r="B4357" t="s">
        <v>800</v>
      </c>
      <c r="C4357">
        <v>36</v>
      </c>
      <c r="D4357" t="str">
        <f>VLOOKUP(B4357,Products!$A:$E,2,FALSE)</f>
        <v>Product_396</v>
      </c>
      <c r="E4357" t="str">
        <f>VLOOKUP(B4357,Products!$A:$E,3,FALSE)</f>
        <v>Office Supplies</v>
      </c>
    </row>
    <row r="4358" spans="1:5" x14ac:dyDescent="0.3">
      <c r="A4358" t="s">
        <v>10370</v>
      </c>
      <c r="B4358" t="s">
        <v>476</v>
      </c>
      <c r="C4358">
        <v>43</v>
      </c>
      <c r="D4358" t="str">
        <f>VLOOKUP(B4358,Products!$A:$E,2,FALSE)</f>
        <v>Product_234</v>
      </c>
      <c r="E4358" t="str">
        <f>VLOOKUP(B4358,Products!$A:$E,3,FALSE)</f>
        <v>Networking</v>
      </c>
    </row>
    <row r="4359" spans="1:5" x14ac:dyDescent="0.3">
      <c r="A4359" t="s">
        <v>10371</v>
      </c>
      <c r="B4359" t="s">
        <v>108</v>
      </c>
      <c r="C4359">
        <v>43</v>
      </c>
      <c r="D4359" t="str">
        <f>VLOOKUP(B4359,Products!$A:$E,2,FALSE)</f>
        <v>Product_50</v>
      </c>
      <c r="E4359" t="str">
        <f>VLOOKUP(B4359,Products!$A:$E,3,FALSE)</f>
        <v>Networking</v>
      </c>
    </row>
    <row r="4360" spans="1:5" x14ac:dyDescent="0.3">
      <c r="A4360" t="s">
        <v>10372</v>
      </c>
      <c r="B4360" t="s">
        <v>886</v>
      </c>
      <c r="C4360">
        <v>22</v>
      </c>
      <c r="D4360" t="str">
        <f>VLOOKUP(B4360,Products!$A:$E,2,FALSE)</f>
        <v>Product_439</v>
      </c>
      <c r="E4360" t="str">
        <f>VLOOKUP(B4360,Products!$A:$E,3,FALSE)</f>
        <v>Networking</v>
      </c>
    </row>
    <row r="4361" spans="1:5" x14ac:dyDescent="0.3">
      <c r="A4361" t="s">
        <v>10373</v>
      </c>
      <c r="B4361" t="s">
        <v>790</v>
      </c>
      <c r="C4361">
        <v>34</v>
      </c>
      <c r="D4361" t="str">
        <f>VLOOKUP(B4361,Products!$A:$E,2,FALSE)</f>
        <v>Product_391</v>
      </c>
      <c r="E4361" t="str">
        <f>VLOOKUP(B4361,Products!$A:$E,3,FALSE)</f>
        <v>Accessories</v>
      </c>
    </row>
    <row r="4362" spans="1:5" x14ac:dyDescent="0.3">
      <c r="A4362" t="s">
        <v>10374</v>
      </c>
      <c r="B4362" t="s">
        <v>278</v>
      </c>
      <c r="C4362">
        <v>5</v>
      </c>
      <c r="D4362" t="str">
        <f>VLOOKUP(B4362,Products!$A:$E,2,FALSE)</f>
        <v>Product_135</v>
      </c>
      <c r="E4362" t="str">
        <f>VLOOKUP(B4362,Products!$A:$E,3,FALSE)</f>
        <v>Accessories</v>
      </c>
    </row>
    <row r="4363" spans="1:5" x14ac:dyDescent="0.3">
      <c r="A4363" t="s">
        <v>10375</v>
      </c>
      <c r="B4363" t="s">
        <v>810</v>
      </c>
      <c r="C4363">
        <v>24</v>
      </c>
      <c r="D4363" t="str">
        <f>VLOOKUP(B4363,Products!$A:$E,2,FALSE)</f>
        <v>Product_401</v>
      </c>
      <c r="E4363" t="str">
        <f>VLOOKUP(B4363,Products!$A:$E,3,FALSE)</f>
        <v>Storage</v>
      </c>
    </row>
    <row r="4364" spans="1:5" x14ac:dyDescent="0.3">
      <c r="A4364" t="s">
        <v>10376</v>
      </c>
      <c r="B4364" t="s">
        <v>446</v>
      </c>
      <c r="C4364">
        <v>42</v>
      </c>
      <c r="D4364" t="str">
        <f>VLOOKUP(B4364,Products!$A:$E,2,FALSE)</f>
        <v>Product_219</v>
      </c>
      <c r="E4364" t="str">
        <f>VLOOKUP(B4364,Products!$A:$E,3,FALSE)</f>
        <v>Accessories</v>
      </c>
    </row>
    <row r="4365" spans="1:5" x14ac:dyDescent="0.3">
      <c r="A4365" t="s">
        <v>10377</v>
      </c>
      <c r="B4365" t="s">
        <v>36</v>
      </c>
      <c r="C4365">
        <v>35</v>
      </c>
      <c r="D4365" t="str">
        <f>VLOOKUP(B4365,Products!$A:$E,2,FALSE)</f>
        <v>Product_14</v>
      </c>
      <c r="E4365" t="str">
        <f>VLOOKUP(B4365,Products!$A:$E,3,FALSE)</f>
        <v>Accessories</v>
      </c>
    </row>
    <row r="4366" spans="1:5" x14ac:dyDescent="0.3">
      <c r="A4366" t="s">
        <v>10378</v>
      </c>
      <c r="B4366" t="s">
        <v>138</v>
      </c>
      <c r="C4366">
        <v>7</v>
      </c>
      <c r="D4366" t="str">
        <f>VLOOKUP(B4366,Products!$A:$E,2,FALSE)</f>
        <v>Product_65</v>
      </c>
      <c r="E4366" t="str">
        <f>VLOOKUP(B4366,Products!$A:$E,3,FALSE)</f>
        <v>Office Supplies</v>
      </c>
    </row>
    <row r="4367" spans="1:5" x14ac:dyDescent="0.3">
      <c r="A4367" t="s">
        <v>10379</v>
      </c>
      <c r="B4367" t="s">
        <v>242</v>
      </c>
      <c r="C4367">
        <v>30</v>
      </c>
      <c r="D4367" t="str">
        <f>VLOOKUP(B4367,Products!$A:$E,2,FALSE)</f>
        <v>Product_117</v>
      </c>
      <c r="E4367" t="str">
        <f>VLOOKUP(B4367,Products!$A:$E,3,FALSE)</f>
        <v>Storage</v>
      </c>
    </row>
    <row r="4368" spans="1:5" x14ac:dyDescent="0.3">
      <c r="A4368" t="s">
        <v>10380</v>
      </c>
      <c r="B4368" t="s">
        <v>858</v>
      </c>
      <c r="C4368">
        <v>8</v>
      </c>
      <c r="D4368" t="str">
        <f>VLOOKUP(B4368,Products!$A:$E,2,FALSE)</f>
        <v>Product_425</v>
      </c>
      <c r="E4368" t="str">
        <f>VLOOKUP(B4368,Products!$A:$E,3,FALSE)</f>
        <v>Office Supplies</v>
      </c>
    </row>
    <row r="4369" spans="1:5" x14ac:dyDescent="0.3">
      <c r="A4369" t="s">
        <v>10381</v>
      </c>
      <c r="B4369" t="s">
        <v>132</v>
      </c>
      <c r="C4369">
        <v>36</v>
      </c>
      <c r="D4369" t="str">
        <f>VLOOKUP(B4369,Products!$A:$E,2,FALSE)</f>
        <v>Product_62</v>
      </c>
      <c r="E4369" t="str">
        <f>VLOOKUP(B4369,Products!$A:$E,3,FALSE)</f>
        <v>Accessories</v>
      </c>
    </row>
    <row r="4370" spans="1:5" x14ac:dyDescent="0.3">
      <c r="A4370" t="s">
        <v>10382</v>
      </c>
      <c r="B4370" t="s">
        <v>738</v>
      </c>
      <c r="C4370">
        <v>19</v>
      </c>
      <c r="D4370" t="str">
        <f>VLOOKUP(B4370,Products!$A:$E,2,FALSE)</f>
        <v>Product_365</v>
      </c>
      <c r="E4370" t="str">
        <f>VLOOKUP(B4370,Products!$A:$E,3,FALSE)</f>
        <v>Storage</v>
      </c>
    </row>
    <row r="4371" spans="1:5" x14ac:dyDescent="0.3">
      <c r="A4371" t="s">
        <v>10383</v>
      </c>
      <c r="B4371" t="s">
        <v>138</v>
      </c>
      <c r="C4371">
        <v>23</v>
      </c>
      <c r="D4371" t="str">
        <f>VLOOKUP(B4371,Products!$A:$E,2,FALSE)</f>
        <v>Product_65</v>
      </c>
      <c r="E4371" t="str">
        <f>VLOOKUP(B4371,Products!$A:$E,3,FALSE)</f>
        <v>Office Supplies</v>
      </c>
    </row>
    <row r="4372" spans="1:5" x14ac:dyDescent="0.3">
      <c r="A4372" t="s">
        <v>10384</v>
      </c>
      <c r="B4372" t="s">
        <v>324</v>
      </c>
      <c r="C4372">
        <v>29</v>
      </c>
      <c r="D4372" t="str">
        <f>VLOOKUP(B4372,Products!$A:$E,2,FALSE)</f>
        <v>Product_158</v>
      </c>
      <c r="E4372" t="str">
        <f>VLOOKUP(B4372,Products!$A:$E,3,FALSE)</f>
        <v>Electronics</v>
      </c>
    </row>
    <row r="4373" spans="1:5" x14ac:dyDescent="0.3">
      <c r="A4373" t="s">
        <v>10385</v>
      </c>
      <c r="B4373" t="s">
        <v>456</v>
      </c>
      <c r="C4373">
        <v>36</v>
      </c>
      <c r="D4373" t="str">
        <f>VLOOKUP(B4373,Products!$A:$E,2,FALSE)</f>
        <v>Product_224</v>
      </c>
      <c r="E4373" t="str">
        <f>VLOOKUP(B4373,Products!$A:$E,3,FALSE)</f>
        <v>Storage</v>
      </c>
    </row>
    <row r="4374" spans="1:5" x14ac:dyDescent="0.3">
      <c r="A4374" t="s">
        <v>10386</v>
      </c>
      <c r="B4374" t="s">
        <v>972</v>
      </c>
      <c r="C4374">
        <v>6</v>
      </c>
      <c r="D4374" t="str">
        <f>VLOOKUP(B4374,Products!$A:$E,2,FALSE)</f>
        <v>Product_482</v>
      </c>
      <c r="E4374" t="str">
        <f>VLOOKUP(B4374,Products!$A:$E,3,FALSE)</f>
        <v>Storage</v>
      </c>
    </row>
    <row r="4375" spans="1:5" x14ac:dyDescent="0.3">
      <c r="A4375" t="s">
        <v>10387</v>
      </c>
      <c r="B4375" t="s">
        <v>998</v>
      </c>
      <c r="C4375">
        <v>33</v>
      </c>
      <c r="D4375" t="str">
        <f>VLOOKUP(B4375,Products!$A:$E,2,FALSE)</f>
        <v>Product_495</v>
      </c>
      <c r="E4375" t="str">
        <f>VLOOKUP(B4375,Products!$A:$E,3,FALSE)</f>
        <v>Networking</v>
      </c>
    </row>
    <row r="4376" spans="1:5" x14ac:dyDescent="0.3">
      <c r="A4376" t="s">
        <v>10388</v>
      </c>
      <c r="B4376" t="s">
        <v>196</v>
      </c>
      <c r="C4376">
        <v>26</v>
      </c>
      <c r="D4376" t="str">
        <f>VLOOKUP(B4376,Products!$A:$E,2,FALSE)</f>
        <v>Product_94</v>
      </c>
      <c r="E4376" t="str">
        <f>VLOOKUP(B4376,Products!$A:$E,3,FALSE)</f>
        <v>Networking</v>
      </c>
    </row>
    <row r="4377" spans="1:5" x14ac:dyDescent="0.3">
      <c r="A4377" t="s">
        <v>10389</v>
      </c>
      <c r="B4377" t="s">
        <v>848</v>
      </c>
      <c r="C4377">
        <v>33</v>
      </c>
      <c r="D4377" t="str">
        <f>VLOOKUP(B4377,Products!$A:$E,2,FALSE)</f>
        <v>Product_420</v>
      </c>
      <c r="E4377" t="str">
        <f>VLOOKUP(B4377,Products!$A:$E,3,FALSE)</f>
        <v>Networking</v>
      </c>
    </row>
    <row r="4378" spans="1:5" x14ac:dyDescent="0.3">
      <c r="A4378" t="s">
        <v>10390</v>
      </c>
      <c r="B4378" t="s">
        <v>208</v>
      </c>
      <c r="C4378">
        <v>10</v>
      </c>
      <c r="D4378" t="str">
        <f>VLOOKUP(B4378,Products!$A:$E,2,FALSE)</f>
        <v>Product_100</v>
      </c>
      <c r="E4378" t="str">
        <f>VLOOKUP(B4378,Products!$A:$E,3,FALSE)</f>
        <v>Accessories</v>
      </c>
    </row>
    <row r="4379" spans="1:5" x14ac:dyDescent="0.3">
      <c r="A4379" t="s">
        <v>10391</v>
      </c>
      <c r="B4379" t="s">
        <v>870</v>
      </c>
      <c r="C4379">
        <v>44</v>
      </c>
      <c r="D4379" t="str">
        <f>VLOOKUP(B4379,Products!$A:$E,2,FALSE)</f>
        <v>Product_431</v>
      </c>
      <c r="E4379" t="str">
        <f>VLOOKUP(B4379,Products!$A:$E,3,FALSE)</f>
        <v>Electronics</v>
      </c>
    </row>
    <row r="4380" spans="1:5" x14ac:dyDescent="0.3">
      <c r="A4380" t="s">
        <v>10392</v>
      </c>
      <c r="B4380" t="s">
        <v>236</v>
      </c>
      <c r="C4380">
        <v>50</v>
      </c>
      <c r="D4380" t="str">
        <f>VLOOKUP(B4380,Products!$A:$E,2,FALSE)</f>
        <v>Product_114</v>
      </c>
      <c r="E4380" t="str">
        <f>VLOOKUP(B4380,Products!$A:$E,3,FALSE)</f>
        <v>Electronics</v>
      </c>
    </row>
    <row r="4381" spans="1:5" x14ac:dyDescent="0.3">
      <c r="A4381" t="s">
        <v>10393</v>
      </c>
      <c r="B4381" t="s">
        <v>26</v>
      </c>
      <c r="C4381">
        <v>13</v>
      </c>
      <c r="D4381" t="str">
        <f>VLOOKUP(B4381,Products!$A:$E,2,FALSE)</f>
        <v>Product_9</v>
      </c>
      <c r="E4381" t="str">
        <f>VLOOKUP(B4381,Products!$A:$E,3,FALSE)</f>
        <v>Storage</v>
      </c>
    </row>
    <row r="4382" spans="1:5" x14ac:dyDescent="0.3">
      <c r="A4382" t="s">
        <v>10394</v>
      </c>
      <c r="B4382" t="s">
        <v>760</v>
      </c>
      <c r="C4382">
        <v>48</v>
      </c>
      <c r="D4382" t="str">
        <f>VLOOKUP(B4382,Products!$A:$E,2,FALSE)</f>
        <v>Product_376</v>
      </c>
      <c r="E4382" t="str">
        <f>VLOOKUP(B4382,Products!$A:$E,3,FALSE)</f>
        <v>Networking</v>
      </c>
    </row>
    <row r="4383" spans="1:5" x14ac:dyDescent="0.3">
      <c r="A4383" t="s">
        <v>10395</v>
      </c>
      <c r="B4383" t="s">
        <v>372</v>
      </c>
      <c r="C4383">
        <v>34</v>
      </c>
      <c r="D4383" t="str">
        <f>VLOOKUP(B4383,Products!$A:$E,2,FALSE)</f>
        <v>Product_182</v>
      </c>
      <c r="E4383" t="str">
        <f>VLOOKUP(B4383,Products!$A:$E,3,FALSE)</f>
        <v>Storage</v>
      </c>
    </row>
    <row r="4384" spans="1:5" x14ac:dyDescent="0.3">
      <c r="A4384" t="s">
        <v>10396</v>
      </c>
      <c r="B4384" t="s">
        <v>624</v>
      </c>
      <c r="C4384">
        <v>50</v>
      </c>
      <c r="D4384" t="str">
        <f>VLOOKUP(B4384,Products!$A:$E,2,FALSE)</f>
        <v>Product_308</v>
      </c>
      <c r="E4384" t="str">
        <f>VLOOKUP(B4384,Products!$A:$E,3,FALSE)</f>
        <v>Storage</v>
      </c>
    </row>
    <row r="4385" spans="1:5" x14ac:dyDescent="0.3">
      <c r="A4385" t="s">
        <v>10397</v>
      </c>
      <c r="B4385" t="s">
        <v>164</v>
      </c>
      <c r="C4385">
        <v>37</v>
      </c>
      <c r="D4385" t="str">
        <f>VLOOKUP(B4385,Products!$A:$E,2,FALSE)</f>
        <v>Product_78</v>
      </c>
      <c r="E4385" t="str">
        <f>VLOOKUP(B4385,Products!$A:$E,3,FALSE)</f>
        <v>Office Supplies</v>
      </c>
    </row>
    <row r="4386" spans="1:5" x14ac:dyDescent="0.3">
      <c r="A4386" t="s">
        <v>10398</v>
      </c>
      <c r="B4386" t="s">
        <v>890</v>
      </c>
      <c r="C4386">
        <v>34</v>
      </c>
      <c r="D4386" t="str">
        <f>VLOOKUP(B4386,Products!$A:$E,2,FALSE)</f>
        <v>Product_441</v>
      </c>
      <c r="E4386" t="str">
        <f>VLOOKUP(B4386,Products!$A:$E,3,FALSE)</f>
        <v>Storage</v>
      </c>
    </row>
    <row r="4387" spans="1:5" x14ac:dyDescent="0.3">
      <c r="A4387" t="s">
        <v>10399</v>
      </c>
      <c r="B4387" t="s">
        <v>546</v>
      </c>
      <c r="C4387">
        <v>4</v>
      </c>
      <c r="D4387" t="str">
        <f>VLOOKUP(B4387,Products!$A:$E,2,FALSE)</f>
        <v>Product_269</v>
      </c>
      <c r="E4387" t="str">
        <f>VLOOKUP(B4387,Products!$A:$E,3,FALSE)</f>
        <v>Storage</v>
      </c>
    </row>
    <row r="4388" spans="1:5" x14ac:dyDescent="0.3">
      <c r="A4388" t="s">
        <v>10400</v>
      </c>
      <c r="B4388" t="s">
        <v>828</v>
      </c>
      <c r="C4388">
        <v>35</v>
      </c>
      <c r="D4388" t="str">
        <f>VLOOKUP(B4388,Products!$A:$E,2,FALSE)</f>
        <v>Product_410</v>
      </c>
      <c r="E4388" t="str">
        <f>VLOOKUP(B4388,Products!$A:$E,3,FALSE)</f>
        <v>Storage</v>
      </c>
    </row>
    <row r="4389" spans="1:5" x14ac:dyDescent="0.3">
      <c r="A4389" t="s">
        <v>10401</v>
      </c>
      <c r="B4389" t="s">
        <v>380</v>
      </c>
      <c r="C4389">
        <v>35</v>
      </c>
      <c r="D4389" t="str">
        <f>VLOOKUP(B4389,Products!$A:$E,2,FALSE)</f>
        <v>Product_186</v>
      </c>
      <c r="E4389" t="str">
        <f>VLOOKUP(B4389,Products!$A:$E,3,FALSE)</f>
        <v>Accessories</v>
      </c>
    </row>
    <row r="4390" spans="1:5" x14ac:dyDescent="0.3">
      <c r="A4390" t="s">
        <v>10402</v>
      </c>
      <c r="B4390" t="s">
        <v>244</v>
      </c>
      <c r="C4390">
        <v>45</v>
      </c>
      <c r="D4390" t="str">
        <f>VLOOKUP(B4390,Products!$A:$E,2,FALSE)</f>
        <v>Product_118</v>
      </c>
      <c r="E4390" t="str">
        <f>VLOOKUP(B4390,Products!$A:$E,3,FALSE)</f>
        <v>Accessories</v>
      </c>
    </row>
    <row r="4391" spans="1:5" x14ac:dyDescent="0.3">
      <c r="A4391" t="s">
        <v>10403</v>
      </c>
      <c r="B4391" t="s">
        <v>978</v>
      </c>
      <c r="C4391">
        <v>34</v>
      </c>
      <c r="D4391" t="str">
        <f>VLOOKUP(B4391,Products!$A:$E,2,FALSE)</f>
        <v>Product_485</v>
      </c>
      <c r="E4391" t="str">
        <f>VLOOKUP(B4391,Products!$A:$E,3,FALSE)</f>
        <v>Networking</v>
      </c>
    </row>
    <row r="4392" spans="1:5" x14ac:dyDescent="0.3">
      <c r="A4392" t="s">
        <v>10404</v>
      </c>
      <c r="B4392" t="s">
        <v>180</v>
      </c>
      <c r="C4392">
        <v>24</v>
      </c>
      <c r="D4392" t="str">
        <f>VLOOKUP(B4392,Products!$A:$E,2,FALSE)</f>
        <v>Product_86</v>
      </c>
      <c r="E4392" t="str">
        <f>VLOOKUP(B4392,Products!$A:$E,3,FALSE)</f>
        <v>Storage</v>
      </c>
    </row>
    <row r="4393" spans="1:5" x14ac:dyDescent="0.3">
      <c r="A4393" t="s">
        <v>10405</v>
      </c>
      <c r="B4393" t="s">
        <v>172</v>
      </c>
      <c r="C4393">
        <v>7</v>
      </c>
      <c r="D4393" t="str">
        <f>VLOOKUP(B4393,Products!$A:$E,2,FALSE)</f>
        <v>Product_82</v>
      </c>
      <c r="E4393" t="str">
        <f>VLOOKUP(B4393,Products!$A:$E,3,FALSE)</f>
        <v>Storage</v>
      </c>
    </row>
    <row r="4394" spans="1:5" x14ac:dyDescent="0.3">
      <c r="A4394" t="s">
        <v>10406</v>
      </c>
      <c r="B4394" t="s">
        <v>706</v>
      </c>
      <c r="C4394">
        <v>11</v>
      </c>
      <c r="D4394" t="str">
        <f>VLOOKUP(B4394,Products!$A:$E,2,FALSE)</f>
        <v>Product_349</v>
      </c>
      <c r="E4394" t="str">
        <f>VLOOKUP(B4394,Products!$A:$E,3,FALSE)</f>
        <v>Office Supplies</v>
      </c>
    </row>
    <row r="4395" spans="1:5" x14ac:dyDescent="0.3">
      <c r="A4395" t="s">
        <v>10407</v>
      </c>
      <c r="B4395" t="s">
        <v>660</v>
      </c>
      <c r="C4395">
        <v>41</v>
      </c>
      <c r="D4395" t="str">
        <f>VLOOKUP(B4395,Products!$A:$E,2,FALSE)</f>
        <v>Product_326</v>
      </c>
      <c r="E4395" t="str">
        <f>VLOOKUP(B4395,Products!$A:$E,3,FALSE)</f>
        <v>Electronics</v>
      </c>
    </row>
    <row r="4396" spans="1:5" x14ac:dyDescent="0.3">
      <c r="A4396" t="s">
        <v>10408</v>
      </c>
      <c r="B4396" t="s">
        <v>888</v>
      </c>
      <c r="C4396">
        <v>40</v>
      </c>
      <c r="D4396" t="str">
        <f>VLOOKUP(B4396,Products!$A:$E,2,FALSE)</f>
        <v>Product_440</v>
      </c>
      <c r="E4396" t="str">
        <f>VLOOKUP(B4396,Products!$A:$E,3,FALSE)</f>
        <v>Accessories</v>
      </c>
    </row>
    <row r="4397" spans="1:5" x14ac:dyDescent="0.3">
      <c r="A4397" t="s">
        <v>10409</v>
      </c>
      <c r="B4397" t="s">
        <v>240</v>
      </c>
      <c r="C4397">
        <v>49</v>
      </c>
      <c r="D4397" t="str">
        <f>VLOOKUP(B4397,Products!$A:$E,2,FALSE)</f>
        <v>Product_116</v>
      </c>
      <c r="E4397" t="str">
        <f>VLOOKUP(B4397,Products!$A:$E,3,FALSE)</f>
        <v>Storage</v>
      </c>
    </row>
    <row r="4398" spans="1:5" x14ac:dyDescent="0.3">
      <c r="A4398" t="s">
        <v>10410</v>
      </c>
      <c r="B4398" t="s">
        <v>742</v>
      </c>
      <c r="C4398">
        <v>10</v>
      </c>
      <c r="D4398" t="str">
        <f>VLOOKUP(B4398,Products!$A:$E,2,FALSE)</f>
        <v>Product_367</v>
      </c>
      <c r="E4398" t="str">
        <f>VLOOKUP(B4398,Products!$A:$E,3,FALSE)</f>
        <v>Storage</v>
      </c>
    </row>
    <row r="4399" spans="1:5" x14ac:dyDescent="0.3">
      <c r="A4399" t="s">
        <v>10411</v>
      </c>
      <c r="B4399" t="s">
        <v>562</v>
      </c>
      <c r="C4399">
        <v>40</v>
      </c>
      <c r="D4399" t="str">
        <f>VLOOKUP(B4399,Products!$A:$E,2,FALSE)</f>
        <v>Product_277</v>
      </c>
      <c r="E4399" t="str">
        <f>VLOOKUP(B4399,Products!$A:$E,3,FALSE)</f>
        <v>Electronics</v>
      </c>
    </row>
    <row r="4400" spans="1:5" x14ac:dyDescent="0.3">
      <c r="A4400" t="s">
        <v>10412</v>
      </c>
      <c r="B4400" t="s">
        <v>444</v>
      </c>
      <c r="C4400">
        <v>13</v>
      </c>
      <c r="D4400" t="str">
        <f>VLOOKUP(B4400,Products!$A:$E,2,FALSE)</f>
        <v>Product_218</v>
      </c>
      <c r="E4400" t="str">
        <f>VLOOKUP(B4400,Products!$A:$E,3,FALSE)</f>
        <v>Accessories</v>
      </c>
    </row>
    <row r="4401" spans="1:5" x14ac:dyDescent="0.3">
      <c r="A4401" t="s">
        <v>10413</v>
      </c>
      <c r="B4401" t="s">
        <v>294</v>
      </c>
      <c r="C4401">
        <v>4</v>
      </c>
      <c r="D4401" t="str">
        <f>VLOOKUP(B4401,Products!$A:$E,2,FALSE)</f>
        <v>Product_143</v>
      </c>
      <c r="E4401" t="str">
        <f>VLOOKUP(B4401,Products!$A:$E,3,FALSE)</f>
        <v>Office Supplies</v>
      </c>
    </row>
    <row r="4402" spans="1:5" x14ac:dyDescent="0.3">
      <c r="A4402" t="s">
        <v>10414</v>
      </c>
      <c r="B4402" t="s">
        <v>992</v>
      </c>
      <c r="C4402">
        <v>26</v>
      </c>
      <c r="D4402" t="str">
        <f>VLOOKUP(B4402,Products!$A:$E,2,FALSE)</f>
        <v>Product_492</v>
      </c>
      <c r="E4402" t="str">
        <f>VLOOKUP(B4402,Products!$A:$E,3,FALSE)</f>
        <v>Electronics</v>
      </c>
    </row>
    <row r="4403" spans="1:5" x14ac:dyDescent="0.3">
      <c r="A4403" t="s">
        <v>10415</v>
      </c>
      <c r="B4403" t="s">
        <v>312</v>
      </c>
      <c r="C4403">
        <v>25</v>
      </c>
      <c r="D4403" t="str">
        <f>VLOOKUP(B4403,Products!$A:$E,2,FALSE)</f>
        <v>Product_152</v>
      </c>
      <c r="E4403" t="str">
        <f>VLOOKUP(B4403,Products!$A:$E,3,FALSE)</f>
        <v>Storage</v>
      </c>
    </row>
    <row r="4404" spans="1:5" x14ac:dyDescent="0.3">
      <c r="A4404" t="s">
        <v>10416</v>
      </c>
      <c r="B4404" t="s">
        <v>932</v>
      </c>
      <c r="C4404">
        <v>34</v>
      </c>
      <c r="D4404" t="str">
        <f>VLOOKUP(B4404,Products!$A:$E,2,FALSE)</f>
        <v>Product_462</v>
      </c>
      <c r="E4404" t="str">
        <f>VLOOKUP(B4404,Products!$A:$E,3,FALSE)</f>
        <v>Electronics</v>
      </c>
    </row>
    <row r="4405" spans="1:5" x14ac:dyDescent="0.3">
      <c r="A4405" t="s">
        <v>10417</v>
      </c>
      <c r="B4405" t="s">
        <v>1004</v>
      </c>
      <c r="C4405">
        <v>27</v>
      </c>
      <c r="D4405" t="str">
        <f>VLOOKUP(B4405,Products!$A:$E,2,FALSE)</f>
        <v>Product_498</v>
      </c>
      <c r="E4405" t="str">
        <f>VLOOKUP(B4405,Products!$A:$E,3,FALSE)</f>
        <v>Office Supplies</v>
      </c>
    </row>
    <row r="4406" spans="1:5" x14ac:dyDescent="0.3">
      <c r="A4406" t="s">
        <v>10418</v>
      </c>
      <c r="B4406" t="s">
        <v>924</v>
      </c>
      <c r="C4406">
        <v>31</v>
      </c>
      <c r="D4406" t="str">
        <f>VLOOKUP(B4406,Products!$A:$E,2,FALSE)</f>
        <v>Product_458</v>
      </c>
      <c r="E4406" t="str">
        <f>VLOOKUP(B4406,Products!$A:$E,3,FALSE)</f>
        <v>Accessories</v>
      </c>
    </row>
    <row r="4407" spans="1:5" x14ac:dyDescent="0.3">
      <c r="A4407" t="s">
        <v>10419</v>
      </c>
      <c r="B4407" t="s">
        <v>488</v>
      </c>
      <c r="C4407">
        <v>21</v>
      </c>
      <c r="D4407" t="str">
        <f>VLOOKUP(B4407,Products!$A:$E,2,FALSE)</f>
        <v>Product_240</v>
      </c>
      <c r="E4407" t="str">
        <f>VLOOKUP(B4407,Products!$A:$E,3,FALSE)</f>
        <v>Storage</v>
      </c>
    </row>
    <row r="4408" spans="1:5" x14ac:dyDescent="0.3">
      <c r="A4408" t="s">
        <v>10420</v>
      </c>
      <c r="B4408" t="s">
        <v>148</v>
      </c>
      <c r="C4408">
        <v>47</v>
      </c>
      <c r="D4408" t="str">
        <f>VLOOKUP(B4408,Products!$A:$E,2,FALSE)</f>
        <v>Product_70</v>
      </c>
      <c r="E4408" t="str">
        <f>VLOOKUP(B4408,Products!$A:$E,3,FALSE)</f>
        <v>Electronics</v>
      </c>
    </row>
    <row r="4409" spans="1:5" x14ac:dyDescent="0.3">
      <c r="A4409" t="s">
        <v>10421</v>
      </c>
      <c r="B4409" t="s">
        <v>970</v>
      </c>
      <c r="C4409">
        <v>20</v>
      </c>
      <c r="D4409" t="str">
        <f>VLOOKUP(B4409,Products!$A:$E,2,FALSE)</f>
        <v>Product_481</v>
      </c>
      <c r="E4409" t="str">
        <f>VLOOKUP(B4409,Products!$A:$E,3,FALSE)</f>
        <v>Storage</v>
      </c>
    </row>
    <row r="4410" spans="1:5" x14ac:dyDescent="0.3">
      <c r="A4410" t="s">
        <v>10422</v>
      </c>
      <c r="B4410" t="s">
        <v>5</v>
      </c>
      <c r="C4410">
        <v>5</v>
      </c>
      <c r="D4410" t="str">
        <f>VLOOKUP(B4410,Products!$A:$E,2,FALSE)</f>
        <v>Product_1</v>
      </c>
      <c r="E4410" t="str">
        <f>VLOOKUP(B4410,Products!$A:$E,3,FALSE)</f>
        <v>Electronics</v>
      </c>
    </row>
    <row r="4411" spans="1:5" x14ac:dyDescent="0.3">
      <c r="A4411" t="s">
        <v>10423</v>
      </c>
      <c r="B4411" t="s">
        <v>266</v>
      </c>
      <c r="C4411">
        <v>46</v>
      </c>
      <c r="D4411" t="str">
        <f>VLOOKUP(B4411,Products!$A:$E,2,FALSE)</f>
        <v>Product_129</v>
      </c>
      <c r="E4411" t="str">
        <f>VLOOKUP(B4411,Products!$A:$E,3,FALSE)</f>
        <v>Electronics</v>
      </c>
    </row>
    <row r="4412" spans="1:5" x14ac:dyDescent="0.3">
      <c r="A4412" t="s">
        <v>10424</v>
      </c>
      <c r="B4412" t="s">
        <v>578</v>
      </c>
      <c r="C4412">
        <v>43</v>
      </c>
      <c r="D4412" t="str">
        <f>VLOOKUP(B4412,Products!$A:$E,2,FALSE)</f>
        <v>Product_285</v>
      </c>
      <c r="E4412" t="str">
        <f>VLOOKUP(B4412,Products!$A:$E,3,FALSE)</f>
        <v>Networking</v>
      </c>
    </row>
    <row r="4413" spans="1:5" x14ac:dyDescent="0.3">
      <c r="A4413" t="s">
        <v>10425</v>
      </c>
      <c r="B4413" t="s">
        <v>328</v>
      </c>
      <c r="C4413">
        <v>14</v>
      </c>
      <c r="D4413" t="str">
        <f>VLOOKUP(B4413,Products!$A:$E,2,FALSE)</f>
        <v>Product_160</v>
      </c>
      <c r="E4413" t="str">
        <f>VLOOKUP(B4413,Products!$A:$E,3,FALSE)</f>
        <v>Office Supplies</v>
      </c>
    </row>
    <row r="4414" spans="1:5" x14ac:dyDescent="0.3">
      <c r="A4414" t="s">
        <v>10426</v>
      </c>
      <c r="B4414" t="s">
        <v>954</v>
      </c>
      <c r="C4414">
        <v>47</v>
      </c>
      <c r="D4414" t="str">
        <f>VLOOKUP(B4414,Products!$A:$E,2,FALSE)</f>
        <v>Product_473</v>
      </c>
      <c r="E4414" t="str">
        <f>VLOOKUP(B4414,Products!$A:$E,3,FALSE)</f>
        <v>Accessories</v>
      </c>
    </row>
    <row r="4415" spans="1:5" x14ac:dyDescent="0.3">
      <c r="A4415" t="s">
        <v>10427</v>
      </c>
      <c r="B4415" t="s">
        <v>636</v>
      </c>
      <c r="C4415">
        <v>39</v>
      </c>
      <c r="D4415" t="str">
        <f>VLOOKUP(B4415,Products!$A:$E,2,FALSE)</f>
        <v>Product_314</v>
      </c>
      <c r="E4415" t="str">
        <f>VLOOKUP(B4415,Products!$A:$E,3,FALSE)</f>
        <v>Storage</v>
      </c>
    </row>
    <row r="4416" spans="1:5" x14ac:dyDescent="0.3">
      <c r="A4416" t="s">
        <v>10428</v>
      </c>
      <c r="B4416" t="s">
        <v>992</v>
      </c>
      <c r="C4416">
        <v>5</v>
      </c>
      <c r="D4416" t="str">
        <f>VLOOKUP(B4416,Products!$A:$E,2,FALSE)</f>
        <v>Product_492</v>
      </c>
      <c r="E4416" t="str">
        <f>VLOOKUP(B4416,Products!$A:$E,3,FALSE)</f>
        <v>Electronics</v>
      </c>
    </row>
    <row r="4417" spans="1:5" x14ac:dyDescent="0.3">
      <c r="A4417" t="s">
        <v>10429</v>
      </c>
      <c r="B4417" t="s">
        <v>70</v>
      </c>
      <c r="C4417">
        <v>49</v>
      </c>
      <c r="D4417" t="str">
        <f>VLOOKUP(B4417,Products!$A:$E,2,FALSE)</f>
        <v>Product_31</v>
      </c>
      <c r="E4417" t="str">
        <f>VLOOKUP(B4417,Products!$A:$E,3,FALSE)</f>
        <v>Accessories</v>
      </c>
    </row>
    <row r="4418" spans="1:5" x14ac:dyDescent="0.3">
      <c r="A4418" t="s">
        <v>10430</v>
      </c>
      <c r="B4418" t="s">
        <v>430</v>
      </c>
      <c r="C4418">
        <v>9</v>
      </c>
      <c r="D4418" t="str">
        <f>VLOOKUP(B4418,Products!$A:$E,2,FALSE)</f>
        <v>Product_211</v>
      </c>
      <c r="E4418" t="str">
        <f>VLOOKUP(B4418,Products!$A:$E,3,FALSE)</f>
        <v>Storage</v>
      </c>
    </row>
    <row r="4419" spans="1:5" x14ac:dyDescent="0.3">
      <c r="A4419" t="s">
        <v>10431</v>
      </c>
      <c r="B4419" t="s">
        <v>156</v>
      </c>
      <c r="C4419">
        <v>31</v>
      </c>
      <c r="D4419" t="str">
        <f>VLOOKUP(B4419,Products!$A:$E,2,FALSE)</f>
        <v>Product_74</v>
      </c>
      <c r="E4419" t="str">
        <f>VLOOKUP(B4419,Products!$A:$E,3,FALSE)</f>
        <v>Storage</v>
      </c>
    </row>
    <row r="4420" spans="1:5" x14ac:dyDescent="0.3">
      <c r="A4420" t="s">
        <v>10432</v>
      </c>
      <c r="B4420" t="s">
        <v>852</v>
      </c>
      <c r="C4420">
        <v>11</v>
      </c>
      <c r="D4420" t="str">
        <f>VLOOKUP(B4420,Products!$A:$E,2,FALSE)</f>
        <v>Product_422</v>
      </c>
      <c r="E4420" t="str">
        <f>VLOOKUP(B4420,Products!$A:$E,3,FALSE)</f>
        <v>Accessories</v>
      </c>
    </row>
    <row r="4421" spans="1:5" x14ac:dyDescent="0.3">
      <c r="A4421" t="s">
        <v>10433</v>
      </c>
      <c r="B4421" t="s">
        <v>792</v>
      </c>
      <c r="C4421">
        <v>16</v>
      </c>
      <c r="D4421" t="str">
        <f>VLOOKUP(B4421,Products!$A:$E,2,FALSE)</f>
        <v>Product_392</v>
      </c>
      <c r="E4421" t="str">
        <f>VLOOKUP(B4421,Products!$A:$E,3,FALSE)</f>
        <v>Electronics</v>
      </c>
    </row>
    <row r="4422" spans="1:5" x14ac:dyDescent="0.3">
      <c r="A4422" t="s">
        <v>10434</v>
      </c>
      <c r="B4422" t="s">
        <v>410</v>
      </c>
      <c r="C4422">
        <v>11</v>
      </c>
      <c r="D4422" t="str">
        <f>VLOOKUP(B4422,Products!$A:$E,2,FALSE)</f>
        <v>Product_201</v>
      </c>
      <c r="E4422" t="str">
        <f>VLOOKUP(B4422,Products!$A:$E,3,FALSE)</f>
        <v>Networking</v>
      </c>
    </row>
    <row r="4423" spans="1:5" x14ac:dyDescent="0.3">
      <c r="A4423" t="s">
        <v>10435</v>
      </c>
      <c r="B4423" t="s">
        <v>670</v>
      </c>
      <c r="C4423">
        <v>27</v>
      </c>
      <c r="D4423" t="str">
        <f>VLOOKUP(B4423,Products!$A:$E,2,FALSE)</f>
        <v>Product_331</v>
      </c>
      <c r="E4423" t="str">
        <f>VLOOKUP(B4423,Products!$A:$E,3,FALSE)</f>
        <v>Electronics</v>
      </c>
    </row>
    <row r="4424" spans="1:5" x14ac:dyDescent="0.3">
      <c r="A4424" t="s">
        <v>10436</v>
      </c>
      <c r="B4424" t="s">
        <v>410</v>
      </c>
      <c r="C4424">
        <v>38</v>
      </c>
      <c r="D4424" t="str">
        <f>VLOOKUP(B4424,Products!$A:$E,2,FALSE)</f>
        <v>Product_201</v>
      </c>
      <c r="E4424" t="str">
        <f>VLOOKUP(B4424,Products!$A:$E,3,FALSE)</f>
        <v>Networking</v>
      </c>
    </row>
    <row r="4425" spans="1:5" x14ac:dyDescent="0.3">
      <c r="A4425" t="s">
        <v>10437</v>
      </c>
      <c r="B4425" t="s">
        <v>208</v>
      </c>
      <c r="C4425">
        <v>16</v>
      </c>
      <c r="D4425" t="str">
        <f>VLOOKUP(B4425,Products!$A:$E,2,FALSE)</f>
        <v>Product_100</v>
      </c>
      <c r="E4425" t="str">
        <f>VLOOKUP(B4425,Products!$A:$E,3,FALSE)</f>
        <v>Accessories</v>
      </c>
    </row>
    <row r="4426" spans="1:5" x14ac:dyDescent="0.3">
      <c r="A4426" t="s">
        <v>10438</v>
      </c>
      <c r="B4426" t="s">
        <v>864</v>
      </c>
      <c r="C4426">
        <v>23</v>
      </c>
      <c r="D4426" t="str">
        <f>VLOOKUP(B4426,Products!$A:$E,2,FALSE)</f>
        <v>Product_428</v>
      </c>
      <c r="E4426" t="str">
        <f>VLOOKUP(B4426,Products!$A:$E,3,FALSE)</f>
        <v>Storage</v>
      </c>
    </row>
    <row r="4427" spans="1:5" x14ac:dyDescent="0.3">
      <c r="A4427" t="s">
        <v>10439</v>
      </c>
      <c r="B4427" t="s">
        <v>82</v>
      </c>
      <c r="C4427">
        <v>15</v>
      </c>
      <c r="D4427" t="str">
        <f>VLOOKUP(B4427,Products!$A:$E,2,FALSE)</f>
        <v>Product_37</v>
      </c>
      <c r="E4427" t="str">
        <f>VLOOKUP(B4427,Products!$A:$E,3,FALSE)</f>
        <v>Storage</v>
      </c>
    </row>
    <row r="4428" spans="1:5" x14ac:dyDescent="0.3">
      <c r="A4428" t="s">
        <v>10440</v>
      </c>
      <c r="B4428" t="s">
        <v>996</v>
      </c>
      <c r="C4428">
        <v>18</v>
      </c>
      <c r="D4428" t="str">
        <f>VLOOKUP(B4428,Products!$A:$E,2,FALSE)</f>
        <v>Product_494</v>
      </c>
      <c r="E4428" t="str">
        <f>VLOOKUP(B4428,Products!$A:$E,3,FALSE)</f>
        <v>Office Supplies</v>
      </c>
    </row>
    <row r="4429" spans="1:5" x14ac:dyDescent="0.3">
      <c r="A4429" t="s">
        <v>10441</v>
      </c>
      <c r="B4429" t="s">
        <v>152</v>
      </c>
      <c r="C4429">
        <v>26</v>
      </c>
      <c r="D4429" t="str">
        <f>VLOOKUP(B4429,Products!$A:$E,2,FALSE)</f>
        <v>Product_72</v>
      </c>
      <c r="E4429" t="str">
        <f>VLOOKUP(B4429,Products!$A:$E,3,FALSE)</f>
        <v>Networking</v>
      </c>
    </row>
    <row r="4430" spans="1:5" x14ac:dyDescent="0.3">
      <c r="A4430" t="s">
        <v>10442</v>
      </c>
      <c r="B4430" t="s">
        <v>136</v>
      </c>
      <c r="C4430">
        <v>47</v>
      </c>
      <c r="D4430" t="str">
        <f>VLOOKUP(B4430,Products!$A:$E,2,FALSE)</f>
        <v>Product_64</v>
      </c>
      <c r="E4430" t="str">
        <f>VLOOKUP(B4430,Products!$A:$E,3,FALSE)</f>
        <v>Storage</v>
      </c>
    </row>
    <row r="4431" spans="1:5" x14ac:dyDescent="0.3">
      <c r="A4431" t="s">
        <v>10443</v>
      </c>
      <c r="B4431" t="s">
        <v>766</v>
      </c>
      <c r="C4431">
        <v>38</v>
      </c>
      <c r="D4431" t="str">
        <f>VLOOKUP(B4431,Products!$A:$E,2,FALSE)</f>
        <v>Product_379</v>
      </c>
      <c r="E4431" t="str">
        <f>VLOOKUP(B4431,Products!$A:$E,3,FALSE)</f>
        <v>Office Supplies</v>
      </c>
    </row>
    <row r="4432" spans="1:5" x14ac:dyDescent="0.3">
      <c r="A4432" t="s">
        <v>10444</v>
      </c>
      <c r="B4432" t="s">
        <v>976</v>
      </c>
      <c r="C4432">
        <v>44</v>
      </c>
      <c r="D4432" t="str">
        <f>VLOOKUP(B4432,Products!$A:$E,2,FALSE)</f>
        <v>Product_484</v>
      </c>
      <c r="E4432" t="str">
        <f>VLOOKUP(B4432,Products!$A:$E,3,FALSE)</f>
        <v>Networking</v>
      </c>
    </row>
    <row r="4433" spans="1:5" x14ac:dyDescent="0.3">
      <c r="A4433" t="s">
        <v>10445</v>
      </c>
      <c r="B4433" t="s">
        <v>164</v>
      </c>
      <c r="C4433">
        <v>14</v>
      </c>
      <c r="D4433" t="str">
        <f>VLOOKUP(B4433,Products!$A:$E,2,FALSE)</f>
        <v>Product_78</v>
      </c>
      <c r="E4433" t="str">
        <f>VLOOKUP(B4433,Products!$A:$E,3,FALSE)</f>
        <v>Office Supplies</v>
      </c>
    </row>
    <row r="4434" spans="1:5" x14ac:dyDescent="0.3">
      <c r="A4434" t="s">
        <v>10446</v>
      </c>
      <c r="B4434" t="s">
        <v>464</v>
      </c>
      <c r="C4434">
        <v>10</v>
      </c>
      <c r="D4434" t="str">
        <f>VLOOKUP(B4434,Products!$A:$E,2,FALSE)</f>
        <v>Product_228</v>
      </c>
      <c r="E4434" t="str">
        <f>VLOOKUP(B4434,Products!$A:$E,3,FALSE)</f>
        <v>Storage</v>
      </c>
    </row>
    <row r="4435" spans="1:5" x14ac:dyDescent="0.3">
      <c r="A4435" t="s">
        <v>10447</v>
      </c>
      <c r="B4435" t="s">
        <v>698</v>
      </c>
      <c r="C4435">
        <v>18</v>
      </c>
      <c r="D4435" t="str">
        <f>VLOOKUP(B4435,Products!$A:$E,2,FALSE)</f>
        <v>Product_345</v>
      </c>
      <c r="E4435" t="str">
        <f>VLOOKUP(B4435,Products!$A:$E,3,FALSE)</f>
        <v>Storage</v>
      </c>
    </row>
    <row r="4436" spans="1:5" x14ac:dyDescent="0.3">
      <c r="A4436" t="s">
        <v>10448</v>
      </c>
      <c r="B4436" t="s">
        <v>788</v>
      </c>
      <c r="C4436">
        <v>21</v>
      </c>
      <c r="D4436" t="str">
        <f>VLOOKUP(B4436,Products!$A:$E,2,FALSE)</f>
        <v>Product_390</v>
      </c>
      <c r="E4436" t="str">
        <f>VLOOKUP(B4436,Products!$A:$E,3,FALSE)</f>
        <v>Storage</v>
      </c>
    </row>
    <row r="4437" spans="1:5" x14ac:dyDescent="0.3">
      <c r="A4437" t="s">
        <v>10449</v>
      </c>
      <c r="B4437" t="s">
        <v>20</v>
      </c>
      <c r="C4437">
        <v>41</v>
      </c>
      <c r="D4437" t="str">
        <f>VLOOKUP(B4437,Products!$A:$E,2,FALSE)</f>
        <v>Product_6</v>
      </c>
      <c r="E4437" t="str">
        <f>VLOOKUP(B4437,Products!$A:$E,3,FALSE)</f>
        <v>Electronics</v>
      </c>
    </row>
    <row r="4438" spans="1:5" x14ac:dyDescent="0.3">
      <c r="A4438" t="s">
        <v>10450</v>
      </c>
      <c r="B4438" t="s">
        <v>130</v>
      </c>
      <c r="C4438">
        <v>34</v>
      </c>
      <c r="D4438" t="str">
        <f>VLOOKUP(B4438,Products!$A:$E,2,FALSE)</f>
        <v>Product_61</v>
      </c>
      <c r="E4438" t="str">
        <f>VLOOKUP(B4438,Products!$A:$E,3,FALSE)</f>
        <v>Storage</v>
      </c>
    </row>
    <row r="4439" spans="1:5" x14ac:dyDescent="0.3">
      <c r="A4439" t="s">
        <v>10451</v>
      </c>
      <c r="B4439" t="s">
        <v>328</v>
      </c>
      <c r="C4439">
        <v>34</v>
      </c>
      <c r="D4439" t="str">
        <f>VLOOKUP(B4439,Products!$A:$E,2,FALSE)</f>
        <v>Product_160</v>
      </c>
      <c r="E4439" t="str">
        <f>VLOOKUP(B4439,Products!$A:$E,3,FALSE)</f>
        <v>Office Supplies</v>
      </c>
    </row>
    <row r="4440" spans="1:5" x14ac:dyDescent="0.3">
      <c r="A4440" t="s">
        <v>10452</v>
      </c>
      <c r="B4440" t="s">
        <v>114</v>
      </c>
      <c r="C4440">
        <v>50</v>
      </c>
      <c r="D4440" t="str">
        <f>VLOOKUP(B4440,Products!$A:$E,2,FALSE)</f>
        <v>Product_53</v>
      </c>
      <c r="E4440" t="str">
        <f>VLOOKUP(B4440,Products!$A:$E,3,FALSE)</f>
        <v>Electronics</v>
      </c>
    </row>
    <row r="4441" spans="1:5" x14ac:dyDescent="0.3">
      <c r="A4441" t="s">
        <v>10453</v>
      </c>
      <c r="B4441" t="s">
        <v>652</v>
      </c>
      <c r="C4441">
        <v>39</v>
      </c>
      <c r="D4441" t="str">
        <f>VLOOKUP(B4441,Products!$A:$E,2,FALSE)</f>
        <v>Product_322</v>
      </c>
      <c r="E4441" t="str">
        <f>VLOOKUP(B4441,Products!$A:$E,3,FALSE)</f>
        <v>Accessories</v>
      </c>
    </row>
    <row r="4442" spans="1:5" x14ac:dyDescent="0.3">
      <c r="A4442" t="s">
        <v>10454</v>
      </c>
      <c r="B4442" t="s">
        <v>492</v>
      </c>
      <c r="C4442">
        <v>15</v>
      </c>
      <c r="D4442" t="str">
        <f>VLOOKUP(B4442,Products!$A:$E,2,FALSE)</f>
        <v>Product_242</v>
      </c>
      <c r="E4442" t="str">
        <f>VLOOKUP(B4442,Products!$A:$E,3,FALSE)</f>
        <v>Networking</v>
      </c>
    </row>
    <row r="4443" spans="1:5" x14ac:dyDescent="0.3">
      <c r="A4443" t="s">
        <v>10455</v>
      </c>
      <c r="B4443" t="s">
        <v>686</v>
      </c>
      <c r="C4443">
        <v>29</v>
      </c>
      <c r="D4443" t="str">
        <f>VLOOKUP(B4443,Products!$A:$E,2,FALSE)</f>
        <v>Product_339</v>
      </c>
      <c r="E4443" t="str">
        <f>VLOOKUP(B4443,Products!$A:$E,3,FALSE)</f>
        <v>Storage</v>
      </c>
    </row>
    <row r="4444" spans="1:5" x14ac:dyDescent="0.3">
      <c r="A4444" t="s">
        <v>10456</v>
      </c>
      <c r="B4444" t="s">
        <v>314</v>
      </c>
      <c r="C4444">
        <v>8</v>
      </c>
      <c r="D4444" t="str">
        <f>VLOOKUP(B4444,Products!$A:$E,2,FALSE)</f>
        <v>Product_153</v>
      </c>
      <c r="E4444" t="str">
        <f>VLOOKUP(B4444,Products!$A:$E,3,FALSE)</f>
        <v>Electronics</v>
      </c>
    </row>
    <row r="4445" spans="1:5" x14ac:dyDescent="0.3">
      <c r="A4445" t="s">
        <v>10457</v>
      </c>
      <c r="B4445" t="s">
        <v>564</v>
      </c>
      <c r="C4445">
        <v>48</v>
      </c>
      <c r="D4445" t="str">
        <f>VLOOKUP(B4445,Products!$A:$E,2,FALSE)</f>
        <v>Product_278</v>
      </c>
      <c r="E4445" t="str">
        <f>VLOOKUP(B4445,Products!$A:$E,3,FALSE)</f>
        <v>Electronics</v>
      </c>
    </row>
    <row r="4446" spans="1:5" x14ac:dyDescent="0.3">
      <c r="A4446" t="s">
        <v>10458</v>
      </c>
      <c r="B4446" t="s">
        <v>634</v>
      </c>
      <c r="C4446">
        <v>30</v>
      </c>
      <c r="D4446" t="str">
        <f>VLOOKUP(B4446,Products!$A:$E,2,FALSE)</f>
        <v>Product_313</v>
      </c>
      <c r="E4446" t="str">
        <f>VLOOKUP(B4446,Products!$A:$E,3,FALSE)</f>
        <v>Accessories</v>
      </c>
    </row>
    <row r="4447" spans="1:5" x14ac:dyDescent="0.3">
      <c r="A4447" t="s">
        <v>10459</v>
      </c>
      <c r="B4447" t="s">
        <v>166</v>
      </c>
      <c r="C4447">
        <v>5</v>
      </c>
      <c r="D4447" t="str">
        <f>VLOOKUP(B4447,Products!$A:$E,2,FALSE)</f>
        <v>Product_79</v>
      </c>
      <c r="E4447" t="str">
        <f>VLOOKUP(B4447,Products!$A:$E,3,FALSE)</f>
        <v>Storage</v>
      </c>
    </row>
    <row r="4448" spans="1:5" x14ac:dyDescent="0.3">
      <c r="A4448" t="s">
        <v>10460</v>
      </c>
      <c r="B4448" t="s">
        <v>910</v>
      </c>
      <c r="C4448">
        <v>49</v>
      </c>
      <c r="D4448" t="str">
        <f>VLOOKUP(B4448,Products!$A:$E,2,FALSE)</f>
        <v>Product_451</v>
      </c>
      <c r="E4448" t="str">
        <f>VLOOKUP(B4448,Products!$A:$E,3,FALSE)</f>
        <v>Accessories</v>
      </c>
    </row>
    <row r="4449" spans="1:5" x14ac:dyDescent="0.3">
      <c r="A4449" t="s">
        <v>10461</v>
      </c>
      <c r="B4449" t="s">
        <v>942</v>
      </c>
      <c r="C4449">
        <v>47</v>
      </c>
      <c r="D4449" t="str">
        <f>VLOOKUP(B4449,Products!$A:$E,2,FALSE)</f>
        <v>Product_467</v>
      </c>
      <c r="E4449" t="str">
        <f>VLOOKUP(B4449,Products!$A:$E,3,FALSE)</f>
        <v>Accessories</v>
      </c>
    </row>
    <row r="4450" spans="1:5" x14ac:dyDescent="0.3">
      <c r="A4450" t="s">
        <v>10462</v>
      </c>
      <c r="B4450" t="s">
        <v>358</v>
      </c>
      <c r="C4450">
        <v>18</v>
      </c>
      <c r="D4450" t="str">
        <f>VLOOKUP(B4450,Products!$A:$E,2,FALSE)</f>
        <v>Product_175</v>
      </c>
      <c r="E4450" t="str">
        <f>VLOOKUP(B4450,Products!$A:$E,3,FALSE)</f>
        <v>Storage</v>
      </c>
    </row>
    <row r="4451" spans="1:5" x14ac:dyDescent="0.3">
      <c r="A4451" t="s">
        <v>10463</v>
      </c>
      <c r="B4451" t="s">
        <v>982</v>
      </c>
      <c r="C4451">
        <v>3</v>
      </c>
      <c r="D4451" t="str">
        <f>VLOOKUP(B4451,Products!$A:$E,2,FALSE)</f>
        <v>Product_487</v>
      </c>
      <c r="E4451" t="str">
        <f>VLOOKUP(B4451,Products!$A:$E,3,FALSE)</f>
        <v>Networking</v>
      </c>
    </row>
    <row r="4452" spans="1:5" x14ac:dyDescent="0.3">
      <c r="A4452" t="s">
        <v>10464</v>
      </c>
      <c r="B4452" t="s">
        <v>400</v>
      </c>
      <c r="C4452">
        <v>17</v>
      </c>
      <c r="D4452" t="str">
        <f>VLOOKUP(B4452,Products!$A:$E,2,FALSE)</f>
        <v>Product_196</v>
      </c>
      <c r="E4452" t="str">
        <f>VLOOKUP(B4452,Products!$A:$E,3,FALSE)</f>
        <v>Office Supplies</v>
      </c>
    </row>
    <row r="4453" spans="1:5" x14ac:dyDescent="0.3">
      <c r="A4453" t="s">
        <v>10465</v>
      </c>
      <c r="B4453" t="s">
        <v>124</v>
      </c>
      <c r="C4453">
        <v>41</v>
      </c>
      <c r="D4453" t="str">
        <f>VLOOKUP(B4453,Products!$A:$E,2,FALSE)</f>
        <v>Product_58</v>
      </c>
      <c r="E4453" t="str">
        <f>VLOOKUP(B4453,Products!$A:$E,3,FALSE)</f>
        <v>Office Supplies</v>
      </c>
    </row>
    <row r="4454" spans="1:5" x14ac:dyDescent="0.3">
      <c r="A4454" t="s">
        <v>10466</v>
      </c>
      <c r="B4454" t="s">
        <v>486</v>
      </c>
      <c r="C4454">
        <v>28</v>
      </c>
      <c r="D4454" t="str">
        <f>VLOOKUP(B4454,Products!$A:$E,2,FALSE)</f>
        <v>Product_239</v>
      </c>
      <c r="E4454" t="str">
        <f>VLOOKUP(B4454,Products!$A:$E,3,FALSE)</f>
        <v>Storage</v>
      </c>
    </row>
    <row r="4455" spans="1:5" x14ac:dyDescent="0.3">
      <c r="A4455" t="s">
        <v>10467</v>
      </c>
      <c r="B4455" t="s">
        <v>608</v>
      </c>
      <c r="C4455">
        <v>11</v>
      </c>
      <c r="D4455" t="str">
        <f>VLOOKUP(B4455,Products!$A:$E,2,FALSE)</f>
        <v>Product_300</v>
      </c>
      <c r="E4455" t="str">
        <f>VLOOKUP(B4455,Products!$A:$E,3,FALSE)</f>
        <v>Accessories</v>
      </c>
    </row>
    <row r="4456" spans="1:5" x14ac:dyDescent="0.3">
      <c r="A4456" t="s">
        <v>10468</v>
      </c>
      <c r="B4456" t="s">
        <v>906</v>
      </c>
      <c r="C4456">
        <v>46</v>
      </c>
      <c r="D4456" t="str">
        <f>VLOOKUP(B4456,Products!$A:$E,2,FALSE)</f>
        <v>Product_449</v>
      </c>
      <c r="E4456" t="str">
        <f>VLOOKUP(B4456,Products!$A:$E,3,FALSE)</f>
        <v>Networking</v>
      </c>
    </row>
    <row r="4457" spans="1:5" x14ac:dyDescent="0.3">
      <c r="A4457" t="s">
        <v>10469</v>
      </c>
      <c r="B4457" t="s">
        <v>718</v>
      </c>
      <c r="C4457">
        <v>32</v>
      </c>
      <c r="D4457" t="str">
        <f>VLOOKUP(B4457,Products!$A:$E,2,FALSE)</f>
        <v>Product_355</v>
      </c>
      <c r="E4457" t="str">
        <f>VLOOKUP(B4457,Products!$A:$E,3,FALSE)</f>
        <v>Accessories</v>
      </c>
    </row>
    <row r="4458" spans="1:5" x14ac:dyDescent="0.3">
      <c r="A4458" t="s">
        <v>10470</v>
      </c>
      <c r="B4458" t="s">
        <v>786</v>
      </c>
      <c r="C4458">
        <v>19</v>
      </c>
      <c r="D4458" t="str">
        <f>VLOOKUP(B4458,Products!$A:$E,2,FALSE)</f>
        <v>Product_389</v>
      </c>
      <c r="E4458" t="str">
        <f>VLOOKUP(B4458,Products!$A:$E,3,FALSE)</f>
        <v>Networking</v>
      </c>
    </row>
    <row r="4459" spans="1:5" x14ac:dyDescent="0.3">
      <c r="A4459" t="s">
        <v>10471</v>
      </c>
      <c r="B4459" t="s">
        <v>240</v>
      </c>
      <c r="C4459">
        <v>34</v>
      </c>
      <c r="D4459" t="str">
        <f>VLOOKUP(B4459,Products!$A:$E,2,FALSE)</f>
        <v>Product_116</v>
      </c>
      <c r="E4459" t="str">
        <f>VLOOKUP(B4459,Products!$A:$E,3,FALSE)</f>
        <v>Storage</v>
      </c>
    </row>
    <row r="4460" spans="1:5" x14ac:dyDescent="0.3">
      <c r="A4460" t="s">
        <v>10472</v>
      </c>
      <c r="B4460" t="s">
        <v>114</v>
      </c>
      <c r="C4460">
        <v>6</v>
      </c>
      <c r="D4460" t="str">
        <f>VLOOKUP(B4460,Products!$A:$E,2,FALSE)</f>
        <v>Product_53</v>
      </c>
      <c r="E4460" t="str">
        <f>VLOOKUP(B4460,Products!$A:$E,3,FALSE)</f>
        <v>Electronics</v>
      </c>
    </row>
    <row r="4461" spans="1:5" x14ac:dyDescent="0.3">
      <c r="A4461" t="s">
        <v>10473</v>
      </c>
      <c r="B4461" t="s">
        <v>758</v>
      </c>
      <c r="C4461">
        <v>39</v>
      </c>
      <c r="D4461" t="str">
        <f>VLOOKUP(B4461,Products!$A:$E,2,FALSE)</f>
        <v>Product_375</v>
      </c>
      <c r="E4461" t="str">
        <f>VLOOKUP(B4461,Products!$A:$E,3,FALSE)</f>
        <v>Accessories</v>
      </c>
    </row>
    <row r="4462" spans="1:5" x14ac:dyDescent="0.3">
      <c r="A4462" t="s">
        <v>10474</v>
      </c>
      <c r="B4462" t="s">
        <v>992</v>
      </c>
      <c r="C4462">
        <v>39</v>
      </c>
      <c r="D4462" t="str">
        <f>VLOOKUP(B4462,Products!$A:$E,2,FALSE)</f>
        <v>Product_492</v>
      </c>
      <c r="E4462" t="str">
        <f>VLOOKUP(B4462,Products!$A:$E,3,FALSE)</f>
        <v>Electronics</v>
      </c>
    </row>
    <row r="4463" spans="1:5" x14ac:dyDescent="0.3">
      <c r="A4463" t="s">
        <v>10475</v>
      </c>
      <c r="B4463" t="s">
        <v>894</v>
      </c>
      <c r="C4463">
        <v>24</v>
      </c>
      <c r="D4463" t="str">
        <f>VLOOKUP(B4463,Products!$A:$E,2,FALSE)</f>
        <v>Product_443</v>
      </c>
      <c r="E4463" t="str">
        <f>VLOOKUP(B4463,Products!$A:$E,3,FALSE)</f>
        <v>Networking</v>
      </c>
    </row>
    <row r="4464" spans="1:5" x14ac:dyDescent="0.3">
      <c r="A4464" t="s">
        <v>10476</v>
      </c>
      <c r="B4464" t="s">
        <v>256</v>
      </c>
      <c r="C4464">
        <v>43</v>
      </c>
      <c r="D4464" t="str">
        <f>VLOOKUP(B4464,Products!$A:$E,2,FALSE)</f>
        <v>Product_124</v>
      </c>
      <c r="E4464" t="str">
        <f>VLOOKUP(B4464,Products!$A:$E,3,FALSE)</f>
        <v>Storage</v>
      </c>
    </row>
    <row r="4465" spans="1:5" x14ac:dyDescent="0.3">
      <c r="A4465" t="s">
        <v>10477</v>
      </c>
      <c r="B4465" t="s">
        <v>516</v>
      </c>
      <c r="C4465">
        <v>45</v>
      </c>
      <c r="D4465" t="str">
        <f>VLOOKUP(B4465,Products!$A:$E,2,FALSE)</f>
        <v>Product_254</v>
      </c>
      <c r="E4465" t="str">
        <f>VLOOKUP(B4465,Products!$A:$E,3,FALSE)</f>
        <v>Office Supplies</v>
      </c>
    </row>
    <row r="4466" spans="1:5" x14ac:dyDescent="0.3">
      <c r="A4466" t="s">
        <v>10478</v>
      </c>
      <c r="B4466" t="s">
        <v>996</v>
      </c>
      <c r="C4466">
        <v>28</v>
      </c>
      <c r="D4466" t="str">
        <f>VLOOKUP(B4466,Products!$A:$E,2,FALSE)</f>
        <v>Product_494</v>
      </c>
      <c r="E4466" t="str">
        <f>VLOOKUP(B4466,Products!$A:$E,3,FALSE)</f>
        <v>Office Supplies</v>
      </c>
    </row>
    <row r="4467" spans="1:5" x14ac:dyDescent="0.3">
      <c r="A4467" t="s">
        <v>10479</v>
      </c>
      <c r="B4467" t="s">
        <v>440</v>
      </c>
      <c r="C4467">
        <v>4</v>
      </c>
      <c r="D4467" t="str">
        <f>VLOOKUP(B4467,Products!$A:$E,2,FALSE)</f>
        <v>Product_216</v>
      </c>
      <c r="E4467" t="str">
        <f>VLOOKUP(B4467,Products!$A:$E,3,FALSE)</f>
        <v>Accessories</v>
      </c>
    </row>
    <row r="4468" spans="1:5" x14ac:dyDescent="0.3">
      <c r="A4468" t="s">
        <v>10480</v>
      </c>
      <c r="B4468" t="s">
        <v>662</v>
      </c>
      <c r="C4468">
        <v>7</v>
      </c>
      <c r="D4468" t="str">
        <f>VLOOKUP(B4468,Products!$A:$E,2,FALSE)</f>
        <v>Product_327</v>
      </c>
      <c r="E4468" t="str">
        <f>VLOOKUP(B4468,Products!$A:$E,3,FALSE)</f>
        <v>Networking</v>
      </c>
    </row>
    <row r="4469" spans="1:5" x14ac:dyDescent="0.3">
      <c r="A4469" t="s">
        <v>10481</v>
      </c>
      <c r="B4469" t="s">
        <v>894</v>
      </c>
      <c r="C4469">
        <v>50</v>
      </c>
      <c r="D4469" t="str">
        <f>VLOOKUP(B4469,Products!$A:$E,2,FALSE)</f>
        <v>Product_443</v>
      </c>
      <c r="E4469" t="str">
        <f>VLOOKUP(B4469,Products!$A:$E,3,FALSE)</f>
        <v>Networking</v>
      </c>
    </row>
    <row r="4470" spans="1:5" x14ac:dyDescent="0.3">
      <c r="A4470" t="s">
        <v>10482</v>
      </c>
      <c r="B4470" t="s">
        <v>296</v>
      </c>
      <c r="C4470">
        <v>47</v>
      </c>
      <c r="D4470" t="str">
        <f>VLOOKUP(B4470,Products!$A:$E,2,FALSE)</f>
        <v>Product_144</v>
      </c>
      <c r="E4470" t="str">
        <f>VLOOKUP(B4470,Products!$A:$E,3,FALSE)</f>
        <v>Office Supplies</v>
      </c>
    </row>
    <row r="4471" spans="1:5" x14ac:dyDescent="0.3">
      <c r="A4471" t="s">
        <v>10483</v>
      </c>
      <c r="B4471" t="s">
        <v>760</v>
      </c>
      <c r="C4471">
        <v>18</v>
      </c>
      <c r="D4471" t="str">
        <f>VLOOKUP(B4471,Products!$A:$E,2,FALSE)</f>
        <v>Product_376</v>
      </c>
      <c r="E4471" t="str">
        <f>VLOOKUP(B4471,Products!$A:$E,3,FALSE)</f>
        <v>Networking</v>
      </c>
    </row>
    <row r="4472" spans="1:5" x14ac:dyDescent="0.3">
      <c r="A4472" t="s">
        <v>10484</v>
      </c>
      <c r="B4472" t="s">
        <v>936</v>
      </c>
      <c r="C4472">
        <v>17</v>
      </c>
      <c r="D4472" t="str">
        <f>VLOOKUP(B4472,Products!$A:$E,2,FALSE)</f>
        <v>Product_464</v>
      </c>
      <c r="E4472" t="str">
        <f>VLOOKUP(B4472,Products!$A:$E,3,FALSE)</f>
        <v>Office Supplies</v>
      </c>
    </row>
    <row r="4473" spans="1:5" x14ac:dyDescent="0.3">
      <c r="A4473" t="s">
        <v>10485</v>
      </c>
      <c r="B4473" t="s">
        <v>664</v>
      </c>
      <c r="C4473">
        <v>33</v>
      </c>
      <c r="D4473" t="str">
        <f>VLOOKUP(B4473,Products!$A:$E,2,FALSE)</f>
        <v>Product_328</v>
      </c>
      <c r="E4473" t="str">
        <f>VLOOKUP(B4473,Products!$A:$E,3,FALSE)</f>
        <v>Office Supplies</v>
      </c>
    </row>
    <row r="4474" spans="1:5" x14ac:dyDescent="0.3">
      <c r="A4474" t="s">
        <v>10486</v>
      </c>
      <c r="B4474" t="s">
        <v>346</v>
      </c>
      <c r="C4474">
        <v>27</v>
      </c>
      <c r="D4474" t="str">
        <f>VLOOKUP(B4474,Products!$A:$E,2,FALSE)</f>
        <v>Product_169</v>
      </c>
      <c r="E4474" t="str">
        <f>VLOOKUP(B4474,Products!$A:$E,3,FALSE)</f>
        <v>Accessories</v>
      </c>
    </row>
    <row r="4475" spans="1:5" x14ac:dyDescent="0.3">
      <c r="A4475" t="s">
        <v>10487</v>
      </c>
      <c r="B4475" t="s">
        <v>692</v>
      </c>
      <c r="C4475">
        <v>17</v>
      </c>
      <c r="D4475" t="str">
        <f>VLOOKUP(B4475,Products!$A:$E,2,FALSE)</f>
        <v>Product_342</v>
      </c>
      <c r="E4475" t="str">
        <f>VLOOKUP(B4475,Products!$A:$E,3,FALSE)</f>
        <v>Accessories</v>
      </c>
    </row>
    <row r="4476" spans="1:5" x14ac:dyDescent="0.3">
      <c r="A4476" t="s">
        <v>10488</v>
      </c>
      <c r="B4476" t="s">
        <v>374</v>
      </c>
      <c r="C4476">
        <v>6</v>
      </c>
      <c r="D4476" t="str">
        <f>VLOOKUP(B4476,Products!$A:$E,2,FALSE)</f>
        <v>Product_183</v>
      </c>
      <c r="E4476" t="str">
        <f>VLOOKUP(B4476,Products!$A:$E,3,FALSE)</f>
        <v>Electronics</v>
      </c>
    </row>
    <row r="4477" spans="1:5" x14ac:dyDescent="0.3">
      <c r="A4477" t="s">
        <v>10489</v>
      </c>
      <c r="B4477" t="s">
        <v>22</v>
      </c>
      <c r="C4477">
        <v>7</v>
      </c>
      <c r="D4477" t="str">
        <f>VLOOKUP(B4477,Products!$A:$E,2,FALSE)</f>
        <v>Product_7</v>
      </c>
      <c r="E4477" t="str">
        <f>VLOOKUP(B4477,Products!$A:$E,3,FALSE)</f>
        <v>Storage</v>
      </c>
    </row>
    <row r="4478" spans="1:5" x14ac:dyDescent="0.3">
      <c r="A4478" t="s">
        <v>10490</v>
      </c>
      <c r="B4478" t="s">
        <v>740</v>
      </c>
      <c r="C4478">
        <v>32</v>
      </c>
      <c r="D4478" t="str">
        <f>VLOOKUP(B4478,Products!$A:$E,2,FALSE)</f>
        <v>Product_366</v>
      </c>
      <c r="E4478" t="str">
        <f>VLOOKUP(B4478,Products!$A:$E,3,FALSE)</f>
        <v>Electronics</v>
      </c>
    </row>
    <row r="4479" spans="1:5" x14ac:dyDescent="0.3">
      <c r="A4479" t="s">
        <v>10491</v>
      </c>
      <c r="B4479" t="s">
        <v>258</v>
      </c>
      <c r="C4479">
        <v>38</v>
      </c>
      <c r="D4479" t="str">
        <f>VLOOKUP(B4479,Products!$A:$E,2,FALSE)</f>
        <v>Product_125</v>
      </c>
      <c r="E4479" t="str">
        <f>VLOOKUP(B4479,Products!$A:$E,3,FALSE)</f>
        <v>Office Supplies</v>
      </c>
    </row>
    <row r="4480" spans="1:5" x14ac:dyDescent="0.3">
      <c r="A4480" t="s">
        <v>10492</v>
      </c>
      <c r="B4480" t="s">
        <v>516</v>
      </c>
      <c r="C4480">
        <v>15</v>
      </c>
      <c r="D4480" t="str">
        <f>VLOOKUP(B4480,Products!$A:$E,2,FALSE)</f>
        <v>Product_254</v>
      </c>
      <c r="E4480" t="str">
        <f>VLOOKUP(B4480,Products!$A:$E,3,FALSE)</f>
        <v>Office Supplies</v>
      </c>
    </row>
    <row r="4481" spans="1:5" x14ac:dyDescent="0.3">
      <c r="A4481" t="s">
        <v>10493</v>
      </c>
      <c r="B4481" t="s">
        <v>614</v>
      </c>
      <c r="C4481">
        <v>28</v>
      </c>
      <c r="D4481" t="str">
        <f>VLOOKUP(B4481,Products!$A:$E,2,FALSE)</f>
        <v>Product_303</v>
      </c>
      <c r="E4481" t="str">
        <f>VLOOKUP(B4481,Products!$A:$E,3,FALSE)</f>
        <v>Networking</v>
      </c>
    </row>
    <row r="4482" spans="1:5" x14ac:dyDescent="0.3">
      <c r="A4482" t="s">
        <v>10494</v>
      </c>
      <c r="B4482" t="s">
        <v>690</v>
      </c>
      <c r="C4482">
        <v>18</v>
      </c>
      <c r="D4482" t="str">
        <f>VLOOKUP(B4482,Products!$A:$E,2,FALSE)</f>
        <v>Product_341</v>
      </c>
      <c r="E4482" t="str">
        <f>VLOOKUP(B4482,Products!$A:$E,3,FALSE)</f>
        <v>Storage</v>
      </c>
    </row>
    <row r="4483" spans="1:5" x14ac:dyDescent="0.3">
      <c r="A4483" t="s">
        <v>10495</v>
      </c>
      <c r="B4483" t="s">
        <v>116</v>
      </c>
      <c r="C4483">
        <v>50</v>
      </c>
      <c r="D4483" t="str">
        <f>VLOOKUP(B4483,Products!$A:$E,2,FALSE)</f>
        <v>Product_54</v>
      </c>
      <c r="E4483" t="str">
        <f>VLOOKUP(B4483,Products!$A:$E,3,FALSE)</f>
        <v>Storage</v>
      </c>
    </row>
    <row r="4484" spans="1:5" x14ac:dyDescent="0.3">
      <c r="A4484" t="s">
        <v>10496</v>
      </c>
      <c r="B4484" t="s">
        <v>856</v>
      </c>
      <c r="C4484">
        <v>46</v>
      </c>
      <c r="D4484" t="str">
        <f>VLOOKUP(B4484,Products!$A:$E,2,FALSE)</f>
        <v>Product_424</v>
      </c>
      <c r="E4484" t="str">
        <f>VLOOKUP(B4484,Products!$A:$E,3,FALSE)</f>
        <v>Networking</v>
      </c>
    </row>
    <row r="4485" spans="1:5" x14ac:dyDescent="0.3">
      <c r="A4485" t="s">
        <v>10497</v>
      </c>
      <c r="B4485" t="s">
        <v>508</v>
      </c>
      <c r="C4485">
        <v>36</v>
      </c>
      <c r="D4485" t="str">
        <f>VLOOKUP(B4485,Products!$A:$E,2,FALSE)</f>
        <v>Product_250</v>
      </c>
      <c r="E4485" t="str">
        <f>VLOOKUP(B4485,Products!$A:$E,3,FALSE)</f>
        <v>Networking</v>
      </c>
    </row>
    <row r="4486" spans="1:5" x14ac:dyDescent="0.3">
      <c r="A4486" t="s">
        <v>10498</v>
      </c>
      <c r="B4486" t="s">
        <v>630</v>
      </c>
      <c r="C4486">
        <v>37</v>
      </c>
      <c r="D4486" t="str">
        <f>VLOOKUP(B4486,Products!$A:$E,2,FALSE)</f>
        <v>Product_311</v>
      </c>
      <c r="E4486" t="str">
        <f>VLOOKUP(B4486,Products!$A:$E,3,FALSE)</f>
        <v>Networking</v>
      </c>
    </row>
    <row r="4487" spans="1:5" x14ac:dyDescent="0.3">
      <c r="A4487" t="s">
        <v>10499</v>
      </c>
      <c r="B4487" t="s">
        <v>394</v>
      </c>
      <c r="C4487">
        <v>39</v>
      </c>
      <c r="D4487" t="str">
        <f>VLOOKUP(B4487,Products!$A:$E,2,FALSE)</f>
        <v>Product_193</v>
      </c>
      <c r="E4487" t="str">
        <f>VLOOKUP(B4487,Products!$A:$E,3,FALSE)</f>
        <v>Accessories</v>
      </c>
    </row>
    <row r="4488" spans="1:5" x14ac:dyDescent="0.3">
      <c r="A4488" t="s">
        <v>10500</v>
      </c>
      <c r="B4488" t="s">
        <v>540</v>
      </c>
      <c r="C4488">
        <v>43</v>
      </c>
      <c r="D4488" t="str">
        <f>VLOOKUP(B4488,Products!$A:$E,2,FALSE)</f>
        <v>Product_266</v>
      </c>
      <c r="E4488" t="str">
        <f>VLOOKUP(B4488,Products!$A:$E,3,FALSE)</f>
        <v>Electronics</v>
      </c>
    </row>
    <row r="4489" spans="1:5" x14ac:dyDescent="0.3">
      <c r="A4489" t="s">
        <v>10501</v>
      </c>
      <c r="B4489" t="s">
        <v>400</v>
      </c>
      <c r="C4489">
        <v>3</v>
      </c>
      <c r="D4489" t="str">
        <f>VLOOKUP(B4489,Products!$A:$E,2,FALSE)</f>
        <v>Product_196</v>
      </c>
      <c r="E4489" t="str">
        <f>VLOOKUP(B4489,Products!$A:$E,3,FALSE)</f>
        <v>Office Supplies</v>
      </c>
    </row>
    <row r="4490" spans="1:5" x14ac:dyDescent="0.3">
      <c r="A4490" t="s">
        <v>10502</v>
      </c>
      <c r="B4490" t="s">
        <v>626</v>
      </c>
      <c r="C4490">
        <v>7</v>
      </c>
      <c r="D4490" t="str">
        <f>VLOOKUP(B4490,Products!$A:$E,2,FALSE)</f>
        <v>Product_309</v>
      </c>
      <c r="E4490" t="str">
        <f>VLOOKUP(B4490,Products!$A:$E,3,FALSE)</f>
        <v>Networking</v>
      </c>
    </row>
    <row r="4491" spans="1:5" x14ac:dyDescent="0.3">
      <c r="A4491" t="s">
        <v>10503</v>
      </c>
      <c r="B4491" t="s">
        <v>614</v>
      </c>
      <c r="C4491">
        <v>42</v>
      </c>
      <c r="D4491" t="str">
        <f>VLOOKUP(B4491,Products!$A:$E,2,FALSE)</f>
        <v>Product_303</v>
      </c>
      <c r="E4491" t="str">
        <f>VLOOKUP(B4491,Products!$A:$E,3,FALSE)</f>
        <v>Networking</v>
      </c>
    </row>
    <row r="4492" spans="1:5" x14ac:dyDescent="0.3">
      <c r="A4492" t="s">
        <v>10504</v>
      </c>
      <c r="B4492" t="s">
        <v>986</v>
      </c>
      <c r="C4492">
        <v>7</v>
      </c>
      <c r="D4492" t="str">
        <f>VLOOKUP(B4492,Products!$A:$E,2,FALSE)</f>
        <v>Product_489</v>
      </c>
      <c r="E4492" t="str">
        <f>VLOOKUP(B4492,Products!$A:$E,3,FALSE)</f>
        <v>Networking</v>
      </c>
    </row>
    <row r="4493" spans="1:5" x14ac:dyDescent="0.3">
      <c r="A4493" t="s">
        <v>10505</v>
      </c>
      <c r="B4493" t="s">
        <v>598</v>
      </c>
      <c r="C4493">
        <v>7</v>
      </c>
      <c r="D4493" t="str">
        <f>VLOOKUP(B4493,Products!$A:$E,2,FALSE)</f>
        <v>Product_295</v>
      </c>
      <c r="E4493" t="str">
        <f>VLOOKUP(B4493,Products!$A:$E,3,FALSE)</f>
        <v>Networking</v>
      </c>
    </row>
    <row r="4494" spans="1:5" x14ac:dyDescent="0.3">
      <c r="A4494" t="s">
        <v>10506</v>
      </c>
      <c r="B4494" t="s">
        <v>130</v>
      </c>
      <c r="C4494">
        <v>49</v>
      </c>
      <c r="D4494" t="str">
        <f>VLOOKUP(B4494,Products!$A:$E,2,FALSE)</f>
        <v>Product_61</v>
      </c>
      <c r="E4494" t="str">
        <f>VLOOKUP(B4494,Products!$A:$E,3,FALSE)</f>
        <v>Storage</v>
      </c>
    </row>
    <row r="4495" spans="1:5" x14ac:dyDescent="0.3">
      <c r="A4495" t="s">
        <v>10507</v>
      </c>
      <c r="B4495" t="s">
        <v>254</v>
      </c>
      <c r="C4495">
        <v>24</v>
      </c>
      <c r="D4495" t="str">
        <f>VLOOKUP(B4495,Products!$A:$E,2,FALSE)</f>
        <v>Product_123</v>
      </c>
      <c r="E4495" t="str">
        <f>VLOOKUP(B4495,Products!$A:$E,3,FALSE)</f>
        <v>Electronics</v>
      </c>
    </row>
    <row r="4496" spans="1:5" x14ac:dyDescent="0.3">
      <c r="A4496" t="s">
        <v>10508</v>
      </c>
      <c r="B4496" t="s">
        <v>604</v>
      </c>
      <c r="C4496">
        <v>44</v>
      </c>
      <c r="D4496" t="str">
        <f>VLOOKUP(B4496,Products!$A:$E,2,FALSE)</f>
        <v>Product_298</v>
      </c>
      <c r="E4496" t="str">
        <f>VLOOKUP(B4496,Products!$A:$E,3,FALSE)</f>
        <v>Office Supplies</v>
      </c>
    </row>
    <row r="4497" spans="1:5" x14ac:dyDescent="0.3">
      <c r="A4497" t="s">
        <v>10509</v>
      </c>
      <c r="B4497" t="s">
        <v>736</v>
      </c>
      <c r="C4497">
        <v>39</v>
      </c>
      <c r="D4497" t="str">
        <f>VLOOKUP(B4497,Products!$A:$E,2,FALSE)</f>
        <v>Product_364</v>
      </c>
      <c r="E4497" t="str">
        <f>VLOOKUP(B4497,Products!$A:$E,3,FALSE)</f>
        <v>Networking</v>
      </c>
    </row>
    <row r="4498" spans="1:5" x14ac:dyDescent="0.3">
      <c r="A4498" t="s">
        <v>10510</v>
      </c>
      <c r="B4498" t="s">
        <v>440</v>
      </c>
      <c r="C4498">
        <v>26</v>
      </c>
      <c r="D4498" t="str">
        <f>VLOOKUP(B4498,Products!$A:$E,2,FALSE)</f>
        <v>Product_216</v>
      </c>
      <c r="E4498" t="str">
        <f>VLOOKUP(B4498,Products!$A:$E,3,FALSE)</f>
        <v>Accessories</v>
      </c>
    </row>
    <row r="4499" spans="1:5" x14ac:dyDescent="0.3">
      <c r="A4499" t="s">
        <v>10511</v>
      </c>
      <c r="B4499" t="s">
        <v>744</v>
      </c>
      <c r="C4499">
        <v>48</v>
      </c>
      <c r="D4499" t="str">
        <f>VLOOKUP(B4499,Products!$A:$E,2,FALSE)</f>
        <v>Product_368</v>
      </c>
      <c r="E4499" t="str">
        <f>VLOOKUP(B4499,Products!$A:$E,3,FALSE)</f>
        <v>Office Supplies</v>
      </c>
    </row>
    <row r="4500" spans="1:5" x14ac:dyDescent="0.3">
      <c r="A4500" t="s">
        <v>10512</v>
      </c>
      <c r="B4500" t="s">
        <v>50</v>
      </c>
      <c r="C4500">
        <v>23</v>
      </c>
      <c r="D4500" t="str">
        <f>VLOOKUP(B4500,Products!$A:$E,2,FALSE)</f>
        <v>Product_21</v>
      </c>
      <c r="E4500" t="str">
        <f>VLOOKUP(B4500,Products!$A:$E,3,FALSE)</f>
        <v>Office Supplies</v>
      </c>
    </row>
    <row r="4501" spans="1:5" x14ac:dyDescent="0.3">
      <c r="A4501" t="s">
        <v>10513</v>
      </c>
      <c r="B4501" t="s">
        <v>672</v>
      </c>
      <c r="C4501">
        <v>29</v>
      </c>
      <c r="D4501" t="str">
        <f>VLOOKUP(B4501,Products!$A:$E,2,FALSE)</f>
        <v>Product_332</v>
      </c>
      <c r="E4501" t="str">
        <f>VLOOKUP(B4501,Products!$A:$E,3,FALSE)</f>
        <v>Electronics</v>
      </c>
    </row>
    <row r="4502" spans="1:5" x14ac:dyDescent="0.3">
      <c r="A4502" t="s">
        <v>10514</v>
      </c>
      <c r="B4502" t="s">
        <v>882</v>
      </c>
      <c r="C4502">
        <v>30</v>
      </c>
      <c r="D4502" t="str">
        <f>VLOOKUP(B4502,Products!$A:$E,2,FALSE)</f>
        <v>Product_437</v>
      </c>
      <c r="E4502" t="str">
        <f>VLOOKUP(B4502,Products!$A:$E,3,FALSE)</f>
        <v>Accessories</v>
      </c>
    </row>
    <row r="4503" spans="1:5" x14ac:dyDescent="0.3">
      <c r="A4503" t="s">
        <v>10515</v>
      </c>
      <c r="B4503" t="s">
        <v>596</v>
      </c>
      <c r="C4503">
        <v>34</v>
      </c>
      <c r="D4503" t="str">
        <f>VLOOKUP(B4503,Products!$A:$E,2,FALSE)</f>
        <v>Product_294</v>
      </c>
      <c r="E4503" t="str">
        <f>VLOOKUP(B4503,Products!$A:$E,3,FALSE)</f>
        <v>Networking</v>
      </c>
    </row>
    <row r="4504" spans="1:5" x14ac:dyDescent="0.3">
      <c r="A4504" t="s">
        <v>10516</v>
      </c>
      <c r="B4504" t="s">
        <v>48</v>
      </c>
      <c r="C4504">
        <v>26</v>
      </c>
      <c r="D4504" t="str">
        <f>VLOOKUP(B4504,Products!$A:$E,2,FALSE)</f>
        <v>Product_20</v>
      </c>
      <c r="E4504" t="str">
        <f>VLOOKUP(B4504,Products!$A:$E,3,FALSE)</f>
        <v>Office Supplies</v>
      </c>
    </row>
    <row r="4505" spans="1:5" x14ac:dyDescent="0.3">
      <c r="A4505" t="s">
        <v>10517</v>
      </c>
      <c r="B4505" t="s">
        <v>842</v>
      </c>
      <c r="C4505">
        <v>41</v>
      </c>
      <c r="D4505" t="str">
        <f>VLOOKUP(B4505,Products!$A:$E,2,FALSE)</f>
        <v>Product_417</v>
      </c>
      <c r="E4505" t="str">
        <f>VLOOKUP(B4505,Products!$A:$E,3,FALSE)</f>
        <v>Accessories</v>
      </c>
    </row>
    <row r="4506" spans="1:5" x14ac:dyDescent="0.3">
      <c r="A4506" t="s">
        <v>10518</v>
      </c>
      <c r="B4506" t="s">
        <v>772</v>
      </c>
      <c r="C4506">
        <v>50</v>
      </c>
      <c r="D4506" t="str">
        <f>VLOOKUP(B4506,Products!$A:$E,2,FALSE)</f>
        <v>Product_382</v>
      </c>
      <c r="E4506" t="str">
        <f>VLOOKUP(B4506,Products!$A:$E,3,FALSE)</f>
        <v>Storage</v>
      </c>
    </row>
    <row r="4507" spans="1:5" x14ac:dyDescent="0.3">
      <c r="A4507" t="s">
        <v>10519</v>
      </c>
      <c r="B4507" t="s">
        <v>452</v>
      </c>
      <c r="C4507">
        <v>43</v>
      </c>
      <c r="D4507" t="str">
        <f>VLOOKUP(B4507,Products!$A:$E,2,FALSE)</f>
        <v>Product_222</v>
      </c>
      <c r="E4507" t="str">
        <f>VLOOKUP(B4507,Products!$A:$E,3,FALSE)</f>
        <v>Networking</v>
      </c>
    </row>
    <row r="4508" spans="1:5" x14ac:dyDescent="0.3">
      <c r="A4508" t="s">
        <v>10520</v>
      </c>
      <c r="B4508" t="s">
        <v>938</v>
      </c>
      <c r="C4508">
        <v>2</v>
      </c>
      <c r="D4508" t="str">
        <f>VLOOKUP(B4508,Products!$A:$E,2,FALSE)</f>
        <v>Product_465</v>
      </c>
      <c r="E4508" t="str">
        <f>VLOOKUP(B4508,Products!$A:$E,3,FALSE)</f>
        <v>Electronics</v>
      </c>
    </row>
    <row r="4509" spans="1:5" x14ac:dyDescent="0.3">
      <c r="A4509" t="s">
        <v>10521</v>
      </c>
      <c r="B4509" t="s">
        <v>230</v>
      </c>
      <c r="C4509">
        <v>37</v>
      </c>
      <c r="D4509" t="str">
        <f>VLOOKUP(B4509,Products!$A:$E,2,FALSE)</f>
        <v>Product_111</v>
      </c>
      <c r="E4509" t="str">
        <f>VLOOKUP(B4509,Products!$A:$E,3,FALSE)</f>
        <v>Office Supplies</v>
      </c>
    </row>
    <row r="4510" spans="1:5" x14ac:dyDescent="0.3">
      <c r="A4510" t="s">
        <v>10522</v>
      </c>
      <c r="B4510" t="s">
        <v>194</v>
      </c>
      <c r="C4510">
        <v>2</v>
      </c>
      <c r="D4510" t="str">
        <f>VLOOKUP(B4510,Products!$A:$E,2,FALSE)</f>
        <v>Product_93</v>
      </c>
      <c r="E4510" t="str">
        <f>VLOOKUP(B4510,Products!$A:$E,3,FALSE)</f>
        <v>Office Supplies</v>
      </c>
    </row>
    <row r="4511" spans="1:5" x14ac:dyDescent="0.3">
      <c r="A4511" t="s">
        <v>10523</v>
      </c>
      <c r="B4511" t="s">
        <v>654</v>
      </c>
      <c r="C4511">
        <v>22</v>
      </c>
      <c r="D4511" t="str">
        <f>VLOOKUP(B4511,Products!$A:$E,2,FALSE)</f>
        <v>Product_323</v>
      </c>
      <c r="E4511" t="str">
        <f>VLOOKUP(B4511,Products!$A:$E,3,FALSE)</f>
        <v>Electronics</v>
      </c>
    </row>
    <row r="4512" spans="1:5" x14ac:dyDescent="0.3">
      <c r="A4512" t="s">
        <v>10524</v>
      </c>
      <c r="B4512" t="s">
        <v>110</v>
      </c>
      <c r="C4512">
        <v>19</v>
      </c>
      <c r="D4512" t="str">
        <f>VLOOKUP(B4512,Products!$A:$E,2,FALSE)</f>
        <v>Product_51</v>
      </c>
      <c r="E4512" t="str">
        <f>VLOOKUP(B4512,Products!$A:$E,3,FALSE)</f>
        <v>Storage</v>
      </c>
    </row>
    <row r="4513" spans="1:5" x14ac:dyDescent="0.3">
      <c r="A4513" t="s">
        <v>10525</v>
      </c>
      <c r="B4513" t="s">
        <v>952</v>
      </c>
      <c r="C4513">
        <v>27</v>
      </c>
      <c r="D4513" t="str">
        <f>VLOOKUP(B4513,Products!$A:$E,2,FALSE)</f>
        <v>Product_472</v>
      </c>
      <c r="E4513" t="str">
        <f>VLOOKUP(B4513,Products!$A:$E,3,FALSE)</f>
        <v>Electronics</v>
      </c>
    </row>
    <row r="4514" spans="1:5" x14ac:dyDescent="0.3">
      <c r="A4514" t="s">
        <v>10526</v>
      </c>
      <c r="B4514" t="s">
        <v>830</v>
      </c>
      <c r="C4514">
        <v>2</v>
      </c>
      <c r="D4514" t="str">
        <f>VLOOKUP(B4514,Products!$A:$E,2,FALSE)</f>
        <v>Product_411</v>
      </c>
      <c r="E4514" t="str">
        <f>VLOOKUP(B4514,Products!$A:$E,3,FALSE)</f>
        <v>Office Supplies</v>
      </c>
    </row>
    <row r="4515" spans="1:5" x14ac:dyDescent="0.3">
      <c r="A4515" t="s">
        <v>10527</v>
      </c>
      <c r="B4515" t="s">
        <v>756</v>
      </c>
      <c r="C4515">
        <v>30</v>
      </c>
      <c r="D4515" t="str">
        <f>VLOOKUP(B4515,Products!$A:$E,2,FALSE)</f>
        <v>Product_374</v>
      </c>
      <c r="E4515" t="str">
        <f>VLOOKUP(B4515,Products!$A:$E,3,FALSE)</f>
        <v>Office Supplies</v>
      </c>
    </row>
    <row r="4516" spans="1:5" x14ac:dyDescent="0.3">
      <c r="A4516" t="s">
        <v>10528</v>
      </c>
      <c r="B4516" t="s">
        <v>878</v>
      </c>
      <c r="C4516">
        <v>17</v>
      </c>
      <c r="D4516" t="str">
        <f>VLOOKUP(B4516,Products!$A:$E,2,FALSE)</f>
        <v>Product_435</v>
      </c>
      <c r="E4516" t="str">
        <f>VLOOKUP(B4516,Products!$A:$E,3,FALSE)</f>
        <v>Accessories</v>
      </c>
    </row>
    <row r="4517" spans="1:5" x14ac:dyDescent="0.3">
      <c r="A4517" t="s">
        <v>10529</v>
      </c>
      <c r="B4517" t="s">
        <v>376</v>
      </c>
      <c r="C4517">
        <v>44</v>
      </c>
      <c r="D4517" t="str">
        <f>VLOOKUP(B4517,Products!$A:$E,2,FALSE)</f>
        <v>Product_184</v>
      </c>
      <c r="E4517" t="str">
        <f>VLOOKUP(B4517,Products!$A:$E,3,FALSE)</f>
        <v>Electronics</v>
      </c>
    </row>
    <row r="4518" spans="1:5" x14ac:dyDescent="0.3">
      <c r="A4518" t="s">
        <v>10530</v>
      </c>
      <c r="B4518" t="s">
        <v>362</v>
      </c>
      <c r="C4518">
        <v>23</v>
      </c>
      <c r="D4518" t="str">
        <f>VLOOKUP(B4518,Products!$A:$E,2,FALSE)</f>
        <v>Product_177</v>
      </c>
      <c r="E4518" t="str">
        <f>VLOOKUP(B4518,Products!$A:$E,3,FALSE)</f>
        <v>Office Supplies</v>
      </c>
    </row>
    <row r="4519" spans="1:5" x14ac:dyDescent="0.3">
      <c r="A4519" t="s">
        <v>10531</v>
      </c>
      <c r="B4519" t="s">
        <v>1006</v>
      </c>
      <c r="C4519">
        <v>16</v>
      </c>
      <c r="D4519" t="str">
        <f>VLOOKUP(B4519,Products!$A:$E,2,FALSE)</f>
        <v>Product_499</v>
      </c>
      <c r="E4519" t="str">
        <f>VLOOKUP(B4519,Products!$A:$E,3,FALSE)</f>
        <v>Office Supplies</v>
      </c>
    </row>
    <row r="4520" spans="1:5" x14ac:dyDescent="0.3">
      <c r="A4520" t="s">
        <v>10532</v>
      </c>
      <c r="B4520" t="s">
        <v>292</v>
      </c>
      <c r="C4520">
        <v>29</v>
      </c>
      <c r="D4520" t="str">
        <f>VLOOKUP(B4520,Products!$A:$E,2,FALSE)</f>
        <v>Product_142</v>
      </c>
      <c r="E4520" t="str">
        <f>VLOOKUP(B4520,Products!$A:$E,3,FALSE)</f>
        <v>Storage</v>
      </c>
    </row>
    <row r="4521" spans="1:5" x14ac:dyDescent="0.3">
      <c r="A4521" t="s">
        <v>10533</v>
      </c>
      <c r="B4521" t="s">
        <v>812</v>
      </c>
      <c r="C4521">
        <v>4</v>
      </c>
      <c r="D4521" t="str">
        <f>VLOOKUP(B4521,Products!$A:$E,2,FALSE)</f>
        <v>Product_402</v>
      </c>
      <c r="E4521" t="str">
        <f>VLOOKUP(B4521,Products!$A:$E,3,FALSE)</f>
        <v>Accessories</v>
      </c>
    </row>
    <row r="4522" spans="1:5" x14ac:dyDescent="0.3">
      <c r="A4522" t="s">
        <v>10534</v>
      </c>
      <c r="B4522" t="s">
        <v>342</v>
      </c>
      <c r="C4522">
        <v>30</v>
      </c>
      <c r="D4522" t="str">
        <f>VLOOKUP(B4522,Products!$A:$E,2,FALSE)</f>
        <v>Product_167</v>
      </c>
      <c r="E4522" t="str">
        <f>VLOOKUP(B4522,Products!$A:$E,3,FALSE)</f>
        <v>Electronics</v>
      </c>
    </row>
    <row r="4523" spans="1:5" x14ac:dyDescent="0.3">
      <c r="A4523" t="s">
        <v>10535</v>
      </c>
      <c r="B4523" t="s">
        <v>724</v>
      </c>
      <c r="C4523">
        <v>41</v>
      </c>
      <c r="D4523" t="str">
        <f>VLOOKUP(B4523,Products!$A:$E,2,FALSE)</f>
        <v>Product_358</v>
      </c>
      <c r="E4523" t="str">
        <f>VLOOKUP(B4523,Products!$A:$E,3,FALSE)</f>
        <v>Storage</v>
      </c>
    </row>
    <row r="4524" spans="1:5" x14ac:dyDescent="0.3">
      <c r="A4524" t="s">
        <v>10536</v>
      </c>
      <c r="B4524" t="s">
        <v>278</v>
      </c>
      <c r="C4524">
        <v>50</v>
      </c>
      <c r="D4524" t="str">
        <f>VLOOKUP(B4524,Products!$A:$E,2,FALSE)</f>
        <v>Product_135</v>
      </c>
      <c r="E4524" t="str">
        <f>VLOOKUP(B4524,Products!$A:$E,3,FALSE)</f>
        <v>Accessories</v>
      </c>
    </row>
    <row r="4525" spans="1:5" x14ac:dyDescent="0.3">
      <c r="A4525" t="s">
        <v>10537</v>
      </c>
      <c r="B4525" t="s">
        <v>822</v>
      </c>
      <c r="C4525">
        <v>11</v>
      </c>
      <c r="D4525" t="str">
        <f>VLOOKUP(B4525,Products!$A:$E,2,FALSE)</f>
        <v>Product_407</v>
      </c>
      <c r="E4525" t="str">
        <f>VLOOKUP(B4525,Products!$A:$E,3,FALSE)</f>
        <v>Networking</v>
      </c>
    </row>
    <row r="4526" spans="1:5" x14ac:dyDescent="0.3">
      <c r="A4526" t="s">
        <v>10538</v>
      </c>
      <c r="B4526" t="s">
        <v>224</v>
      </c>
      <c r="C4526">
        <v>36</v>
      </c>
      <c r="D4526" t="str">
        <f>VLOOKUP(B4526,Products!$A:$E,2,FALSE)</f>
        <v>Product_108</v>
      </c>
      <c r="E4526" t="str">
        <f>VLOOKUP(B4526,Products!$A:$E,3,FALSE)</f>
        <v>Networking</v>
      </c>
    </row>
    <row r="4527" spans="1:5" x14ac:dyDescent="0.3">
      <c r="A4527" t="s">
        <v>10539</v>
      </c>
      <c r="B4527" t="s">
        <v>798</v>
      </c>
      <c r="C4527">
        <v>36</v>
      </c>
      <c r="D4527" t="str">
        <f>VLOOKUP(B4527,Products!$A:$E,2,FALSE)</f>
        <v>Product_395</v>
      </c>
      <c r="E4527" t="str">
        <f>VLOOKUP(B4527,Products!$A:$E,3,FALSE)</f>
        <v>Accessories</v>
      </c>
    </row>
    <row r="4528" spans="1:5" x14ac:dyDescent="0.3">
      <c r="A4528" t="s">
        <v>10540</v>
      </c>
      <c r="B4528" t="s">
        <v>672</v>
      </c>
      <c r="C4528">
        <v>21</v>
      </c>
      <c r="D4528" t="str">
        <f>VLOOKUP(B4528,Products!$A:$E,2,FALSE)</f>
        <v>Product_332</v>
      </c>
      <c r="E4528" t="str">
        <f>VLOOKUP(B4528,Products!$A:$E,3,FALSE)</f>
        <v>Electronics</v>
      </c>
    </row>
    <row r="4529" spans="1:5" x14ac:dyDescent="0.3">
      <c r="A4529" t="s">
        <v>10541</v>
      </c>
      <c r="B4529" t="s">
        <v>768</v>
      </c>
      <c r="C4529">
        <v>26</v>
      </c>
      <c r="D4529" t="str">
        <f>VLOOKUP(B4529,Products!$A:$E,2,FALSE)</f>
        <v>Product_380</v>
      </c>
      <c r="E4529" t="str">
        <f>VLOOKUP(B4529,Products!$A:$E,3,FALSE)</f>
        <v>Electronics</v>
      </c>
    </row>
    <row r="4530" spans="1:5" x14ac:dyDescent="0.3">
      <c r="A4530" t="s">
        <v>10542</v>
      </c>
      <c r="B4530" t="s">
        <v>780</v>
      </c>
      <c r="C4530">
        <v>23</v>
      </c>
      <c r="D4530" t="str">
        <f>VLOOKUP(B4530,Products!$A:$E,2,FALSE)</f>
        <v>Product_386</v>
      </c>
      <c r="E4530" t="str">
        <f>VLOOKUP(B4530,Products!$A:$E,3,FALSE)</f>
        <v>Electronics</v>
      </c>
    </row>
    <row r="4531" spans="1:5" x14ac:dyDescent="0.3">
      <c r="A4531" t="s">
        <v>10543</v>
      </c>
      <c r="B4531" t="s">
        <v>808</v>
      </c>
      <c r="C4531">
        <v>12</v>
      </c>
      <c r="D4531" t="str">
        <f>VLOOKUP(B4531,Products!$A:$E,2,FALSE)</f>
        <v>Product_400</v>
      </c>
      <c r="E4531" t="str">
        <f>VLOOKUP(B4531,Products!$A:$E,3,FALSE)</f>
        <v>Networking</v>
      </c>
    </row>
    <row r="4532" spans="1:5" x14ac:dyDescent="0.3">
      <c r="A4532" t="s">
        <v>10544</v>
      </c>
      <c r="B4532" t="s">
        <v>874</v>
      </c>
      <c r="C4532">
        <v>32</v>
      </c>
      <c r="D4532" t="str">
        <f>VLOOKUP(B4532,Products!$A:$E,2,FALSE)</f>
        <v>Product_433</v>
      </c>
      <c r="E4532" t="str">
        <f>VLOOKUP(B4532,Products!$A:$E,3,FALSE)</f>
        <v>Office Supplies</v>
      </c>
    </row>
    <row r="4533" spans="1:5" x14ac:dyDescent="0.3">
      <c r="A4533" t="s">
        <v>10545</v>
      </c>
      <c r="B4533" t="s">
        <v>886</v>
      </c>
      <c r="C4533">
        <v>6</v>
      </c>
      <c r="D4533" t="str">
        <f>VLOOKUP(B4533,Products!$A:$E,2,FALSE)</f>
        <v>Product_439</v>
      </c>
      <c r="E4533" t="str">
        <f>VLOOKUP(B4533,Products!$A:$E,3,FALSE)</f>
        <v>Networking</v>
      </c>
    </row>
    <row r="4534" spans="1:5" x14ac:dyDescent="0.3">
      <c r="A4534" t="s">
        <v>10546</v>
      </c>
      <c r="B4534" t="s">
        <v>350</v>
      </c>
      <c r="C4534">
        <v>23</v>
      </c>
      <c r="D4534" t="str">
        <f>VLOOKUP(B4534,Products!$A:$E,2,FALSE)</f>
        <v>Product_171</v>
      </c>
      <c r="E4534" t="str">
        <f>VLOOKUP(B4534,Products!$A:$E,3,FALSE)</f>
        <v>Electronics</v>
      </c>
    </row>
    <row r="4535" spans="1:5" x14ac:dyDescent="0.3">
      <c r="A4535" t="s">
        <v>10547</v>
      </c>
      <c r="B4535" t="s">
        <v>640</v>
      </c>
      <c r="C4535">
        <v>35</v>
      </c>
      <c r="D4535" t="str">
        <f>VLOOKUP(B4535,Products!$A:$E,2,FALSE)</f>
        <v>Product_316</v>
      </c>
      <c r="E4535" t="str">
        <f>VLOOKUP(B4535,Products!$A:$E,3,FALSE)</f>
        <v>Networking</v>
      </c>
    </row>
    <row r="4536" spans="1:5" x14ac:dyDescent="0.3">
      <c r="A4536" t="s">
        <v>10548</v>
      </c>
      <c r="B4536" t="s">
        <v>766</v>
      </c>
      <c r="C4536">
        <v>15</v>
      </c>
      <c r="D4536" t="str">
        <f>VLOOKUP(B4536,Products!$A:$E,2,FALSE)</f>
        <v>Product_379</v>
      </c>
      <c r="E4536" t="str">
        <f>VLOOKUP(B4536,Products!$A:$E,3,FALSE)</f>
        <v>Office Supplies</v>
      </c>
    </row>
    <row r="4537" spans="1:5" x14ac:dyDescent="0.3">
      <c r="A4537" t="s">
        <v>10549</v>
      </c>
      <c r="B4537" t="s">
        <v>334</v>
      </c>
      <c r="C4537">
        <v>20</v>
      </c>
      <c r="D4537" t="str">
        <f>VLOOKUP(B4537,Products!$A:$E,2,FALSE)</f>
        <v>Product_163</v>
      </c>
      <c r="E4537" t="str">
        <f>VLOOKUP(B4537,Products!$A:$E,3,FALSE)</f>
        <v>Accessories</v>
      </c>
    </row>
    <row r="4538" spans="1:5" x14ac:dyDescent="0.3">
      <c r="A4538" t="s">
        <v>10550</v>
      </c>
      <c r="B4538" t="s">
        <v>112</v>
      </c>
      <c r="C4538">
        <v>47</v>
      </c>
      <c r="D4538" t="str">
        <f>VLOOKUP(B4538,Products!$A:$E,2,FALSE)</f>
        <v>Product_52</v>
      </c>
      <c r="E4538" t="str">
        <f>VLOOKUP(B4538,Products!$A:$E,3,FALSE)</f>
        <v>Electronics</v>
      </c>
    </row>
    <row r="4539" spans="1:5" x14ac:dyDescent="0.3">
      <c r="A4539" t="s">
        <v>10551</v>
      </c>
      <c r="B4539" t="s">
        <v>102</v>
      </c>
      <c r="C4539">
        <v>41</v>
      </c>
      <c r="D4539" t="str">
        <f>VLOOKUP(B4539,Products!$A:$E,2,FALSE)</f>
        <v>Product_47</v>
      </c>
      <c r="E4539" t="str">
        <f>VLOOKUP(B4539,Products!$A:$E,3,FALSE)</f>
        <v>Electronics</v>
      </c>
    </row>
    <row r="4540" spans="1:5" x14ac:dyDescent="0.3">
      <c r="A4540" t="s">
        <v>10552</v>
      </c>
      <c r="B4540" t="s">
        <v>424</v>
      </c>
      <c r="C4540">
        <v>21</v>
      </c>
      <c r="D4540" t="str">
        <f>VLOOKUP(B4540,Products!$A:$E,2,FALSE)</f>
        <v>Product_208</v>
      </c>
      <c r="E4540" t="str">
        <f>VLOOKUP(B4540,Products!$A:$E,3,FALSE)</f>
        <v>Electronics</v>
      </c>
    </row>
    <row r="4541" spans="1:5" x14ac:dyDescent="0.3">
      <c r="A4541" t="s">
        <v>10553</v>
      </c>
      <c r="B4541" t="s">
        <v>646</v>
      </c>
      <c r="C4541">
        <v>32</v>
      </c>
      <c r="D4541" t="str">
        <f>VLOOKUP(B4541,Products!$A:$E,2,FALSE)</f>
        <v>Product_319</v>
      </c>
      <c r="E4541" t="str">
        <f>VLOOKUP(B4541,Products!$A:$E,3,FALSE)</f>
        <v>Accessories</v>
      </c>
    </row>
    <row r="4542" spans="1:5" x14ac:dyDescent="0.3">
      <c r="A4542" t="s">
        <v>10554</v>
      </c>
      <c r="B4542" t="s">
        <v>664</v>
      </c>
      <c r="C4542">
        <v>12</v>
      </c>
      <c r="D4542" t="str">
        <f>VLOOKUP(B4542,Products!$A:$E,2,FALSE)</f>
        <v>Product_328</v>
      </c>
      <c r="E4542" t="str">
        <f>VLOOKUP(B4542,Products!$A:$E,3,FALSE)</f>
        <v>Office Supplies</v>
      </c>
    </row>
    <row r="4543" spans="1:5" x14ac:dyDescent="0.3">
      <c r="A4543" t="s">
        <v>10555</v>
      </c>
      <c r="B4543" t="s">
        <v>784</v>
      </c>
      <c r="C4543">
        <v>25</v>
      </c>
      <c r="D4543" t="str">
        <f>VLOOKUP(B4543,Products!$A:$E,2,FALSE)</f>
        <v>Product_388</v>
      </c>
      <c r="E4543" t="str">
        <f>VLOOKUP(B4543,Products!$A:$E,3,FALSE)</f>
        <v>Office Supplies</v>
      </c>
    </row>
    <row r="4544" spans="1:5" x14ac:dyDescent="0.3">
      <c r="A4544" t="s">
        <v>10556</v>
      </c>
      <c r="B4544" t="s">
        <v>216</v>
      </c>
      <c r="C4544">
        <v>17</v>
      </c>
      <c r="D4544" t="str">
        <f>VLOOKUP(B4544,Products!$A:$E,2,FALSE)</f>
        <v>Product_104</v>
      </c>
      <c r="E4544" t="str">
        <f>VLOOKUP(B4544,Products!$A:$E,3,FALSE)</f>
        <v>Networking</v>
      </c>
    </row>
    <row r="4545" spans="1:5" x14ac:dyDescent="0.3">
      <c r="A4545" t="s">
        <v>10557</v>
      </c>
      <c r="B4545" t="s">
        <v>886</v>
      </c>
      <c r="C4545">
        <v>46</v>
      </c>
      <c r="D4545" t="str">
        <f>VLOOKUP(B4545,Products!$A:$E,2,FALSE)</f>
        <v>Product_439</v>
      </c>
      <c r="E4545" t="str">
        <f>VLOOKUP(B4545,Products!$A:$E,3,FALSE)</f>
        <v>Networking</v>
      </c>
    </row>
    <row r="4546" spans="1:5" x14ac:dyDescent="0.3">
      <c r="A4546" t="s">
        <v>10558</v>
      </c>
      <c r="B4546" t="s">
        <v>506</v>
      </c>
      <c r="C4546">
        <v>23</v>
      </c>
      <c r="D4546" t="str">
        <f>VLOOKUP(B4546,Products!$A:$E,2,FALSE)</f>
        <v>Product_249</v>
      </c>
      <c r="E4546" t="str">
        <f>VLOOKUP(B4546,Products!$A:$E,3,FALSE)</f>
        <v>Storage</v>
      </c>
    </row>
    <row r="4547" spans="1:5" x14ac:dyDescent="0.3">
      <c r="A4547" t="s">
        <v>10559</v>
      </c>
      <c r="B4547" t="s">
        <v>354</v>
      </c>
      <c r="C4547">
        <v>29</v>
      </c>
      <c r="D4547" t="str">
        <f>VLOOKUP(B4547,Products!$A:$E,2,FALSE)</f>
        <v>Product_173</v>
      </c>
      <c r="E4547" t="str">
        <f>VLOOKUP(B4547,Products!$A:$E,3,FALSE)</f>
        <v>Electronics</v>
      </c>
    </row>
    <row r="4548" spans="1:5" x14ac:dyDescent="0.3">
      <c r="A4548" t="s">
        <v>10560</v>
      </c>
      <c r="B4548" t="s">
        <v>926</v>
      </c>
      <c r="C4548">
        <v>24</v>
      </c>
      <c r="D4548" t="str">
        <f>VLOOKUP(B4548,Products!$A:$E,2,FALSE)</f>
        <v>Product_459</v>
      </c>
      <c r="E4548" t="str">
        <f>VLOOKUP(B4548,Products!$A:$E,3,FALSE)</f>
        <v>Office Supplies</v>
      </c>
    </row>
    <row r="4549" spans="1:5" x14ac:dyDescent="0.3">
      <c r="A4549" t="s">
        <v>10561</v>
      </c>
      <c r="B4549" t="s">
        <v>782</v>
      </c>
      <c r="C4549">
        <v>11</v>
      </c>
      <c r="D4549" t="str">
        <f>VLOOKUP(B4549,Products!$A:$E,2,FALSE)</f>
        <v>Product_387</v>
      </c>
      <c r="E4549" t="str">
        <f>VLOOKUP(B4549,Products!$A:$E,3,FALSE)</f>
        <v>Storage</v>
      </c>
    </row>
    <row r="4550" spans="1:5" x14ac:dyDescent="0.3">
      <c r="A4550" t="s">
        <v>10562</v>
      </c>
      <c r="B4550" t="s">
        <v>992</v>
      </c>
      <c r="C4550">
        <v>11</v>
      </c>
      <c r="D4550" t="str">
        <f>VLOOKUP(B4550,Products!$A:$E,2,FALSE)</f>
        <v>Product_492</v>
      </c>
      <c r="E4550" t="str">
        <f>VLOOKUP(B4550,Products!$A:$E,3,FALSE)</f>
        <v>Electronics</v>
      </c>
    </row>
    <row r="4551" spans="1:5" x14ac:dyDescent="0.3">
      <c r="A4551" t="s">
        <v>10563</v>
      </c>
      <c r="B4551" t="s">
        <v>340</v>
      </c>
      <c r="C4551">
        <v>2</v>
      </c>
      <c r="D4551" t="str">
        <f>VLOOKUP(B4551,Products!$A:$E,2,FALSE)</f>
        <v>Product_166</v>
      </c>
      <c r="E4551" t="str">
        <f>VLOOKUP(B4551,Products!$A:$E,3,FALSE)</f>
        <v>Accessories</v>
      </c>
    </row>
    <row r="4552" spans="1:5" x14ac:dyDescent="0.3">
      <c r="A4552" t="s">
        <v>10564</v>
      </c>
      <c r="B4552" t="s">
        <v>124</v>
      </c>
      <c r="C4552">
        <v>13</v>
      </c>
      <c r="D4552" t="str">
        <f>VLOOKUP(B4552,Products!$A:$E,2,FALSE)</f>
        <v>Product_58</v>
      </c>
      <c r="E4552" t="str">
        <f>VLOOKUP(B4552,Products!$A:$E,3,FALSE)</f>
        <v>Office Supplies</v>
      </c>
    </row>
    <row r="4553" spans="1:5" x14ac:dyDescent="0.3">
      <c r="A4553" t="s">
        <v>10565</v>
      </c>
      <c r="B4553" t="s">
        <v>604</v>
      </c>
      <c r="C4553">
        <v>20</v>
      </c>
      <c r="D4553" t="str">
        <f>VLOOKUP(B4553,Products!$A:$E,2,FALSE)</f>
        <v>Product_298</v>
      </c>
      <c r="E4553" t="str">
        <f>VLOOKUP(B4553,Products!$A:$E,3,FALSE)</f>
        <v>Office Supplies</v>
      </c>
    </row>
    <row r="4554" spans="1:5" x14ac:dyDescent="0.3">
      <c r="A4554" t="s">
        <v>10566</v>
      </c>
      <c r="B4554" t="s">
        <v>940</v>
      </c>
      <c r="C4554">
        <v>33</v>
      </c>
      <c r="D4554" t="str">
        <f>VLOOKUP(B4554,Products!$A:$E,2,FALSE)</f>
        <v>Product_466</v>
      </c>
      <c r="E4554" t="str">
        <f>VLOOKUP(B4554,Products!$A:$E,3,FALSE)</f>
        <v>Networking</v>
      </c>
    </row>
    <row r="4555" spans="1:5" x14ac:dyDescent="0.3">
      <c r="A4555" t="s">
        <v>10567</v>
      </c>
      <c r="B4555" t="s">
        <v>726</v>
      </c>
      <c r="C4555">
        <v>42</v>
      </c>
      <c r="D4555" t="str">
        <f>VLOOKUP(B4555,Products!$A:$E,2,FALSE)</f>
        <v>Product_359</v>
      </c>
      <c r="E4555" t="str">
        <f>VLOOKUP(B4555,Products!$A:$E,3,FALSE)</f>
        <v>Electronics</v>
      </c>
    </row>
    <row r="4556" spans="1:5" x14ac:dyDescent="0.3">
      <c r="A4556" t="s">
        <v>10568</v>
      </c>
      <c r="B4556" t="s">
        <v>582</v>
      </c>
      <c r="C4556">
        <v>19</v>
      </c>
      <c r="D4556" t="str">
        <f>VLOOKUP(B4556,Products!$A:$E,2,FALSE)</f>
        <v>Product_287</v>
      </c>
      <c r="E4556" t="str">
        <f>VLOOKUP(B4556,Products!$A:$E,3,FALSE)</f>
        <v>Storage</v>
      </c>
    </row>
    <row r="4557" spans="1:5" x14ac:dyDescent="0.3">
      <c r="A4557" t="s">
        <v>10569</v>
      </c>
      <c r="B4557" t="s">
        <v>784</v>
      </c>
      <c r="C4557">
        <v>36</v>
      </c>
      <c r="D4557" t="str">
        <f>VLOOKUP(B4557,Products!$A:$E,2,FALSE)</f>
        <v>Product_388</v>
      </c>
      <c r="E4557" t="str">
        <f>VLOOKUP(B4557,Products!$A:$E,3,FALSE)</f>
        <v>Office Supplies</v>
      </c>
    </row>
    <row r="4558" spans="1:5" x14ac:dyDescent="0.3">
      <c r="A4558" t="s">
        <v>10570</v>
      </c>
      <c r="B4558" t="s">
        <v>560</v>
      </c>
      <c r="C4558">
        <v>12</v>
      </c>
      <c r="D4558" t="str">
        <f>VLOOKUP(B4558,Products!$A:$E,2,FALSE)</f>
        <v>Product_276</v>
      </c>
      <c r="E4558" t="str">
        <f>VLOOKUP(B4558,Products!$A:$E,3,FALSE)</f>
        <v>Office Supplies</v>
      </c>
    </row>
    <row r="4559" spans="1:5" x14ac:dyDescent="0.3">
      <c r="A4559" t="s">
        <v>10571</v>
      </c>
      <c r="B4559" t="s">
        <v>416</v>
      </c>
      <c r="C4559">
        <v>40</v>
      </c>
      <c r="D4559" t="str">
        <f>VLOOKUP(B4559,Products!$A:$E,2,FALSE)</f>
        <v>Product_204</v>
      </c>
      <c r="E4559" t="str">
        <f>VLOOKUP(B4559,Products!$A:$E,3,FALSE)</f>
        <v>Office Supplies</v>
      </c>
    </row>
    <row r="4560" spans="1:5" x14ac:dyDescent="0.3">
      <c r="A4560" t="s">
        <v>10572</v>
      </c>
      <c r="B4560" t="s">
        <v>722</v>
      </c>
      <c r="C4560">
        <v>5</v>
      </c>
      <c r="D4560" t="str">
        <f>VLOOKUP(B4560,Products!$A:$E,2,FALSE)</f>
        <v>Product_357</v>
      </c>
      <c r="E4560" t="str">
        <f>VLOOKUP(B4560,Products!$A:$E,3,FALSE)</f>
        <v>Accessories</v>
      </c>
    </row>
    <row r="4561" spans="1:5" x14ac:dyDescent="0.3">
      <c r="A4561" t="s">
        <v>10573</v>
      </c>
      <c r="B4561" t="s">
        <v>212</v>
      </c>
      <c r="C4561">
        <v>6</v>
      </c>
      <c r="D4561" t="str">
        <f>VLOOKUP(B4561,Products!$A:$E,2,FALSE)</f>
        <v>Product_102</v>
      </c>
      <c r="E4561" t="str">
        <f>VLOOKUP(B4561,Products!$A:$E,3,FALSE)</f>
        <v>Storage</v>
      </c>
    </row>
    <row r="4562" spans="1:5" x14ac:dyDescent="0.3">
      <c r="A4562" t="s">
        <v>10574</v>
      </c>
      <c r="B4562" t="s">
        <v>102</v>
      </c>
      <c r="C4562">
        <v>46</v>
      </c>
      <c r="D4562" t="str">
        <f>VLOOKUP(B4562,Products!$A:$E,2,FALSE)</f>
        <v>Product_47</v>
      </c>
      <c r="E4562" t="str">
        <f>VLOOKUP(B4562,Products!$A:$E,3,FALSE)</f>
        <v>Electronics</v>
      </c>
    </row>
    <row r="4563" spans="1:5" x14ac:dyDescent="0.3">
      <c r="A4563" t="s">
        <v>10575</v>
      </c>
      <c r="B4563" t="s">
        <v>622</v>
      </c>
      <c r="C4563">
        <v>43</v>
      </c>
      <c r="D4563" t="str">
        <f>VLOOKUP(B4563,Products!$A:$E,2,FALSE)</f>
        <v>Product_307</v>
      </c>
      <c r="E4563" t="str">
        <f>VLOOKUP(B4563,Products!$A:$E,3,FALSE)</f>
        <v>Storage</v>
      </c>
    </row>
    <row r="4564" spans="1:5" x14ac:dyDescent="0.3">
      <c r="A4564" t="s">
        <v>10576</v>
      </c>
      <c r="B4564" t="s">
        <v>424</v>
      </c>
      <c r="C4564">
        <v>17</v>
      </c>
      <c r="D4564" t="str">
        <f>VLOOKUP(B4564,Products!$A:$E,2,FALSE)</f>
        <v>Product_208</v>
      </c>
      <c r="E4564" t="str">
        <f>VLOOKUP(B4564,Products!$A:$E,3,FALSE)</f>
        <v>Electronics</v>
      </c>
    </row>
    <row r="4565" spans="1:5" x14ac:dyDescent="0.3">
      <c r="A4565" t="s">
        <v>10577</v>
      </c>
      <c r="B4565" t="s">
        <v>158</v>
      </c>
      <c r="C4565">
        <v>46</v>
      </c>
      <c r="D4565" t="str">
        <f>VLOOKUP(B4565,Products!$A:$E,2,FALSE)</f>
        <v>Product_75</v>
      </c>
      <c r="E4565" t="str">
        <f>VLOOKUP(B4565,Products!$A:$E,3,FALSE)</f>
        <v>Storage</v>
      </c>
    </row>
    <row r="4566" spans="1:5" x14ac:dyDescent="0.3">
      <c r="A4566" t="s">
        <v>10578</v>
      </c>
      <c r="B4566" t="s">
        <v>358</v>
      </c>
      <c r="C4566">
        <v>35</v>
      </c>
      <c r="D4566" t="str">
        <f>VLOOKUP(B4566,Products!$A:$E,2,FALSE)</f>
        <v>Product_175</v>
      </c>
      <c r="E4566" t="str">
        <f>VLOOKUP(B4566,Products!$A:$E,3,FALSE)</f>
        <v>Storage</v>
      </c>
    </row>
    <row r="4567" spans="1:5" x14ac:dyDescent="0.3">
      <c r="A4567" t="s">
        <v>10579</v>
      </c>
      <c r="B4567" t="s">
        <v>372</v>
      </c>
      <c r="C4567">
        <v>26</v>
      </c>
      <c r="D4567" t="str">
        <f>VLOOKUP(B4567,Products!$A:$E,2,FALSE)</f>
        <v>Product_182</v>
      </c>
      <c r="E4567" t="str">
        <f>VLOOKUP(B4567,Products!$A:$E,3,FALSE)</f>
        <v>Storage</v>
      </c>
    </row>
    <row r="4568" spans="1:5" x14ac:dyDescent="0.3">
      <c r="A4568" t="s">
        <v>10580</v>
      </c>
      <c r="B4568" t="s">
        <v>146</v>
      </c>
      <c r="C4568">
        <v>25</v>
      </c>
      <c r="D4568" t="str">
        <f>VLOOKUP(B4568,Products!$A:$E,2,FALSE)</f>
        <v>Product_69</v>
      </c>
      <c r="E4568" t="str">
        <f>VLOOKUP(B4568,Products!$A:$E,3,FALSE)</f>
        <v>Electronics</v>
      </c>
    </row>
    <row r="4569" spans="1:5" x14ac:dyDescent="0.3">
      <c r="A4569" t="s">
        <v>10581</v>
      </c>
      <c r="B4569" t="s">
        <v>116</v>
      </c>
      <c r="C4569">
        <v>48</v>
      </c>
      <c r="D4569" t="str">
        <f>VLOOKUP(B4569,Products!$A:$E,2,FALSE)</f>
        <v>Product_54</v>
      </c>
      <c r="E4569" t="str">
        <f>VLOOKUP(B4569,Products!$A:$E,3,FALSE)</f>
        <v>Storage</v>
      </c>
    </row>
    <row r="4570" spans="1:5" x14ac:dyDescent="0.3">
      <c r="A4570" t="s">
        <v>10582</v>
      </c>
      <c r="B4570" t="s">
        <v>844</v>
      </c>
      <c r="C4570">
        <v>19</v>
      </c>
      <c r="D4570" t="str">
        <f>VLOOKUP(B4570,Products!$A:$E,2,FALSE)</f>
        <v>Product_418</v>
      </c>
      <c r="E4570" t="str">
        <f>VLOOKUP(B4570,Products!$A:$E,3,FALSE)</f>
        <v>Office Supplies</v>
      </c>
    </row>
    <row r="4571" spans="1:5" x14ac:dyDescent="0.3">
      <c r="A4571" t="s">
        <v>10583</v>
      </c>
      <c r="B4571" t="s">
        <v>638</v>
      </c>
      <c r="C4571">
        <v>37</v>
      </c>
      <c r="D4571" t="str">
        <f>VLOOKUP(B4571,Products!$A:$E,2,FALSE)</f>
        <v>Product_315</v>
      </c>
      <c r="E4571" t="str">
        <f>VLOOKUP(B4571,Products!$A:$E,3,FALSE)</f>
        <v>Accessories</v>
      </c>
    </row>
    <row r="4572" spans="1:5" x14ac:dyDescent="0.3">
      <c r="A4572" t="s">
        <v>10584</v>
      </c>
      <c r="B4572" t="s">
        <v>1004</v>
      </c>
      <c r="C4572">
        <v>6</v>
      </c>
      <c r="D4572" t="str">
        <f>VLOOKUP(B4572,Products!$A:$E,2,FALSE)</f>
        <v>Product_498</v>
      </c>
      <c r="E4572" t="str">
        <f>VLOOKUP(B4572,Products!$A:$E,3,FALSE)</f>
        <v>Office Supplies</v>
      </c>
    </row>
    <row r="4573" spans="1:5" x14ac:dyDescent="0.3">
      <c r="A4573" t="s">
        <v>10585</v>
      </c>
      <c r="B4573" t="s">
        <v>340</v>
      </c>
      <c r="C4573">
        <v>15</v>
      </c>
      <c r="D4573" t="str">
        <f>VLOOKUP(B4573,Products!$A:$E,2,FALSE)</f>
        <v>Product_166</v>
      </c>
      <c r="E4573" t="str">
        <f>VLOOKUP(B4573,Products!$A:$E,3,FALSE)</f>
        <v>Accessories</v>
      </c>
    </row>
    <row r="4574" spans="1:5" x14ac:dyDescent="0.3">
      <c r="A4574" t="s">
        <v>10586</v>
      </c>
      <c r="B4574" t="s">
        <v>462</v>
      </c>
      <c r="C4574">
        <v>3</v>
      </c>
      <c r="D4574" t="str">
        <f>VLOOKUP(B4574,Products!$A:$E,2,FALSE)</f>
        <v>Product_227</v>
      </c>
      <c r="E4574" t="str">
        <f>VLOOKUP(B4574,Products!$A:$E,3,FALSE)</f>
        <v>Accessories</v>
      </c>
    </row>
    <row r="4575" spans="1:5" x14ac:dyDescent="0.3">
      <c r="A4575" t="s">
        <v>10587</v>
      </c>
      <c r="B4575" t="s">
        <v>260</v>
      </c>
      <c r="C4575">
        <v>36</v>
      </c>
      <c r="D4575" t="str">
        <f>VLOOKUP(B4575,Products!$A:$E,2,FALSE)</f>
        <v>Product_126</v>
      </c>
      <c r="E4575" t="str">
        <f>VLOOKUP(B4575,Products!$A:$E,3,FALSE)</f>
        <v>Office Supplies</v>
      </c>
    </row>
    <row r="4576" spans="1:5" x14ac:dyDescent="0.3">
      <c r="A4576" t="s">
        <v>10588</v>
      </c>
      <c r="B4576" t="s">
        <v>168</v>
      </c>
      <c r="C4576">
        <v>43</v>
      </c>
      <c r="D4576" t="str">
        <f>VLOOKUP(B4576,Products!$A:$E,2,FALSE)</f>
        <v>Product_80</v>
      </c>
      <c r="E4576" t="str">
        <f>VLOOKUP(B4576,Products!$A:$E,3,FALSE)</f>
        <v>Accessories</v>
      </c>
    </row>
    <row r="4577" spans="1:5" x14ac:dyDescent="0.3">
      <c r="A4577" t="s">
        <v>10589</v>
      </c>
      <c r="B4577" t="s">
        <v>290</v>
      </c>
      <c r="C4577">
        <v>2</v>
      </c>
      <c r="D4577" t="str">
        <f>VLOOKUP(B4577,Products!$A:$E,2,FALSE)</f>
        <v>Product_141</v>
      </c>
      <c r="E4577" t="str">
        <f>VLOOKUP(B4577,Products!$A:$E,3,FALSE)</f>
        <v>Electronics</v>
      </c>
    </row>
    <row r="4578" spans="1:5" x14ac:dyDescent="0.3">
      <c r="A4578" t="s">
        <v>10590</v>
      </c>
      <c r="B4578" t="s">
        <v>516</v>
      </c>
      <c r="C4578">
        <v>15</v>
      </c>
      <c r="D4578" t="str">
        <f>VLOOKUP(B4578,Products!$A:$E,2,FALSE)</f>
        <v>Product_254</v>
      </c>
      <c r="E4578" t="str">
        <f>VLOOKUP(B4578,Products!$A:$E,3,FALSE)</f>
        <v>Office Supplies</v>
      </c>
    </row>
    <row r="4579" spans="1:5" x14ac:dyDescent="0.3">
      <c r="A4579" t="s">
        <v>10591</v>
      </c>
      <c r="B4579" t="s">
        <v>862</v>
      </c>
      <c r="C4579">
        <v>45</v>
      </c>
      <c r="D4579" t="str">
        <f>VLOOKUP(B4579,Products!$A:$E,2,FALSE)</f>
        <v>Product_427</v>
      </c>
      <c r="E4579" t="str">
        <f>VLOOKUP(B4579,Products!$A:$E,3,FALSE)</f>
        <v>Networking</v>
      </c>
    </row>
    <row r="4580" spans="1:5" x14ac:dyDescent="0.3">
      <c r="A4580" t="s">
        <v>10592</v>
      </c>
      <c r="B4580" t="s">
        <v>234</v>
      </c>
      <c r="C4580">
        <v>16</v>
      </c>
      <c r="D4580" t="str">
        <f>VLOOKUP(B4580,Products!$A:$E,2,FALSE)</f>
        <v>Product_113</v>
      </c>
      <c r="E4580" t="str">
        <f>VLOOKUP(B4580,Products!$A:$E,3,FALSE)</f>
        <v>Electronics</v>
      </c>
    </row>
    <row r="4581" spans="1:5" x14ac:dyDescent="0.3">
      <c r="A4581" t="s">
        <v>10593</v>
      </c>
      <c r="B4581" t="s">
        <v>906</v>
      </c>
      <c r="C4581">
        <v>15</v>
      </c>
      <c r="D4581" t="str">
        <f>VLOOKUP(B4581,Products!$A:$E,2,FALSE)</f>
        <v>Product_449</v>
      </c>
      <c r="E4581" t="str">
        <f>VLOOKUP(B4581,Products!$A:$E,3,FALSE)</f>
        <v>Networking</v>
      </c>
    </row>
    <row r="4582" spans="1:5" x14ac:dyDescent="0.3">
      <c r="A4582" t="s">
        <v>10594</v>
      </c>
      <c r="B4582" t="s">
        <v>460</v>
      </c>
      <c r="C4582">
        <v>42</v>
      </c>
      <c r="D4582" t="str">
        <f>VLOOKUP(B4582,Products!$A:$E,2,FALSE)</f>
        <v>Product_226</v>
      </c>
      <c r="E4582" t="str">
        <f>VLOOKUP(B4582,Products!$A:$E,3,FALSE)</f>
        <v>Networking</v>
      </c>
    </row>
    <row r="4583" spans="1:5" x14ac:dyDescent="0.3">
      <c r="A4583" t="s">
        <v>10595</v>
      </c>
      <c r="B4583" t="s">
        <v>840</v>
      </c>
      <c r="C4583">
        <v>14</v>
      </c>
      <c r="D4583" t="str">
        <f>VLOOKUP(B4583,Products!$A:$E,2,FALSE)</f>
        <v>Product_416</v>
      </c>
      <c r="E4583" t="str">
        <f>VLOOKUP(B4583,Products!$A:$E,3,FALSE)</f>
        <v>Accessories</v>
      </c>
    </row>
    <row r="4584" spans="1:5" x14ac:dyDescent="0.3">
      <c r="A4584" t="s">
        <v>10596</v>
      </c>
      <c r="B4584" t="s">
        <v>158</v>
      </c>
      <c r="C4584">
        <v>1</v>
      </c>
      <c r="D4584" t="str">
        <f>VLOOKUP(B4584,Products!$A:$E,2,FALSE)</f>
        <v>Product_75</v>
      </c>
      <c r="E4584" t="str">
        <f>VLOOKUP(B4584,Products!$A:$E,3,FALSE)</f>
        <v>Storage</v>
      </c>
    </row>
    <row r="4585" spans="1:5" x14ac:dyDescent="0.3">
      <c r="A4585" t="s">
        <v>10597</v>
      </c>
      <c r="B4585" t="s">
        <v>312</v>
      </c>
      <c r="C4585">
        <v>16</v>
      </c>
      <c r="D4585" t="str">
        <f>VLOOKUP(B4585,Products!$A:$E,2,FALSE)</f>
        <v>Product_152</v>
      </c>
      <c r="E4585" t="str">
        <f>VLOOKUP(B4585,Products!$A:$E,3,FALSE)</f>
        <v>Storage</v>
      </c>
    </row>
    <row r="4586" spans="1:5" x14ac:dyDescent="0.3">
      <c r="A4586" t="s">
        <v>10598</v>
      </c>
      <c r="B4586" t="s">
        <v>996</v>
      </c>
      <c r="C4586">
        <v>2</v>
      </c>
      <c r="D4586" t="str">
        <f>VLOOKUP(B4586,Products!$A:$E,2,FALSE)</f>
        <v>Product_494</v>
      </c>
      <c r="E4586" t="str">
        <f>VLOOKUP(B4586,Products!$A:$E,3,FALSE)</f>
        <v>Office Supplies</v>
      </c>
    </row>
    <row r="4587" spans="1:5" x14ac:dyDescent="0.3">
      <c r="A4587" t="s">
        <v>10599</v>
      </c>
      <c r="B4587" t="s">
        <v>888</v>
      </c>
      <c r="C4587">
        <v>40</v>
      </c>
      <c r="D4587" t="str">
        <f>VLOOKUP(B4587,Products!$A:$E,2,FALSE)</f>
        <v>Product_440</v>
      </c>
      <c r="E4587" t="str">
        <f>VLOOKUP(B4587,Products!$A:$E,3,FALSE)</f>
        <v>Accessories</v>
      </c>
    </row>
    <row r="4588" spans="1:5" x14ac:dyDescent="0.3">
      <c r="A4588" t="s">
        <v>10600</v>
      </c>
      <c r="B4588" t="s">
        <v>504</v>
      </c>
      <c r="C4588">
        <v>29</v>
      </c>
      <c r="D4588" t="str">
        <f>VLOOKUP(B4588,Products!$A:$E,2,FALSE)</f>
        <v>Product_248</v>
      </c>
      <c r="E4588" t="str">
        <f>VLOOKUP(B4588,Products!$A:$E,3,FALSE)</f>
        <v>Networking</v>
      </c>
    </row>
    <row r="4589" spans="1:5" x14ac:dyDescent="0.3">
      <c r="A4589" t="s">
        <v>10601</v>
      </c>
      <c r="B4589" t="s">
        <v>434</v>
      </c>
      <c r="C4589">
        <v>36</v>
      </c>
      <c r="D4589" t="str">
        <f>VLOOKUP(B4589,Products!$A:$E,2,FALSE)</f>
        <v>Product_213</v>
      </c>
      <c r="E4589" t="str">
        <f>VLOOKUP(B4589,Products!$A:$E,3,FALSE)</f>
        <v>Accessories</v>
      </c>
    </row>
    <row r="4590" spans="1:5" x14ac:dyDescent="0.3">
      <c r="A4590" t="s">
        <v>10602</v>
      </c>
      <c r="B4590" t="s">
        <v>574</v>
      </c>
      <c r="C4590">
        <v>37</v>
      </c>
      <c r="D4590" t="str">
        <f>VLOOKUP(B4590,Products!$A:$E,2,FALSE)</f>
        <v>Product_283</v>
      </c>
      <c r="E4590" t="str">
        <f>VLOOKUP(B4590,Products!$A:$E,3,FALSE)</f>
        <v>Networking</v>
      </c>
    </row>
    <row r="4591" spans="1:5" x14ac:dyDescent="0.3">
      <c r="A4591" t="s">
        <v>10603</v>
      </c>
      <c r="B4591" t="s">
        <v>206</v>
      </c>
      <c r="C4591">
        <v>27</v>
      </c>
      <c r="D4591" t="str">
        <f>VLOOKUP(B4591,Products!$A:$E,2,FALSE)</f>
        <v>Product_99</v>
      </c>
      <c r="E4591" t="str">
        <f>VLOOKUP(B4591,Products!$A:$E,3,FALSE)</f>
        <v>Accessories</v>
      </c>
    </row>
    <row r="4592" spans="1:5" x14ac:dyDescent="0.3">
      <c r="A4592" t="s">
        <v>10604</v>
      </c>
      <c r="B4592" t="s">
        <v>200</v>
      </c>
      <c r="C4592">
        <v>34</v>
      </c>
      <c r="D4592" t="str">
        <f>VLOOKUP(B4592,Products!$A:$E,2,FALSE)</f>
        <v>Product_96</v>
      </c>
      <c r="E4592" t="str">
        <f>VLOOKUP(B4592,Products!$A:$E,3,FALSE)</f>
        <v>Office Supplies</v>
      </c>
    </row>
    <row r="4593" spans="1:5" x14ac:dyDescent="0.3">
      <c r="A4593" t="s">
        <v>10605</v>
      </c>
      <c r="B4593" t="s">
        <v>604</v>
      </c>
      <c r="C4593">
        <v>26</v>
      </c>
      <c r="D4593" t="str">
        <f>VLOOKUP(B4593,Products!$A:$E,2,FALSE)</f>
        <v>Product_298</v>
      </c>
      <c r="E4593" t="str">
        <f>VLOOKUP(B4593,Products!$A:$E,3,FALSE)</f>
        <v>Office Supplies</v>
      </c>
    </row>
    <row r="4594" spans="1:5" x14ac:dyDescent="0.3">
      <c r="A4594" t="s">
        <v>10606</v>
      </c>
      <c r="B4594" t="s">
        <v>652</v>
      </c>
      <c r="C4594">
        <v>37</v>
      </c>
      <c r="D4594" t="str">
        <f>VLOOKUP(B4594,Products!$A:$E,2,FALSE)</f>
        <v>Product_322</v>
      </c>
      <c r="E4594" t="str">
        <f>VLOOKUP(B4594,Products!$A:$E,3,FALSE)</f>
        <v>Accessories</v>
      </c>
    </row>
    <row r="4595" spans="1:5" x14ac:dyDescent="0.3">
      <c r="A4595" t="s">
        <v>10607</v>
      </c>
      <c r="B4595" t="s">
        <v>918</v>
      </c>
      <c r="C4595">
        <v>25</v>
      </c>
      <c r="D4595" t="str">
        <f>VLOOKUP(B4595,Products!$A:$E,2,FALSE)</f>
        <v>Product_455</v>
      </c>
      <c r="E4595" t="str">
        <f>VLOOKUP(B4595,Products!$A:$E,3,FALSE)</f>
        <v>Storage</v>
      </c>
    </row>
    <row r="4596" spans="1:5" x14ac:dyDescent="0.3">
      <c r="A4596" t="s">
        <v>10608</v>
      </c>
      <c r="B4596" t="s">
        <v>774</v>
      </c>
      <c r="C4596">
        <v>17</v>
      </c>
      <c r="D4596" t="str">
        <f>VLOOKUP(B4596,Products!$A:$E,2,FALSE)</f>
        <v>Product_383</v>
      </c>
      <c r="E4596" t="str">
        <f>VLOOKUP(B4596,Products!$A:$E,3,FALSE)</f>
        <v>Electronics</v>
      </c>
    </row>
    <row r="4597" spans="1:5" x14ac:dyDescent="0.3">
      <c r="A4597" t="s">
        <v>10609</v>
      </c>
      <c r="B4597" t="s">
        <v>732</v>
      </c>
      <c r="C4597">
        <v>24</v>
      </c>
      <c r="D4597" t="str">
        <f>VLOOKUP(B4597,Products!$A:$E,2,FALSE)</f>
        <v>Product_362</v>
      </c>
      <c r="E4597" t="str">
        <f>VLOOKUP(B4597,Products!$A:$E,3,FALSE)</f>
        <v>Networking</v>
      </c>
    </row>
    <row r="4598" spans="1:5" x14ac:dyDescent="0.3">
      <c r="A4598" t="s">
        <v>10610</v>
      </c>
      <c r="B4598" t="s">
        <v>832</v>
      </c>
      <c r="C4598">
        <v>17</v>
      </c>
      <c r="D4598" t="str">
        <f>VLOOKUP(B4598,Products!$A:$E,2,FALSE)</f>
        <v>Product_412</v>
      </c>
      <c r="E4598" t="str">
        <f>VLOOKUP(B4598,Products!$A:$E,3,FALSE)</f>
        <v>Accessories</v>
      </c>
    </row>
    <row r="4599" spans="1:5" x14ac:dyDescent="0.3">
      <c r="A4599" t="s">
        <v>10611</v>
      </c>
      <c r="B4599" t="s">
        <v>450</v>
      </c>
      <c r="C4599">
        <v>24</v>
      </c>
      <c r="D4599" t="str">
        <f>VLOOKUP(B4599,Products!$A:$E,2,FALSE)</f>
        <v>Product_221</v>
      </c>
      <c r="E4599" t="str">
        <f>VLOOKUP(B4599,Products!$A:$E,3,FALSE)</f>
        <v>Office Supplies</v>
      </c>
    </row>
    <row r="4600" spans="1:5" x14ac:dyDescent="0.3">
      <c r="A4600" t="s">
        <v>10612</v>
      </c>
      <c r="B4600" t="s">
        <v>382</v>
      </c>
      <c r="C4600">
        <v>16</v>
      </c>
      <c r="D4600" t="str">
        <f>VLOOKUP(B4600,Products!$A:$E,2,FALSE)</f>
        <v>Product_187</v>
      </c>
      <c r="E4600" t="str">
        <f>VLOOKUP(B4600,Products!$A:$E,3,FALSE)</f>
        <v>Electronics</v>
      </c>
    </row>
    <row r="4601" spans="1:5" x14ac:dyDescent="0.3">
      <c r="A4601" t="s">
        <v>10613</v>
      </c>
      <c r="B4601" t="s">
        <v>336</v>
      </c>
      <c r="C4601">
        <v>35</v>
      </c>
      <c r="D4601" t="str">
        <f>VLOOKUP(B4601,Products!$A:$E,2,FALSE)</f>
        <v>Product_164</v>
      </c>
      <c r="E4601" t="str">
        <f>VLOOKUP(B4601,Products!$A:$E,3,FALSE)</f>
        <v>Networking</v>
      </c>
    </row>
    <row r="4602" spans="1:5" x14ac:dyDescent="0.3">
      <c r="A4602" t="s">
        <v>10614</v>
      </c>
      <c r="B4602" t="s">
        <v>374</v>
      </c>
      <c r="C4602">
        <v>5</v>
      </c>
      <c r="D4602" t="str">
        <f>VLOOKUP(B4602,Products!$A:$E,2,FALSE)</f>
        <v>Product_183</v>
      </c>
      <c r="E4602" t="str">
        <f>VLOOKUP(B4602,Products!$A:$E,3,FALSE)</f>
        <v>Electronics</v>
      </c>
    </row>
    <row r="4603" spans="1:5" x14ac:dyDescent="0.3">
      <c r="A4603" t="s">
        <v>10615</v>
      </c>
      <c r="B4603" t="s">
        <v>990</v>
      </c>
      <c r="C4603">
        <v>45</v>
      </c>
      <c r="D4603" t="str">
        <f>VLOOKUP(B4603,Products!$A:$E,2,FALSE)</f>
        <v>Product_491</v>
      </c>
      <c r="E4603" t="str">
        <f>VLOOKUP(B4603,Products!$A:$E,3,FALSE)</f>
        <v>Accessories</v>
      </c>
    </row>
    <row r="4604" spans="1:5" x14ac:dyDescent="0.3">
      <c r="A4604" t="s">
        <v>10616</v>
      </c>
      <c r="B4604" t="s">
        <v>146</v>
      </c>
      <c r="C4604">
        <v>21</v>
      </c>
      <c r="D4604" t="str">
        <f>VLOOKUP(B4604,Products!$A:$E,2,FALSE)</f>
        <v>Product_69</v>
      </c>
      <c r="E4604" t="str">
        <f>VLOOKUP(B4604,Products!$A:$E,3,FALSE)</f>
        <v>Electronics</v>
      </c>
    </row>
    <row r="4605" spans="1:5" x14ac:dyDescent="0.3">
      <c r="A4605" t="s">
        <v>10617</v>
      </c>
      <c r="B4605" t="s">
        <v>890</v>
      </c>
      <c r="C4605">
        <v>45</v>
      </c>
      <c r="D4605" t="str">
        <f>VLOOKUP(B4605,Products!$A:$E,2,FALSE)</f>
        <v>Product_441</v>
      </c>
      <c r="E4605" t="str">
        <f>VLOOKUP(B4605,Products!$A:$E,3,FALSE)</f>
        <v>Storage</v>
      </c>
    </row>
    <row r="4606" spans="1:5" x14ac:dyDescent="0.3">
      <c r="A4606" t="s">
        <v>10618</v>
      </c>
      <c r="B4606" t="s">
        <v>262</v>
      </c>
      <c r="C4606">
        <v>35</v>
      </c>
      <c r="D4606" t="str">
        <f>VLOOKUP(B4606,Products!$A:$E,2,FALSE)</f>
        <v>Product_127</v>
      </c>
      <c r="E4606" t="str">
        <f>VLOOKUP(B4606,Products!$A:$E,3,FALSE)</f>
        <v>Networking</v>
      </c>
    </row>
    <row r="4607" spans="1:5" x14ac:dyDescent="0.3">
      <c r="A4607" t="s">
        <v>10619</v>
      </c>
      <c r="B4607" t="s">
        <v>602</v>
      </c>
      <c r="C4607">
        <v>9</v>
      </c>
      <c r="D4607" t="str">
        <f>VLOOKUP(B4607,Products!$A:$E,2,FALSE)</f>
        <v>Product_297</v>
      </c>
      <c r="E4607" t="str">
        <f>VLOOKUP(B4607,Products!$A:$E,3,FALSE)</f>
        <v>Storage</v>
      </c>
    </row>
    <row r="4608" spans="1:5" x14ac:dyDescent="0.3">
      <c r="A4608" t="s">
        <v>10620</v>
      </c>
      <c r="B4608" t="s">
        <v>108</v>
      </c>
      <c r="C4608">
        <v>33</v>
      </c>
      <c r="D4608" t="str">
        <f>VLOOKUP(B4608,Products!$A:$E,2,FALSE)</f>
        <v>Product_50</v>
      </c>
      <c r="E4608" t="str">
        <f>VLOOKUP(B4608,Products!$A:$E,3,FALSE)</f>
        <v>Networking</v>
      </c>
    </row>
    <row r="4609" spans="1:5" x14ac:dyDescent="0.3">
      <c r="A4609" t="s">
        <v>10621</v>
      </c>
      <c r="B4609" t="s">
        <v>734</v>
      </c>
      <c r="C4609">
        <v>31</v>
      </c>
      <c r="D4609" t="str">
        <f>VLOOKUP(B4609,Products!$A:$E,2,FALSE)</f>
        <v>Product_363</v>
      </c>
      <c r="E4609" t="str">
        <f>VLOOKUP(B4609,Products!$A:$E,3,FALSE)</f>
        <v>Storage</v>
      </c>
    </row>
    <row r="4610" spans="1:5" x14ac:dyDescent="0.3">
      <c r="A4610" t="s">
        <v>10622</v>
      </c>
      <c r="B4610" t="s">
        <v>558</v>
      </c>
      <c r="C4610">
        <v>21</v>
      </c>
      <c r="D4610" t="str">
        <f>VLOOKUP(B4610,Products!$A:$E,2,FALSE)</f>
        <v>Product_275</v>
      </c>
      <c r="E4610" t="str">
        <f>VLOOKUP(B4610,Products!$A:$E,3,FALSE)</f>
        <v>Accessories</v>
      </c>
    </row>
    <row r="4611" spans="1:5" x14ac:dyDescent="0.3">
      <c r="A4611" t="s">
        <v>10623</v>
      </c>
      <c r="B4611" t="s">
        <v>116</v>
      </c>
      <c r="C4611">
        <v>39</v>
      </c>
      <c r="D4611" t="str">
        <f>VLOOKUP(B4611,Products!$A:$E,2,FALSE)</f>
        <v>Product_54</v>
      </c>
      <c r="E4611" t="str">
        <f>VLOOKUP(B4611,Products!$A:$E,3,FALSE)</f>
        <v>Storage</v>
      </c>
    </row>
    <row r="4612" spans="1:5" x14ac:dyDescent="0.3">
      <c r="A4612" t="s">
        <v>10624</v>
      </c>
      <c r="B4612" t="s">
        <v>242</v>
      </c>
      <c r="C4612">
        <v>47</v>
      </c>
      <c r="D4612" t="str">
        <f>VLOOKUP(B4612,Products!$A:$E,2,FALSE)</f>
        <v>Product_117</v>
      </c>
      <c r="E4612" t="str">
        <f>VLOOKUP(B4612,Products!$A:$E,3,FALSE)</f>
        <v>Storage</v>
      </c>
    </row>
    <row r="4613" spans="1:5" x14ac:dyDescent="0.3">
      <c r="A4613" t="s">
        <v>10625</v>
      </c>
      <c r="B4613" t="s">
        <v>366</v>
      </c>
      <c r="C4613">
        <v>46</v>
      </c>
      <c r="D4613" t="str">
        <f>VLOOKUP(B4613,Products!$A:$E,2,FALSE)</f>
        <v>Product_179</v>
      </c>
      <c r="E4613" t="str">
        <f>VLOOKUP(B4613,Products!$A:$E,3,FALSE)</f>
        <v>Storage</v>
      </c>
    </row>
    <row r="4614" spans="1:5" x14ac:dyDescent="0.3">
      <c r="A4614" t="s">
        <v>10626</v>
      </c>
      <c r="B4614" t="s">
        <v>728</v>
      </c>
      <c r="C4614">
        <v>42</v>
      </c>
      <c r="D4614" t="str">
        <f>VLOOKUP(B4614,Products!$A:$E,2,FALSE)</f>
        <v>Product_360</v>
      </c>
      <c r="E4614" t="str">
        <f>VLOOKUP(B4614,Products!$A:$E,3,FALSE)</f>
        <v>Office Supplies</v>
      </c>
    </row>
    <row r="4615" spans="1:5" x14ac:dyDescent="0.3">
      <c r="A4615" t="s">
        <v>10627</v>
      </c>
      <c r="B4615" t="s">
        <v>1008</v>
      </c>
      <c r="C4615">
        <v>36</v>
      </c>
      <c r="D4615" t="str">
        <f>VLOOKUP(B4615,Products!$A:$E,2,FALSE)</f>
        <v>Product_500</v>
      </c>
      <c r="E4615" t="str">
        <f>VLOOKUP(B4615,Products!$A:$E,3,FALSE)</f>
        <v>Networking</v>
      </c>
    </row>
    <row r="4616" spans="1:5" x14ac:dyDescent="0.3">
      <c r="A4616" t="s">
        <v>10628</v>
      </c>
      <c r="B4616" t="s">
        <v>850</v>
      </c>
      <c r="C4616">
        <v>15</v>
      </c>
      <c r="D4616" t="str">
        <f>VLOOKUP(B4616,Products!$A:$E,2,FALSE)</f>
        <v>Product_421</v>
      </c>
      <c r="E4616" t="str">
        <f>VLOOKUP(B4616,Products!$A:$E,3,FALSE)</f>
        <v>Accessories</v>
      </c>
    </row>
    <row r="4617" spans="1:5" x14ac:dyDescent="0.3">
      <c r="A4617" t="s">
        <v>10629</v>
      </c>
      <c r="B4617" t="s">
        <v>486</v>
      </c>
      <c r="C4617">
        <v>18</v>
      </c>
      <c r="D4617" t="str">
        <f>VLOOKUP(B4617,Products!$A:$E,2,FALSE)</f>
        <v>Product_239</v>
      </c>
      <c r="E4617" t="str">
        <f>VLOOKUP(B4617,Products!$A:$E,3,FALSE)</f>
        <v>Storage</v>
      </c>
    </row>
    <row r="4618" spans="1:5" x14ac:dyDescent="0.3">
      <c r="A4618" t="s">
        <v>10630</v>
      </c>
      <c r="B4618" t="s">
        <v>598</v>
      </c>
      <c r="C4618">
        <v>4</v>
      </c>
      <c r="D4618" t="str">
        <f>VLOOKUP(B4618,Products!$A:$E,2,FALSE)</f>
        <v>Product_295</v>
      </c>
      <c r="E4618" t="str">
        <f>VLOOKUP(B4618,Products!$A:$E,3,FALSE)</f>
        <v>Networking</v>
      </c>
    </row>
    <row r="4619" spans="1:5" x14ac:dyDescent="0.3">
      <c r="A4619" t="s">
        <v>10631</v>
      </c>
      <c r="B4619" t="s">
        <v>480</v>
      </c>
      <c r="C4619">
        <v>40</v>
      </c>
      <c r="D4619" t="str">
        <f>VLOOKUP(B4619,Products!$A:$E,2,FALSE)</f>
        <v>Product_236</v>
      </c>
      <c r="E4619" t="str">
        <f>VLOOKUP(B4619,Products!$A:$E,3,FALSE)</f>
        <v>Networking</v>
      </c>
    </row>
    <row r="4620" spans="1:5" x14ac:dyDescent="0.3">
      <c r="A4620" t="s">
        <v>10632</v>
      </c>
      <c r="B4620" t="s">
        <v>458</v>
      </c>
      <c r="C4620">
        <v>32</v>
      </c>
      <c r="D4620" t="str">
        <f>VLOOKUP(B4620,Products!$A:$E,2,FALSE)</f>
        <v>Product_225</v>
      </c>
      <c r="E4620" t="str">
        <f>VLOOKUP(B4620,Products!$A:$E,3,FALSE)</f>
        <v>Accessories</v>
      </c>
    </row>
    <row r="4621" spans="1:5" x14ac:dyDescent="0.3">
      <c r="A4621" t="s">
        <v>10633</v>
      </c>
      <c r="B4621" t="s">
        <v>614</v>
      </c>
      <c r="C4621">
        <v>28</v>
      </c>
      <c r="D4621" t="str">
        <f>VLOOKUP(B4621,Products!$A:$E,2,FALSE)</f>
        <v>Product_303</v>
      </c>
      <c r="E4621" t="str">
        <f>VLOOKUP(B4621,Products!$A:$E,3,FALSE)</f>
        <v>Networking</v>
      </c>
    </row>
    <row r="4622" spans="1:5" x14ac:dyDescent="0.3">
      <c r="A4622" t="s">
        <v>10634</v>
      </c>
      <c r="B4622" t="s">
        <v>76</v>
      </c>
      <c r="C4622">
        <v>11</v>
      </c>
      <c r="D4622" t="str">
        <f>VLOOKUP(B4622,Products!$A:$E,2,FALSE)</f>
        <v>Product_34</v>
      </c>
      <c r="E4622" t="str">
        <f>VLOOKUP(B4622,Products!$A:$E,3,FALSE)</f>
        <v>Office Supplies</v>
      </c>
    </row>
    <row r="4623" spans="1:5" x14ac:dyDescent="0.3">
      <c r="A4623" t="s">
        <v>10635</v>
      </c>
      <c r="B4623" t="s">
        <v>32</v>
      </c>
      <c r="C4623">
        <v>36</v>
      </c>
      <c r="D4623" t="str">
        <f>VLOOKUP(B4623,Products!$A:$E,2,FALSE)</f>
        <v>Product_12</v>
      </c>
      <c r="E4623" t="str">
        <f>VLOOKUP(B4623,Products!$A:$E,3,FALSE)</f>
        <v>Accessories</v>
      </c>
    </row>
    <row r="4624" spans="1:5" x14ac:dyDescent="0.3">
      <c r="A4624" t="s">
        <v>10636</v>
      </c>
      <c r="B4624" t="s">
        <v>468</v>
      </c>
      <c r="C4624">
        <v>36</v>
      </c>
      <c r="D4624" t="str">
        <f>VLOOKUP(B4624,Products!$A:$E,2,FALSE)</f>
        <v>Product_230</v>
      </c>
      <c r="E4624" t="str">
        <f>VLOOKUP(B4624,Products!$A:$E,3,FALSE)</f>
        <v>Electronics</v>
      </c>
    </row>
    <row r="4625" spans="1:5" x14ac:dyDescent="0.3">
      <c r="A4625" t="s">
        <v>10637</v>
      </c>
      <c r="B4625" t="s">
        <v>674</v>
      </c>
      <c r="C4625">
        <v>4</v>
      </c>
      <c r="D4625" t="str">
        <f>VLOOKUP(B4625,Products!$A:$E,2,FALSE)</f>
        <v>Product_333</v>
      </c>
      <c r="E4625" t="str">
        <f>VLOOKUP(B4625,Products!$A:$E,3,FALSE)</f>
        <v>Storage</v>
      </c>
    </row>
    <row r="4626" spans="1:5" x14ac:dyDescent="0.3">
      <c r="A4626" t="s">
        <v>10638</v>
      </c>
      <c r="B4626" t="s">
        <v>926</v>
      </c>
      <c r="C4626">
        <v>23</v>
      </c>
      <c r="D4626" t="str">
        <f>VLOOKUP(B4626,Products!$A:$E,2,FALSE)</f>
        <v>Product_459</v>
      </c>
      <c r="E4626" t="str">
        <f>VLOOKUP(B4626,Products!$A:$E,3,FALSE)</f>
        <v>Office Supplies</v>
      </c>
    </row>
    <row r="4627" spans="1:5" x14ac:dyDescent="0.3">
      <c r="A4627" t="s">
        <v>10639</v>
      </c>
      <c r="B4627" t="s">
        <v>498</v>
      </c>
      <c r="C4627">
        <v>46</v>
      </c>
      <c r="D4627" t="str">
        <f>VLOOKUP(B4627,Products!$A:$E,2,FALSE)</f>
        <v>Product_245</v>
      </c>
      <c r="E4627" t="str">
        <f>VLOOKUP(B4627,Products!$A:$E,3,FALSE)</f>
        <v>Office Supplies</v>
      </c>
    </row>
    <row r="4628" spans="1:5" x14ac:dyDescent="0.3">
      <c r="A4628" t="s">
        <v>10640</v>
      </c>
      <c r="B4628" t="s">
        <v>160</v>
      </c>
      <c r="C4628">
        <v>5</v>
      </c>
      <c r="D4628" t="str">
        <f>VLOOKUP(B4628,Products!$A:$E,2,FALSE)</f>
        <v>Product_76</v>
      </c>
      <c r="E4628" t="str">
        <f>VLOOKUP(B4628,Products!$A:$E,3,FALSE)</f>
        <v>Accessories</v>
      </c>
    </row>
    <row r="4629" spans="1:5" x14ac:dyDescent="0.3">
      <c r="A4629" t="s">
        <v>10641</v>
      </c>
      <c r="B4629" t="s">
        <v>708</v>
      </c>
      <c r="C4629">
        <v>23</v>
      </c>
      <c r="D4629" t="str">
        <f>VLOOKUP(B4629,Products!$A:$E,2,FALSE)</f>
        <v>Product_350</v>
      </c>
      <c r="E4629" t="str">
        <f>VLOOKUP(B4629,Products!$A:$E,3,FALSE)</f>
        <v>Networking</v>
      </c>
    </row>
    <row r="4630" spans="1:5" x14ac:dyDescent="0.3">
      <c r="A4630" t="s">
        <v>10642</v>
      </c>
      <c r="B4630" t="s">
        <v>76</v>
      </c>
      <c r="C4630">
        <v>47</v>
      </c>
      <c r="D4630" t="str">
        <f>VLOOKUP(B4630,Products!$A:$E,2,FALSE)</f>
        <v>Product_34</v>
      </c>
      <c r="E4630" t="str">
        <f>VLOOKUP(B4630,Products!$A:$E,3,FALSE)</f>
        <v>Office Supplies</v>
      </c>
    </row>
    <row r="4631" spans="1:5" x14ac:dyDescent="0.3">
      <c r="A4631" t="s">
        <v>10643</v>
      </c>
      <c r="B4631" t="s">
        <v>292</v>
      </c>
      <c r="C4631">
        <v>37</v>
      </c>
      <c r="D4631" t="str">
        <f>VLOOKUP(B4631,Products!$A:$E,2,FALSE)</f>
        <v>Product_142</v>
      </c>
      <c r="E4631" t="str">
        <f>VLOOKUP(B4631,Products!$A:$E,3,FALSE)</f>
        <v>Storage</v>
      </c>
    </row>
    <row r="4632" spans="1:5" x14ac:dyDescent="0.3">
      <c r="A4632" t="s">
        <v>10644</v>
      </c>
      <c r="B4632" t="s">
        <v>268</v>
      </c>
      <c r="C4632">
        <v>47</v>
      </c>
      <c r="D4632" t="str">
        <f>VLOOKUP(B4632,Products!$A:$E,2,FALSE)</f>
        <v>Product_130</v>
      </c>
      <c r="E4632" t="str">
        <f>VLOOKUP(B4632,Products!$A:$E,3,FALSE)</f>
        <v>Storage</v>
      </c>
    </row>
    <row r="4633" spans="1:5" x14ac:dyDescent="0.3">
      <c r="A4633" t="s">
        <v>10645</v>
      </c>
      <c r="B4633" t="s">
        <v>38</v>
      </c>
      <c r="C4633">
        <v>46</v>
      </c>
      <c r="D4633" t="str">
        <f>VLOOKUP(B4633,Products!$A:$E,2,FALSE)</f>
        <v>Product_15</v>
      </c>
      <c r="E4633" t="str">
        <f>VLOOKUP(B4633,Products!$A:$E,3,FALSE)</f>
        <v>Electronics</v>
      </c>
    </row>
    <row r="4634" spans="1:5" x14ac:dyDescent="0.3">
      <c r="A4634" t="s">
        <v>10646</v>
      </c>
      <c r="B4634" t="s">
        <v>622</v>
      </c>
      <c r="C4634">
        <v>32</v>
      </c>
      <c r="D4634" t="str">
        <f>VLOOKUP(B4634,Products!$A:$E,2,FALSE)</f>
        <v>Product_307</v>
      </c>
      <c r="E4634" t="str">
        <f>VLOOKUP(B4634,Products!$A:$E,3,FALSE)</f>
        <v>Storage</v>
      </c>
    </row>
    <row r="4635" spans="1:5" x14ac:dyDescent="0.3">
      <c r="A4635" t="s">
        <v>10647</v>
      </c>
      <c r="B4635" t="s">
        <v>450</v>
      </c>
      <c r="C4635">
        <v>46</v>
      </c>
      <c r="D4635" t="str">
        <f>VLOOKUP(B4635,Products!$A:$E,2,FALSE)</f>
        <v>Product_221</v>
      </c>
      <c r="E4635" t="str">
        <f>VLOOKUP(B4635,Products!$A:$E,3,FALSE)</f>
        <v>Office Supplies</v>
      </c>
    </row>
    <row r="4636" spans="1:5" x14ac:dyDescent="0.3">
      <c r="A4636" t="s">
        <v>10648</v>
      </c>
      <c r="B4636" t="s">
        <v>792</v>
      </c>
      <c r="C4636">
        <v>9</v>
      </c>
      <c r="D4636" t="str">
        <f>VLOOKUP(B4636,Products!$A:$E,2,FALSE)</f>
        <v>Product_392</v>
      </c>
      <c r="E4636" t="str">
        <f>VLOOKUP(B4636,Products!$A:$E,3,FALSE)</f>
        <v>Electronics</v>
      </c>
    </row>
    <row r="4637" spans="1:5" x14ac:dyDescent="0.3">
      <c r="A4637" t="s">
        <v>10649</v>
      </c>
      <c r="B4637" t="s">
        <v>414</v>
      </c>
      <c r="C4637">
        <v>14</v>
      </c>
      <c r="D4637" t="str">
        <f>VLOOKUP(B4637,Products!$A:$E,2,FALSE)</f>
        <v>Product_203</v>
      </c>
      <c r="E4637" t="str">
        <f>VLOOKUP(B4637,Products!$A:$E,3,FALSE)</f>
        <v>Accessories</v>
      </c>
    </row>
    <row r="4638" spans="1:5" x14ac:dyDescent="0.3">
      <c r="A4638" t="s">
        <v>10650</v>
      </c>
      <c r="B4638" t="s">
        <v>686</v>
      </c>
      <c r="C4638">
        <v>29</v>
      </c>
      <c r="D4638" t="str">
        <f>VLOOKUP(B4638,Products!$A:$E,2,FALSE)</f>
        <v>Product_339</v>
      </c>
      <c r="E4638" t="str">
        <f>VLOOKUP(B4638,Products!$A:$E,3,FALSE)</f>
        <v>Storage</v>
      </c>
    </row>
    <row r="4639" spans="1:5" x14ac:dyDescent="0.3">
      <c r="A4639" t="s">
        <v>10651</v>
      </c>
      <c r="B4639" t="s">
        <v>326</v>
      </c>
      <c r="C4639">
        <v>35</v>
      </c>
      <c r="D4639" t="str">
        <f>VLOOKUP(B4639,Products!$A:$E,2,FALSE)</f>
        <v>Product_159</v>
      </c>
      <c r="E4639" t="str">
        <f>VLOOKUP(B4639,Products!$A:$E,3,FALSE)</f>
        <v>Accessories</v>
      </c>
    </row>
    <row r="4640" spans="1:5" x14ac:dyDescent="0.3">
      <c r="A4640" t="s">
        <v>10652</v>
      </c>
      <c r="B4640" t="s">
        <v>722</v>
      </c>
      <c r="C4640">
        <v>44</v>
      </c>
      <c r="D4640" t="str">
        <f>VLOOKUP(B4640,Products!$A:$E,2,FALSE)</f>
        <v>Product_357</v>
      </c>
      <c r="E4640" t="str">
        <f>VLOOKUP(B4640,Products!$A:$E,3,FALSE)</f>
        <v>Accessories</v>
      </c>
    </row>
    <row r="4641" spans="1:5" x14ac:dyDescent="0.3">
      <c r="A4641" t="s">
        <v>10653</v>
      </c>
      <c r="B4641" t="s">
        <v>320</v>
      </c>
      <c r="C4641">
        <v>22</v>
      </c>
      <c r="D4641" t="str">
        <f>VLOOKUP(B4641,Products!$A:$E,2,FALSE)</f>
        <v>Product_156</v>
      </c>
      <c r="E4641" t="str">
        <f>VLOOKUP(B4641,Products!$A:$E,3,FALSE)</f>
        <v>Accessories</v>
      </c>
    </row>
    <row r="4642" spans="1:5" x14ac:dyDescent="0.3">
      <c r="A4642" t="s">
        <v>10654</v>
      </c>
      <c r="B4642" t="s">
        <v>248</v>
      </c>
      <c r="C4642">
        <v>37</v>
      </c>
      <c r="D4642" t="str">
        <f>VLOOKUP(B4642,Products!$A:$E,2,FALSE)</f>
        <v>Product_120</v>
      </c>
      <c r="E4642" t="str">
        <f>VLOOKUP(B4642,Products!$A:$E,3,FALSE)</f>
        <v>Accessories</v>
      </c>
    </row>
    <row r="4643" spans="1:5" x14ac:dyDescent="0.3">
      <c r="A4643" t="s">
        <v>10655</v>
      </c>
      <c r="B4643" t="s">
        <v>826</v>
      </c>
      <c r="C4643">
        <v>33</v>
      </c>
      <c r="D4643" t="str">
        <f>VLOOKUP(B4643,Products!$A:$E,2,FALSE)</f>
        <v>Product_409</v>
      </c>
      <c r="E4643" t="str">
        <f>VLOOKUP(B4643,Products!$A:$E,3,FALSE)</f>
        <v>Office Supplies</v>
      </c>
    </row>
    <row r="4644" spans="1:5" x14ac:dyDescent="0.3">
      <c r="A4644" t="s">
        <v>10656</v>
      </c>
      <c r="B4644" t="s">
        <v>978</v>
      </c>
      <c r="C4644">
        <v>27</v>
      </c>
      <c r="D4644" t="str">
        <f>VLOOKUP(B4644,Products!$A:$E,2,FALSE)</f>
        <v>Product_485</v>
      </c>
      <c r="E4644" t="str">
        <f>VLOOKUP(B4644,Products!$A:$E,3,FALSE)</f>
        <v>Networking</v>
      </c>
    </row>
    <row r="4645" spans="1:5" x14ac:dyDescent="0.3">
      <c r="A4645" t="s">
        <v>10657</v>
      </c>
      <c r="B4645" t="s">
        <v>156</v>
      </c>
      <c r="C4645">
        <v>50</v>
      </c>
      <c r="D4645" t="str">
        <f>VLOOKUP(B4645,Products!$A:$E,2,FALSE)</f>
        <v>Product_74</v>
      </c>
      <c r="E4645" t="str">
        <f>VLOOKUP(B4645,Products!$A:$E,3,FALSE)</f>
        <v>Storage</v>
      </c>
    </row>
    <row r="4646" spans="1:5" x14ac:dyDescent="0.3">
      <c r="A4646" t="s">
        <v>10658</v>
      </c>
      <c r="B4646" t="s">
        <v>562</v>
      </c>
      <c r="C4646">
        <v>44</v>
      </c>
      <c r="D4646" t="str">
        <f>VLOOKUP(B4646,Products!$A:$E,2,FALSE)</f>
        <v>Product_277</v>
      </c>
      <c r="E4646" t="str">
        <f>VLOOKUP(B4646,Products!$A:$E,3,FALSE)</f>
        <v>Electronics</v>
      </c>
    </row>
    <row r="4647" spans="1:5" x14ac:dyDescent="0.3">
      <c r="A4647" t="s">
        <v>10659</v>
      </c>
      <c r="B4647" t="s">
        <v>610</v>
      </c>
      <c r="C4647">
        <v>21</v>
      </c>
      <c r="D4647" t="str">
        <f>VLOOKUP(B4647,Products!$A:$E,2,FALSE)</f>
        <v>Product_301</v>
      </c>
      <c r="E4647" t="str">
        <f>VLOOKUP(B4647,Products!$A:$E,3,FALSE)</f>
        <v>Networking</v>
      </c>
    </row>
    <row r="4648" spans="1:5" x14ac:dyDescent="0.3">
      <c r="A4648" t="s">
        <v>10660</v>
      </c>
      <c r="B4648" t="s">
        <v>892</v>
      </c>
      <c r="C4648">
        <v>1</v>
      </c>
      <c r="D4648" t="str">
        <f>VLOOKUP(B4648,Products!$A:$E,2,FALSE)</f>
        <v>Product_442</v>
      </c>
      <c r="E4648" t="str">
        <f>VLOOKUP(B4648,Products!$A:$E,3,FALSE)</f>
        <v>Networking</v>
      </c>
    </row>
    <row r="4649" spans="1:5" x14ac:dyDescent="0.3">
      <c r="A4649" t="s">
        <v>10661</v>
      </c>
      <c r="B4649" t="s">
        <v>1004</v>
      </c>
      <c r="C4649">
        <v>40</v>
      </c>
      <c r="D4649" t="str">
        <f>VLOOKUP(B4649,Products!$A:$E,2,FALSE)</f>
        <v>Product_498</v>
      </c>
      <c r="E4649" t="str">
        <f>VLOOKUP(B4649,Products!$A:$E,3,FALSE)</f>
        <v>Office Supplies</v>
      </c>
    </row>
    <row r="4650" spans="1:5" x14ac:dyDescent="0.3">
      <c r="A4650" t="s">
        <v>10662</v>
      </c>
      <c r="B4650" t="s">
        <v>64</v>
      </c>
      <c r="C4650">
        <v>46</v>
      </c>
      <c r="D4650" t="str">
        <f>VLOOKUP(B4650,Products!$A:$E,2,FALSE)</f>
        <v>Product_28</v>
      </c>
      <c r="E4650" t="str">
        <f>VLOOKUP(B4650,Products!$A:$E,3,FALSE)</f>
        <v>Office Supplies</v>
      </c>
    </row>
    <row r="4651" spans="1:5" x14ac:dyDescent="0.3">
      <c r="A4651" t="s">
        <v>10663</v>
      </c>
      <c r="B4651" t="s">
        <v>782</v>
      </c>
      <c r="C4651">
        <v>23</v>
      </c>
      <c r="D4651" t="str">
        <f>VLOOKUP(B4651,Products!$A:$E,2,FALSE)</f>
        <v>Product_387</v>
      </c>
      <c r="E4651" t="str">
        <f>VLOOKUP(B4651,Products!$A:$E,3,FALSE)</f>
        <v>Storage</v>
      </c>
    </row>
    <row r="4652" spans="1:5" x14ac:dyDescent="0.3">
      <c r="A4652" t="s">
        <v>10664</v>
      </c>
      <c r="B4652" t="s">
        <v>610</v>
      </c>
      <c r="C4652">
        <v>8</v>
      </c>
      <c r="D4652" t="str">
        <f>VLOOKUP(B4652,Products!$A:$E,2,FALSE)</f>
        <v>Product_301</v>
      </c>
      <c r="E4652" t="str">
        <f>VLOOKUP(B4652,Products!$A:$E,3,FALSE)</f>
        <v>Networking</v>
      </c>
    </row>
    <row r="4653" spans="1:5" x14ac:dyDescent="0.3">
      <c r="A4653" t="s">
        <v>10665</v>
      </c>
      <c r="B4653" t="s">
        <v>802</v>
      </c>
      <c r="C4653">
        <v>5</v>
      </c>
      <c r="D4653" t="str">
        <f>VLOOKUP(B4653,Products!$A:$E,2,FALSE)</f>
        <v>Product_397</v>
      </c>
      <c r="E4653" t="str">
        <f>VLOOKUP(B4653,Products!$A:$E,3,FALSE)</f>
        <v>Office Supplies</v>
      </c>
    </row>
    <row r="4654" spans="1:5" x14ac:dyDescent="0.3">
      <c r="A4654" t="s">
        <v>10666</v>
      </c>
      <c r="B4654" t="s">
        <v>638</v>
      </c>
      <c r="C4654">
        <v>5</v>
      </c>
      <c r="D4654" t="str">
        <f>VLOOKUP(B4654,Products!$A:$E,2,FALSE)</f>
        <v>Product_315</v>
      </c>
      <c r="E4654" t="str">
        <f>VLOOKUP(B4654,Products!$A:$E,3,FALSE)</f>
        <v>Accessories</v>
      </c>
    </row>
    <row r="4655" spans="1:5" x14ac:dyDescent="0.3">
      <c r="A4655" t="s">
        <v>10667</v>
      </c>
      <c r="B4655" t="s">
        <v>552</v>
      </c>
      <c r="C4655">
        <v>27</v>
      </c>
      <c r="D4655" t="str">
        <f>VLOOKUP(B4655,Products!$A:$E,2,FALSE)</f>
        <v>Product_272</v>
      </c>
      <c r="E4655" t="str">
        <f>VLOOKUP(B4655,Products!$A:$E,3,FALSE)</f>
        <v>Office Supplies</v>
      </c>
    </row>
    <row r="4656" spans="1:5" x14ac:dyDescent="0.3">
      <c r="A4656" t="s">
        <v>10668</v>
      </c>
      <c r="B4656" t="s">
        <v>756</v>
      </c>
      <c r="C4656">
        <v>11</v>
      </c>
      <c r="D4656" t="str">
        <f>VLOOKUP(B4656,Products!$A:$E,2,FALSE)</f>
        <v>Product_374</v>
      </c>
      <c r="E4656" t="str">
        <f>VLOOKUP(B4656,Products!$A:$E,3,FALSE)</f>
        <v>Office Supplies</v>
      </c>
    </row>
    <row r="4657" spans="1:5" x14ac:dyDescent="0.3">
      <c r="A4657" t="s">
        <v>10669</v>
      </c>
      <c r="B4657" t="s">
        <v>760</v>
      </c>
      <c r="C4657">
        <v>13</v>
      </c>
      <c r="D4657" t="str">
        <f>VLOOKUP(B4657,Products!$A:$E,2,FALSE)</f>
        <v>Product_376</v>
      </c>
      <c r="E4657" t="str">
        <f>VLOOKUP(B4657,Products!$A:$E,3,FALSE)</f>
        <v>Networking</v>
      </c>
    </row>
    <row r="4658" spans="1:5" x14ac:dyDescent="0.3">
      <c r="A4658" t="s">
        <v>10670</v>
      </c>
      <c r="B4658" t="s">
        <v>264</v>
      </c>
      <c r="C4658">
        <v>39</v>
      </c>
      <c r="D4658" t="str">
        <f>VLOOKUP(B4658,Products!$A:$E,2,FALSE)</f>
        <v>Product_128</v>
      </c>
      <c r="E4658" t="str">
        <f>VLOOKUP(B4658,Products!$A:$E,3,FALSE)</f>
        <v>Office Supplies</v>
      </c>
    </row>
    <row r="4659" spans="1:5" x14ac:dyDescent="0.3">
      <c r="A4659" t="s">
        <v>10671</v>
      </c>
      <c r="B4659" t="s">
        <v>802</v>
      </c>
      <c r="C4659">
        <v>49</v>
      </c>
      <c r="D4659" t="str">
        <f>VLOOKUP(B4659,Products!$A:$E,2,FALSE)</f>
        <v>Product_397</v>
      </c>
      <c r="E4659" t="str">
        <f>VLOOKUP(B4659,Products!$A:$E,3,FALSE)</f>
        <v>Office Supplies</v>
      </c>
    </row>
    <row r="4660" spans="1:5" x14ac:dyDescent="0.3">
      <c r="A4660" t="s">
        <v>10672</v>
      </c>
      <c r="B4660" t="s">
        <v>192</v>
      </c>
      <c r="C4660">
        <v>12</v>
      </c>
      <c r="D4660" t="str">
        <f>VLOOKUP(B4660,Products!$A:$E,2,FALSE)</f>
        <v>Product_92</v>
      </c>
      <c r="E4660" t="str">
        <f>VLOOKUP(B4660,Products!$A:$E,3,FALSE)</f>
        <v>Electronics</v>
      </c>
    </row>
    <row r="4661" spans="1:5" x14ac:dyDescent="0.3">
      <c r="A4661" t="s">
        <v>10673</v>
      </c>
      <c r="B4661" t="s">
        <v>40</v>
      </c>
      <c r="C4661">
        <v>42</v>
      </c>
      <c r="D4661" t="str">
        <f>VLOOKUP(B4661,Products!$A:$E,2,FALSE)</f>
        <v>Product_16</v>
      </c>
      <c r="E4661" t="str">
        <f>VLOOKUP(B4661,Products!$A:$E,3,FALSE)</f>
        <v>Office Supplies</v>
      </c>
    </row>
    <row r="4662" spans="1:5" x14ac:dyDescent="0.3">
      <c r="A4662" t="s">
        <v>10674</v>
      </c>
      <c r="B4662" t="s">
        <v>960</v>
      </c>
      <c r="C4662">
        <v>32</v>
      </c>
      <c r="D4662" t="str">
        <f>VLOOKUP(B4662,Products!$A:$E,2,FALSE)</f>
        <v>Product_476</v>
      </c>
      <c r="E4662" t="str">
        <f>VLOOKUP(B4662,Products!$A:$E,3,FALSE)</f>
        <v>Office Supplies</v>
      </c>
    </row>
    <row r="4663" spans="1:5" x14ac:dyDescent="0.3">
      <c r="A4663" t="s">
        <v>10675</v>
      </c>
      <c r="B4663" t="s">
        <v>756</v>
      </c>
      <c r="C4663">
        <v>8</v>
      </c>
      <c r="D4663" t="str">
        <f>VLOOKUP(B4663,Products!$A:$E,2,FALSE)</f>
        <v>Product_374</v>
      </c>
      <c r="E4663" t="str">
        <f>VLOOKUP(B4663,Products!$A:$E,3,FALSE)</f>
        <v>Office Supplies</v>
      </c>
    </row>
    <row r="4664" spans="1:5" x14ac:dyDescent="0.3">
      <c r="A4664" t="s">
        <v>10676</v>
      </c>
      <c r="B4664" t="s">
        <v>348</v>
      </c>
      <c r="C4664">
        <v>6</v>
      </c>
      <c r="D4664" t="str">
        <f>VLOOKUP(B4664,Products!$A:$E,2,FALSE)</f>
        <v>Product_170</v>
      </c>
      <c r="E4664" t="str">
        <f>VLOOKUP(B4664,Products!$A:$E,3,FALSE)</f>
        <v>Office Supplies</v>
      </c>
    </row>
    <row r="4665" spans="1:5" x14ac:dyDescent="0.3">
      <c r="A4665" t="s">
        <v>10677</v>
      </c>
      <c r="B4665" t="s">
        <v>106</v>
      </c>
      <c r="C4665">
        <v>26</v>
      </c>
      <c r="D4665" t="str">
        <f>VLOOKUP(B4665,Products!$A:$E,2,FALSE)</f>
        <v>Product_49</v>
      </c>
      <c r="E4665" t="str">
        <f>VLOOKUP(B4665,Products!$A:$E,3,FALSE)</f>
        <v>Storage</v>
      </c>
    </row>
    <row r="4666" spans="1:5" x14ac:dyDescent="0.3">
      <c r="A4666" t="s">
        <v>10678</v>
      </c>
      <c r="B4666" t="s">
        <v>596</v>
      </c>
      <c r="C4666">
        <v>45</v>
      </c>
      <c r="D4666" t="str">
        <f>VLOOKUP(B4666,Products!$A:$E,2,FALSE)</f>
        <v>Product_294</v>
      </c>
      <c r="E4666" t="str">
        <f>VLOOKUP(B4666,Products!$A:$E,3,FALSE)</f>
        <v>Networking</v>
      </c>
    </row>
    <row r="4667" spans="1:5" x14ac:dyDescent="0.3">
      <c r="A4667" t="s">
        <v>10679</v>
      </c>
      <c r="B4667" t="s">
        <v>980</v>
      </c>
      <c r="C4667">
        <v>44</v>
      </c>
      <c r="D4667" t="str">
        <f>VLOOKUP(B4667,Products!$A:$E,2,FALSE)</f>
        <v>Product_486</v>
      </c>
      <c r="E4667" t="str">
        <f>VLOOKUP(B4667,Products!$A:$E,3,FALSE)</f>
        <v>Electronics</v>
      </c>
    </row>
    <row r="4668" spans="1:5" x14ac:dyDescent="0.3">
      <c r="A4668" t="s">
        <v>10680</v>
      </c>
      <c r="B4668" t="s">
        <v>406</v>
      </c>
      <c r="C4668">
        <v>27</v>
      </c>
      <c r="D4668" t="str">
        <f>VLOOKUP(B4668,Products!$A:$E,2,FALSE)</f>
        <v>Product_199</v>
      </c>
      <c r="E4668" t="str">
        <f>VLOOKUP(B4668,Products!$A:$E,3,FALSE)</f>
        <v>Storage</v>
      </c>
    </row>
    <row r="4669" spans="1:5" x14ac:dyDescent="0.3">
      <c r="A4669" t="s">
        <v>10681</v>
      </c>
      <c r="B4669" t="s">
        <v>400</v>
      </c>
      <c r="C4669">
        <v>45</v>
      </c>
      <c r="D4669" t="str">
        <f>VLOOKUP(B4669,Products!$A:$E,2,FALSE)</f>
        <v>Product_196</v>
      </c>
      <c r="E4669" t="str">
        <f>VLOOKUP(B4669,Products!$A:$E,3,FALSE)</f>
        <v>Office Supplies</v>
      </c>
    </row>
    <row r="4670" spans="1:5" x14ac:dyDescent="0.3">
      <c r="A4670" t="s">
        <v>10682</v>
      </c>
      <c r="B4670" t="s">
        <v>494</v>
      </c>
      <c r="C4670">
        <v>9</v>
      </c>
      <c r="D4670" t="str">
        <f>VLOOKUP(B4670,Products!$A:$E,2,FALSE)</f>
        <v>Product_243</v>
      </c>
      <c r="E4670" t="str">
        <f>VLOOKUP(B4670,Products!$A:$E,3,FALSE)</f>
        <v>Storage</v>
      </c>
    </row>
    <row r="4671" spans="1:5" x14ac:dyDescent="0.3">
      <c r="A4671" t="s">
        <v>10683</v>
      </c>
      <c r="B4671" t="s">
        <v>876</v>
      </c>
      <c r="C4671">
        <v>22</v>
      </c>
      <c r="D4671" t="str">
        <f>VLOOKUP(B4671,Products!$A:$E,2,FALSE)</f>
        <v>Product_434</v>
      </c>
      <c r="E4671" t="str">
        <f>VLOOKUP(B4671,Products!$A:$E,3,FALSE)</f>
        <v>Office Supplies</v>
      </c>
    </row>
    <row r="4672" spans="1:5" x14ac:dyDescent="0.3">
      <c r="A4672" t="s">
        <v>10684</v>
      </c>
      <c r="B4672" t="s">
        <v>196</v>
      </c>
      <c r="C4672">
        <v>7</v>
      </c>
      <c r="D4672" t="str">
        <f>VLOOKUP(B4672,Products!$A:$E,2,FALSE)</f>
        <v>Product_94</v>
      </c>
      <c r="E4672" t="str">
        <f>VLOOKUP(B4672,Products!$A:$E,3,FALSE)</f>
        <v>Networking</v>
      </c>
    </row>
    <row r="4673" spans="1:5" x14ac:dyDescent="0.3">
      <c r="A4673" t="s">
        <v>10685</v>
      </c>
      <c r="B4673" t="s">
        <v>328</v>
      </c>
      <c r="C4673">
        <v>23</v>
      </c>
      <c r="D4673" t="str">
        <f>VLOOKUP(B4673,Products!$A:$E,2,FALSE)</f>
        <v>Product_160</v>
      </c>
      <c r="E4673" t="str">
        <f>VLOOKUP(B4673,Products!$A:$E,3,FALSE)</f>
        <v>Office Supplies</v>
      </c>
    </row>
    <row r="4674" spans="1:5" x14ac:dyDescent="0.3">
      <c r="A4674" t="s">
        <v>10686</v>
      </c>
      <c r="B4674" t="s">
        <v>190</v>
      </c>
      <c r="C4674">
        <v>46</v>
      </c>
      <c r="D4674" t="str">
        <f>VLOOKUP(B4674,Products!$A:$E,2,FALSE)</f>
        <v>Product_91</v>
      </c>
      <c r="E4674" t="str">
        <f>VLOOKUP(B4674,Products!$A:$E,3,FALSE)</f>
        <v>Networking</v>
      </c>
    </row>
    <row r="4675" spans="1:5" x14ac:dyDescent="0.3">
      <c r="A4675" t="s">
        <v>10687</v>
      </c>
      <c r="B4675" t="s">
        <v>450</v>
      </c>
      <c r="C4675">
        <v>17</v>
      </c>
      <c r="D4675" t="str">
        <f>VLOOKUP(B4675,Products!$A:$E,2,FALSE)</f>
        <v>Product_221</v>
      </c>
      <c r="E4675" t="str">
        <f>VLOOKUP(B4675,Products!$A:$E,3,FALSE)</f>
        <v>Office Supplies</v>
      </c>
    </row>
    <row r="4676" spans="1:5" x14ac:dyDescent="0.3">
      <c r="A4676" t="s">
        <v>10688</v>
      </c>
      <c r="B4676" t="s">
        <v>520</v>
      </c>
      <c r="C4676">
        <v>6</v>
      </c>
      <c r="D4676" t="str">
        <f>VLOOKUP(B4676,Products!$A:$E,2,FALSE)</f>
        <v>Product_256</v>
      </c>
      <c r="E4676" t="str">
        <f>VLOOKUP(B4676,Products!$A:$E,3,FALSE)</f>
        <v>Office Supplies</v>
      </c>
    </row>
    <row r="4677" spans="1:5" x14ac:dyDescent="0.3">
      <c r="A4677" t="s">
        <v>10689</v>
      </c>
      <c r="B4677" t="s">
        <v>198</v>
      </c>
      <c r="C4677">
        <v>17</v>
      </c>
      <c r="D4677" t="str">
        <f>VLOOKUP(B4677,Products!$A:$E,2,FALSE)</f>
        <v>Product_95</v>
      </c>
      <c r="E4677" t="str">
        <f>VLOOKUP(B4677,Products!$A:$E,3,FALSE)</f>
        <v>Electronics</v>
      </c>
    </row>
    <row r="4678" spans="1:5" x14ac:dyDescent="0.3">
      <c r="A4678" t="s">
        <v>10690</v>
      </c>
      <c r="B4678" t="s">
        <v>420</v>
      </c>
      <c r="C4678">
        <v>13</v>
      </c>
      <c r="D4678" t="str">
        <f>VLOOKUP(B4678,Products!$A:$E,2,FALSE)</f>
        <v>Product_206</v>
      </c>
      <c r="E4678" t="str">
        <f>VLOOKUP(B4678,Products!$A:$E,3,FALSE)</f>
        <v>Accessories</v>
      </c>
    </row>
    <row r="4679" spans="1:5" x14ac:dyDescent="0.3">
      <c r="A4679" t="s">
        <v>10691</v>
      </c>
      <c r="B4679" t="s">
        <v>242</v>
      </c>
      <c r="C4679">
        <v>23</v>
      </c>
      <c r="D4679" t="str">
        <f>VLOOKUP(B4679,Products!$A:$E,2,FALSE)</f>
        <v>Product_117</v>
      </c>
      <c r="E4679" t="str">
        <f>VLOOKUP(B4679,Products!$A:$E,3,FALSE)</f>
        <v>Storage</v>
      </c>
    </row>
    <row r="4680" spans="1:5" x14ac:dyDescent="0.3">
      <c r="A4680" t="s">
        <v>10692</v>
      </c>
      <c r="B4680" t="s">
        <v>672</v>
      </c>
      <c r="C4680">
        <v>41</v>
      </c>
      <c r="D4680" t="str">
        <f>VLOOKUP(B4680,Products!$A:$E,2,FALSE)</f>
        <v>Product_332</v>
      </c>
      <c r="E4680" t="str">
        <f>VLOOKUP(B4680,Products!$A:$E,3,FALSE)</f>
        <v>Electronics</v>
      </c>
    </row>
    <row r="4681" spans="1:5" x14ac:dyDescent="0.3">
      <c r="A4681" t="s">
        <v>10693</v>
      </c>
      <c r="B4681" t="s">
        <v>92</v>
      </c>
      <c r="C4681">
        <v>22</v>
      </c>
      <c r="D4681" t="str">
        <f>VLOOKUP(B4681,Products!$A:$E,2,FALSE)</f>
        <v>Product_42</v>
      </c>
      <c r="E4681" t="str">
        <f>VLOOKUP(B4681,Products!$A:$E,3,FALSE)</f>
        <v>Storage</v>
      </c>
    </row>
    <row r="4682" spans="1:5" x14ac:dyDescent="0.3">
      <c r="A4682" t="s">
        <v>10694</v>
      </c>
      <c r="B4682" t="s">
        <v>472</v>
      </c>
      <c r="C4682">
        <v>49</v>
      </c>
      <c r="D4682" t="str">
        <f>VLOOKUP(B4682,Products!$A:$E,2,FALSE)</f>
        <v>Product_232</v>
      </c>
      <c r="E4682" t="str">
        <f>VLOOKUP(B4682,Products!$A:$E,3,FALSE)</f>
        <v>Office Supplies</v>
      </c>
    </row>
    <row r="4683" spans="1:5" x14ac:dyDescent="0.3">
      <c r="A4683" t="s">
        <v>10695</v>
      </c>
      <c r="B4683" t="s">
        <v>106</v>
      </c>
      <c r="C4683">
        <v>34</v>
      </c>
      <c r="D4683" t="str">
        <f>VLOOKUP(B4683,Products!$A:$E,2,FALSE)</f>
        <v>Product_49</v>
      </c>
      <c r="E4683" t="str">
        <f>VLOOKUP(B4683,Products!$A:$E,3,FALSE)</f>
        <v>Storage</v>
      </c>
    </row>
    <row r="4684" spans="1:5" x14ac:dyDescent="0.3">
      <c r="A4684" t="s">
        <v>10696</v>
      </c>
      <c r="B4684" t="s">
        <v>272</v>
      </c>
      <c r="C4684">
        <v>2</v>
      </c>
      <c r="D4684" t="str">
        <f>VLOOKUP(B4684,Products!$A:$E,2,FALSE)</f>
        <v>Product_132</v>
      </c>
      <c r="E4684" t="str">
        <f>VLOOKUP(B4684,Products!$A:$E,3,FALSE)</f>
        <v>Storage</v>
      </c>
    </row>
    <row r="4685" spans="1:5" x14ac:dyDescent="0.3">
      <c r="A4685" t="s">
        <v>10697</v>
      </c>
      <c r="B4685" t="s">
        <v>910</v>
      </c>
      <c r="C4685">
        <v>39</v>
      </c>
      <c r="D4685" t="str">
        <f>VLOOKUP(B4685,Products!$A:$E,2,FALSE)</f>
        <v>Product_451</v>
      </c>
      <c r="E4685" t="str">
        <f>VLOOKUP(B4685,Products!$A:$E,3,FALSE)</f>
        <v>Accessories</v>
      </c>
    </row>
    <row r="4686" spans="1:5" x14ac:dyDescent="0.3">
      <c r="A4686" t="s">
        <v>10698</v>
      </c>
      <c r="B4686" t="s">
        <v>72</v>
      </c>
      <c r="C4686">
        <v>36</v>
      </c>
      <c r="D4686" t="str">
        <f>VLOOKUP(B4686,Products!$A:$E,2,FALSE)</f>
        <v>Product_32</v>
      </c>
      <c r="E4686" t="str">
        <f>VLOOKUP(B4686,Products!$A:$E,3,FALSE)</f>
        <v>Networking</v>
      </c>
    </row>
    <row r="4687" spans="1:5" x14ac:dyDescent="0.3">
      <c r="A4687" t="s">
        <v>10699</v>
      </c>
      <c r="B4687" t="s">
        <v>70</v>
      </c>
      <c r="C4687">
        <v>44</v>
      </c>
      <c r="D4687" t="str">
        <f>VLOOKUP(B4687,Products!$A:$E,2,FALSE)</f>
        <v>Product_31</v>
      </c>
      <c r="E4687" t="str">
        <f>VLOOKUP(B4687,Products!$A:$E,3,FALSE)</f>
        <v>Accessories</v>
      </c>
    </row>
    <row r="4688" spans="1:5" x14ac:dyDescent="0.3">
      <c r="A4688" t="s">
        <v>10700</v>
      </c>
      <c r="B4688" t="s">
        <v>392</v>
      </c>
      <c r="C4688">
        <v>7</v>
      </c>
      <c r="D4688" t="str">
        <f>VLOOKUP(B4688,Products!$A:$E,2,FALSE)</f>
        <v>Product_192</v>
      </c>
      <c r="E4688" t="str">
        <f>VLOOKUP(B4688,Products!$A:$E,3,FALSE)</f>
        <v>Office Supplies</v>
      </c>
    </row>
    <row r="4689" spans="1:5" x14ac:dyDescent="0.3">
      <c r="A4689" t="s">
        <v>10701</v>
      </c>
      <c r="B4689" t="s">
        <v>182</v>
      </c>
      <c r="C4689">
        <v>1</v>
      </c>
      <c r="D4689" t="str">
        <f>VLOOKUP(B4689,Products!$A:$E,2,FALSE)</f>
        <v>Product_87</v>
      </c>
      <c r="E4689" t="str">
        <f>VLOOKUP(B4689,Products!$A:$E,3,FALSE)</f>
        <v>Networking</v>
      </c>
    </row>
    <row r="4690" spans="1:5" x14ac:dyDescent="0.3">
      <c r="A4690" t="s">
        <v>10702</v>
      </c>
      <c r="B4690" t="s">
        <v>996</v>
      </c>
      <c r="C4690">
        <v>34</v>
      </c>
      <c r="D4690" t="str">
        <f>VLOOKUP(B4690,Products!$A:$E,2,FALSE)</f>
        <v>Product_494</v>
      </c>
      <c r="E4690" t="str">
        <f>VLOOKUP(B4690,Products!$A:$E,3,FALSE)</f>
        <v>Office Supplies</v>
      </c>
    </row>
    <row r="4691" spans="1:5" x14ac:dyDescent="0.3">
      <c r="A4691" t="s">
        <v>10703</v>
      </c>
      <c r="B4691" t="s">
        <v>22</v>
      </c>
      <c r="C4691">
        <v>1</v>
      </c>
      <c r="D4691" t="str">
        <f>VLOOKUP(B4691,Products!$A:$E,2,FALSE)</f>
        <v>Product_7</v>
      </c>
      <c r="E4691" t="str">
        <f>VLOOKUP(B4691,Products!$A:$E,3,FALSE)</f>
        <v>Storage</v>
      </c>
    </row>
    <row r="4692" spans="1:5" x14ac:dyDescent="0.3">
      <c r="A4692" t="s">
        <v>10704</v>
      </c>
      <c r="B4692" t="s">
        <v>344</v>
      </c>
      <c r="C4692">
        <v>25</v>
      </c>
      <c r="D4692" t="str">
        <f>VLOOKUP(B4692,Products!$A:$E,2,FALSE)</f>
        <v>Product_168</v>
      </c>
      <c r="E4692" t="str">
        <f>VLOOKUP(B4692,Products!$A:$E,3,FALSE)</f>
        <v>Electronics</v>
      </c>
    </row>
    <row r="4693" spans="1:5" x14ac:dyDescent="0.3">
      <c r="A4693" t="s">
        <v>10705</v>
      </c>
      <c r="B4693" t="s">
        <v>322</v>
      </c>
      <c r="C4693">
        <v>2</v>
      </c>
      <c r="D4693" t="str">
        <f>VLOOKUP(B4693,Products!$A:$E,2,FALSE)</f>
        <v>Product_157</v>
      </c>
      <c r="E4693" t="str">
        <f>VLOOKUP(B4693,Products!$A:$E,3,FALSE)</f>
        <v>Electronics</v>
      </c>
    </row>
    <row r="4694" spans="1:5" x14ac:dyDescent="0.3">
      <c r="A4694" t="s">
        <v>10706</v>
      </c>
      <c r="B4694" t="s">
        <v>828</v>
      </c>
      <c r="C4694">
        <v>37</v>
      </c>
      <c r="D4694" t="str">
        <f>VLOOKUP(B4694,Products!$A:$E,2,FALSE)</f>
        <v>Product_410</v>
      </c>
      <c r="E4694" t="str">
        <f>VLOOKUP(B4694,Products!$A:$E,3,FALSE)</f>
        <v>Storage</v>
      </c>
    </row>
    <row r="4695" spans="1:5" x14ac:dyDescent="0.3">
      <c r="A4695" t="s">
        <v>10707</v>
      </c>
      <c r="B4695" t="s">
        <v>586</v>
      </c>
      <c r="C4695">
        <v>24</v>
      </c>
      <c r="D4695" t="str">
        <f>VLOOKUP(B4695,Products!$A:$E,2,FALSE)</f>
        <v>Product_289</v>
      </c>
      <c r="E4695" t="str">
        <f>VLOOKUP(B4695,Products!$A:$E,3,FALSE)</f>
        <v>Storage</v>
      </c>
    </row>
    <row r="4696" spans="1:5" x14ac:dyDescent="0.3">
      <c r="A4696" t="s">
        <v>10708</v>
      </c>
      <c r="B4696" t="s">
        <v>888</v>
      </c>
      <c r="C4696">
        <v>5</v>
      </c>
      <c r="D4696" t="str">
        <f>VLOOKUP(B4696,Products!$A:$E,2,FALSE)</f>
        <v>Product_440</v>
      </c>
      <c r="E4696" t="str">
        <f>VLOOKUP(B4696,Products!$A:$E,3,FALSE)</f>
        <v>Accessories</v>
      </c>
    </row>
    <row r="4697" spans="1:5" x14ac:dyDescent="0.3">
      <c r="A4697" t="s">
        <v>10709</v>
      </c>
      <c r="B4697" t="s">
        <v>988</v>
      </c>
      <c r="C4697">
        <v>12</v>
      </c>
      <c r="D4697" t="str">
        <f>VLOOKUP(B4697,Products!$A:$E,2,FALSE)</f>
        <v>Product_490</v>
      </c>
      <c r="E4697" t="str">
        <f>VLOOKUP(B4697,Products!$A:$E,3,FALSE)</f>
        <v>Storage</v>
      </c>
    </row>
    <row r="4698" spans="1:5" x14ac:dyDescent="0.3">
      <c r="A4698" t="s">
        <v>10710</v>
      </c>
      <c r="B4698" t="s">
        <v>202</v>
      </c>
      <c r="C4698">
        <v>41</v>
      </c>
      <c r="D4698" t="str">
        <f>VLOOKUP(B4698,Products!$A:$E,2,FALSE)</f>
        <v>Product_97</v>
      </c>
      <c r="E4698" t="str">
        <f>VLOOKUP(B4698,Products!$A:$E,3,FALSE)</f>
        <v>Accessories</v>
      </c>
    </row>
    <row r="4699" spans="1:5" x14ac:dyDescent="0.3">
      <c r="A4699" t="s">
        <v>10711</v>
      </c>
      <c r="B4699" t="s">
        <v>644</v>
      </c>
      <c r="C4699">
        <v>32</v>
      </c>
      <c r="D4699" t="str">
        <f>VLOOKUP(B4699,Products!$A:$E,2,FALSE)</f>
        <v>Product_318</v>
      </c>
      <c r="E4699" t="str">
        <f>VLOOKUP(B4699,Products!$A:$E,3,FALSE)</f>
        <v>Storage</v>
      </c>
    </row>
    <row r="4700" spans="1:5" x14ac:dyDescent="0.3">
      <c r="A4700" t="s">
        <v>10712</v>
      </c>
      <c r="B4700" t="s">
        <v>196</v>
      </c>
      <c r="C4700">
        <v>35</v>
      </c>
      <c r="D4700" t="str">
        <f>VLOOKUP(B4700,Products!$A:$E,2,FALSE)</f>
        <v>Product_94</v>
      </c>
      <c r="E4700" t="str">
        <f>VLOOKUP(B4700,Products!$A:$E,3,FALSE)</f>
        <v>Networking</v>
      </c>
    </row>
    <row r="4701" spans="1:5" x14ac:dyDescent="0.3">
      <c r="A4701" t="s">
        <v>10713</v>
      </c>
      <c r="B4701" t="s">
        <v>232</v>
      </c>
      <c r="C4701">
        <v>23</v>
      </c>
      <c r="D4701" t="str">
        <f>VLOOKUP(B4701,Products!$A:$E,2,FALSE)</f>
        <v>Product_112</v>
      </c>
      <c r="E4701" t="str">
        <f>VLOOKUP(B4701,Products!$A:$E,3,FALSE)</f>
        <v>Storage</v>
      </c>
    </row>
    <row r="4702" spans="1:5" x14ac:dyDescent="0.3">
      <c r="A4702" t="s">
        <v>10714</v>
      </c>
      <c r="B4702" t="s">
        <v>108</v>
      </c>
      <c r="C4702">
        <v>44</v>
      </c>
      <c r="D4702" t="str">
        <f>VLOOKUP(B4702,Products!$A:$E,2,FALSE)</f>
        <v>Product_50</v>
      </c>
      <c r="E4702" t="str">
        <f>VLOOKUP(B4702,Products!$A:$E,3,FALSE)</f>
        <v>Networking</v>
      </c>
    </row>
    <row r="4703" spans="1:5" x14ac:dyDescent="0.3">
      <c r="A4703" t="s">
        <v>10715</v>
      </c>
      <c r="B4703" t="s">
        <v>944</v>
      </c>
      <c r="C4703">
        <v>10</v>
      </c>
      <c r="D4703" t="str">
        <f>VLOOKUP(B4703,Products!$A:$E,2,FALSE)</f>
        <v>Product_468</v>
      </c>
      <c r="E4703" t="str">
        <f>VLOOKUP(B4703,Products!$A:$E,3,FALSE)</f>
        <v>Office Supplies</v>
      </c>
    </row>
    <row r="4704" spans="1:5" x14ac:dyDescent="0.3">
      <c r="A4704" t="s">
        <v>10716</v>
      </c>
      <c r="B4704" t="s">
        <v>624</v>
      </c>
      <c r="C4704">
        <v>24</v>
      </c>
      <c r="D4704" t="str">
        <f>VLOOKUP(B4704,Products!$A:$E,2,FALSE)</f>
        <v>Product_308</v>
      </c>
      <c r="E4704" t="str">
        <f>VLOOKUP(B4704,Products!$A:$E,3,FALSE)</f>
        <v>Storage</v>
      </c>
    </row>
    <row r="4705" spans="1:5" x14ac:dyDescent="0.3">
      <c r="A4705" t="s">
        <v>10717</v>
      </c>
      <c r="B4705" t="s">
        <v>596</v>
      </c>
      <c r="C4705">
        <v>12</v>
      </c>
      <c r="D4705" t="str">
        <f>VLOOKUP(B4705,Products!$A:$E,2,FALSE)</f>
        <v>Product_294</v>
      </c>
      <c r="E4705" t="str">
        <f>VLOOKUP(B4705,Products!$A:$E,3,FALSE)</f>
        <v>Networking</v>
      </c>
    </row>
    <row r="4706" spans="1:5" x14ac:dyDescent="0.3">
      <c r="A4706" t="s">
        <v>10718</v>
      </c>
      <c r="B4706" t="s">
        <v>922</v>
      </c>
      <c r="C4706">
        <v>29</v>
      </c>
      <c r="D4706" t="str">
        <f>VLOOKUP(B4706,Products!$A:$E,2,FALSE)</f>
        <v>Product_457</v>
      </c>
      <c r="E4706" t="str">
        <f>VLOOKUP(B4706,Products!$A:$E,3,FALSE)</f>
        <v>Networking</v>
      </c>
    </row>
    <row r="4707" spans="1:5" x14ac:dyDescent="0.3">
      <c r="A4707" t="s">
        <v>10719</v>
      </c>
      <c r="B4707" t="s">
        <v>732</v>
      </c>
      <c r="C4707">
        <v>50</v>
      </c>
      <c r="D4707" t="str">
        <f>VLOOKUP(B4707,Products!$A:$E,2,FALSE)</f>
        <v>Product_362</v>
      </c>
      <c r="E4707" t="str">
        <f>VLOOKUP(B4707,Products!$A:$E,3,FALSE)</f>
        <v>Networking</v>
      </c>
    </row>
    <row r="4708" spans="1:5" x14ac:dyDescent="0.3">
      <c r="A4708" t="s">
        <v>10720</v>
      </c>
      <c r="B4708" t="s">
        <v>190</v>
      </c>
      <c r="C4708">
        <v>33</v>
      </c>
      <c r="D4708" t="str">
        <f>VLOOKUP(B4708,Products!$A:$E,2,FALSE)</f>
        <v>Product_91</v>
      </c>
      <c r="E4708" t="str">
        <f>VLOOKUP(B4708,Products!$A:$E,3,FALSE)</f>
        <v>Networking</v>
      </c>
    </row>
    <row r="4709" spans="1:5" x14ac:dyDescent="0.3">
      <c r="A4709" t="s">
        <v>10721</v>
      </c>
      <c r="B4709" t="s">
        <v>162</v>
      </c>
      <c r="C4709">
        <v>29</v>
      </c>
      <c r="D4709" t="str">
        <f>VLOOKUP(B4709,Products!$A:$E,2,FALSE)</f>
        <v>Product_77</v>
      </c>
      <c r="E4709" t="str">
        <f>VLOOKUP(B4709,Products!$A:$E,3,FALSE)</f>
        <v>Networking</v>
      </c>
    </row>
    <row r="4710" spans="1:5" x14ac:dyDescent="0.3">
      <c r="A4710" t="s">
        <v>10722</v>
      </c>
      <c r="B4710" t="s">
        <v>40</v>
      </c>
      <c r="C4710">
        <v>40</v>
      </c>
      <c r="D4710" t="str">
        <f>VLOOKUP(B4710,Products!$A:$E,2,FALSE)</f>
        <v>Product_16</v>
      </c>
      <c r="E4710" t="str">
        <f>VLOOKUP(B4710,Products!$A:$E,3,FALSE)</f>
        <v>Office Supplies</v>
      </c>
    </row>
    <row r="4711" spans="1:5" x14ac:dyDescent="0.3">
      <c r="A4711" t="s">
        <v>10723</v>
      </c>
      <c r="B4711" t="s">
        <v>48</v>
      </c>
      <c r="C4711">
        <v>35</v>
      </c>
      <c r="D4711" t="str">
        <f>VLOOKUP(B4711,Products!$A:$E,2,FALSE)</f>
        <v>Product_20</v>
      </c>
      <c r="E4711" t="str">
        <f>VLOOKUP(B4711,Products!$A:$E,3,FALSE)</f>
        <v>Office Supplies</v>
      </c>
    </row>
    <row r="4712" spans="1:5" x14ac:dyDescent="0.3">
      <c r="A4712" t="s">
        <v>10724</v>
      </c>
      <c r="B4712" t="s">
        <v>918</v>
      </c>
      <c r="C4712">
        <v>8</v>
      </c>
      <c r="D4712" t="str">
        <f>VLOOKUP(B4712,Products!$A:$E,2,FALSE)</f>
        <v>Product_455</v>
      </c>
      <c r="E4712" t="str">
        <f>VLOOKUP(B4712,Products!$A:$E,3,FALSE)</f>
        <v>Storage</v>
      </c>
    </row>
    <row r="4713" spans="1:5" x14ac:dyDescent="0.3">
      <c r="A4713" t="s">
        <v>10725</v>
      </c>
      <c r="B4713" t="s">
        <v>836</v>
      </c>
      <c r="C4713">
        <v>20</v>
      </c>
      <c r="D4713" t="str">
        <f>VLOOKUP(B4713,Products!$A:$E,2,FALSE)</f>
        <v>Product_414</v>
      </c>
      <c r="E4713" t="str">
        <f>VLOOKUP(B4713,Products!$A:$E,3,FALSE)</f>
        <v>Office Supplies</v>
      </c>
    </row>
    <row r="4714" spans="1:5" x14ac:dyDescent="0.3">
      <c r="A4714" t="s">
        <v>10726</v>
      </c>
      <c r="B4714" t="s">
        <v>966</v>
      </c>
      <c r="C4714">
        <v>19</v>
      </c>
      <c r="D4714" t="str">
        <f>VLOOKUP(B4714,Products!$A:$E,2,FALSE)</f>
        <v>Product_479</v>
      </c>
      <c r="E4714" t="str">
        <f>VLOOKUP(B4714,Products!$A:$E,3,FALSE)</f>
        <v>Office Supplies</v>
      </c>
    </row>
    <row r="4715" spans="1:5" x14ac:dyDescent="0.3">
      <c r="A4715" t="s">
        <v>10727</v>
      </c>
      <c r="B4715" t="s">
        <v>120</v>
      </c>
      <c r="C4715">
        <v>23</v>
      </c>
      <c r="D4715" t="str">
        <f>VLOOKUP(B4715,Products!$A:$E,2,FALSE)</f>
        <v>Product_56</v>
      </c>
      <c r="E4715" t="str">
        <f>VLOOKUP(B4715,Products!$A:$E,3,FALSE)</f>
        <v>Networking</v>
      </c>
    </row>
    <row r="4716" spans="1:5" x14ac:dyDescent="0.3">
      <c r="A4716" t="s">
        <v>10728</v>
      </c>
      <c r="B4716" t="s">
        <v>708</v>
      </c>
      <c r="C4716">
        <v>12</v>
      </c>
      <c r="D4716" t="str">
        <f>VLOOKUP(B4716,Products!$A:$E,2,FALSE)</f>
        <v>Product_350</v>
      </c>
      <c r="E4716" t="str">
        <f>VLOOKUP(B4716,Products!$A:$E,3,FALSE)</f>
        <v>Networking</v>
      </c>
    </row>
    <row r="4717" spans="1:5" x14ac:dyDescent="0.3">
      <c r="A4717" t="s">
        <v>10729</v>
      </c>
      <c r="B4717" t="s">
        <v>614</v>
      </c>
      <c r="C4717">
        <v>34</v>
      </c>
      <c r="D4717" t="str">
        <f>VLOOKUP(B4717,Products!$A:$E,2,FALSE)</f>
        <v>Product_303</v>
      </c>
      <c r="E4717" t="str">
        <f>VLOOKUP(B4717,Products!$A:$E,3,FALSE)</f>
        <v>Networking</v>
      </c>
    </row>
    <row r="4718" spans="1:5" x14ac:dyDescent="0.3">
      <c r="A4718" t="s">
        <v>10730</v>
      </c>
      <c r="B4718" t="s">
        <v>180</v>
      </c>
      <c r="C4718">
        <v>7</v>
      </c>
      <c r="D4718" t="str">
        <f>VLOOKUP(B4718,Products!$A:$E,2,FALSE)</f>
        <v>Product_86</v>
      </c>
      <c r="E4718" t="str">
        <f>VLOOKUP(B4718,Products!$A:$E,3,FALSE)</f>
        <v>Storage</v>
      </c>
    </row>
    <row r="4719" spans="1:5" x14ac:dyDescent="0.3">
      <c r="A4719" t="s">
        <v>10731</v>
      </c>
      <c r="B4719" t="s">
        <v>518</v>
      </c>
      <c r="C4719">
        <v>13</v>
      </c>
      <c r="D4719" t="str">
        <f>VLOOKUP(B4719,Products!$A:$E,2,FALSE)</f>
        <v>Product_255</v>
      </c>
      <c r="E4719" t="str">
        <f>VLOOKUP(B4719,Products!$A:$E,3,FALSE)</f>
        <v>Accessories</v>
      </c>
    </row>
    <row r="4720" spans="1:5" x14ac:dyDescent="0.3">
      <c r="A4720" t="s">
        <v>10732</v>
      </c>
      <c r="B4720" t="s">
        <v>626</v>
      </c>
      <c r="C4720">
        <v>10</v>
      </c>
      <c r="D4720" t="str">
        <f>VLOOKUP(B4720,Products!$A:$E,2,FALSE)</f>
        <v>Product_309</v>
      </c>
      <c r="E4720" t="str">
        <f>VLOOKUP(B4720,Products!$A:$E,3,FALSE)</f>
        <v>Networking</v>
      </c>
    </row>
    <row r="4721" spans="1:5" x14ac:dyDescent="0.3">
      <c r="A4721" t="s">
        <v>10733</v>
      </c>
      <c r="B4721" t="s">
        <v>636</v>
      </c>
      <c r="C4721">
        <v>22</v>
      </c>
      <c r="D4721" t="str">
        <f>VLOOKUP(B4721,Products!$A:$E,2,FALSE)</f>
        <v>Product_314</v>
      </c>
      <c r="E4721" t="str">
        <f>VLOOKUP(B4721,Products!$A:$E,3,FALSE)</f>
        <v>Storage</v>
      </c>
    </row>
    <row r="4722" spans="1:5" x14ac:dyDescent="0.3">
      <c r="A4722" t="s">
        <v>10734</v>
      </c>
      <c r="B4722" t="s">
        <v>970</v>
      </c>
      <c r="C4722">
        <v>30</v>
      </c>
      <c r="D4722" t="str">
        <f>VLOOKUP(B4722,Products!$A:$E,2,FALSE)</f>
        <v>Product_481</v>
      </c>
      <c r="E4722" t="str">
        <f>VLOOKUP(B4722,Products!$A:$E,3,FALSE)</f>
        <v>Storage</v>
      </c>
    </row>
    <row r="4723" spans="1:5" x14ac:dyDescent="0.3">
      <c r="A4723" t="s">
        <v>10735</v>
      </c>
      <c r="B4723" t="s">
        <v>960</v>
      </c>
      <c r="C4723">
        <v>43</v>
      </c>
      <c r="D4723" t="str">
        <f>VLOOKUP(B4723,Products!$A:$E,2,FALSE)</f>
        <v>Product_476</v>
      </c>
      <c r="E4723" t="str">
        <f>VLOOKUP(B4723,Products!$A:$E,3,FALSE)</f>
        <v>Office Supplies</v>
      </c>
    </row>
    <row r="4724" spans="1:5" x14ac:dyDescent="0.3">
      <c r="A4724" t="s">
        <v>10736</v>
      </c>
      <c r="B4724" t="s">
        <v>570</v>
      </c>
      <c r="C4724">
        <v>25</v>
      </c>
      <c r="D4724" t="str">
        <f>VLOOKUP(B4724,Products!$A:$E,2,FALSE)</f>
        <v>Product_281</v>
      </c>
      <c r="E4724" t="str">
        <f>VLOOKUP(B4724,Products!$A:$E,3,FALSE)</f>
        <v>Office Supplies</v>
      </c>
    </row>
    <row r="4725" spans="1:5" x14ac:dyDescent="0.3">
      <c r="A4725" t="s">
        <v>10737</v>
      </c>
      <c r="B4725" t="s">
        <v>812</v>
      </c>
      <c r="C4725">
        <v>29</v>
      </c>
      <c r="D4725" t="str">
        <f>VLOOKUP(B4725,Products!$A:$E,2,FALSE)</f>
        <v>Product_402</v>
      </c>
      <c r="E4725" t="str">
        <f>VLOOKUP(B4725,Products!$A:$E,3,FALSE)</f>
        <v>Accessories</v>
      </c>
    </row>
    <row r="4726" spans="1:5" x14ac:dyDescent="0.3">
      <c r="A4726" t="s">
        <v>10738</v>
      </c>
      <c r="B4726" t="s">
        <v>976</v>
      </c>
      <c r="C4726">
        <v>8</v>
      </c>
      <c r="D4726" t="str">
        <f>VLOOKUP(B4726,Products!$A:$E,2,FALSE)</f>
        <v>Product_484</v>
      </c>
      <c r="E4726" t="str">
        <f>VLOOKUP(B4726,Products!$A:$E,3,FALSE)</f>
        <v>Networking</v>
      </c>
    </row>
    <row r="4727" spans="1:5" x14ac:dyDescent="0.3">
      <c r="A4727" t="s">
        <v>10739</v>
      </c>
      <c r="B4727" t="s">
        <v>694</v>
      </c>
      <c r="C4727">
        <v>36</v>
      </c>
      <c r="D4727" t="str">
        <f>VLOOKUP(B4727,Products!$A:$E,2,FALSE)</f>
        <v>Product_343</v>
      </c>
      <c r="E4727" t="str">
        <f>VLOOKUP(B4727,Products!$A:$E,3,FALSE)</f>
        <v>Office Supplies</v>
      </c>
    </row>
    <row r="4728" spans="1:5" x14ac:dyDescent="0.3">
      <c r="A4728" t="s">
        <v>10740</v>
      </c>
      <c r="B4728" t="s">
        <v>76</v>
      </c>
      <c r="C4728">
        <v>22</v>
      </c>
      <c r="D4728" t="str">
        <f>VLOOKUP(B4728,Products!$A:$E,2,FALSE)</f>
        <v>Product_34</v>
      </c>
      <c r="E4728" t="str">
        <f>VLOOKUP(B4728,Products!$A:$E,3,FALSE)</f>
        <v>Office Supplies</v>
      </c>
    </row>
    <row r="4729" spans="1:5" x14ac:dyDescent="0.3">
      <c r="A4729" t="s">
        <v>10741</v>
      </c>
      <c r="B4729" t="s">
        <v>262</v>
      </c>
      <c r="C4729">
        <v>24</v>
      </c>
      <c r="D4729" t="str">
        <f>VLOOKUP(B4729,Products!$A:$E,2,FALSE)</f>
        <v>Product_127</v>
      </c>
      <c r="E4729" t="str">
        <f>VLOOKUP(B4729,Products!$A:$E,3,FALSE)</f>
        <v>Networking</v>
      </c>
    </row>
    <row r="4730" spans="1:5" x14ac:dyDescent="0.3">
      <c r="A4730" t="s">
        <v>10742</v>
      </c>
      <c r="B4730" t="s">
        <v>154</v>
      </c>
      <c r="C4730">
        <v>16</v>
      </c>
      <c r="D4730" t="str">
        <f>VLOOKUP(B4730,Products!$A:$E,2,FALSE)</f>
        <v>Product_73</v>
      </c>
      <c r="E4730" t="str">
        <f>VLOOKUP(B4730,Products!$A:$E,3,FALSE)</f>
        <v>Office Supplies</v>
      </c>
    </row>
    <row r="4731" spans="1:5" x14ac:dyDescent="0.3">
      <c r="A4731" t="s">
        <v>10743</v>
      </c>
      <c r="B4731" t="s">
        <v>992</v>
      </c>
      <c r="C4731">
        <v>32</v>
      </c>
      <c r="D4731" t="str">
        <f>VLOOKUP(B4731,Products!$A:$E,2,FALSE)</f>
        <v>Product_492</v>
      </c>
      <c r="E4731" t="str">
        <f>VLOOKUP(B4731,Products!$A:$E,3,FALSE)</f>
        <v>Electronics</v>
      </c>
    </row>
    <row r="4732" spans="1:5" x14ac:dyDescent="0.3">
      <c r="A4732" t="s">
        <v>10744</v>
      </c>
      <c r="B4732" t="s">
        <v>202</v>
      </c>
      <c r="C4732">
        <v>26</v>
      </c>
      <c r="D4732" t="str">
        <f>VLOOKUP(B4732,Products!$A:$E,2,FALSE)</f>
        <v>Product_97</v>
      </c>
      <c r="E4732" t="str">
        <f>VLOOKUP(B4732,Products!$A:$E,3,FALSE)</f>
        <v>Accessories</v>
      </c>
    </row>
    <row r="4733" spans="1:5" x14ac:dyDescent="0.3">
      <c r="A4733" t="s">
        <v>10745</v>
      </c>
      <c r="B4733" t="s">
        <v>52</v>
      </c>
      <c r="C4733">
        <v>23</v>
      </c>
      <c r="D4733" t="str">
        <f>VLOOKUP(B4733,Products!$A:$E,2,FALSE)</f>
        <v>Product_22</v>
      </c>
      <c r="E4733" t="str">
        <f>VLOOKUP(B4733,Products!$A:$E,3,FALSE)</f>
        <v>Electronics</v>
      </c>
    </row>
    <row r="4734" spans="1:5" x14ac:dyDescent="0.3">
      <c r="A4734" t="s">
        <v>10746</v>
      </c>
      <c r="B4734" t="s">
        <v>70</v>
      </c>
      <c r="C4734">
        <v>31</v>
      </c>
      <c r="D4734" t="str">
        <f>VLOOKUP(B4734,Products!$A:$E,2,FALSE)</f>
        <v>Product_31</v>
      </c>
      <c r="E4734" t="str">
        <f>VLOOKUP(B4734,Products!$A:$E,3,FALSE)</f>
        <v>Accessories</v>
      </c>
    </row>
    <row r="4735" spans="1:5" x14ac:dyDescent="0.3">
      <c r="A4735" t="s">
        <v>10747</v>
      </c>
      <c r="B4735" t="s">
        <v>840</v>
      </c>
      <c r="C4735">
        <v>43</v>
      </c>
      <c r="D4735" t="str">
        <f>VLOOKUP(B4735,Products!$A:$E,2,FALSE)</f>
        <v>Product_416</v>
      </c>
      <c r="E4735" t="str">
        <f>VLOOKUP(B4735,Products!$A:$E,3,FALSE)</f>
        <v>Accessories</v>
      </c>
    </row>
    <row r="4736" spans="1:5" x14ac:dyDescent="0.3">
      <c r="A4736" t="s">
        <v>10748</v>
      </c>
      <c r="B4736" t="s">
        <v>734</v>
      </c>
      <c r="C4736">
        <v>49</v>
      </c>
      <c r="D4736" t="str">
        <f>VLOOKUP(B4736,Products!$A:$E,2,FALSE)</f>
        <v>Product_363</v>
      </c>
      <c r="E4736" t="str">
        <f>VLOOKUP(B4736,Products!$A:$E,3,FALSE)</f>
        <v>Storage</v>
      </c>
    </row>
    <row r="4737" spans="1:5" x14ac:dyDescent="0.3">
      <c r="A4737" t="s">
        <v>10749</v>
      </c>
      <c r="B4737" t="s">
        <v>868</v>
      </c>
      <c r="C4737">
        <v>38</v>
      </c>
      <c r="D4737" t="str">
        <f>VLOOKUP(B4737,Products!$A:$E,2,FALSE)</f>
        <v>Product_430</v>
      </c>
      <c r="E4737" t="str">
        <f>VLOOKUP(B4737,Products!$A:$E,3,FALSE)</f>
        <v>Electronics</v>
      </c>
    </row>
    <row r="4738" spans="1:5" x14ac:dyDescent="0.3">
      <c r="A4738" t="s">
        <v>10750</v>
      </c>
      <c r="B4738" t="s">
        <v>110</v>
      </c>
      <c r="C4738">
        <v>34</v>
      </c>
      <c r="D4738" t="str">
        <f>VLOOKUP(B4738,Products!$A:$E,2,FALSE)</f>
        <v>Product_51</v>
      </c>
      <c r="E4738" t="str">
        <f>VLOOKUP(B4738,Products!$A:$E,3,FALSE)</f>
        <v>Storage</v>
      </c>
    </row>
    <row r="4739" spans="1:5" x14ac:dyDescent="0.3">
      <c r="A4739" t="s">
        <v>10751</v>
      </c>
      <c r="B4739" t="s">
        <v>102</v>
      </c>
      <c r="C4739">
        <v>43</v>
      </c>
      <c r="D4739" t="str">
        <f>VLOOKUP(B4739,Products!$A:$E,2,FALSE)</f>
        <v>Product_47</v>
      </c>
      <c r="E4739" t="str">
        <f>VLOOKUP(B4739,Products!$A:$E,3,FALSE)</f>
        <v>Electronics</v>
      </c>
    </row>
    <row r="4740" spans="1:5" x14ac:dyDescent="0.3">
      <c r="A4740" t="s">
        <v>10752</v>
      </c>
      <c r="B4740" t="s">
        <v>680</v>
      </c>
      <c r="C4740">
        <v>21</v>
      </c>
      <c r="D4740" t="str">
        <f>VLOOKUP(B4740,Products!$A:$E,2,FALSE)</f>
        <v>Product_336</v>
      </c>
      <c r="E4740" t="str">
        <f>VLOOKUP(B4740,Products!$A:$E,3,FALSE)</f>
        <v>Storage</v>
      </c>
    </row>
    <row r="4741" spans="1:5" x14ac:dyDescent="0.3">
      <c r="A4741" t="s">
        <v>10753</v>
      </c>
      <c r="B4741" t="s">
        <v>942</v>
      </c>
      <c r="C4741">
        <v>34</v>
      </c>
      <c r="D4741" t="str">
        <f>VLOOKUP(B4741,Products!$A:$E,2,FALSE)</f>
        <v>Product_467</v>
      </c>
      <c r="E4741" t="str">
        <f>VLOOKUP(B4741,Products!$A:$E,3,FALSE)</f>
        <v>Accessories</v>
      </c>
    </row>
    <row r="4742" spans="1:5" x14ac:dyDescent="0.3">
      <c r="A4742" t="s">
        <v>10754</v>
      </c>
      <c r="B4742" t="s">
        <v>586</v>
      </c>
      <c r="C4742">
        <v>37</v>
      </c>
      <c r="D4742" t="str">
        <f>VLOOKUP(B4742,Products!$A:$E,2,FALSE)</f>
        <v>Product_289</v>
      </c>
      <c r="E4742" t="str">
        <f>VLOOKUP(B4742,Products!$A:$E,3,FALSE)</f>
        <v>Storage</v>
      </c>
    </row>
    <row r="4743" spans="1:5" x14ac:dyDescent="0.3">
      <c r="A4743" t="s">
        <v>10755</v>
      </c>
      <c r="B4743" t="s">
        <v>728</v>
      </c>
      <c r="C4743">
        <v>35</v>
      </c>
      <c r="D4743" t="str">
        <f>VLOOKUP(B4743,Products!$A:$E,2,FALSE)</f>
        <v>Product_360</v>
      </c>
      <c r="E4743" t="str">
        <f>VLOOKUP(B4743,Products!$A:$E,3,FALSE)</f>
        <v>Office Supplies</v>
      </c>
    </row>
    <row r="4744" spans="1:5" x14ac:dyDescent="0.3">
      <c r="A4744" t="s">
        <v>10756</v>
      </c>
      <c r="B4744" t="s">
        <v>544</v>
      </c>
      <c r="C4744">
        <v>26</v>
      </c>
      <c r="D4744" t="str">
        <f>VLOOKUP(B4744,Products!$A:$E,2,FALSE)</f>
        <v>Product_268</v>
      </c>
      <c r="E4744" t="str">
        <f>VLOOKUP(B4744,Products!$A:$E,3,FALSE)</f>
        <v>Office Supplies</v>
      </c>
    </row>
    <row r="4745" spans="1:5" x14ac:dyDescent="0.3">
      <c r="A4745" t="s">
        <v>10757</v>
      </c>
      <c r="B4745" t="s">
        <v>784</v>
      </c>
      <c r="C4745">
        <v>35</v>
      </c>
      <c r="D4745" t="str">
        <f>VLOOKUP(B4745,Products!$A:$E,2,FALSE)</f>
        <v>Product_388</v>
      </c>
      <c r="E4745" t="str">
        <f>VLOOKUP(B4745,Products!$A:$E,3,FALSE)</f>
        <v>Office Supplies</v>
      </c>
    </row>
    <row r="4746" spans="1:5" x14ac:dyDescent="0.3">
      <c r="A4746" t="s">
        <v>10758</v>
      </c>
      <c r="B4746" t="s">
        <v>668</v>
      </c>
      <c r="C4746">
        <v>13</v>
      </c>
      <c r="D4746" t="str">
        <f>VLOOKUP(B4746,Products!$A:$E,2,FALSE)</f>
        <v>Product_330</v>
      </c>
      <c r="E4746" t="str">
        <f>VLOOKUP(B4746,Products!$A:$E,3,FALSE)</f>
        <v>Electronics</v>
      </c>
    </row>
    <row r="4747" spans="1:5" x14ac:dyDescent="0.3">
      <c r="A4747" t="s">
        <v>10759</v>
      </c>
      <c r="B4747" t="s">
        <v>298</v>
      </c>
      <c r="C4747">
        <v>21</v>
      </c>
      <c r="D4747" t="str">
        <f>VLOOKUP(B4747,Products!$A:$E,2,FALSE)</f>
        <v>Product_145</v>
      </c>
      <c r="E4747" t="str">
        <f>VLOOKUP(B4747,Products!$A:$E,3,FALSE)</f>
        <v>Office Supplies</v>
      </c>
    </row>
    <row r="4748" spans="1:5" x14ac:dyDescent="0.3">
      <c r="A4748" t="s">
        <v>10760</v>
      </c>
      <c r="B4748" t="s">
        <v>148</v>
      </c>
      <c r="C4748">
        <v>29</v>
      </c>
      <c r="D4748" t="str">
        <f>VLOOKUP(B4748,Products!$A:$E,2,FALSE)</f>
        <v>Product_70</v>
      </c>
      <c r="E4748" t="str">
        <f>VLOOKUP(B4748,Products!$A:$E,3,FALSE)</f>
        <v>Electronics</v>
      </c>
    </row>
    <row r="4749" spans="1:5" x14ac:dyDescent="0.3">
      <c r="A4749" t="s">
        <v>10761</v>
      </c>
      <c r="B4749" t="s">
        <v>790</v>
      </c>
      <c r="C4749">
        <v>13</v>
      </c>
      <c r="D4749" t="str">
        <f>VLOOKUP(B4749,Products!$A:$E,2,FALSE)</f>
        <v>Product_391</v>
      </c>
      <c r="E4749" t="str">
        <f>VLOOKUP(B4749,Products!$A:$E,3,FALSE)</f>
        <v>Accessories</v>
      </c>
    </row>
    <row r="4750" spans="1:5" x14ac:dyDescent="0.3">
      <c r="A4750" t="s">
        <v>10762</v>
      </c>
      <c r="B4750" t="s">
        <v>308</v>
      </c>
      <c r="C4750">
        <v>41</v>
      </c>
      <c r="D4750" t="str">
        <f>VLOOKUP(B4750,Products!$A:$E,2,FALSE)</f>
        <v>Product_150</v>
      </c>
      <c r="E4750" t="str">
        <f>VLOOKUP(B4750,Products!$A:$E,3,FALSE)</f>
        <v>Accessories</v>
      </c>
    </row>
    <row r="4751" spans="1:5" x14ac:dyDescent="0.3">
      <c r="A4751" t="s">
        <v>10763</v>
      </c>
      <c r="B4751" t="s">
        <v>446</v>
      </c>
      <c r="C4751">
        <v>26</v>
      </c>
      <c r="D4751" t="str">
        <f>VLOOKUP(B4751,Products!$A:$E,2,FALSE)</f>
        <v>Product_219</v>
      </c>
      <c r="E4751" t="str">
        <f>VLOOKUP(B4751,Products!$A:$E,3,FALSE)</f>
        <v>Accessories</v>
      </c>
    </row>
    <row r="4752" spans="1:5" x14ac:dyDescent="0.3">
      <c r="A4752" t="s">
        <v>10764</v>
      </c>
      <c r="B4752" t="s">
        <v>454</v>
      </c>
      <c r="C4752">
        <v>25</v>
      </c>
      <c r="D4752" t="str">
        <f>VLOOKUP(B4752,Products!$A:$E,2,FALSE)</f>
        <v>Product_223</v>
      </c>
      <c r="E4752" t="str">
        <f>VLOOKUP(B4752,Products!$A:$E,3,FALSE)</f>
        <v>Storage</v>
      </c>
    </row>
    <row r="4753" spans="1:5" x14ac:dyDescent="0.3">
      <c r="A4753" t="s">
        <v>10765</v>
      </c>
      <c r="B4753" t="s">
        <v>94</v>
      </c>
      <c r="C4753">
        <v>32</v>
      </c>
      <c r="D4753" t="str">
        <f>VLOOKUP(B4753,Products!$A:$E,2,FALSE)</f>
        <v>Product_43</v>
      </c>
      <c r="E4753" t="str">
        <f>VLOOKUP(B4753,Products!$A:$E,3,FALSE)</f>
        <v>Storage</v>
      </c>
    </row>
    <row r="4754" spans="1:5" x14ac:dyDescent="0.3">
      <c r="A4754" t="s">
        <v>10766</v>
      </c>
      <c r="B4754" t="s">
        <v>34</v>
      </c>
      <c r="C4754">
        <v>32</v>
      </c>
      <c r="D4754" t="str">
        <f>VLOOKUP(B4754,Products!$A:$E,2,FALSE)</f>
        <v>Product_13</v>
      </c>
      <c r="E4754" t="str">
        <f>VLOOKUP(B4754,Products!$A:$E,3,FALSE)</f>
        <v>Office Supplies</v>
      </c>
    </row>
    <row r="4755" spans="1:5" x14ac:dyDescent="0.3">
      <c r="A4755" t="s">
        <v>10767</v>
      </c>
      <c r="B4755" t="s">
        <v>116</v>
      </c>
      <c r="C4755">
        <v>21</v>
      </c>
      <c r="D4755" t="str">
        <f>VLOOKUP(B4755,Products!$A:$E,2,FALSE)</f>
        <v>Product_54</v>
      </c>
      <c r="E4755" t="str">
        <f>VLOOKUP(B4755,Products!$A:$E,3,FALSE)</f>
        <v>Storage</v>
      </c>
    </row>
    <row r="4756" spans="1:5" x14ac:dyDescent="0.3">
      <c r="A4756" t="s">
        <v>10768</v>
      </c>
      <c r="B4756" t="s">
        <v>584</v>
      </c>
      <c r="C4756">
        <v>31</v>
      </c>
      <c r="D4756" t="str">
        <f>VLOOKUP(B4756,Products!$A:$E,2,FALSE)</f>
        <v>Product_288</v>
      </c>
      <c r="E4756" t="str">
        <f>VLOOKUP(B4756,Products!$A:$E,3,FALSE)</f>
        <v>Networking</v>
      </c>
    </row>
    <row r="4757" spans="1:5" x14ac:dyDescent="0.3">
      <c r="A4757" t="s">
        <v>10769</v>
      </c>
      <c r="B4757" t="s">
        <v>634</v>
      </c>
      <c r="C4757">
        <v>25</v>
      </c>
      <c r="D4757" t="str">
        <f>VLOOKUP(B4757,Products!$A:$E,2,FALSE)</f>
        <v>Product_313</v>
      </c>
      <c r="E4757" t="str">
        <f>VLOOKUP(B4757,Products!$A:$E,3,FALSE)</f>
        <v>Accessories</v>
      </c>
    </row>
    <row r="4758" spans="1:5" x14ac:dyDescent="0.3">
      <c r="A4758" t="s">
        <v>10770</v>
      </c>
      <c r="B4758" t="s">
        <v>322</v>
      </c>
      <c r="C4758">
        <v>32</v>
      </c>
      <c r="D4758" t="str">
        <f>VLOOKUP(B4758,Products!$A:$E,2,FALSE)</f>
        <v>Product_157</v>
      </c>
      <c r="E4758" t="str">
        <f>VLOOKUP(B4758,Products!$A:$E,3,FALSE)</f>
        <v>Electronics</v>
      </c>
    </row>
    <row r="4759" spans="1:5" x14ac:dyDescent="0.3">
      <c r="A4759" t="s">
        <v>10771</v>
      </c>
      <c r="B4759" t="s">
        <v>814</v>
      </c>
      <c r="C4759">
        <v>50</v>
      </c>
      <c r="D4759" t="str">
        <f>VLOOKUP(B4759,Products!$A:$E,2,FALSE)</f>
        <v>Product_403</v>
      </c>
      <c r="E4759" t="str">
        <f>VLOOKUP(B4759,Products!$A:$E,3,FALSE)</f>
        <v>Networking</v>
      </c>
    </row>
    <row r="4760" spans="1:5" x14ac:dyDescent="0.3">
      <c r="A4760" t="s">
        <v>10772</v>
      </c>
      <c r="B4760" t="s">
        <v>304</v>
      </c>
      <c r="C4760">
        <v>50</v>
      </c>
      <c r="D4760" t="str">
        <f>VLOOKUP(B4760,Products!$A:$E,2,FALSE)</f>
        <v>Product_148</v>
      </c>
      <c r="E4760" t="str">
        <f>VLOOKUP(B4760,Products!$A:$E,3,FALSE)</f>
        <v>Electronics</v>
      </c>
    </row>
    <row r="4761" spans="1:5" x14ac:dyDescent="0.3">
      <c r="A4761" t="s">
        <v>10773</v>
      </c>
      <c r="B4761" t="s">
        <v>710</v>
      </c>
      <c r="C4761">
        <v>45</v>
      </c>
      <c r="D4761" t="str">
        <f>VLOOKUP(B4761,Products!$A:$E,2,FALSE)</f>
        <v>Product_351</v>
      </c>
      <c r="E4761" t="str">
        <f>VLOOKUP(B4761,Products!$A:$E,3,FALSE)</f>
        <v>Accessories</v>
      </c>
    </row>
    <row r="4762" spans="1:5" x14ac:dyDescent="0.3">
      <c r="A4762" t="s">
        <v>10774</v>
      </c>
      <c r="B4762" t="s">
        <v>66</v>
      </c>
      <c r="C4762">
        <v>34</v>
      </c>
      <c r="D4762" t="str">
        <f>VLOOKUP(B4762,Products!$A:$E,2,FALSE)</f>
        <v>Product_29</v>
      </c>
      <c r="E4762" t="str">
        <f>VLOOKUP(B4762,Products!$A:$E,3,FALSE)</f>
        <v>Electronics</v>
      </c>
    </row>
    <row r="4763" spans="1:5" x14ac:dyDescent="0.3">
      <c r="A4763" t="s">
        <v>10775</v>
      </c>
      <c r="B4763" t="s">
        <v>860</v>
      </c>
      <c r="C4763">
        <v>3</v>
      </c>
      <c r="D4763" t="str">
        <f>VLOOKUP(B4763,Products!$A:$E,2,FALSE)</f>
        <v>Product_426</v>
      </c>
      <c r="E4763" t="str">
        <f>VLOOKUP(B4763,Products!$A:$E,3,FALSE)</f>
        <v>Storage</v>
      </c>
    </row>
    <row r="4764" spans="1:5" x14ac:dyDescent="0.3">
      <c r="A4764" t="s">
        <v>10776</v>
      </c>
      <c r="B4764" t="s">
        <v>202</v>
      </c>
      <c r="C4764">
        <v>6</v>
      </c>
      <c r="D4764" t="str">
        <f>VLOOKUP(B4764,Products!$A:$E,2,FALSE)</f>
        <v>Product_97</v>
      </c>
      <c r="E4764" t="str">
        <f>VLOOKUP(B4764,Products!$A:$E,3,FALSE)</f>
        <v>Accessories</v>
      </c>
    </row>
    <row r="4765" spans="1:5" x14ac:dyDescent="0.3">
      <c r="A4765" t="s">
        <v>10777</v>
      </c>
      <c r="B4765" t="s">
        <v>324</v>
      </c>
      <c r="C4765">
        <v>38</v>
      </c>
      <c r="D4765" t="str">
        <f>VLOOKUP(B4765,Products!$A:$E,2,FALSE)</f>
        <v>Product_158</v>
      </c>
      <c r="E4765" t="str">
        <f>VLOOKUP(B4765,Products!$A:$E,3,FALSE)</f>
        <v>Electronics</v>
      </c>
    </row>
    <row r="4766" spans="1:5" x14ac:dyDescent="0.3">
      <c r="A4766" t="s">
        <v>10778</v>
      </c>
      <c r="B4766" t="s">
        <v>774</v>
      </c>
      <c r="C4766">
        <v>37</v>
      </c>
      <c r="D4766" t="str">
        <f>VLOOKUP(B4766,Products!$A:$E,2,FALSE)</f>
        <v>Product_383</v>
      </c>
      <c r="E4766" t="str">
        <f>VLOOKUP(B4766,Products!$A:$E,3,FALSE)</f>
        <v>Electronics</v>
      </c>
    </row>
    <row r="4767" spans="1:5" x14ac:dyDescent="0.3">
      <c r="A4767" t="s">
        <v>10779</v>
      </c>
      <c r="B4767" t="s">
        <v>564</v>
      </c>
      <c r="C4767">
        <v>12</v>
      </c>
      <c r="D4767" t="str">
        <f>VLOOKUP(B4767,Products!$A:$E,2,FALSE)</f>
        <v>Product_278</v>
      </c>
      <c r="E4767" t="str">
        <f>VLOOKUP(B4767,Products!$A:$E,3,FALSE)</f>
        <v>Electronics</v>
      </c>
    </row>
    <row r="4768" spans="1:5" x14ac:dyDescent="0.3">
      <c r="A4768" t="s">
        <v>10780</v>
      </c>
      <c r="B4768" t="s">
        <v>666</v>
      </c>
      <c r="C4768">
        <v>21</v>
      </c>
      <c r="D4768" t="str">
        <f>VLOOKUP(B4768,Products!$A:$E,2,FALSE)</f>
        <v>Product_329</v>
      </c>
      <c r="E4768" t="str">
        <f>VLOOKUP(B4768,Products!$A:$E,3,FALSE)</f>
        <v>Office Supplies</v>
      </c>
    </row>
    <row r="4769" spans="1:5" x14ac:dyDescent="0.3">
      <c r="A4769" t="s">
        <v>10781</v>
      </c>
      <c r="B4769" t="s">
        <v>766</v>
      </c>
      <c r="C4769">
        <v>4</v>
      </c>
      <c r="D4769" t="str">
        <f>VLOOKUP(B4769,Products!$A:$E,2,FALSE)</f>
        <v>Product_379</v>
      </c>
      <c r="E4769" t="str">
        <f>VLOOKUP(B4769,Products!$A:$E,3,FALSE)</f>
        <v>Office Supplies</v>
      </c>
    </row>
    <row r="4770" spans="1:5" x14ac:dyDescent="0.3">
      <c r="A4770" t="s">
        <v>10782</v>
      </c>
      <c r="B4770" t="s">
        <v>556</v>
      </c>
      <c r="C4770">
        <v>2</v>
      </c>
      <c r="D4770" t="str">
        <f>VLOOKUP(B4770,Products!$A:$E,2,FALSE)</f>
        <v>Product_274</v>
      </c>
      <c r="E4770" t="str">
        <f>VLOOKUP(B4770,Products!$A:$E,3,FALSE)</f>
        <v>Accessories</v>
      </c>
    </row>
    <row r="4771" spans="1:5" x14ac:dyDescent="0.3">
      <c r="A4771" t="s">
        <v>10783</v>
      </c>
      <c r="B4771" t="s">
        <v>58</v>
      </c>
      <c r="C4771">
        <v>20</v>
      </c>
      <c r="D4771" t="str">
        <f>VLOOKUP(B4771,Products!$A:$E,2,FALSE)</f>
        <v>Product_25</v>
      </c>
      <c r="E4771" t="str">
        <f>VLOOKUP(B4771,Products!$A:$E,3,FALSE)</f>
        <v>Office Supplies</v>
      </c>
    </row>
    <row r="4772" spans="1:5" x14ac:dyDescent="0.3">
      <c r="A4772" t="s">
        <v>10784</v>
      </c>
      <c r="B4772" t="s">
        <v>404</v>
      </c>
      <c r="C4772">
        <v>13</v>
      </c>
      <c r="D4772" t="str">
        <f>VLOOKUP(B4772,Products!$A:$E,2,FALSE)</f>
        <v>Product_198</v>
      </c>
      <c r="E4772" t="str">
        <f>VLOOKUP(B4772,Products!$A:$E,3,FALSE)</f>
        <v>Accessories</v>
      </c>
    </row>
    <row r="4773" spans="1:5" x14ac:dyDescent="0.3">
      <c r="A4773" t="s">
        <v>10785</v>
      </c>
      <c r="B4773" t="s">
        <v>370</v>
      </c>
      <c r="C4773">
        <v>35</v>
      </c>
      <c r="D4773" t="str">
        <f>VLOOKUP(B4773,Products!$A:$E,2,FALSE)</f>
        <v>Product_181</v>
      </c>
      <c r="E4773" t="str">
        <f>VLOOKUP(B4773,Products!$A:$E,3,FALSE)</f>
        <v>Storage</v>
      </c>
    </row>
    <row r="4774" spans="1:5" x14ac:dyDescent="0.3">
      <c r="A4774" t="s">
        <v>10786</v>
      </c>
      <c r="B4774" t="s">
        <v>62</v>
      </c>
      <c r="C4774">
        <v>44</v>
      </c>
      <c r="D4774" t="str">
        <f>VLOOKUP(B4774,Products!$A:$E,2,FALSE)</f>
        <v>Product_27</v>
      </c>
      <c r="E4774" t="str">
        <f>VLOOKUP(B4774,Products!$A:$E,3,FALSE)</f>
        <v>Office Supplies</v>
      </c>
    </row>
    <row r="4775" spans="1:5" x14ac:dyDescent="0.3">
      <c r="A4775" t="s">
        <v>10787</v>
      </c>
      <c r="B4775" t="s">
        <v>904</v>
      </c>
      <c r="C4775">
        <v>28</v>
      </c>
      <c r="D4775" t="str">
        <f>VLOOKUP(B4775,Products!$A:$E,2,FALSE)</f>
        <v>Product_448</v>
      </c>
      <c r="E4775" t="str">
        <f>VLOOKUP(B4775,Products!$A:$E,3,FALSE)</f>
        <v>Networking</v>
      </c>
    </row>
    <row r="4776" spans="1:5" x14ac:dyDescent="0.3">
      <c r="A4776" t="s">
        <v>10788</v>
      </c>
      <c r="B4776" t="s">
        <v>766</v>
      </c>
      <c r="C4776">
        <v>33</v>
      </c>
      <c r="D4776" t="str">
        <f>VLOOKUP(B4776,Products!$A:$E,2,FALSE)</f>
        <v>Product_379</v>
      </c>
      <c r="E4776" t="str">
        <f>VLOOKUP(B4776,Products!$A:$E,3,FALSE)</f>
        <v>Office Supplies</v>
      </c>
    </row>
    <row r="4777" spans="1:5" x14ac:dyDescent="0.3">
      <c r="A4777" t="s">
        <v>10789</v>
      </c>
      <c r="B4777" t="s">
        <v>546</v>
      </c>
      <c r="C4777">
        <v>12</v>
      </c>
      <c r="D4777" t="str">
        <f>VLOOKUP(B4777,Products!$A:$E,2,FALSE)</f>
        <v>Product_269</v>
      </c>
      <c r="E4777" t="str">
        <f>VLOOKUP(B4777,Products!$A:$E,3,FALSE)</f>
        <v>Storage</v>
      </c>
    </row>
    <row r="4778" spans="1:5" x14ac:dyDescent="0.3">
      <c r="A4778" t="s">
        <v>10790</v>
      </c>
      <c r="B4778" t="s">
        <v>530</v>
      </c>
      <c r="C4778">
        <v>24</v>
      </c>
      <c r="D4778" t="str">
        <f>VLOOKUP(B4778,Products!$A:$E,2,FALSE)</f>
        <v>Product_261</v>
      </c>
      <c r="E4778" t="str">
        <f>VLOOKUP(B4778,Products!$A:$E,3,FALSE)</f>
        <v>Accessories</v>
      </c>
    </row>
    <row r="4779" spans="1:5" x14ac:dyDescent="0.3">
      <c r="A4779" t="s">
        <v>10791</v>
      </c>
      <c r="B4779" t="s">
        <v>706</v>
      </c>
      <c r="C4779">
        <v>45</v>
      </c>
      <c r="D4779" t="str">
        <f>VLOOKUP(B4779,Products!$A:$E,2,FALSE)</f>
        <v>Product_349</v>
      </c>
      <c r="E4779" t="str">
        <f>VLOOKUP(B4779,Products!$A:$E,3,FALSE)</f>
        <v>Office Supplies</v>
      </c>
    </row>
    <row r="4780" spans="1:5" x14ac:dyDescent="0.3">
      <c r="A4780" t="s">
        <v>10792</v>
      </c>
      <c r="B4780" t="s">
        <v>54</v>
      </c>
      <c r="C4780">
        <v>14</v>
      </c>
      <c r="D4780" t="str">
        <f>VLOOKUP(B4780,Products!$A:$E,2,FALSE)</f>
        <v>Product_23</v>
      </c>
      <c r="E4780" t="str">
        <f>VLOOKUP(B4780,Products!$A:$E,3,FALSE)</f>
        <v>Accessories</v>
      </c>
    </row>
    <row r="4781" spans="1:5" x14ac:dyDescent="0.3">
      <c r="A4781" t="s">
        <v>10793</v>
      </c>
      <c r="B4781" t="s">
        <v>110</v>
      </c>
      <c r="C4781">
        <v>30</v>
      </c>
      <c r="D4781" t="str">
        <f>VLOOKUP(B4781,Products!$A:$E,2,FALSE)</f>
        <v>Product_51</v>
      </c>
      <c r="E4781" t="str">
        <f>VLOOKUP(B4781,Products!$A:$E,3,FALSE)</f>
        <v>Storage</v>
      </c>
    </row>
    <row r="4782" spans="1:5" x14ac:dyDescent="0.3">
      <c r="A4782" t="s">
        <v>10794</v>
      </c>
      <c r="B4782" t="s">
        <v>982</v>
      </c>
      <c r="C4782">
        <v>12</v>
      </c>
      <c r="D4782" t="str">
        <f>VLOOKUP(B4782,Products!$A:$E,2,FALSE)</f>
        <v>Product_487</v>
      </c>
      <c r="E4782" t="str">
        <f>VLOOKUP(B4782,Products!$A:$E,3,FALSE)</f>
        <v>Networking</v>
      </c>
    </row>
    <row r="4783" spans="1:5" x14ac:dyDescent="0.3">
      <c r="A4783" t="s">
        <v>10795</v>
      </c>
      <c r="B4783" t="s">
        <v>922</v>
      </c>
      <c r="C4783">
        <v>15</v>
      </c>
      <c r="D4783" t="str">
        <f>VLOOKUP(B4783,Products!$A:$E,2,FALSE)</f>
        <v>Product_457</v>
      </c>
      <c r="E4783" t="str">
        <f>VLOOKUP(B4783,Products!$A:$E,3,FALSE)</f>
        <v>Networking</v>
      </c>
    </row>
    <row r="4784" spans="1:5" x14ac:dyDescent="0.3">
      <c r="A4784" t="s">
        <v>10796</v>
      </c>
      <c r="B4784" t="s">
        <v>738</v>
      </c>
      <c r="C4784">
        <v>21</v>
      </c>
      <c r="D4784" t="str">
        <f>VLOOKUP(B4784,Products!$A:$E,2,FALSE)</f>
        <v>Product_365</v>
      </c>
      <c r="E4784" t="str">
        <f>VLOOKUP(B4784,Products!$A:$E,3,FALSE)</f>
        <v>Storage</v>
      </c>
    </row>
    <row r="4785" spans="1:5" x14ac:dyDescent="0.3">
      <c r="A4785" t="s">
        <v>10797</v>
      </c>
      <c r="B4785" t="s">
        <v>84</v>
      </c>
      <c r="C4785">
        <v>46</v>
      </c>
      <c r="D4785" t="str">
        <f>VLOOKUP(B4785,Products!$A:$E,2,FALSE)</f>
        <v>Product_38</v>
      </c>
      <c r="E4785" t="str">
        <f>VLOOKUP(B4785,Products!$A:$E,3,FALSE)</f>
        <v>Accessories</v>
      </c>
    </row>
    <row r="4786" spans="1:5" x14ac:dyDescent="0.3">
      <c r="A4786" t="s">
        <v>10798</v>
      </c>
      <c r="B4786" t="s">
        <v>218</v>
      </c>
      <c r="C4786">
        <v>32</v>
      </c>
      <c r="D4786" t="str">
        <f>VLOOKUP(B4786,Products!$A:$E,2,FALSE)</f>
        <v>Product_105</v>
      </c>
      <c r="E4786" t="str">
        <f>VLOOKUP(B4786,Products!$A:$E,3,FALSE)</f>
        <v>Networking</v>
      </c>
    </row>
    <row r="4787" spans="1:5" x14ac:dyDescent="0.3">
      <c r="A4787" t="s">
        <v>10799</v>
      </c>
      <c r="B4787" t="s">
        <v>220</v>
      </c>
      <c r="C4787">
        <v>37</v>
      </c>
      <c r="D4787" t="str">
        <f>VLOOKUP(B4787,Products!$A:$E,2,FALSE)</f>
        <v>Product_106</v>
      </c>
      <c r="E4787" t="str">
        <f>VLOOKUP(B4787,Products!$A:$E,3,FALSE)</f>
        <v>Networking</v>
      </c>
    </row>
    <row r="4788" spans="1:5" x14ac:dyDescent="0.3">
      <c r="A4788" t="s">
        <v>10800</v>
      </c>
      <c r="B4788" t="s">
        <v>664</v>
      </c>
      <c r="C4788">
        <v>40</v>
      </c>
      <c r="D4788" t="str">
        <f>VLOOKUP(B4788,Products!$A:$E,2,FALSE)</f>
        <v>Product_328</v>
      </c>
      <c r="E4788" t="str">
        <f>VLOOKUP(B4788,Products!$A:$E,3,FALSE)</f>
        <v>Office Supplies</v>
      </c>
    </row>
    <row r="4789" spans="1:5" x14ac:dyDescent="0.3">
      <c r="A4789" t="s">
        <v>10801</v>
      </c>
      <c r="B4789" t="s">
        <v>24</v>
      </c>
      <c r="C4789">
        <v>3</v>
      </c>
      <c r="D4789" t="str">
        <f>VLOOKUP(B4789,Products!$A:$E,2,FALSE)</f>
        <v>Product_8</v>
      </c>
      <c r="E4789" t="str">
        <f>VLOOKUP(B4789,Products!$A:$E,3,FALSE)</f>
        <v>Storage</v>
      </c>
    </row>
    <row r="4790" spans="1:5" x14ac:dyDescent="0.3">
      <c r="A4790" t="s">
        <v>10802</v>
      </c>
      <c r="B4790" t="s">
        <v>954</v>
      </c>
      <c r="C4790">
        <v>25</v>
      </c>
      <c r="D4790" t="str">
        <f>VLOOKUP(B4790,Products!$A:$E,2,FALSE)</f>
        <v>Product_473</v>
      </c>
      <c r="E4790" t="str">
        <f>VLOOKUP(B4790,Products!$A:$E,3,FALSE)</f>
        <v>Accessories</v>
      </c>
    </row>
    <row r="4791" spans="1:5" x14ac:dyDescent="0.3">
      <c r="A4791" t="s">
        <v>10803</v>
      </c>
      <c r="B4791" t="s">
        <v>220</v>
      </c>
      <c r="C4791">
        <v>45</v>
      </c>
      <c r="D4791" t="str">
        <f>VLOOKUP(B4791,Products!$A:$E,2,FALSE)</f>
        <v>Product_106</v>
      </c>
      <c r="E4791" t="str">
        <f>VLOOKUP(B4791,Products!$A:$E,3,FALSE)</f>
        <v>Networking</v>
      </c>
    </row>
    <row r="4792" spans="1:5" x14ac:dyDescent="0.3">
      <c r="A4792" t="s">
        <v>10804</v>
      </c>
      <c r="B4792" t="s">
        <v>128</v>
      </c>
      <c r="C4792">
        <v>19</v>
      </c>
      <c r="D4792" t="str">
        <f>VLOOKUP(B4792,Products!$A:$E,2,FALSE)</f>
        <v>Product_60</v>
      </c>
      <c r="E4792" t="str">
        <f>VLOOKUP(B4792,Products!$A:$E,3,FALSE)</f>
        <v>Electronics</v>
      </c>
    </row>
    <row r="4793" spans="1:5" x14ac:dyDescent="0.3">
      <c r="A4793" t="s">
        <v>10805</v>
      </c>
      <c r="B4793" t="s">
        <v>11</v>
      </c>
      <c r="C4793">
        <v>16</v>
      </c>
      <c r="D4793" t="str">
        <f>VLOOKUP(B4793,Products!$A:$E,2,FALSE)</f>
        <v>Product_3</v>
      </c>
      <c r="E4793" t="str">
        <f>VLOOKUP(B4793,Products!$A:$E,3,FALSE)</f>
        <v>Accessories</v>
      </c>
    </row>
    <row r="4794" spans="1:5" x14ac:dyDescent="0.3">
      <c r="A4794" t="s">
        <v>10806</v>
      </c>
      <c r="B4794" t="s">
        <v>684</v>
      </c>
      <c r="C4794">
        <v>22</v>
      </c>
      <c r="D4794" t="str">
        <f>VLOOKUP(B4794,Products!$A:$E,2,FALSE)</f>
        <v>Product_338</v>
      </c>
      <c r="E4794" t="str">
        <f>VLOOKUP(B4794,Products!$A:$E,3,FALSE)</f>
        <v>Networking</v>
      </c>
    </row>
    <row r="4795" spans="1:5" x14ac:dyDescent="0.3">
      <c r="A4795" t="s">
        <v>10807</v>
      </c>
      <c r="B4795" t="s">
        <v>190</v>
      </c>
      <c r="C4795">
        <v>25</v>
      </c>
      <c r="D4795" t="str">
        <f>VLOOKUP(B4795,Products!$A:$E,2,FALSE)</f>
        <v>Product_91</v>
      </c>
      <c r="E4795" t="str">
        <f>VLOOKUP(B4795,Products!$A:$E,3,FALSE)</f>
        <v>Networking</v>
      </c>
    </row>
    <row r="4796" spans="1:5" x14ac:dyDescent="0.3">
      <c r="A4796" t="s">
        <v>10808</v>
      </c>
      <c r="B4796" t="s">
        <v>856</v>
      </c>
      <c r="C4796">
        <v>15</v>
      </c>
      <c r="D4796" t="str">
        <f>VLOOKUP(B4796,Products!$A:$E,2,FALSE)</f>
        <v>Product_424</v>
      </c>
      <c r="E4796" t="str">
        <f>VLOOKUP(B4796,Products!$A:$E,3,FALSE)</f>
        <v>Networking</v>
      </c>
    </row>
    <row r="4797" spans="1:5" x14ac:dyDescent="0.3">
      <c r="A4797" t="s">
        <v>10809</v>
      </c>
      <c r="B4797" t="s">
        <v>390</v>
      </c>
      <c r="C4797">
        <v>26</v>
      </c>
      <c r="D4797" t="str">
        <f>VLOOKUP(B4797,Products!$A:$E,2,FALSE)</f>
        <v>Product_191</v>
      </c>
      <c r="E4797" t="str">
        <f>VLOOKUP(B4797,Products!$A:$E,3,FALSE)</f>
        <v>Networking</v>
      </c>
    </row>
    <row r="4798" spans="1:5" x14ac:dyDescent="0.3">
      <c r="A4798" t="s">
        <v>10810</v>
      </c>
      <c r="B4798" t="s">
        <v>54</v>
      </c>
      <c r="C4798">
        <v>10</v>
      </c>
      <c r="D4798" t="str">
        <f>VLOOKUP(B4798,Products!$A:$E,2,FALSE)</f>
        <v>Product_23</v>
      </c>
      <c r="E4798" t="str">
        <f>VLOOKUP(B4798,Products!$A:$E,3,FALSE)</f>
        <v>Accessories</v>
      </c>
    </row>
    <row r="4799" spans="1:5" x14ac:dyDescent="0.3">
      <c r="A4799" t="s">
        <v>10811</v>
      </c>
      <c r="B4799" t="s">
        <v>154</v>
      </c>
      <c r="C4799">
        <v>39</v>
      </c>
      <c r="D4799" t="str">
        <f>VLOOKUP(B4799,Products!$A:$E,2,FALSE)</f>
        <v>Product_73</v>
      </c>
      <c r="E4799" t="str">
        <f>VLOOKUP(B4799,Products!$A:$E,3,FALSE)</f>
        <v>Office Supplies</v>
      </c>
    </row>
    <row r="4800" spans="1:5" x14ac:dyDescent="0.3">
      <c r="A4800" t="s">
        <v>10812</v>
      </c>
      <c r="B4800" t="s">
        <v>262</v>
      </c>
      <c r="C4800">
        <v>40</v>
      </c>
      <c r="D4800" t="str">
        <f>VLOOKUP(B4800,Products!$A:$E,2,FALSE)</f>
        <v>Product_127</v>
      </c>
      <c r="E4800" t="str">
        <f>VLOOKUP(B4800,Products!$A:$E,3,FALSE)</f>
        <v>Networking</v>
      </c>
    </row>
    <row r="4801" spans="1:5" x14ac:dyDescent="0.3">
      <c r="A4801" t="s">
        <v>10813</v>
      </c>
      <c r="B4801" t="s">
        <v>694</v>
      </c>
      <c r="C4801">
        <v>17</v>
      </c>
      <c r="D4801" t="str">
        <f>VLOOKUP(B4801,Products!$A:$E,2,FALSE)</f>
        <v>Product_343</v>
      </c>
      <c r="E4801" t="str">
        <f>VLOOKUP(B4801,Products!$A:$E,3,FALSE)</f>
        <v>Office Supplies</v>
      </c>
    </row>
    <row r="4802" spans="1:5" x14ac:dyDescent="0.3">
      <c r="A4802" t="s">
        <v>10814</v>
      </c>
      <c r="B4802" t="s">
        <v>912</v>
      </c>
      <c r="C4802">
        <v>28</v>
      </c>
      <c r="D4802" t="str">
        <f>VLOOKUP(B4802,Products!$A:$E,2,FALSE)</f>
        <v>Product_452</v>
      </c>
      <c r="E4802" t="str">
        <f>VLOOKUP(B4802,Products!$A:$E,3,FALSE)</f>
        <v>Office Supplies</v>
      </c>
    </row>
    <row r="4803" spans="1:5" x14ac:dyDescent="0.3">
      <c r="A4803" t="s">
        <v>10815</v>
      </c>
      <c r="B4803" t="s">
        <v>706</v>
      </c>
      <c r="C4803">
        <v>37</v>
      </c>
      <c r="D4803" t="str">
        <f>VLOOKUP(B4803,Products!$A:$E,2,FALSE)</f>
        <v>Product_349</v>
      </c>
      <c r="E4803" t="str">
        <f>VLOOKUP(B4803,Products!$A:$E,3,FALSE)</f>
        <v>Office Supplies</v>
      </c>
    </row>
    <row r="4804" spans="1:5" x14ac:dyDescent="0.3">
      <c r="A4804" t="s">
        <v>10816</v>
      </c>
      <c r="B4804" t="s">
        <v>736</v>
      </c>
      <c r="C4804">
        <v>41</v>
      </c>
      <c r="D4804" t="str">
        <f>VLOOKUP(B4804,Products!$A:$E,2,FALSE)</f>
        <v>Product_364</v>
      </c>
      <c r="E4804" t="str">
        <f>VLOOKUP(B4804,Products!$A:$E,3,FALSE)</f>
        <v>Networking</v>
      </c>
    </row>
    <row r="4805" spans="1:5" x14ac:dyDescent="0.3">
      <c r="A4805" t="s">
        <v>10817</v>
      </c>
      <c r="B4805" t="s">
        <v>326</v>
      </c>
      <c r="C4805">
        <v>14</v>
      </c>
      <c r="D4805" t="str">
        <f>VLOOKUP(B4805,Products!$A:$E,2,FALSE)</f>
        <v>Product_159</v>
      </c>
      <c r="E4805" t="str">
        <f>VLOOKUP(B4805,Products!$A:$E,3,FALSE)</f>
        <v>Accessories</v>
      </c>
    </row>
    <row r="4806" spans="1:5" x14ac:dyDescent="0.3">
      <c r="A4806" t="s">
        <v>10818</v>
      </c>
      <c r="B4806" t="s">
        <v>972</v>
      </c>
      <c r="C4806">
        <v>42</v>
      </c>
      <c r="D4806" t="str">
        <f>VLOOKUP(B4806,Products!$A:$E,2,FALSE)</f>
        <v>Product_482</v>
      </c>
      <c r="E4806" t="str">
        <f>VLOOKUP(B4806,Products!$A:$E,3,FALSE)</f>
        <v>Storage</v>
      </c>
    </row>
    <row r="4807" spans="1:5" x14ac:dyDescent="0.3">
      <c r="A4807" t="s">
        <v>10819</v>
      </c>
      <c r="B4807" t="s">
        <v>764</v>
      </c>
      <c r="C4807">
        <v>18</v>
      </c>
      <c r="D4807" t="str">
        <f>VLOOKUP(B4807,Products!$A:$E,2,FALSE)</f>
        <v>Product_378</v>
      </c>
      <c r="E4807" t="str">
        <f>VLOOKUP(B4807,Products!$A:$E,3,FALSE)</f>
        <v>Electronics</v>
      </c>
    </row>
    <row r="4808" spans="1:5" x14ac:dyDescent="0.3">
      <c r="A4808" t="s">
        <v>10820</v>
      </c>
      <c r="B4808" t="s">
        <v>428</v>
      </c>
      <c r="C4808">
        <v>45</v>
      </c>
      <c r="D4808" t="str">
        <f>VLOOKUP(B4808,Products!$A:$E,2,FALSE)</f>
        <v>Product_210</v>
      </c>
      <c r="E4808" t="str">
        <f>VLOOKUP(B4808,Products!$A:$E,3,FALSE)</f>
        <v>Electronics</v>
      </c>
    </row>
    <row r="4809" spans="1:5" x14ac:dyDescent="0.3">
      <c r="A4809" t="s">
        <v>10821</v>
      </c>
      <c r="B4809" t="s">
        <v>20</v>
      </c>
      <c r="C4809">
        <v>27</v>
      </c>
      <c r="D4809" t="str">
        <f>VLOOKUP(B4809,Products!$A:$E,2,FALSE)</f>
        <v>Product_6</v>
      </c>
      <c r="E4809" t="str">
        <f>VLOOKUP(B4809,Products!$A:$E,3,FALSE)</f>
        <v>Electronics</v>
      </c>
    </row>
    <row r="4810" spans="1:5" x14ac:dyDescent="0.3">
      <c r="A4810" t="s">
        <v>10822</v>
      </c>
      <c r="B4810" t="s">
        <v>852</v>
      </c>
      <c r="C4810">
        <v>27</v>
      </c>
      <c r="D4810" t="str">
        <f>VLOOKUP(B4810,Products!$A:$E,2,FALSE)</f>
        <v>Product_422</v>
      </c>
      <c r="E4810" t="str">
        <f>VLOOKUP(B4810,Products!$A:$E,3,FALSE)</f>
        <v>Accessories</v>
      </c>
    </row>
    <row r="4811" spans="1:5" x14ac:dyDescent="0.3">
      <c r="A4811" t="s">
        <v>10823</v>
      </c>
      <c r="B4811" t="s">
        <v>396</v>
      </c>
      <c r="C4811">
        <v>18</v>
      </c>
      <c r="D4811" t="str">
        <f>VLOOKUP(B4811,Products!$A:$E,2,FALSE)</f>
        <v>Product_194</v>
      </c>
      <c r="E4811" t="str">
        <f>VLOOKUP(B4811,Products!$A:$E,3,FALSE)</f>
        <v>Networking</v>
      </c>
    </row>
    <row r="4812" spans="1:5" x14ac:dyDescent="0.3">
      <c r="A4812" t="s">
        <v>10824</v>
      </c>
      <c r="B4812" t="s">
        <v>872</v>
      </c>
      <c r="C4812">
        <v>13</v>
      </c>
      <c r="D4812" t="str">
        <f>VLOOKUP(B4812,Products!$A:$E,2,FALSE)</f>
        <v>Product_432</v>
      </c>
      <c r="E4812" t="str">
        <f>VLOOKUP(B4812,Products!$A:$E,3,FALSE)</f>
        <v>Office Supplies</v>
      </c>
    </row>
    <row r="4813" spans="1:5" x14ac:dyDescent="0.3">
      <c r="A4813" t="s">
        <v>10825</v>
      </c>
      <c r="B4813" t="s">
        <v>846</v>
      </c>
      <c r="C4813">
        <v>50</v>
      </c>
      <c r="D4813" t="str">
        <f>VLOOKUP(B4813,Products!$A:$E,2,FALSE)</f>
        <v>Product_419</v>
      </c>
      <c r="E4813" t="str">
        <f>VLOOKUP(B4813,Products!$A:$E,3,FALSE)</f>
        <v>Networking</v>
      </c>
    </row>
    <row r="4814" spans="1:5" x14ac:dyDescent="0.3">
      <c r="A4814" t="s">
        <v>10826</v>
      </c>
      <c r="B4814" t="s">
        <v>508</v>
      </c>
      <c r="C4814">
        <v>17</v>
      </c>
      <c r="D4814" t="str">
        <f>VLOOKUP(B4814,Products!$A:$E,2,FALSE)</f>
        <v>Product_250</v>
      </c>
      <c r="E4814" t="str">
        <f>VLOOKUP(B4814,Products!$A:$E,3,FALSE)</f>
        <v>Networking</v>
      </c>
    </row>
    <row r="4815" spans="1:5" x14ac:dyDescent="0.3">
      <c r="A4815" t="s">
        <v>10827</v>
      </c>
      <c r="B4815" t="s">
        <v>624</v>
      </c>
      <c r="C4815">
        <v>1</v>
      </c>
      <c r="D4815" t="str">
        <f>VLOOKUP(B4815,Products!$A:$E,2,FALSE)</f>
        <v>Product_308</v>
      </c>
      <c r="E4815" t="str">
        <f>VLOOKUP(B4815,Products!$A:$E,3,FALSE)</f>
        <v>Storage</v>
      </c>
    </row>
    <row r="4816" spans="1:5" x14ac:dyDescent="0.3">
      <c r="A4816" t="s">
        <v>10828</v>
      </c>
      <c r="B4816" t="s">
        <v>650</v>
      </c>
      <c r="C4816">
        <v>45</v>
      </c>
      <c r="D4816" t="str">
        <f>VLOOKUP(B4816,Products!$A:$E,2,FALSE)</f>
        <v>Product_321</v>
      </c>
      <c r="E4816" t="str">
        <f>VLOOKUP(B4816,Products!$A:$E,3,FALSE)</f>
        <v>Electronics</v>
      </c>
    </row>
    <row r="4817" spans="1:5" x14ac:dyDescent="0.3">
      <c r="A4817" t="s">
        <v>10829</v>
      </c>
      <c r="B4817" t="s">
        <v>414</v>
      </c>
      <c r="C4817">
        <v>3</v>
      </c>
      <c r="D4817" t="str">
        <f>VLOOKUP(B4817,Products!$A:$E,2,FALSE)</f>
        <v>Product_203</v>
      </c>
      <c r="E4817" t="str">
        <f>VLOOKUP(B4817,Products!$A:$E,3,FALSE)</f>
        <v>Accessories</v>
      </c>
    </row>
    <row r="4818" spans="1:5" x14ac:dyDescent="0.3">
      <c r="A4818" t="s">
        <v>10830</v>
      </c>
      <c r="B4818" t="s">
        <v>722</v>
      </c>
      <c r="C4818">
        <v>50</v>
      </c>
      <c r="D4818" t="str">
        <f>VLOOKUP(B4818,Products!$A:$E,2,FALSE)</f>
        <v>Product_357</v>
      </c>
      <c r="E4818" t="str">
        <f>VLOOKUP(B4818,Products!$A:$E,3,FALSE)</f>
        <v>Accessories</v>
      </c>
    </row>
    <row r="4819" spans="1:5" x14ac:dyDescent="0.3">
      <c r="A4819" t="s">
        <v>10831</v>
      </c>
      <c r="B4819" t="s">
        <v>468</v>
      </c>
      <c r="C4819">
        <v>9</v>
      </c>
      <c r="D4819" t="str">
        <f>VLOOKUP(B4819,Products!$A:$E,2,FALSE)</f>
        <v>Product_230</v>
      </c>
      <c r="E4819" t="str">
        <f>VLOOKUP(B4819,Products!$A:$E,3,FALSE)</f>
        <v>Electronics</v>
      </c>
    </row>
    <row r="4820" spans="1:5" x14ac:dyDescent="0.3">
      <c r="A4820" t="s">
        <v>10832</v>
      </c>
      <c r="B4820" t="s">
        <v>688</v>
      </c>
      <c r="C4820">
        <v>45</v>
      </c>
      <c r="D4820" t="str">
        <f>VLOOKUP(B4820,Products!$A:$E,2,FALSE)</f>
        <v>Product_340</v>
      </c>
      <c r="E4820" t="str">
        <f>VLOOKUP(B4820,Products!$A:$E,3,FALSE)</f>
        <v>Storage</v>
      </c>
    </row>
    <row r="4821" spans="1:5" x14ac:dyDescent="0.3">
      <c r="A4821" t="s">
        <v>10833</v>
      </c>
      <c r="B4821" t="s">
        <v>238</v>
      </c>
      <c r="C4821">
        <v>5</v>
      </c>
      <c r="D4821" t="str">
        <f>VLOOKUP(B4821,Products!$A:$E,2,FALSE)</f>
        <v>Product_115</v>
      </c>
      <c r="E4821" t="str">
        <f>VLOOKUP(B4821,Products!$A:$E,3,FALSE)</f>
        <v>Networking</v>
      </c>
    </row>
    <row r="4822" spans="1:5" x14ac:dyDescent="0.3">
      <c r="A4822" t="s">
        <v>10834</v>
      </c>
      <c r="B4822" t="s">
        <v>662</v>
      </c>
      <c r="C4822">
        <v>8</v>
      </c>
      <c r="D4822" t="str">
        <f>VLOOKUP(B4822,Products!$A:$E,2,FALSE)</f>
        <v>Product_327</v>
      </c>
      <c r="E4822" t="str">
        <f>VLOOKUP(B4822,Products!$A:$E,3,FALSE)</f>
        <v>Networking</v>
      </c>
    </row>
    <row r="4823" spans="1:5" x14ac:dyDescent="0.3">
      <c r="A4823" t="s">
        <v>10835</v>
      </c>
      <c r="B4823" t="s">
        <v>128</v>
      </c>
      <c r="C4823">
        <v>11</v>
      </c>
      <c r="D4823" t="str">
        <f>VLOOKUP(B4823,Products!$A:$E,2,FALSE)</f>
        <v>Product_60</v>
      </c>
      <c r="E4823" t="str">
        <f>VLOOKUP(B4823,Products!$A:$E,3,FALSE)</f>
        <v>Electronics</v>
      </c>
    </row>
    <row r="4824" spans="1:5" x14ac:dyDescent="0.3">
      <c r="A4824" t="s">
        <v>10836</v>
      </c>
      <c r="B4824" t="s">
        <v>932</v>
      </c>
      <c r="C4824">
        <v>32</v>
      </c>
      <c r="D4824" t="str">
        <f>VLOOKUP(B4824,Products!$A:$E,2,FALSE)</f>
        <v>Product_462</v>
      </c>
      <c r="E4824" t="str">
        <f>VLOOKUP(B4824,Products!$A:$E,3,FALSE)</f>
        <v>Electronics</v>
      </c>
    </row>
    <row r="4825" spans="1:5" x14ac:dyDescent="0.3">
      <c r="A4825" t="s">
        <v>10837</v>
      </c>
      <c r="B4825" t="s">
        <v>78</v>
      </c>
      <c r="C4825">
        <v>12</v>
      </c>
      <c r="D4825" t="str">
        <f>VLOOKUP(B4825,Products!$A:$E,2,FALSE)</f>
        <v>Product_35</v>
      </c>
      <c r="E4825" t="str">
        <f>VLOOKUP(B4825,Products!$A:$E,3,FALSE)</f>
        <v>Electronics</v>
      </c>
    </row>
    <row r="4826" spans="1:5" x14ac:dyDescent="0.3">
      <c r="A4826" t="s">
        <v>10838</v>
      </c>
      <c r="B4826" t="s">
        <v>558</v>
      </c>
      <c r="C4826">
        <v>21</v>
      </c>
      <c r="D4826" t="str">
        <f>VLOOKUP(B4826,Products!$A:$E,2,FALSE)</f>
        <v>Product_275</v>
      </c>
      <c r="E4826" t="str">
        <f>VLOOKUP(B4826,Products!$A:$E,3,FALSE)</f>
        <v>Accessories</v>
      </c>
    </row>
    <row r="4827" spans="1:5" x14ac:dyDescent="0.3">
      <c r="A4827" t="s">
        <v>10839</v>
      </c>
      <c r="B4827" t="s">
        <v>180</v>
      </c>
      <c r="C4827">
        <v>48</v>
      </c>
      <c r="D4827" t="str">
        <f>VLOOKUP(B4827,Products!$A:$E,2,FALSE)</f>
        <v>Product_86</v>
      </c>
      <c r="E4827" t="str">
        <f>VLOOKUP(B4827,Products!$A:$E,3,FALSE)</f>
        <v>Storage</v>
      </c>
    </row>
    <row r="4828" spans="1:5" x14ac:dyDescent="0.3">
      <c r="A4828" t="s">
        <v>10840</v>
      </c>
      <c r="B4828" t="s">
        <v>272</v>
      </c>
      <c r="C4828">
        <v>44</v>
      </c>
      <c r="D4828" t="str">
        <f>VLOOKUP(B4828,Products!$A:$E,2,FALSE)</f>
        <v>Product_132</v>
      </c>
      <c r="E4828" t="str">
        <f>VLOOKUP(B4828,Products!$A:$E,3,FALSE)</f>
        <v>Storage</v>
      </c>
    </row>
    <row r="4829" spans="1:5" x14ac:dyDescent="0.3">
      <c r="A4829" t="s">
        <v>10841</v>
      </c>
      <c r="B4829" t="s">
        <v>742</v>
      </c>
      <c r="C4829">
        <v>45</v>
      </c>
      <c r="D4829" t="str">
        <f>VLOOKUP(B4829,Products!$A:$E,2,FALSE)</f>
        <v>Product_367</v>
      </c>
      <c r="E4829" t="str">
        <f>VLOOKUP(B4829,Products!$A:$E,3,FALSE)</f>
        <v>Storage</v>
      </c>
    </row>
    <row r="4830" spans="1:5" x14ac:dyDescent="0.3">
      <c r="A4830" t="s">
        <v>10842</v>
      </c>
      <c r="B4830" t="s">
        <v>416</v>
      </c>
      <c r="C4830">
        <v>19</v>
      </c>
      <c r="D4830" t="str">
        <f>VLOOKUP(B4830,Products!$A:$E,2,FALSE)</f>
        <v>Product_204</v>
      </c>
      <c r="E4830" t="str">
        <f>VLOOKUP(B4830,Products!$A:$E,3,FALSE)</f>
        <v>Office Supplies</v>
      </c>
    </row>
    <row r="4831" spans="1:5" x14ac:dyDescent="0.3">
      <c r="A4831" t="s">
        <v>10843</v>
      </c>
      <c r="B4831" t="s">
        <v>558</v>
      </c>
      <c r="C4831">
        <v>19</v>
      </c>
      <c r="D4831" t="str">
        <f>VLOOKUP(B4831,Products!$A:$E,2,FALSE)</f>
        <v>Product_275</v>
      </c>
      <c r="E4831" t="str">
        <f>VLOOKUP(B4831,Products!$A:$E,3,FALSE)</f>
        <v>Accessories</v>
      </c>
    </row>
    <row r="4832" spans="1:5" x14ac:dyDescent="0.3">
      <c r="A4832" t="s">
        <v>10844</v>
      </c>
      <c r="B4832" t="s">
        <v>300</v>
      </c>
      <c r="C4832">
        <v>37</v>
      </c>
      <c r="D4832" t="str">
        <f>VLOOKUP(B4832,Products!$A:$E,2,FALSE)</f>
        <v>Product_146</v>
      </c>
      <c r="E4832" t="str">
        <f>VLOOKUP(B4832,Products!$A:$E,3,FALSE)</f>
        <v>Office Supplies</v>
      </c>
    </row>
    <row r="4833" spans="1:5" x14ac:dyDescent="0.3">
      <c r="A4833" t="s">
        <v>10845</v>
      </c>
      <c r="B4833" t="s">
        <v>276</v>
      </c>
      <c r="C4833">
        <v>7</v>
      </c>
      <c r="D4833" t="str">
        <f>VLOOKUP(B4833,Products!$A:$E,2,FALSE)</f>
        <v>Product_134</v>
      </c>
      <c r="E4833" t="str">
        <f>VLOOKUP(B4833,Products!$A:$E,3,FALSE)</f>
        <v>Accessories</v>
      </c>
    </row>
    <row r="4834" spans="1:5" x14ac:dyDescent="0.3">
      <c r="A4834" t="s">
        <v>10846</v>
      </c>
      <c r="B4834" t="s">
        <v>788</v>
      </c>
      <c r="C4834">
        <v>8</v>
      </c>
      <c r="D4834" t="str">
        <f>VLOOKUP(B4834,Products!$A:$E,2,FALSE)</f>
        <v>Product_390</v>
      </c>
      <c r="E4834" t="str">
        <f>VLOOKUP(B4834,Products!$A:$E,3,FALSE)</f>
        <v>Storage</v>
      </c>
    </row>
    <row r="4835" spans="1:5" x14ac:dyDescent="0.3">
      <c r="A4835" t="s">
        <v>10847</v>
      </c>
      <c r="B4835" t="s">
        <v>414</v>
      </c>
      <c r="C4835">
        <v>13</v>
      </c>
      <c r="D4835" t="str">
        <f>VLOOKUP(B4835,Products!$A:$E,2,FALSE)</f>
        <v>Product_203</v>
      </c>
      <c r="E4835" t="str">
        <f>VLOOKUP(B4835,Products!$A:$E,3,FALSE)</f>
        <v>Accessories</v>
      </c>
    </row>
    <row r="4836" spans="1:5" x14ac:dyDescent="0.3">
      <c r="A4836" t="s">
        <v>10848</v>
      </c>
      <c r="B4836" t="s">
        <v>982</v>
      </c>
      <c r="C4836">
        <v>6</v>
      </c>
      <c r="D4836" t="str">
        <f>VLOOKUP(B4836,Products!$A:$E,2,FALSE)</f>
        <v>Product_487</v>
      </c>
      <c r="E4836" t="str">
        <f>VLOOKUP(B4836,Products!$A:$E,3,FALSE)</f>
        <v>Networking</v>
      </c>
    </row>
    <row r="4837" spans="1:5" x14ac:dyDescent="0.3">
      <c r="A4837" t="s">
        <v>10849</v>
      </c>
      <c r="B4837" t="s">
        <v>578</v>
      </c>
      <c r="C4837">
        <v>32</v>
      </c>
      <c r="D4837" t="str">
        <f>VLOOKUP(B4837,Products!$A:$E,2,FALSE)</f>
        <v>Product_285</v>
      </c>
      <c r="E4837" t="str">
        <f>VLOOKUP(B4837,Products!$A:$E,3,FALSE)</f>
        <v>Networking</v>
      </c>
    </row>
    <row r="4838" spans="1:5" x14ac:dyDescent="0.3">
      <c r="A4838" t="s">
        <v>10850</v>
      </c>
      <c r="B4838" t="s">
        <v>214</v>
      </c>
      <c r="C4838">
        <v>9</v>
      </c>
      <c r="D4838" t="str">
        <f>VLOOKUP(B4838,Products!$A:$E,2,FALSE)</f>
        <v>Product_103</v>
      </c>
      <c r="E4838" t="str">
        <f>VLOOKUP(B4838,Products!$A:$E,3,FALSE)</f>
        <v>Accessories</v>
      </c>
    </row>
    <row r="4839" spans="1:5" x14ac:dyDescent="0.3">
      <c r="A4839" t="s">
        <v>10851</v>
      </c>
      <c r="B4839" t="s">
        <v>540</v>
      </c>
      <c r="C4839">
        <v>3</v>
      </c>
      <c r="D4839" t="str">
        <f>VLOOKUP(B4839,Products!$A:$E,2,FALSE)</f>
        <v>Product_266</v>
      </c>
      <c r="E4839" t="str">
        <f>VLOOKUP(B4839,Products!$A:$E,3,FALSE)</f>
        <v>Electronics</v>
      </c>
    </row>
    <row r="4840" spans="1:5" x14ac:dyDescent="0.3">
      <c r="A4840" t="s">
        <v>10852</v>
      </c>
      <c r="B4840" t="s">
        <v>490</v>
      </c>
      <c r="C4840">
        <v>31</v>
      </c>
      <c r="D4840" t="str">
        <f>VLOOKUP(B4840,Products!$A:$E,2,FALSE)</f>
        <v>Product_241</v>
      </c>
      <c r="E4840" t="str">
        <f>VLOOKUP(B4840,Products!$A:$E,3,FALSE)</f>
        <v>Electronics</v>
      </c>
    </row>
    <row r="4841" spans="1:5" x14ac:dyDescent="0.3">
      <c r="A4841" t="s">
        <v>10853</v>
      </c>
      <c r="B4841" t="s">
        <v>120</v>
      </c>
      <c r="C4841">
        <v>8</v>
      </c>
      <c r="D4841" t="str">
        <f>VLOOKUP(B4841,Products!$A:$E,2,FALSE)</f>
        <v>Product_56</v>
      </c>
      <c r="E4841" t="str">
        <f>VLOOKUP(B4841,Products!$A:$E,3,FALSE)</f>
        <v>Networking</v>
      </c>
    </row>
    <row r="4842" spans="1:5" x14ac:dyDescent="0.3">
      <c r="A4842" t="s">
        <v>10854</v>
      </c>
      <c r="B4842" t="s">
        <v>244</v>
      </c>
      <c r="C4842">
        <v>3</v>
      </c>
      <c r="D4842" t="str">
        <f>VLOOKUP(B4842,Products!$A:$E,2,FALSE)</f>
        <v>Product_118</v>
      </c>
      <c r="E4842" t="str">
        <f>VLOOKUP(B4842,Products!$A:$E,3,FALSE)</f>
        <v>Accessories</v>
      </c>
    </row>
    <row r="4843" spans="1:5" x14ac:dyDescent="0.3">
      <c r="A4843" t="s">
        <v>10855</v>
      </c>
      <c r="B4843" t="s">
        <v>862</v>
      </c>
      <c r="C4843">
        <v>25</v>
      </c>
      <c r="D4843" t="str">
        <f>VLOOKUP(B4843,Products!$A:$E,2,FALSE)</f>
        <v>Product_427</v>
      </c>
      <c r="E4843" t="str">
        <f>VLOOKUP(B4843,Products!$A:$E,3,FALSE)</f>
        <v>Networking</v>
      </c>
    </row>
    <row r="4844" spans="1:5" x14ac:dyDescent="0.3">
      <c r="A4844" t="s">
        <v>10856</v>
      </c>
      <c r="B4844" t="s">
        <v>198</v>
      </c>
      <c r="C4844">
        <v>6</v>
      </c>
      <c r="D4844" t="str">
        <f>VLOOKUP(B4844,Products!$A:$E,2,FALSE)</f>
        <v>Product_95</v>
      </c>
      <c r="E4844" t="str">
        <f>VLOOKUP(B4844,Products!$A:$E,3,FALSE)</f>
        <v>Electronics</v>
      </c>
    </row>
    <row r="4845" spans="1:5" x14ac:dyDescent="0.3">
      <c r="A4845" t="s">
        <v>10857</v>
      </c>
      <c r="B4845" t="s">
        <v>790</v>
      </c>
      <c r="C4845">
        <v>45</v>
      </c>
      <c r="D4845" t="str">
        <f>VLOOKUP(B4845,Products!$A:$E,2,FALSE)</f>
        <v>Product_391</v>
      </c>
      <c r="E4845" t="str">
        <f>VLOOKUP(B4845,Products!$A:$E,3,FALSE)</f>
        <v>Accessories</v>
      </c>
    </row>
    <row r="4846" spans="1:5" x14ac:dyDescent="0.3">
      <c r="A4846" t="s">
        <v>10858</v>
      </c>
      <c r="B4846" t="s">
        <v>834</v>
      </c>
      <c r="C4846">
        <v>5</v>
      </c>
      <c r="D4846" t="str">
        <f>VLOOKUP(B4846,Products!$A:$E,2,FALSE)</f>
        <v>Product_413</v>
      </c>
      <c r="E4846" t="str">
        <f>VLOOKUP(B4846,Products!$A:$E,3,FALSE)</f>
        <v>Accessories</v>
      </c>
    </row>
    <row r="4847" spans="1:5" x14ac:dyDescent="0.3">
      <c r="A4847" t="s">
        <v>10859</v>
      </c>
      <c r="B4847" t="s">
        <v>256</v>
      </c>
      <c r="C4847">
        <v>28</v>
      </c>
      <c r="D4847" t="str">
        <f>VLOOKUP(B4847,Products!$A:$E,2,FALSE)</f>
        <v>Product_124</v>
      </c>
      <c r="E4847" t="str">
        <f>VLOOKUP(B4847,Products!$A:$E,3,FALSE)</f>
        <v>Storage</v>
      </c>
    </row>
    <row r="4848" spans="1:5" x14ac:dyDescent="0.3">
      <c r="A4848" t="s">
        <v>10860</v>
      </c>
      <c r="B4848" t="s">
        <v>640</v>
      </c>
      <c r="C4848">
        <v>24</v>
      </c>
      <c r="D4848" t="str">
        <f>VLOOKUP(B4848,Products!$A:$E,2,FALSE)</f>
        <v>Product_316</v>
      </c>
      <c r="E4848" t="str">
        <f>VLOOKUP(B4848,Products!$A:$E,3,FALSE)</f>
        <v>Networking</v>
      </c>
    </row>
    <row r="4849" spans="1:5" x14ac:dyDescent="0.3">
      <c r="A4849" t="s">
        <v>10861</v>
      </c>
      <c r="B4849" t="s">
        <v>458</v>
      </c>
      <c r="C4849">
        <v>48</v>
      </c>
      <c r="D4849" t="str">
        <f>VLOOKUP(B4849,Products!$A:$E,2,FALSE)</f>
        <v>Product_225</v>
      </c>
      <c r="E4849" t="str">
        <f>VLOOKUP(B4849,Products!$A:$E,3,FALSE)</f>
        <v>Accessories</v>
      </c>
    </row>
    <row r="4850" spans="1:5" x14ac:dyDescent="0.3">
      <c r="A4850" t="s">
        <v>10862</v>
      </c>
      <c r="B4850" t="s">
        <v>156</v>
      </c>
      <c r="C4850">
        <v>29</v>
      </c>
      <c r="D4850" t="str">
        <f>VLOOKUP(B4850,Products!$A:$E,2,FALSE)</f>
        <v>Product_74</v>
      </c>
      <c r="E4850" t="str">
        <f>VLOOKUP(B4850,Products!$A:$E,3,FALSE)</f>
        <v>Storage</v>
      </c>
    </row>
    <row r="4851" spans="1:5" x14ac:dyDescent="0.3">
      <c r="A4851" t="s">
        <v>10863</v>
      </c>
      <c r="B4851" t="s">
        <v>620</v>
      </c>
      <c r="C4851">
        <v>50</v>
      </c>
      <c r="D4851" t="str">
        <f>VLOOKUP(B4851,Products!$A:$E,2,FALSE)</f>
        <v>Product_306</v>
      </c>
      <c r="E4851" t="str">
        <f>VLOOKUP(B4851,Products!$A:$E,3,FALSE)</f>
        <v>Accessories</v>
      </c>
    </row>
    <row r="4852" spans="1:5" x14ac:dyDescent="0.3">
      <c r="A4852" t="s">
        <v>10864</v>
      </c>
      <c r="B4852" t="s">
        <v>52</v>
      </c>
      <c r="C4852">
        <v>43</v>
      </c>
      <c r="D4852" t="str">
        <f>VLOOKUP(B4852,Products!$A:$E,2,FALSE)</f>
        <v>Product_22</v>
      </c>
      <c r="E4852" t="str">
        <f>VLOOKUP(B4852,Products!$A:$E,3,FALSE)</f>
        <v>Electronics</v>
      </c>
    </row>
    <row r="4853" spans="1:5" x14ac:dyDescent="0.3">
      <c r="A4853" t="s">
        <v>10865</v>
      </c>
      <c r="B4853" t="s">
        <v>966</v>
      </c>
      <c r="C4853">
        <v>33</v>
      </c>
      <c r="D4853" t="str">
        <f>VLOOKUP(B4853,Products!$A:$E,2,FALSE)</f>
        <v>Product_479</v>
      </c>
      <c r="E4853" t="str">
        <f>VLOOKUP(B4853,Products!$A:$E,3,FALSE)</f>
        <v>Office Supplies</v>
      </c>
    </row>
    <row r="4854" spans="1:5" x14ac:dyDescent="0.3">
      <c r="A4854" t="s">
        <v>10866</v>
      </c>
      <c r="B4854" t="s">
        <v>794</v>
      </c>
      <c r="C4854">
        <v>13</v>
      </c>
      <c r="D4854" t="str">
        <f>VLOOKUP(B4854,Products!$A:$E,2,FALSE)</f>
        <v>Product_393</v>
      </c>
      <c r="E4854" t="str">
        <f>VLOOKUP(B4854,Products!$A:$E,3,FALSE)</f>
        <v>Electronics</v>
      </c>
    </row>
    <row r="4855" spans="1:5" x14ac:dyDescent="0.3">
      <c r="A4855" t="s">
        <v>10867</v>
      </c>
      <c r="B4855" t="s">
        <v>796</v>
      </c>
      <c r="C4855">
        <v>14</v>
      </c>
      <c r="D4855" t="str">
        <f>VLOOKUP(B4855,Products!$A:$E,2,FALSE)</f>
        <v>Product_394</v>
      </c>
      <c r="E4855" t="str">
        <f>VLOOKUP(B4855,Products!$A:$E,3,FALSE)</f>
        <v>Electronics</v>
      </c>
    </row>
    <row r="4856" spans="1:5" x14ac:dyDescent="0.3">
      <c r="A4856" t="s">
        <v>10868</v>
      </c>
      <c r="B4856" t="s">
        <v>752</v>
      </c>
      <c r="C4856">
        <v>21</v>
      </c>
      <c r="D4856" t="str">
        <f>VLOOKUP(B4856,Products!$A:$E,2,FALSE)</f>
        <v>Product_372</v>
      </c>
      <c r="E4856" t="str">
        <f>VLOOKUP(B4856,Products!$A:$E,3,FALSE)</f>
        <v>Networking</v>
      </c>
    </row>
    <row r="4857" spans="1:5" x14ac:dyDescent="0.3">
      <c r="A4857" t="s">
        <v>10869</v>
      </c>
      <c r="B4857" t="s">
        <v>54</v>
      </c>
      <c r="C4857">
        <v>37</v>
      </c>
      <c r="D4857" t="str">
        <f>VLOOKUP(B4857,Products!$A:$E,2,FALSE)</f>
        <v>Product_23</v>
      </c>
      <c r="E4857" t="str">
        <f>VLOOKUP(B4857,Products!$A:$E,3,FALSE)</f>
        <v>Accessories</v>
      </c>
    </row>
    <row r="4858" spans="1:5" x14ac:dyDescent="0.3">
      <c r="A4858" t="s">
        <v>10870</v>
      </c>
      <c r="B4858" t="s">
        <v>24</v>
      </c>
      <c r="C4858">
        <v>10</v>
      </c>
      <c r="D4858" t="str">
        <f>VLOOKUP(B4858,Products!$A:$E,2,FALSE)</f>
        <v>Product_8</v>
      </c>
      <c r="E4858" t="str">
        <f>VLOOKUP(B4858,Products!$A:$E,3,FALSE)</f>
        <v>Storage</v>
      </c>
    </row>
    <row r="4859" spans="1:5" x14ac:dyDescent="0.3">
      <c r="A4859" t="s">
        <v>10871</v>
      </c>
      <c r="B4859" t="s">
        <v>358</v>
      </c>
      <c r="C4859">
        <v>17</v>
      </c>
      <c r="D4859" t="str">
        <f>VLOOKUP(B4859,Products!$A:$E,2,FALSE)</f>
        <v>Product_175</v>
      </c>
      <c r="E4859" t="str">
        <f>VLOOKUP(B4859,Products!$A:$E,3,FALSE)</f>
        <v>Storage</v>
      </c>
    </row>
    <row r="4860" spans="1:5" x14ac:dyDescent="0.3">
      <c r="A4860" t="s">
        <v>10872</v>
      </c>
      <c r="B4860" t="s">
        <v>952</v>
      </c>
      <c r="C4860">
        <v>12</v>
      </c>
      <c r="D4860" t="str">
        <f>VLOOKUP(B4860,Products!$A:$E,2,FALSE)</f>
        <v>Product_472</v>
      </c>
      <c r="E4860" t="str">
        <f>VLOOKUP(B4860,Products!$A:$E,3,FALSE)</f>
        <v>Electronics</v>
      </c>
    </row>
    <row r="4861" spans="1:5" x14ac:dyDescent="0.3">
      <c r="A4861" t="s">
        <v>10873</v>
      </c>
      <c r="B4861" t="s">
        <v>368</v>
      </c>
      <c r="C4861">
        <v>30</v>
      </c>
      <c r="D4861" t="str">
        <f>VLOOKUP(B4861,Products!$A:$E,2,FALSE)</f>
        <v>Product_180</v>
      </c>
      <c r="E4861" t="str">
        <f>VLOOKUP(B4861,Products!$A:$E,3,FALSE)</f>
        <v>Office Supplies</v>
      </c>
    </row>
    <row r="4862" spans="1:5" x14ac:dyDescent="0.3">
      <c r="A4862" t="s">
        <v>10874</v>
      </c>
      <c r="B4862" t="s">
        <v>214</v>
      </c>
      <c r="C4862">
        <v>42</v>
      </c>
      <c r="D4862" t="str">
        <f>VLOOKUP(B4862,Products!$A:$E,2,FALSE)</f>
        <v>Product_103</v>
      </c>
      <c r="E4862" t="str">
        <f>VLOOKUP(B4862,Products!$A:$E,3,FALSE)</f>
        <v>Accessories</v>
      </c>
    </row>
    <row r="4863" spans="1:5" x14ac:dyDescent="0.3">
      <c r="A4863" t="s">
        <v>10875</v>
      </c>
      <c r="B4863" t="s">
        <v>66</v>
      </c>
      <c r="C4863">
        <v>26</v>
      </c>
      <c r="D4863" t="str">
        <f>VLOOKUP(B4863,Products!$A:$E,2,FALSE)</f>
        <v>Product_29</v>
      </c>
      <c r="E4863" t="str">
        <f>VLOOKUP(B4863,Products!$A:$E,3,FALSE)</f>
        <v>Electronics</v>
      </c>
    </row>
    <row r="4864" spans="1:5" x14ac:dyDescent="0.3">
      <c r="A4864" t="s">
        <v>10876</v>
      </c>
      <c r="B4864" t="s">
        <v>398</v>
      </c>
      <c r="C4864">
        <v>10</v>
      </c>
      <c r="D4864" t="str">
        <f>VLOOKUP(B4864,Products!$A:$E,2,FALSE)</f>
        <v>Product_195</v>
      </c>
      <c r="E4864" t="str">
        <f>VLOOKUP(B4864,Products!$A:$E,3,FALSE)</f>
        <v>Accessories</v>
      </c>
    </row>
    <row r="4865" spans="1:5" x14ac:dyDescent="0.3">
      <c r="A4865" t="s">
        <v>10877</v>
      </c>
      <c r="B4865" t="s">
        <v>978</v>
      </c>
      <c r="C4865">
        <v>19</v>
      </c>
      <c r="D4865" t="str">
        <f>VLOOKUP(B4865,Products!$A:$E,2,FALSE)</f>
        <v>Product_485</v>
      </c>
      <c r="E4865" t="str">
        <f>VLOOKUP(B4865,Products!$A:$E,3,FALSE)</f>
        <v>Networking</v>
      </c>
    </row>
    <row r="4866" spans="1:5" x14ac:dyDescent="0.3">
      <c r="A4866" t="s">
        <v>10878</v>
      </c>
      <c r="B4866" t="s">
        <v>526</v>
      </c>
      <c r="C4866">
        <v>5</v>
      </c>
      <c r="D4866" t="str">
        <f>VLOOKUP(B4866,Products!$A:$E,2,FALSE)</f>
        <v>Product_259</v>
      </c>
      <c r="E4866" t="str">
        <f>VLOOKUP(B4866,Products!$A:$E,3,FALSE)</f>
        <v>Electronics</v>
      </c>
    </row>
    <row r="4867" spans="1:5" x14ac:dyDescent="0.3">
      <c r="A4867" t="s">
        <v>10879</v>
      </c>
      <c r="B4867" t="s">
        <v>240</v>
      </c>
      <c r="C4867">
        <v>12</v>
      </c>
      <c r="D4867" t="str">
        <f>VLOOKUP(B4867,Products!$A:$E,2,FALSE)</f>
        <v>Product_116</v>
      </c>
      <c r="E4867" t="str">
        <f>VLOOKUP(B4867,Products!$A:$E,3,FALSE)</f>
        <v>Storage</v>
      </c>
    </row>
    <row r="4868" spans="1:5" x14ac:dyDescent="0.3">
      <c r="A4868" t="s">
        <v>10880</v>
      </c>
      <c r="B4868" t="s">
        <v>652</v>
      </c>
      <c r="C4868">
        <v>13</v>
      </c>
      <c r="D4868" t="str">
        <f>VLOOKUP(B4868,Products!$A:$E,2,FALSE)</f>
        <v>Product_322</v>
      </c>
      <c r="E4868" t="str">
        <f>VLOOKUP(B4868,Products!$A:$E,3,FALSE)</f>
        <v>Accessories</v>
      </c>
    </row>
    <row r="4869" spans="1:5" x14ac:dyDescent="0.3">
      <c r="A4869" t="s">
        <v>10881</v>
      </c>
      <c r="B4869" t="s">
        <v>352</v>
      </c>
      <c r="C4869">
        <v>43</v>
      </c>
      <c r="D4869" t="str">
        <f>VLOOKUP(B4869,Products!$A:$E,2,FALSE)</f>
        <v>Product_172</v>
      </c>
      <c r="E4869" t="str">
        <f>VLOOKUP(B4869,Products!$A:$E,3,FALSE)</f>
        <v>Networking</v>
      </c>
    </row>
    <row r="4870" spans="1:5" x14ac:dyDescent="0.3">
      <c r="A4870" t="s">
        <v>10882</v>
      </c>
      <c r="B4870" t="s">
        <v>748</v>
      </c>
      <c r="C4870">
        <v>29</v>
      </c>
      <c r="D4870" t="str">
        <f>VLOOKUP(B4870,Products!$A:$E,2,FALSE)</f>
        <v>Product_370</v>
      </c>
      <c r="E4870" t="str">
        <f>VLOOKUP(B4870,Products!$A:$E,3,FALSE)</f>
        <v>Networking</v>
      </c>
    </row>
    <row r="4871" spans="1:5" x14ac:dyDescent="0.3">
      <c r="A4871" t="s">
        <v>10883</v>
      </c>
      <c r="B4871" t="s">
        <v>34</v>
      </c>
      <c r="C4871">
        <v>29</v>
      </c>
      <c r="D4871" t="str">
        <f>VLOOKUP(B4871,Products!$A:$E,2,FALSE)</f>
        <v>Product_13</v>
      </c>
      <c r="E4871" t="str">
        <f>VLOOKUP(B4871,Products!$A:$E,3,FALSE)</f>
        <v>Office Supplies</v>
      </c>
    </row>
    <row r="4872" spans="1:5" x14ac:dyDescent="0.3">
      <c r="A4872" t="s">
        <v>10884</v>
      </c>
      <c r="B4872" t="s">
        <v>80</v>
      </c>
      <c r="C4872">
        <v>16</v>
      </c>
      <c r="D4872" t="str">
        <f>VLOOKUP(B4872,Products!$A:$E,2,FALSE)</f>
        <v>Product_36</v>
      </c>
      <c r="E4872" t="str">
        <f>VLOOKUP(B4872,Products!$A:$E,3,FALSE)</f>
        <v>Office Supplies</v>
      </c>
    </row>
    <row r="4873" spans="1:5" x14ac:dyDescent="0.3">
      <c r="A4873" t="s">
        <v>10885</v>
      </c>
      <c r="B4873" t="s">
        <v>626</v>
      </c>
      <c r="C4873">
        <v>34</v>
      </c>
      <c r="D4873" t="str">
        <f>VLOOKUP(B4873,Products!$A:$E,2,FALSE)</f>
        <v>Product_309</v>
      </c>
      <c r="E4873" t="str">
        <f>VLOOKUP(B4873,Products!$A:$E,3,FALSE)</f>
        <v>Networking</v>
      </c>
    </row>
    <row r="4874" spans="1:5" x14ac:dyDescent="0.3">
      <c r="A4874" t="s">
        <v>10886</v>
      </c>
      <c r="B4874" t="s">
        <v>304</v>
      </c>
      <c r="C4874">
        <v>36</v>
      </c>
      <c r="D4874" t="str">
        <f>VLOOKUP(B4874,Products!$A:$E,2,FALSE)</f>
        <v>Product_148</v>
      </c>
      <c r="E4874" t="str">
        <f>VLOOKUP(B4874,Products!$A:$E,3,FALSE)</f>
        <v>Electronics</v>
      </c>
    </row>
    <row r="4875" spans="1:5" x14ac:dyDescent="0.3">
      <c r="A4875" t="s">
        <v>10887</v>
      </c>
      <c r="B4875" t="s">
        <v>174</v>
      </c>
      <c r="C4875">
        <v>10</v>
      </c>
      <c r="D4875" t="str">
        <f>VLOOKUP(B4875,Products!$A:$E,2,FALSE)</f>
        <v>Product_83</v>
      </c>
      <c r="E4875" t="str">
        <f>VLOOKUP(B4875,Products!$A:$E,3,FALSE)</f>
        <v>Accessories</v>
      </c>
    </row>
    <row r="4876" spans="1:5" x14ac:dyDescent="0.3">
      <c r="A4876" t="s">
        <v>10888</v>
      </c>
      <c r="B4876" t="s">
        <v>570</v>
      </c>
      <c r="C4876">
        <v>21</v>
      </c>
      <c r="D4876" t="str">
        <f>VLOOKUP(B4876,Products!$A:$E,2,FALSE)</f>
        <v>Product_281</v>
      </c>
      <c r="E4876" t="str">
        <f>VLOOKUP(B4876,Products!$A:$E,3,FALSE)</f>
        <v>Office Supplies</v>
      </c>
    </row>
    <row r="4877" spans="1:5" x14ac:dyDescent="0.3">
      <c r="A4877" t="s">
        <v>10889</v>
      </c>
      <c r="B4877" t="s">
        <v>68</v>
      </c>
      <c r="C4877">
        <v>8</v>
      </c>
      <c r="D4877" t="str">
        <f>VLOOKUP(B4877,Products!$A:$E,2,FALSE)</f>
        <v>Product_30</v>
      </c>
      <c r="E4877" t="str">
        <f>VLOOKUP(B4877,Products!$A:$E,3,FALSE)</f>
        <v>Accessories</v>
      </c>
    </row>
    <row r="4878" spans="1:5" x14ac:dyDescent="0.3">
      <c r="A4878" t="s">
        <v>10890</v>
      </c>
      <c r="B4878" t="s">
        <v>710</v>
      </c>
      <c r="C4878">
        <v>5</v>
      </c>
      <c r="D4878" t="str">
        <f>VLOOKUP(B4878,Products!$A:$E,2,FALSE)</f>
        <v>Product_351</v>
      </c>
      <c r="E4878" t="str">
        <f>VLOOKUP(B4878,Products!$A:$E,3,FALSE)</f>
        <v>Accessories</v>
      </c>
    </row>
    <row r="4879" spans="1:5" x14ac:dyDescent="0.3">
      <c r="A4879" t="s">
        <v>10891</v>
      </c>
      <c r="B4879" t="s">
        <v>428</v>
      </c>
      <c r="C4879">
        <v>34</v>
      </c>
      <c r="D4879" t="str">
        <f>VLOOKUP(B4879,Products!$A:$E,2,FALSE)</f>
        <v>Product_210</v>
      </c>
      <c r="E4879" t="str">
        <f>VLOOKUP(B4879,Products!$A:$E,3,FALSE)</f>
        <v>Electronics</v>
      </c>
    </row>
    <row r="4880" spans="1:5" x14ac:dyDescent="0.3">
      <c r="A4880" t="s">
        <v>10892</v>
      </c>
      <c r="B4880" t="s">
        <v>556</v>
      </c>
      <c r="C4880">
        <v>2</v>
      </c>
      <c r="D4880" t="str">
        <f>VLOOKUP(B4880,Products!$A:$E,2,FALSE)</f>
        <v>Product_274</v>
      </c>
      <c r="E4880" t="str">
        <f>VLOOKUP(B4880,Products!$A:$E,3,FALSE)</f>
        <v>Accessories</v>
      </c>
    </row>
    <row r="4881" spans="1:5" x14ac:dyDescent="0.3">
      <c r="A4881" t="s">
        <v>10893</v>
      </c>
      <c r="B4881" t="s">
        <v>642</v>
      </c>
      <c r="C4881">
        <v>47</v>
      </c>
      <c r="D4881" t="str">
        <f>VLOOKUP(B4881,Products!$A:$E,2,FALSE)</f>
        <v>Product_317</v>
      </c>
      <c r="E4881" t="str">
        <f>VLOOKUP(B4881,Products!$A:$E,3,FALSE)</f>
        <v>Storage</v>
      </c>
    </row>
    <row r="4882" spans="1:5" x14ac:dyDescent="0.3">
      <c r="A4882" t="s">
        <v>10894</v>
      </c>
      <c r="B4882" t="s">
        <v>182</v>
      </c>
      <c r="C4882">
        <v>47</v>
      </c>
      <c r="D4882" t="str">
        <f>VLOOKUP(B4882,Products!$A:$E,2,FALSE)</f>
        <v>Product_87</v>
      </c>
      <c r="E4882" t="str">
        <f>VLOOKUP(B4882,Products!$A:$E,3,FALSE)</f>
        <v>Networking</v>
      </c>
    </row>
    <row r="4883" spans="1:5" x14ac:dyDescent="0.3">
      <c r="A4883" t="s">
        <v>10895</v>
      </c>
      <c r="B4883" t="s">
        <v>964</v>
      </c>
      <c r="C4883">
        <v>21</v>
      </c>
      <c r="D4883" t="str">
        <f>VLOOKUP(B4883,Products!$A:$E,2,FALSE)</f>
        <v>Product_478</v>
      </c>
      <c r="E4883" t="str">
        <f>VLOOKUP(B4883,Products!$A:$E,3,FALSE)</f>
        <v>Office Supplies</v>
      </c>
    </row>
    <row r="4884" spans="1:5" x14ac:dyDescent="0.3">
      <c r="A4884" t="s">
        <v>10896</v>
      </c>
      <c r="B4884" t="s">
        <v>388</v>
      </c>
      <c r="C4884">
        <v>3</v>
      </c>
      <c r="D4884" t="str">
        <f>VLOOKUP(B4884,Products!$A:$E,2,FALSE)</f>
        <v>Product_190</v>
      </c>
      <c r="E4884" t="str">
        <f>VLOOKUP(B4884,Products!$A:$E,3,FALSE)</f>
        <v>Office Supplies</v>
      </c>
    </row>
    <row r="4885" spans="1:5" x14ac:dyDescent="0.3">
      <c r="A4885" t="s">
        <v>10897</v>
      </c>
      <c r="B4885" t="s">
        <v>156</v>
      </c>
      <c r="C4885">
        <v>7</v>
      </c>
      <c r="D4885" t="str">
        <f>VLOOKUP(B4885,Products!$A:$E,2,FALSE)</f>
        <v>Product_74</v>
      </c>
      <c r="E4885" t="str">
        <f>VLOOKUP(B4885,Products!$A:$E,3,FALSE)</f>
        <v>Storage</v>
      </c>
    </row>
    <row r="4886" spans="1:5" x14ac:dyDescent="0.3">
      <c r="A4886" t="s">
        <v>10898</v>
      </c>
      <c r="B4886" t="s">
        <v>710</v>
      </c>
      <c r="C4886">
        <v>15</v>
      </c>
      <c r="D4886" t="str">
        <f>VLOOKUP(B4886,Products!$A:$E,2,FALSE)</f>
        <v>Product_351</v>
      </c>
      <c r="E4886" t="str">
        <f>VLOOKUP(B4886,Products!$A:$E,3,FALSE)</f>
        <v>Accessories</v>
      </c>
    </row>
    <row r="4887" spans="1:5" x14ac:dyDescent="0.3">
      <c r="A4887" t="s">
        <v>10899</v>
      </c>
      <c r="B4887" t="s">
        <v>14</v>
      </c>
      <c r="C4887">
        <v>25</v>
      </c>
      <c r="D4887" t="str">
        <f>VLOOKUP(B4887,Products!$A:$E,2,FALSE)</f>
        <v>Product_4</v>
      </c>
      <c r="E4887" t="str">
        <f>VLOOKUP(B4887,Products!$A:$E,3,FALSE)</f>
        <v>Storage</v>
      </c>
    </row>
    <row r="4888" spans="1:5" x14ac:dyDescent="0.3">
      <c r="A4888" t="s">
        <v>10900</v>
      </c>
      <c r="B4888" t="s">
        <v>8</v>
      </c>
      <c r="C4888">
        <v>37</v>
      </c>
      <c r="D4888" t="str">
        <f>VLOOKUP(B4888,Products!$A:$E,2,FALSE)</f>
        <v>Product_2</v>
      </c>
      <c r="E4888" t="str">
        <f>VLOOKUP(B4888,Products!$A:$E,3,FALSE)</f>
        <v>Office Supplies</v>
      </c>
    </row>
    <row r="4889" spans="1:5" x14ac:dyDescent="0.3">
      <c r="A4889" t="s">
        <v>10901</v>
      </c>
      <c r="B4889" t="s">
        <v>68</v>
      </c>
      <c r="C4889">
        <v>25</v>
      </c>
      <c r="D4889" t="str">
        <f>VLOOKUP(B4889,Products!$A:$E,2,FALSE)</f>
        <v>Product_30</v>
      </c>
      <c r="E4889" t="str">
        <f>VLOOKUP(B4889,Products!$A:$E,3,FALSE)</f>
        <v>Accessories</v>
      </c>
    </row>
    <row r="4890" spans="1:5" x14ac:dyDescent="0.3">
      <c r="A4890" t="s">
        <v>10902</v>
      </c>
      <c r="B4890" t="s">
        <v>796</v>
      </c>
      <c r="C4890">
        <v>37</v>
      </c>
      <c r="D4890" t="str">
        <f>VLOOKUP(B4890,Products!$A:$E,2,FALSE)</f>
        <v>Product_394</v>
      </c>
      <c r="E4890" t="str">
        <f>VLOOKUP(B4890,Products!$A:$E,3,FALSE)</f>
        <v>Electronics</v>
      </c>
    </row>
    <row r="4891" spans="1:5" x14ac:dyDescent="0.3">
      <c r="A4891" t="s">
        <v>10903</v>
      </c>
      <c r="B4891" t="s">
        <v>132</v>
      </c>
      <c r="C4891">
        <v>15</v>
      </c>
      <c r="D4891" t="str">
        <f>VLOOKUP(B4891,Products!$A:$E,2,FALSE)</f>
        <v>Product_62</v>
      </c>
      <c r="E4891" t="str">
        <f>VLOOKUP(B4891,Products!$A:$E,3,FALSE)</f>
        <v>Accessories</v>
      </c>
    </row>
    <row r="4892" spans="1:5" x14ac:dyDescent="0.3">
      <c r="A4892" t="s">
        <v>10904</v>
      </c>
      <c r="B4892" t="s">
        <v>790</v>
      </c>
      <c r="C4892">
        <v>41</v>
      </c>
      <c r="D4892" t="str">
        <f>VLOOKUP(B4892,Products!$A:$E,2,FALSE)</f>
        <v>Product_391</v>
      </c>
      <c r="E4892" t="str">
        <f>VLOOKUP(B4892,Products!$A:$E,3,FALSE)</f>
        <v>Accessories</v>
      </c>
    </row>
    <row r="4893" spans="1:5" x14ac:dyDescent="0.3">
      <c r="A4893" t="s">
        <v>10905</v>
      </c>
      <c r="B4893" t="s">
        <v>46</v>
      </c>
      <c r="C4893">
        <v>37</v>
      </c>
      <c r="D4893" t="str">
        <f>VLOOKUP(B4893,Products!$A:$E,2,FALSE)</f>
        <v>Product_19</v>
      </c>
      <c r="E4893" t="str">
        <f>VLOOKUP(B4893,Products!$A:$E,3,FALSE)</f>
        <v>Networking</v>
      </c>
    </row>
    <row r="4894" spans="1:5" x14ac:dyDescent="0.3">
      <c r="A4894" t="s">
        <v>10906</v>
      </c>
      <c r="B4894" t="s">
        <v>568</v>
      </c>
      <c r="C4894">
        <v>5</v>
      </c>
      <c r="D4894" t="str">
        <f>VLOOKUP(B4894,Products!$A:$E,2,FALSE)</f>
        <v>Product_280</v>
      </c>
      <c r="E4894" t="str">
        <f>VLOOKUP(B4894,Products!$A:$E,3,FALSE)</f>
        <v>Electronics</v>
      </c>
    </row>
    <row r="4895" spans="1:5" x14ac:dyDescent="0.3">
      <c r="A4895" t="s">
        <v>10907</v>
      </c>
      <c r="B4895" t="s">
        <v>30</v>
      </c>
      <c r="C4895">
        <v>42</v>
      </c>
      <c r="D4895" t="str">
        <f>VLOOKUP(B4895,Products!$A:$E,2,FALSE)</f>
        <v>Product_11</v>
      </c>
      <c r="E4895" t="str">
        <f>VLOOKUP(B4895,Products!$A:$E,3,FALSE)</f>
        <v>Electronics</v>
      </c>
    </row>
    <row r="4896" spans="1:5" x14ac:dyDescent="0.3">
      <c r="A4896" t="s">
        <v>10908</v>
      </c>
      <c r="B4896" t="s">
        <v>852</v>
      </c>
      <c r="C4896">
        <v>31</v>
      </c>
      <c r="D4896" t="str">
        <f>VLOOKUP(B4896,Products!$A:$E,2,FALSE)</f>
        <v>Product_422</v>
      </c>
      <c r="E4896" t="str">
        <f>VLOOKUP(B4896,Products!$A:$E,3,FALSE)</f>
        <v>Accessories</v>
      </c>
    </row>
    <row r="4897" spans="1:5" x14ac:dyDescent="0.3">
      <c r="A4897" t="s">
        <v>10909</v>
      </c>
      <c r="B4897" t="s">
        <v>968</v>
      </c>
      <c r="C4897">
        <v>37</v>
      </c>
      <c r="D4897" t="str">
        <f>VLOOKUP(B4897,Products!$A:$E,2,FALSE)</f>
        <v>Product_480</v>
      </c>
      <c r="E4897" t="str">
        <f>VLOOKUP(B4897,Products!$A:$E,3,FALSE)</f>
        <v>Accessories</v>
      </c>
    </row>
    <row r="4898" spans="1:5" x14ac:dyDescent="0.3">
      <c r="A4898" t="s">
        <v>10910</v>
      </c>
      <c r="B4898" t="s">
        <v>670</v>
      </c>
      <c r="C4898">
        <v>25</v>
      </c>
      <c r="D4898" t="str">
        <f>VLOOKUP(B4898,Products!$A:$E,2,FALSE)</f>
        <v>Product_331</v>
      </c>
      <c r="E4898" t="str">
        <f>VLOOKUP(B4898,Products!$A:$E,3,FALSE)</f>
        <v>Electronics</v>
      </c>
    </row>
    <row r="4899" spans="1:5" x14ac:dyDescent="0.3">
      <c r="A4899" t="s">
        <v>10911</v>
      </c>
      <c r="B4899" t="s">
        <v>298</v>
      </c>
      <c r="C4899">
        <v>44</v>
      </c>
      <c r="D4899" t="str">
        <f>VLOOKUP(B4899,Products!$A:$E,2,FALSE)</f>
        <v>Product_145</v>
      </c>
      <c r="E4899" t="str">
        <f>VLOOKUP(B4899,Products!$A:$E,3,FALSE)</f>
        <v>Office Supplies</v>
      </c>
    </row>
    <row r="4900" spans="1:5" x14ac:dyDescent="0.3">
      <c r="A4900" t="s">
        <v>10912</v>
      </c>
      <c r="B4900" t="s">
        <v>640</v>
      </c>
      <c r="C4900">
        <v>25</v>
      </c>
      <c r="D4900" t="str">
        <f>VLOOKUP(B4900,Products!$A:$E,2,FALSE)</f>
        <v>Product_316</v>
      </c>
      <c r="E4900" t="str">
        <f>VLOOKUP(B4900,Products!$A:$E,3,FALSE)</f>
        <v>Networking</v>
      </c>
    </row>
    <row r="4901" spans="1:5" x14ac:dyDescent="0.3">
      <c r="A4901" t="s">
        <v>10913</v>
      </c>
      <c r="B4901" t="s">
        <v>470</v>
      </c>
      <c r="C4901">
        <v>48</v>
      </c>
      <c r="D4901" t="str">
        <f>VLOOKUP(B4901,Products!$A:$E,2,FALSE)</f>
        <v>Product_231</v>
      </c>
      <c r="E4901" t="str">
        <f>VLOOKUP(B4901,Products!$A:$E,3,FALSE)</f>
        <v>Accessories</v>
      </c>
    </row>
    <row r="4902" spans="1:5" x14ac:dyDescent="0.3">
      <c r="A4902" t="s">
        <v>10914</v>
      </c>
      <c r="B4902" t="s">
        <v>252</v>
      </c>
      <c r="C4902">
        <v>44</v>
      </c>
      <c r="D4902" t="str">
        <f>VLOOKUP(B4902,Products!$A:$E,2,FALSE)</f>
        <v>Product_122</v>
      </c>
      <c r="E4902" t="str">
        <f>VLOOKUP(B4902,Products!$A:$E,3,FALSE)</f>
        <v>Storage</v>
      </c>
    </row>
    <row r="4903" spans="1:5" x14ac:dyDescent="0.3">
      <c r="A4903" t="s">
        <v>10915</v>
      </c>
      <c r="B4903" t="s">
        <v>512</v>
      </c>
      <c r="C4903">
        <v>40</v>
      </c>
      <c r="D4903" t="str">
        <f>VLOOKUP(B4903,Products!$A:$E,2,FALSE)</f>
        <v>Product_252</v>
      </c>
      <c r="E4903" t="str">
        <f>VLOOKUP(B4903,Products!$A:$E,3,FALSE)</f>
        <v>Networking</v>
      </c>
    </row>
    <row r="4904" spans="1:5" x14ac:dyDescent="0.3">
      <c r="A4904" t="s">
        <v>10916</v>
      </c>
      <c r="B4904" t="s">
        <v>266</v>
      </c>
      <c r="C4904">
        <v>23</v>
      </c>
      <c r="D4904" t="str">
        <f>VLOOKUP(B4904,Products!$A:$E,2,FALSE)</f>
        <v>Product_129</v>
      </c>
      <c r="E4904" t="str">
        <f>VLOOKUP(B4904,Products!$A:$E,3,FALSE)</f>
        <v>Electronics</v>
      </c>
    </row>
    <row r="4905" spans="1:5" x14ac:dyDescent="0.3">
      <c r="A4905" t="s">
        <v>10917</v>
      </c>
      <c r="B4905" t="s">
        <v>660</v>
      </c>
      <c r="C4905">
        <v>30</v>
      </c>
      <c r="D4905" t="str">
        <f>VLOOKUP(B4905,Products!$A:$E,2,FALSE)</f>
        <v>Product_326</v>
      </c>
      <c r="E4905" t="str">
        <f>VLOOKUP(B4905,Products!$A:$E,3,FALSE)</f>
        <v>Electronics</v>
      </c>
    </row>
    <row r="4906" spans="1:5" x14ac:dyDescent="0.3">
      <c r="A4906" t="s">
        <v>10918</v>
      </c>
      <c r="B4906" t="s">
        <v>500</v>
      </c>
      <c r="C4906">
        <v>10</v>
      </c>
      <c r="D4906" t="str">
        <f>VLOOKUP(B4906,Products!$A:$E,2,FALSE)</f>
        <v>Product_246</v>
      </c>
      <c r="E4906" t="str">
        <f>VLOOKUP(B4906,Products!$A:$E,3,FALSE)</f>
        <v>Electronics</v>
      </c>
    </row>
    <row r="4907" spans="1:5" x14ac:dyDescent="0.3">
      <c r="A4907" t="s">
        <v>10919</v>
      </c>
      <c r="B4907" t="s">
        <v>474</v>
      </c>
      <c r="C4907">
        <v>35</v>
      </c>
      <c r="D4907" t="str">
        <f>VLOOKUP(B4907,Products!$A:$E,2,FALSE)</f>
        <v>Product_233</v>
      </c>
      <c r="E4907" t="str">
        <f>VLOOKUP(B4907,Products!$A:$E,3,FALSE)</f>
        <v>Accessories</v>
      </c>
    </row>
    <row r="4908" spans="1:5" x14ac:dyDescent="0.3">
      <c r="A4908" t="s">
        <v>10920</v>
      </c>
      <c r="B4908" t="s">
        <v>910</v>
      </c>
      <c r="C4908">
        <v>24</v>
      </c>
      <c r="D4908" t="str">
        <f>VLOOKUP(B4908,Products!$A:$E,2,FALSE)</f>
        <v>Product_451</v>
      </c>
      <c r="E4908" t="str">
        <f>VLOOKUP(B4908,Products!$A:$E,3,FALSE)</f>
        <v>Accessories</v>
      </c>
    </row>
    <row r="4909" spans="1:5" x14ac:dyDescent="0.3">
      <c r="A4909" t="s">
        <v>10921</v>
      </c>
      <c r="B4909" t="s">
        <v>238</v>
      </c>
      <c r="C4909">
        <v>10</v>
      </c>
      <c r="D4909" t="str">
        <f>VLOOKUP(B4909,Products!$A:$E,2,FALSE)</f>
        <v>Product_115</v>
      </c>
      <c r="E4909" t="str">
        <f>VLOOKUP(B4909,Products!$A:$E,3,FALSE)</f>
        <v>Networking</v>
      </c>
    </row>
    <row r="4910" spans="1:5" x14ac:dyDescent="0.3">
      <c r="A4910" t="s">
        <v>10922</v>
      </c>
      <c r="B4910" t="s">
        <v>302</v>
      </c>
      <c r="C4910">
        <v>41</v>
      </c>
      <c r="D4910" t="str">
        <f>VLOOKUP(B4910,Products!$A:$E,2,FALSE)</f>
        <v>Product_147</v>
      </c>
      <c r="E4910" t="str">
        <f>VLOOKUP(B4910,Products!$A:$E,3,FALSE)</f>
        <v>Networking</v>
      </c>
    </row>
    <row r="4911" spans="1:5" x14ac:dyDescent="0.3">
      <c r="A4911" t="s">
        <v>10923</v>
      </c>
      <c r="B4911" t="s">
        <v>758</v>
      </c>
      <c r="C4911">
        <v>12</v>
      </c>
      <c r="D4911" t="str">
        <f>VLOOKUP(B4911,Products!$A:$E,2,FALSE)</f>
        <v>Product_375</v>
      </c>
      <c r="E4911" t="str">
        <f>VLOOKUP(B4911,Products!$A:$E,3,FALSE)</f>
        <v>Accessories</v>
      </c>
    </row>
    <row r="4912" spans="1:5" x14ac:dyDescent="0.3">
      <c r="A4912" t="s">
        <v>10924</v>
      </c>
      <c r="B4912" t="s">
        <v>996</v>
      </c>
      <c r="C4912">
        <v>25</v>
      </c>
      <c r="D4912" t="str">
        <f>VLOOKUP(B4912,Products!$A:$E,2,FALSE)</f>
        <v>Product_494</v>
      </c>
      <c r="E4912" t="str">
        <f>VLOOKUP(B4912,Products!$A:$E,3,FALSE)</f>
        <v>Office Supplies</v>
      </c>
    </row>
    <row r="4913" spans="1:5" x14ac:dyDescent="0.3">
      <c r="A4913" t="s">
        <v>10925</v>
      </c>
      <c r="B4913" t="s">
        <v>272</v>
      </c>
      <c r="C4913">
        <v>11</v>
      </c>
      <c r="D4913" t="str">
        <f>VLOOKUP(B4913,Products!$A:$E,2,FALSE)</f>
        <v>Product_132</v>
      </c>
      <c r="E4913" t="str">
        <f>VLOOKUP(B4913,Products!$A:$E,3,FALSE)</f>
        <v>Storage</v>
      </c>
    </row>
    <row r="4914" spans="1:5" x14ac:dyDescent="0.3">
      <c r="A4914" t="s">
        <v>10926</v>
      </c>
      <c r="B4914" t="s">
        <v>386</v>
      </c>
      <c r="C4914">
        <v>48</v>
      </c>
      <c r="D4914" t="str">
        <f>VLOOKUP(B4914,Products!$A:$E,2,FALSE)</f>
        <v>Product_189</v>
      </c>
      <c r="E4914" t="str">
        <f>VLOOKUP(B4914,Products!$A:$E,3,FALSE)</f>
        <v>Electronics</v>
      </c>
    </row>
    <row r="4915" spans="1:5" x14ac:dyDescent="0.3">
      <c r="A4915" t="s">
        <v>10927</v>
      </c>
      <c r="B4915" t="s">
        <v>30</v>
      </c>
      <c r="C4915">
        <v>28</v>
      </c>
      <c r="D4915" t="str">
        <f>VLOOKUP(B4915,Products!$A:$E,2,FALSE)</f>
        <v>Product_11</v>
      </c>
      <c r="E4915" t="str">
        <f>VLOOKUP(B4915,Products!$A:$E,3,FALSE)</f>
        <v>Electronics</v>
      </c>
    </row>
    <row r="4916" spans="1:5" x14ac:dyDescent="0.3">
      <c r="A4916" t="s">
        <v>10928</v>
      </c>
      <c r="B4916" t="s">
        <v>834</v>
      </c>
      <c r="C4916">
        <v>20</v>
      </c>
      <c r="D4916" t="str">
        <f>VLOOKUP(B4916,Products!$A:$E,2,FALSE)</f>
        <v>Product_413</v>
      </c>
      <c r="E4916" t="str">
        <f>VLOOKUP(B4916,Products!$A:$E,3,FALSE)</f>
        <v>Accessories</v>
      </c>
    </row>
    <row r="4917" spans="1:5" x14ac:dyDescent="0.3">
      <c r="A4917" t="s">
        <v>10929</v>
      </c>
      <c r="B4917" t="s">
        <v>156</v>
      </c>
      <c r="C4917">
        <v>3</v>
      </c>
      <c r="D4917" t="str">
        <f>VLOOKUP(B4917,Products!$A:$E,2,FALSE)</f>
        <v>Product_74</v>
      </c>
      <c r="E4917" t="str">
        <f>VLOOKUP(B4917,Products!$A:$E,3,FALSE)</f>
        <v>Storage</v>
      </c>
    </row>
    <row r="4918" spans="1:5" x14ac:dyDescent="0.3">
      <c r="A4918" t="s">
        <v>10930</v>
      </c>
      <c r="B4918" t="s">
        <v>480</v>
      </c>
      <c r="C4918">
        <v>27</v>
      </c>
      <c r="D4918" t="str">
        <f>VLOOKUP(B4918,Products!$A:$E,2,FALSE)</f>
        <v>Product_236</v>
      </c>
      <c r="E4918" t="str">
        <f>VLOOKUP(B4918,Products!$A:$E,3,FALSE)</f>
        <v>Networking</v>
      </c>
    </row>
    <row r="4919" spans="1:5" x14ac:dyDescent="0.3">
      <c r="A4919" t="s">
        <v>10931</v>
      </c>
      <c r="B4919" t="s">
        <v>736</v>
      </c>
      <c r="C4919">
        <v>35</v>
      </c>
      <c r="D4919" t="str">
        <f>VLOOKUP(B4919,Products!$A:$E,2,FALSE)</f>
        <v>Product_364</v>
      </c>
      <c r="E4919" t="str">
        <f>VLOOKUP(B4919,Products!$A:$E,3,FALSE)</f>
        <v>Networking</v>
      </c>
    </row>
    <row r="4920" spans="1:5" x14ac:dyDescent="0.3">
      <c r="A4920" t="s">
        <v>10932</v>
      </c>
      <c r="B4920" t="s">
        <v>882</v>
      </c>
      <c r="C4920">
        <v>15</v>
      </c>
      <c r="D4920" t="str">
        <f>VLOOKUP(B4920,Products!$A:$E,2,FALSE)</f>
        <v>Product_437</v>
      </c>
      <c r="E4920" t="str">
        <f>VLOOKUP(B4920,Products!$A:$E,3,FALSE)</f>
        <v>Accessories</v>
      </c>
    </row>
    <row r="4921" spans="1:5" x14ac:dyDescent="0.3">
      <c r="A4921" t="s">
        <v>10933</v>
      </c>
      <c r="B4921" t="s">
        <v>420</v>
      </c>
      <c r="C4921">
        <v>9</v>
      </c>
      <c r="D4921" t="str">
        <f>VLOOKUP(B4921,Products!$A:$E,2,FALSE)</f>
        <v>Product_206</v>
      </c>
      <c r="E4921" t="str">
        <f>VLOOKUP(B4921,Products!$A:$E,3,FALSE)</f>
        <v>Accessories</v>
      </c>
    </row>
    <row r="4922" spans="1:5" x14ac:dyDescent="0.3">
      <c r="A4922" t="s">
        <v>10934</v>
      </c>
      <c r="B4922" t="s">
        <v>870</v>
      </c>
      <c r="C4922">
        <v>41</v>
      </c>
      <c r="D4922" t="str">
        <f>VLOOKUP(B4922,Products!$A:$E,2,FALSE)</f>
        <v>Product_431</v>
      </c>
      <c r="E4922" t="str">
        <f>VLOOKUP(B4922,Products!$A:$E,3,FALSE)</f>
        <v>Electronics</v>
      </c>
    </row>
    <row r="4923" spans="1:5" x14ac:dyDescent="0.3">
      <c r="A4923" t="s">
        <v>10935</v>
      </c>
      <c r="B4923" t="s">
        <v>370</v>
      </c>
      <c r="C4923">
        <v>14</v>
      </c>
      <c r="D4923" t="str">
        <f>VLOOKUP(B4923,Products!$A:$E,2,FALSE)</f>
        <v>Product_181</v>
      </c>
      <c r="E4923" t="str">
        <f>VLOOKUP(B4923,Products!$A:$E,3,FALSE)</f>
        <v>Storage</v>
      </c>
    </row>
    <row r="4924" spans="1:5" x14ac:dyDescent="0.3">
      <c r="A4924" t="s">
        <v>10936</v>
      </c>
      <c r="B4924" t="s">
        <v>974</v>
      </c>
      <c r="C4924">
        <v>26</v>
      </c>
      <c r="D4924" t="str">
        <f>VLOOKUP(B4924,Products!$A:$E,2,FALSE)</f>
        <v>Product_483</v>
      </c>
      <c r="E4924" t="str">
        <f>VLOOKUP(B4924,Products!$A:$E,3,FALSE)</f>
        <v>Electronics</v>
      </c>
    </row>
    <row r="4925" spans="1:5" x14ac:dyDescent="0.3">
      <c r="A4925" t="s">
        <v>10937</v>
      </c>
      <c r="B4925" t="s">
        <v>440</v>
      </c>
      <c r="C4925">
        <v>27</v>
      </c>
      <c r="D4925" t="str">
        <f>VLOOKUP(B4925,Products!$A:$E,2,FALSE)</f>
        <v>Product_216</v>
      </c>
      <c r="E4925" t="str">
        <f>VLOOKUP(B4925,Products!$A:$E,3,FALSE)</f>
        <v>Accessories</v>
      </c>
    </row>
    <row r="4926" spans="1:5" x14ac:dyDescent="0.3">
      <c r="A4926" t="s">
        <v>10938</v>
      </c>
      <c r="B4926" t="s">
        <v>480</v>
      </c>
      <c r="C4926">
        <v>47</v>
      </c>
      <c r="D4926" t="str">
        <f>VLOOKUP(B4926,Products!$A:$E,2,FALSE)</f>
        <v>Product_236</v>
      </c>
      <c r="E4926" t="str">
        <f>VLOOKUP(B4926,Products!$A:$E,3,FALSE)</f>
        <v>Networking</v>
      </c>
    </row>
    <row r="4927" spans="1:5" x14ac:dyDescent="0.3">
      <c r="A4927" t="s">
        <v>10939</v>
      </c>
      <c r="B4927" t="s">
        <v>472</v>
      </c>
      <c r="C4927">
        <v>29</v>
      </c>
      <c r="D4927" t="str">
        <f>VLOOKUP(B4927,Products!$A:$E,2,FALSE)</f>
        <v>Product_232</v>
      </c>
      <c r="E4927" t="str">
        <f>VLOOKUP(B4927,Products!$A:$E,3,FALSE)</f>
        <v>Office Supplies</v>
      </c>
    </row>
    <row r="4928" spans="1:5" x14ac:dyDescent="0.3">
      <c r="A4928" t="s">
        <v>10940</v>
      </c>
      <c r="B4928" t="s">
        <v>984</v>
      </c>
      <c r="C4928">
        <v>25</v>
      </c>
      <c r="D4928" t="str">
        <f>VLOOKUP(B4928,Products!$A:$E,2,FALSE)</f>
        <v>Product_488</v>
      </c>
      <c r="E4928" t="str">
        <f>VLOOKUP(B4928,Products!$A:$E,3,FALSE)</f>
        <v>Accessories</v>
      </c>
    </row>
    <row r="4929" spans="1:5" x14ac:dyDescent="0.3">
      <c r="A4929" t="s">
        <v>10941</v>
      </c>
      <c r="B4929" t="s">
        <v>484</v>
      </c>
      <c r="C4929">
        <v>24</v>
      </c>
      <c r="D4929" t="str">
        <f>VLOOKUP(B4929,Products!$A:$E,2,FALSE)</f>
        <v>Product_238</v>
      </c>
      <c r="E4929" t="str">
        <f>VLOOKUP(B4929,Products!$A:$E,3,FALSE)</f>
        <v>Accessories</v>
      </c>
    </row>
    <row r="4930" spans="1:5" x14ac:dyDescent="0.3">
      <c r="A4930" t="s">
        <v>10942</v>
      </c>
      <c r="B4930" t="s">
        <v>354</v>
      </c>
      <c r="C4930">
        <v>21</v>
      </c>
      <c r="D4930" t="str">
        <f>VLOOKUP(B4930,Products!$A:$E,2,FALSE)</f>
        <v>Product_173</v>
      </c>
      <c r="E4930" t="str">
        <f>VLOOKUP(B4930,Products!$A:$E,3,FALSE)</f>
        <v>Electronics</v>
      </c>
    </row>
    <row r="4931" spans="1:5" x14ac:dyDescent="0.3">
      <c r="A4931" t="s">
        <v>10943</v>
      </c>
      <c r="B4931" t="s">
        <v>690</v>
      </c>
      <c r="C4931">
        <v>26</v>
      </c>
      <c r="D4931" t="str">
        <f>VLOOKUP(B4931,Products!$A:$E,2,FALSE)</f>
        <v>Product_341</v>
      </c>
      <c r="E4931" t="str">
        <f>VLOOKUP(B4931,Products!$A:$E,3,FALSE)</f>
        <v>Storage</v>
      </c>
    </row>
    <row r="4932" spans="1:5" x14ac:dyDescent="0.3">
      <c r="A4932" t="s">
        <v>10944</v>
      </c>
      <c r="B4932" t="s">
        <v>146</v>
      </c>
      <c r="C4932">
        <v>47</v>
      </c>
      <c r="D4932" t="str">
        <f>VLOOKUP(B4932,Products!$A:$E,2,FALSE)</f>
        <v>Product_69</v>
      </c>
      <c r="E4932" t="str">
        <f>VLOOKUP(B4932,Products!$A:$E,3,FALSE)</f>
        <v>Electronics</v>
      </c>
    </row>
    <row r="4933" spans="1:5" x14ac:dyDescent="0.3">
      <c r="A4933" t="s">
        <v>10945</v>
      </c>
      <c r="B4933" t="s">
        <v>552</v>
      </c>
      <c r="C4933">
        <v>14</v>
      </c>
      <c r="D4933" t="str">
        <f>VLOOKUP(B4933,Products!$A:$E,2,FALSE)</f>
        <v>Product_272</v>
      </c>
      <c r="E4933" t="str">
        <f>VLOOKUP(B4933,Products!$A:$E,3,FALSE)</f>
        <v>Office Supplies</v>
      </c>
    </row>
    <row r="4934" spans="1:5" x14ac:dyDescent="0.3">
      <c r="A4934" t="s">
        <v>10946</v>
      </c>
      <c r="B4934" t="s">
        <v>260</v>
      </c>
      <c r="C4934">
        <v>14</v>
      </c>
      <c r="D4934" t="str">
        <f>VLOOKUP(B4934,Products!$A:$E,2,FALSE)</f>
        <v>Product_126</v>
      </c>
      <c r="E4934" t="str">
        <f>VLOOKUP(B4934,Products!$A:$E,3,FALSE)</f>
        <v>Office Supplies</v>
      </c>
    </row>
    <row r="4935" spans="1:5" x14ac:dyDescent="0.3">
      <c r="A4935" t="s">
        <v>10947</v>
      </c>
      <c r="B4935" t="s">
        <v>738</v>
      </c>
      <c r="C4935">
        <v>13</v>
      </c>
      <c r="D4935" t="str">
        <f>VLOOKUP(B4935,Products!$A:$E,2,FALSE)</f>
        <v>Product_365</v>
      </c>
      <c r="E4935" t="str">
        <f>VLOOKUP(B4935,Products!$A:$E,3,FALSE)</f>
        <v>Storage</v>
      </c>
    </row>
    <row r="4936" spans="1:5" x14ac:dyDescent="0.3">
      <c r="A4936" t="s">
        <v>10948</v>
      </c>
      <c r="B4936" t="s">
        <v>592</v>
      </c>
      <c r="C4936">
        <v>13</v>
      </c>
      <c r="D4936" t="str">
        <f>VLOOKUP(B4936,Products!$A:$E,2,FALSE)</f>
        <v>Product_292</v>
      </c>
      <c r="E4936" t="str">
        <f>VLOOKUP(B4936,Products!$A:$E,3,FALSE)</f>
        <v>Networking</v>
      </c>
    </row>
    <row r="4937" spans="1:5" x14ac:dyDescent="0.3">
      <c r="A4937" t="s">
        <v>10949</v>
      </c>
      <c r="B4937" t="s">
        <v>980</v>
      </c>
      <c r="C4937">
        <v>47</v>
      </c>
      <c r="D4937" t="str">
        <f>VLOOKUP(B4937,Products!$A:$E,2,FALSE)</f>
        <v>Product_486</v>
      </c>
      <c r="E4937" t="str">
        <f>VLOOKUP(B4937,Products!$A:$E,3,FALSE)</f>
        <v>Electronics</v>
      </c>
    </row>
    <row r="4938" spans="1:5" x14ac:dyDescent="0.3">
      <c r="A4938" t="s">
        <v>10950</v>
      </c>
      <c r="B4938" t="s">
        <v>684</v>
      </c>
      <c r="C4938">
        <v>40</v>
      </c>
      <c r="D4938" t="str">
        <f>VLOOKUP(B4938,Products!$A:$E,2,FALSE)</f>
        <v>Product_338</v>
      </c>
      <c r="E4938" t="str">
        <f>VLOOKUP(B4938,Products!$A:$E,3,FALSE)</f>
        <v>Networking</v>
      </c>
    </row>
    <row r="4939" spans="1:5" x14ac:dyDescent="0.3">
      <c r="A4939" t="s">
        <v>10951</v>
      </c>
      <c r="B4939" t="s">
        <v>382</v>
      </c>
      <c r="C4939">
        <v>30</v>
      </c>
      <c r="D4939" t="str">
        <f>VLOOKUP(B4939,Products!$A:$E,2,FALSE)</f>
        <v>Product_187</v>
      </c>
      <c r="E4939" t="str">
        <f>VLOOKUP(B4939,Products!$A:$E,3,FALSE)</f>
        <v>Electronics</v>
      </c>
    </row>
    <row r="4940" spans="1:5" x14ac:dyDescent="0.3">
      <c r="A4940" t="s">
        <v>10952</v>
      </c>
      <c r="B4940" t="s">
        <v>570</v>
      </c>
      <c r="C4940">
        <v>49</v>
      </c>
      <c r="D4940" t="str">
        <f>VLOOKUP(B4940,Products!$A:$E,2,FALSE)</f>
        <v>Product_281</v>
      </c>
      <c r="E4940" t="str">
        <f>VLOOKUP(B4940,Products!$A:$E,3,FALSE)</f>
        <v>Office Supplies</v>
      </c>
    </row>
    <row r="4941" spans="1:5" x14ac:dyDescent="0.3">
      <c r="A4941" t="s">
        <v>10953</v>
      </c>
      <c r="B4941" t="s">
        <v>820</v>
      </c>
      <c r="C4941">
        <v>27</v>
      </c>
      <c r="D4941" t="str">
        <f>VLOOKUP(B4941,Products!$A:$E,2,FALSE)</f>
        <v>Product_406</v>
      </c>
      <c r="E4941" t="str">
        <f>VLOOKUP(B4941,Products!$A:$E,3,FALSE)</f>
        <v>Office Supplies</v>
      </c>
    </row>
    <row r="4942" spans="1:5" x14ac:dyDescent="0.3">
      <c r="A4942" t="s">
        <v>10954</v>
      </c>
      <c r="B4942" t="s">
        <v>392</v>
      </c>
      <c r="C4942">
        <v>42</v>
      </c>
      <c r="D4942" t="str">
        <f>VLOOKUP(B4942,Products!$A:$E,2,FALSE)</f>
        <v>Product_192</v>
      </c>
      <c r="E4942" t="str">
        <f>VLOOKUP(B4942,Products!$A:$E,3,FALSE)</f>
        <v>Office Supplies</v>
      </c>
    </row>
    <row r="4943" spans="1:5" x14ac:dyDescent="0.3">
      <c r="A4943" t="s">
        <v>10955</v>
      </c>
      <c r="B4943" t="s">
        <v>324</v>
      </c>
      <c r="C4943">
        <v>14</v>
      </c>
      <c r="D4943" t="str">
        <f>VLOOKUP(B4943,Products!$A:$E,2,FALSE)</f>
        <v>Product_158</v>
      </c>
      <c r="E4943" t="str">
        <f>VLOOKUP(B4943,Products!$A:$E,3,FALSE)</f>
        <v>Electronics</v>
      </c>
    </row>
    <row r="4944" spans="1:5" x14ac:dyDescent="0.3">
      <c r="A4944" t="s">
        <v>10956</v>
      </c>
      <c r="B4944" t="s">
        <v>412</v>
      </c>
      <c r="C4944">
        <v>10</v>
      </c>
      <c r="D4944" t="str">
        <f>VLOOKUP(B4944,Products!$A:$E,2,FALSE)</f>
        <v>Product_202</v>
      </c>
      <c r="E4944" t="str">
        <f>VLOOKUP(B4944,Products!$A:$E,3,FALSE)</f>
        <v>Storage</v>
      </c>
    </row>
    <row r="4945" spans="1:5" x14ac:dyDescent="0.3">
      <c r="A4945" t="s">
        <v>10957</v>
      </c>
      <c r="B4945" t="s">
        <v>490</v>
      </c>
      <c r="C4945">
        <v>7</v>
      </c>
      <c r="D4945" t="str">
        <f>VLOOKUP(B4945,Products!$A:$E,2,FALSE)</f>
        <v>Product_241</v>
      </c>
      <c r="E4945" t="str">
        <f>VLOOKUP(B4945,Products!$A:$E,3,FALSE)</f>
        <v>Electronics</v>
      </c>
    </row>
    <row r="4946" spans="1:5" x14ac:dyDescent="0.3">
      <c r="A4946" t="s">
        <v>10958</v>
      </c>
      <c r="B4946" t="s">
        <v>564</v>
      </c>
      <c r="C4946">
        <v>42</v>
      </c>
      <c r="D4946" t="str">
        <f>VLOOKUP(B4946,Products!$A:$E,2,FALSE)</f>
        <v>Product_278</v>
      </c>
      <c r="E4946" t="str">
        <f>VLOOKUP(B4946,Products!$A:$E,3,FALSE)</f>
        <v>Electronics</v>
      </c>
    </row>
    <row r="4947" spans="1:5" x14ac:dyDescent="0.3">
      <c r="A4947" t="s">
        <v>10959</v>
      </c>
      <c r="B4947" t="s">
        <v>472</v>
      </c>
      <c r="C4947">
        <v>20</v>
      </c>
      <c r="D4947" t="str">
        <f>VLOOKUP(B4947,Products!$A:$E,2,FALSE)</f>
        <v>Product_232</v>
      </c>
      <c r="E4947" t="str">
        <f>VLOOKUP(B4947,Products!$A:$E,3,FALSE)</f>
        <v>Office Supplies</v>
      </c>
    </row>
    <row r="4948" spans="1:5" x14ac:dyDescent="0.3">
      <c r="A4948" t="s">
        <v>10960</v>
      </c>
      <c r="B4948" t="s">
        <v>936</v>
      </c>
      <c r="C4948">
        <v>50</v>
      </c>
      <c r="D4948" t="str">
        <f>VLOOKUP(B4948,Products!$A:$E,2,FALSE)</f>
        <v>Product_464</v>
      </c>
      <c r="E4948" t="str">
        <f>VLOOKUP(B4948,Products!$A:$E,3,FALSE)</f>
        <v>Office Supplies</v>
      </c>
    </row>
    <row r="4949" spans="1:5" x14ac:dyDescent="0.3">
      <c r="A4949" t="s">
        <v>10961</v>
      </c>
      <c r="B4949" t="s">
        <v>900</v>
      </c>
      <c r="C4949">
        <v>40</v>
      </c>
      <c r="D4949" t="str">
        <f>VLOOKUP(B4949,Products!$A:$E,2,FALSE)</f>
        <v>Product_446</v>
      </c>
      <c r="E4949" t="str">
        <f>VLOOKUP(B4949,Products!$A:$E,3,FALSE)</f>
        <v>Accessories</v>
      </c>
    </row>
    <row r="4950" spans="1:5" x14ac:dyDescent="0.3">
      <c r="A4950" t="s">
        <v>10962</v>
      </c>
      <c r="B4950" t="s">
        <v>432</v>
      </c>
      <c r="C4950">
        <v>4</v>
      </c>
      <c r="D4950" t="str">
        <f>VLOOKUP(B4950,Products!$A:$E,2,FALSE)</f>
        <v>Product_212</v>
      </c>
      <c r="E4950" t="str">
        <f>VLOOKUP(B4950,Products!$A:$E,3,FALSE)</f>
        <v>Networking</v>
      </c>
    </row>
    <row r="4951" spans="1:5" x14ac:dyDescent="0.3">
      <c r="A4951" t="s">
        <v>10963</v>
      </c>
      <c r="B4951" t="s">
        <v>214</v>
      </c>
      <c r="C4951">
        <v>14</v>
      </c>
      <c r="D4951" t="str">
        <f>VLOOKUP(B4951,Products!$A:$E,2,FALSE)</f>
        <v>Product_103</v>
      </c>
      <c r="E4951" t="str">
        <f>VLOOKUP(B4951,Products!$A:$E,3,FALSE)</f>
        <v>Accessories</v>
      </c>
    </row>
    <row r="4952" spans="1:5" x14ac:dyDescent="0.3">
      <c r="A4952" t="s">
        <v>10964</v>
      </c>
      <c r="B4952" t="s">
        <v>354</v>
      </c>
      <c r="C4952">
        <v>36</v>
      </c>
      <c r="D4952" t="str">
        <f>VLOOKUP(B4952,Products!$A:$E,2,FALSE)</f>
        <v>Product_173</v>
      </c>
      <c r="E4952" t="str">
        <f>VLOOKUP(B4952,Products!$A:$E,3,FALSE)</f>
        <v>Electronics</v>
      </c>
    </row>
    <row r="4953" spans="1:5" x14ac:dyDescent="0.3">
      <c r="A4953" t="s">
        <v>10965</v>
      </c>
      <c r="B4953" t="s">
        <v>920</v>
      </c>
      <c r="C4953">
        <v>11</v>
      </c>
      <c r="D4953" t="str">
        <f>VLOOKUP(B4953,Products!$A:$E,2,FALSE)</f>
        <v>Product_456</v>
      </c>
      <c r="E4953" t="str">
        <f>VLOOKUP(B4953,Products!$A:$E,3,FALSE)</f>
        <v>Electronics</v>
      </c>
    </row>
    <row r="4954" spans="1:5" x14ac:dyDescent="0.3">
      <c r="A4954" t="s">
        <v>10966</v>
      </c>
      <c r="B4954" t="s">
        <v>684</v>
      </c>
      <c r="C4954">
        <v>25</v>
      </c>
      <c r="D4954" t="str">
        <f>VLOOKUP(B4954,Products!$A:$E,2,FALSE)</f>
        <v>Product_338</v>
      </c>
      <c r="E4954" t="str">
        <f>VLOOKUP(B4954,Products!$A:$E,3,FALSE)</f>
        <v>Networking</v>
      </c>
    </row>
    <row r="4955" spans="1:5" x14ac:dyDescent="0.3">
      <c r="A4955" t="s">
        <v>10967</v>
      </c>
      <c r="B4955" t="s">
        <v>968</v>
      </c>
      <c r="C4955">
        <v>34</v>
      </c>
      <c r="D4955" t="str">
        <f>VLOOKUP(B4955,Products!$A:$E,2,FALSE)</f>
        <v>Product_480</v>
      </c>
      <c r="E4955" t="str">
        <f>VLOOKUP(B4955,Products!$A:$E,3,FALSE)</f>
        <v>Accessories</v>
      </c>
    </row>
    <row r="4956" spans="1:5" x14ac:dyDescent="0.3">
      <c r="A4956" t="s">
        <v>10968</v>
      </c>
      <c r="B4956" t="s">
        <v>452</v>
      </c>
      <c r="C4956">
        <v>12</v>
      </c>
      <c r="D4956" t="str">
        <f>VLOOKUP(B4956,Products!$A:$E,2,FALSE)</f>
        <v>Product_222</v>
      </c>
      <c r="E4956" t="str">
        <f>VLOOKUP(B4956,Products!$A:$E,3,FALSE)</f>
        <v>Networking</v>
      </c>
    </row>
    <row r="4957" spans="1:5" x14ac:dyDescent="0.3">
      <c r="A4957" t="s">
        <v>10969</v>
      </c>
      <c r="B4957" t="s">
        <v>974</v>
      </c>
      <c r="C4957">
        <v>29</v>
      </c>
      <c r="D4957" t="str">
        <f>VLOOKUP(B4957,Products!$A:$E,2,FALSE)</f>
        <v>Product_483</v>
      </c>
      <c r="E4957" t="str">
        <f>VLOOKUP(B4957,Products!$A:$E,3,FALSE)</f>
        <v>Electronics</v>
      </c>
    </row>
    <row r="4958" spans="1:5" x14ac:dyDescent="0.3">
      <c r="A4958" t="s">
        <v>10970</v>
      </c>
      <c r="B4958" t="s">
        <v>34</v>
      </c>
      <c r="C4958">
        <v>45</v>
      </c>
      <c r="D4958" t="str">
        <f>VLOOKUP(B4958,Products!$A:$E,2,FALSE)</f>
        <v>Product_13</v>
      </c>
      <c r="E4958" t="str">
        <f>VLOOKUP(B4958,Products!$A:$E,3,FALSE)</f>
        <v>Office Supplies</v>
      </c>
    </row>
    <row r="4959" spans="1:5" x14ac:dyDescent="0.3">
      <c r="A4959" t="s">
        <v>10971</v>
      </c>
      <c r="B4959" t="s">
        <v>220</v>
      </c>
      <c r="C4959">
        <v>25</v>
      </c>
      <c r="D4959" t="str">
        <f>VLOOKUP(B4959,Products!$A:$E,2,FALSE)</f>
        <v>Product_106</v>
      </c>
      <c r="E4959" t="str">
        <f>VLOOKUP(B4959,Products!$A:$E,3,FALSE)</f>
        <v>Networking</v>
      </c>
    </row>
    <row r="4960" spans="1:5" x14ac:dyDescent="0.3">
      <c r="A4960" t="s">
        <v>10972</v>
      </c>
      <c r="B4960" t="s">
        <v>590</v>
      </c>
      <c r="C4960">
        <v>43</v>
      </c>
      <c r="D4960" t="str">
        <f>VLOOKUP(B4960,Products!$A:$E,2,FALSE)</f>
        <v>Product_291</v>
      </c>
      <c r="E4960" t="str">
        <f>VLOOKUP(B4960,Products!$A:$E,3,FALSE)</f>
        <v>Networking</v>
      </c>
    </row>
    <row r="4961" spans="1:5" x14ac:dyDescent="0.3">
      <c r="A4961" t="s">
        <v>10973</v>
      </c>
      <c r="B4961" t="s">
        <v>186</v>
      </c>
      <c r="C4961">
        <v>18</v>
      </c>
      <c r="D4961" t="str">
        <f>VLOOKUP(B4961,Products!$A:$E,2,FALSE)</f>
        <v>Product_89</v>
      </c>
      <c r="E4961" t="str">
        <f>VLOOKUP(B4961,Products!$A:$E,3,FALSE)</f>
        <v>Storage</v>
      </c>
    </row>
    <row r="4962" spans="1:5" x14ac:dyDescent="0.3">
      <c r="A4962" t="s">
        <v>10974</v>
      </c>
      <c r="B4962" t="s">
        <v>772</v>
      </c>
      <c r="C4962">
        <v>44</v>
      </c>
      <c r="D4962" t="str">
        <f>VLOOKUP(B4962,Products!$A:$E,2,FALSE)</f>
        <v>Product_382</v>
      </c>
      <c r="E4962" t="str">
        <f>VLOOKUP(B4962,Products!$A:$E,3,FALSE)</f>
        <v>Storage</v>
      </c>
    </row>
    <row r="4963" spans="1:5" x14ac:dyDescent="0.3">
      <c r="A4963" t="s">
        <v>10975</v>
      </c>
      <c r="B4963" t="s">
        <v>586</v>
      </c>
      <c r="C4963">
        <v>50</v>
      </c>
      <c r="D4963" t="str">
        <f>VLOOKUP(B4963,Products!$A:$E,2,FALSE)</f>
        <v>Product_289</v>
      </c>
      <c r="E4963" t="str">
        <f>VLOOKUP(B4963,Products!$A:$E,3,FALSE)</f>
        <v>Storage</v>
      </c>
    </row>
    <row r="4964" spans="1:5" x14ac:dyDescent="0.3">
      <c r="A4964" t="s">
        <v>10976</v>
      </c>
      <c r="B4964" t="s">
        <v>168</v>
      </c>
      <c r="C4964">
        <v>42</v>
      </c>
      <c r="D4964" t="str">
        <f>VLOOKUP(B4964,Products!$A:$E,2,FALSE)</f>
        <v>Product_80</v>
      </c>
      <c r="E4964" t="str">
        <f>VLOOKUP(B4964,Products!$A:$E,3,FALSE)</f>
        <v>Accessories</v>
      </c>
    </row>
    <row r="4965" spans="1:5" x14ac:dyDescent="0.3">
      <c r="A4965" t="s">
        <v>10977</v>
      </c>
      <c r="B4965" t="s">
        <v>420</v>
      </c>
      <c r="C4965">
        <v>37</v>
      </c>
      <c r="D4965" t="str">
        <f>VLOOKUP(B4965,Products!$A:$E,2,FALSE)</f>
        <v>Product_206</v>
      </c>
      <c r="E4965" t="str">
        <f>VLOOKUP(B4965,Products!$A:$E,3,FALSE)</f>
        <v>Accessories</v>
      </c>
    </row>
    <row r="4966" spans="1:5" x14ac:dyDescent="0.3">
      <c r="A4966" t="s">
        <v>10978</v>
      </c>
      <c r="B4966" t="s">
        <v>810</v>
      </c>
      <c r="C4966">
        <v>13</v>
      </c>
      <c r="D4966" t="str">
        <f>VLOOKUP(B4966,Products!$A:$E,2,FALSE)</f>
        <v>Product_401</v>
      </c>
      <c r="E4966" t="str">
        <f>VLOOKUP(B4966,Products!$A:$E,3,FALSE)</f>
        <v>Storage</v>
      </c>
    </row>
    <row r="4967" spans="1:5" x14ac:dyDescent="0.3">
      <c r="A4967" t="s">
        <v>10979</v>
      </c>
      <c r="B4967" t="s">
        <v>164</v>
      </c>
      <c r="C4967">
        <v>27</v>
      </c>
      <c r="D4967" t="str">
        <f>VLOOKUP(B4967,Products!$A:$E,2,FALSE)</f>
        <v>Product_78</v>
      </c>
      <c r="E4967" t="str">
        <f>VLOOKUP(B4967,Products!$A:$E,3,FALSE)</f>
        <v>Office Supplies</v>
      </c>
    </row>
    <row r="4968" spans="1:5" x14ac:dyDescent="0.3">
      <c r="A4968" t="s">
        <v>10980</v>
      </c>
      <c r="B4968" t="s">
        <v>334</v>
      </c>
      <c r="C4968">
        <v>30</v>
      </c>
      <c r="D4968" t="str">
        <f>VLOOKUP(B4968,Products!$A:$E,2,FALSE)</f>
        <v>Product_163</v>
      </c>
      <c r="E4968" t="str">
        <f>VLOOKUP(B4968,Products!$A:$E,3,FALSE)</f>
        <v>Accessories</v>
      </c>
    </row>
    <row r="4969" spans="1:5" x14ac:dyDescent="0.3">
      <c r="A4969" t="s">
        <v>10981</v>
      </c>
      <c r="B4969" t="s">
        <v>260</v>
      </c>
      <c r="C4969">
        <v>48</v>
      </c>
      <c r="D4969" t="str">
        <f>VLOOKUP(B4969,Products!$A:$E,2,FALSE)</f>
        <v>Product_126</v>
      </c>
      <c r="E4969" t="str">
        <f>VLOOKUP(B4969,Products!$A:$E,3,FALSE)</f>
        <v>Office Supplies</v>
      </c>
    </row>
    <row r="4970" spans="1:5" x14ac:dyDescent="0.3">
      <c r="A4970" t="s">
        <v>10982</v>
      </c>
      <c r="B4970" t="s">
        <v>142</v>
      </c>
      <c r="C4970">
        <v>49</v>
      </c>
      <c r="D4970" t="str">
        <f>VLOOKUP(B4970,Products!$A:$E,2,FALSE)</f>
        <v>Product_67</v>
      </c>
      <c r="E4970" t="str">
        <f>VLOOKUP(B4970,Products!$A:$E,3,FALSE)</f>
        <v>Office Supplies</v>
      </c>
    </row>
    <row r="4971" spans="1:5" x14ac:dyDescent="0.3">
      <c r="A4971" t="s">
        <v>10983</v>
      </c>
      <c r="B4971" t="s">
        <v>962</v>
      </c>
      <c r="C4971">
        <v>32</v>
      </c>
      <c r="D4971" t="str">
        <f>VLOOKUP(B4971,Products!$A:$E,2,FALSE)</f>
        <v>Product_477</v>
      </c>
      <c r="E4971" t="str">
        <f>VLOOKUP(B4971,Products!$A:$E,3,FALSE)</f>
        <v>Networking</v>
      </c>
    </row>
    <row r="4972" spans="1:5" x14ac:dyDescent="0.3">
      <c r="A4972" t="s">
        <v>10984</v>
      </c>
      <c r="B4972" t="s">
        <v>332</v>
      </c>
      <c r="C4972">
        <v>40</v>
      </c>
      <c r="D4972" t="str">
        <f>VLOOKUP(B4972,Products!$A:$E,2,FALSE)</f>
        <v>Product_162</v>
      </c>
      <c r="E4972" t="str">
        <f>VLOOKUP(B4972,Products!$A:$E,3,FALSE)</f>
        <v>Accessories</v>
      </c>
    </row>
    <row r="4973" spans="1:5" x14ac:dyDescent="0.3">
      <c r="A4973" t="s">
        <v>10985</v>
      </c>
      <c r="B4973" t="s">
        <v>964</v>
      </c>
      <c r="C4973">
        <v>49</v>
      </c>
      <c r="D4973" t="str">
        <f>VLOOKUP(B4973,Products!$A:$E,2,FALSE)</f>
        <v>Product_478</v>
      </c>
      <c r="E4973" t="str">
        <f>VLOOKUP(B4973,Products!$A:$E,3,FALSE)</f>
        <v>Office Supplies</v>
      </c>
    </row>
    <row r="4974" spans="1:5" x14ac:dyDescent="0.3">
      <c r="A4974" t="s">
        <v>10986</v>
      </c>
      <c r="B4974" t="s">
        <v>636</v>
      </c>
      <c r="C4974">
        <v>34</v>
      </c>
      <c r="D4974" t="str">
        <f>VLOOKUP(B4974,Products!$A:$E,2,FALSE)</f>
        <v>Product_314</v>
      </c>
      <c r="E4974" t="str">
        <f>VLOOKUP(B4974,Products!$A:$E,3,FALSE)</f>
        <v>Storage</v>
      </c>
    </row>
    <row r="4975" spans="1:5" x14ac:dyDescent="0.3">
      <c r="A4975" t="s">
        <v>10987</v>
      </c>
      <c r="B4975" t="s">
        <v>762</v>
      </c>
      <c r="C4975">
        <v>41</v>
      </c>
      <c r="D4975" t="str">
        <f>VLOOKUP(B4975,Products!$A:$E,2,FALSE)</f>
        <v>Product_377</v>
      </c>
      <c r="E4975" t="str">
        <f>VLOOKUP(B4975,Products!$A:$E,3,FALSE)</f>
        <v>Networking</v>
      </c>
    </row>
    <row r="4976" spans="1:5" x14ac:dyDescent="0.3">
      <c r="A4976" t="s">
        <v>10988</v>
      </c>
      <c r="B4976" t="s">
        <v>906</v>
      </c>
      <c r="C4976">
        <v>3</v>
      </c>
      <c r="D4976" t="str">
        <f>VLOOKUP(B4976,Products!$A:$E,2,FALSE)</f>
        <v>Product_449</v>
      </c>
      <c r="E4976" t="str">
        <f>VLOOKUP(B4976,Products!$A:$E,3,FALSE)</f>
        <v>Networking</v>
      </c>
    </row>
    <row r="4977" spans="1:5" x14ac:dyDescent="0.3">
      <c r="A4977" t="s">
        <v>10989</v>
      </c>
      <c r="B4977" t="s">
        <v>702</v>
      </c>
      <c r="C4977">
        <v>7</v>
      </c>
      <c r="D4977" t="str">
        <f>VLOOKUP(B4977,Products!$A:$E,2,FALSE)</f>
        <v>Product_347</v>
      </c>
      <c r="E4977" t="str">
        <f>VLOOKUP(B4977,Products!$A:$E,3,FALSE)</f>
        <v>Storage</v>
      </c>
    </row>
    <row r="4978" spans="1:5" x14ac:dyDescent="0.3">
      <c r="A4978" t="s">
        <v>10990</v>
      </c>
      <c r="B4978" t="s">
        <v>814</v>
      </c>
      <c r="C4978">
        <v>5</v>
      </c>
      <c r="D4978" t="str">
        <f>VLOOKUP(B4978,Products!$A:$E,2,FALSE)</f>
        <v>Product_403</v>
      </c>
      <c r="E4978" t="str">
        <f>VLOOKUP(B4978,Products!$A:$E,3,FALSE)</f>
        <v>Networking</v>
      </c>
    </row>
    <row r="4979" spans="1:5" x14ac:dyDescent="0.3">
      <c r="A4979" t="s">
        <v>10991</v>
      </c>
      <c r="B4979" t="s">
        <v>96</v>
      </c>
      <c r="C4979">
        <v>2</v>
      </c>
      <c r="D4979" t="str">
        <f>VLOOKUP(B4979,Products!$A:$E,2,FALSE)</f>
        <v>Product_44</v>
      </c>
      <c r="E4979" t="str">
        <f>VLOOKUP(B4979,Products!$A:$E,3,FALSE)</f>
        <v>Storage</v>
      </c>
    </row>
    <row r="4980" spans="1:5" x14ac:dyDescent="0.3">
      <c r="A4980" t="s">
        <v>10992</v>
      </c>
      <c r="B4980" t="s">
        <v>17</v>
      </c>
      <c r="C4980">
        <v>4</v>
      </c>
      <c r="D4980" t="str">
        <f>VLOOKUP(B4980,Products!$A:$E,2,FALSE)</f>
        <v>Product_5</v>
      </c>
      <c r="E4980" t="str">
        <f>VLOOKUP(B4980,Products!$A:$E,3,FALSE)</f>
        <v>Networking</v>
      </c>
    </row>
    <row r="4981" spans="1:5" x14ac:dyDescent="0.3">
      <c r="A4981" t="s">
        <v>10993</v>
      </c>
      <c r="B4981" t="s">
        <v>348</v>
      </c>
      <c r="C4981">
        <v>6</v>
      </c>
      <c r="D4981" t="str">
        <f>VLOOKUP(B4981,Products!$A:$E,2,FALSE)</f>
        <v>Product_170</v>
      </c>
      <c r="E4981" t="str">
        <f>VLOOKUP(B4981,Products!$A:$E,3,FALSE)</f>
        <v>Office Supplies</v>
      </c>
    </row>
    <row r="4982" spans="1:5" x14ac:dyDescent="0.3">
      <c r="A4982" t="s">
        <v>10994</v>
      </c>
      <c r="B4982" t="s">
        <v>330</v>
      </c>
      <c r="C4982">
        <v>23</v>
      </c>
      <c r="D4982" t="str">
        <f>VLOOKUP(B4982,Products!$A:$E,2,FALSE)</f>
        <v>Product_161</v>
      </c>
      <c r="E4982" t="str">
        <f>VLOOKUP(B4982,Products!$A:$E,3,FALSE)</f>
        <v>Networking</v>
      </c>
    </row>
    <row r="4983" spans="1:5" x14ac:dyDescent="0.3">
      <c r="A4983" t="s">
        <v>10995</v>
      </c>
      <c r="B4983" t="s">
        <v>216</v>
      </c>
      <c r="C4983">
        <v>48</v>
      </c>
      <c r="D4983" t="str">
        <f>VLOOKUP(B4983,Products!$A:$E,2,FALSE)</f>
        <v>Product_104</v>
      </c>
      <c r="E4983" t="str">
        <f>VLOOKUP(B4983,Products!$A:$E,3,FALSE)</f>
        <v>Networking</v>
      </c>
    </row>
    <row r="4984" spans="1:5" x14ac:dyDescent="0.3">
      <c r="A4984" t="s">
        <v>10996</v>
      </c>
      <c r="B4984" t="s">
        <v>164</v>
      </c>
      <c r="C4984">
        <v>14</v>
      </c>
      <c r="D4984" t="str">
        <f>VLOOKUP(B4984,Products!$A:$E,2,FALSE)</f>
        <v>Product_78</v>
      </c>
      <c r="E4984" t="str">
        <f>VLOOKUP(B4984,Products!$A:$E,3,FALSE)</f>
        <v>Office Supplies</v>
      </c>
    </row>
    <row r="4985" spans="1:5" x14ac:dyDescent="0.3">
      <c r="A4985" t="s">
        <v>10997</v>
      </c>
      <c r="B4985" t="s">
        <v>324</v>
      </c>
      <c r="C4985">
        <v>5</v>
      </c>
      <c r="D4985" t="str">
        <f>VLOOKUP(B4985,Products!$A:$E,2,FALSE)</f>
        <v>Product_158</v>
      </c>
      <c r="E4985" t="str">
        <f>VLOOKUP(B4985,Products!$A:$E,3,FALSE)</f>
        <v>Electronics</v>
      </c>
    </row>
    <row r="4986" spans="1:5" x14ac:dyDescent="0.3">
      <c r="A4986" t="s">
        <v>10998</v>
      </c>
      <c r="B4986" t="s">
        <v>380</v>
      </c>
      <c r="C4986">
        <v>40</v>
      </c>
      <c r="D4986" t="str">
        <f>VLOOKUP(B4986,Products!$A:$E,2,FALSE)</f>
        <v>Product_186</v>
      </c>
      <c r="E4986" t="str">
        <f>VLOOKUP(B4986,Products!$A:$E,3,FALSE)</f>
        <v>Accessories</v>
      </c>
    </row>
    <row r="4987" spans="1:5" x14ac:dyDescent="0.3">
      <c r="A4987" t="s">
        <v>10999</v>
      </c>
      <c r="B4987" t="s">
        <v>940</v>
      </c>
      <c r="C4987">
        <v>21</v>
      </c>
      <c r="D4987" t="str">
        <f>VLOOKUP(B4987,Products!$A:$E,2,FALSE)</f>
        <v>Product_466</v>
      </c>
      <c r="E4987" t="str">
        <f>VLOOKUP(B4987,Products!$A:$E,3,FALSE)</f>
        <v>Networking</v>
      </c>
    </row>
    <row r="4988" spans="1:5" x14ac:dyDescent="0.3">
      <c r="A4988" t="s">
        <v>11000</v>
      </c>
      <c r="B4988" t="s">
        <v>606</v>
      </c>
      <c r="C4988">
        <v>29</v>
      </c>
      <c r="D4988" t="str">
        <f>VLOOKUP(B4988,Products!$A:$E,2,FALSE)</f>
        <v>Product_299</v>
      </c>
      <c r="E4988" t="str">
        <f>VLOOKUP(B4988,Products!$A:$E,3,FALSE)</f>
        <v>Storage</v>
      </c>
    </row>
    <row r="4989" spans="1:5" x14ac:dyDescent="0.3">
      <c r="A4989" t="s">
        <v>11001</v>
      </c>
      <c r="B4989" t="s">
        <v>496</v>
      </c>
      <c r="C4989">
        <v>22</v>
      </c>
      <c r="D4989" t="str">
        <f>VLOOKUP(B4989,Products!$A:$E,2,FALSE)</f>
        <v>Product_244</v>
      </c>
      <c r="E4989" t="str">
        <f>VLOOKUP(B4989,Products!$A:$E,3,FALSE)</f>
        <v>Accessories</v>
      </c>
    </row>
    <row r="4990" spans="1:5" x14ac:dyDescent="0.3">
      <c r="A4990" t="s">
        <v>11002</v>
      </c>
      <c r="B4990" t="s">
        <v>730</v>
      </c>
      <c r="C4990">
        <v>12</v>
      </c>
      <c r="D4990" t="str">
        <f>VLOOKUP(B4990,Products!$A:$E,2,FALSE)</f>
        <v>Product_361</v>
      </c>
      <c r="E4990" t="str">
        <f>VLOOKUP(B4990,Products!$A:$E,3,FALSE)</f>
        <v>Office Supplies</v>
      </c>
    </row>
    <row r="4991" spans="1:5" x14ac:dyDescent="0.3">
      <c r="A4991" t="s">
        <v>11003</v>
      </c>
      <c r="B4991" t="s">
        <v>306</v>
      </c>
      <c r="C4991">
        <v>20</v>
      </c>
      <c r="D4991" t="str">
        <f>VLOOKUP(B4991,Products!$A:$E,2,FALSE)</f>
        <v>Product_149</v>
      </c>
      <c r="E4991" t="str">
        <f>VLOOKUP(B4991,Products!$A:$E,3,FALSE)</f>
        <v>Accessories</v>
      </c>
    </row>
    <row r="4992" spans="1:5" x14ac:dyDescent="0.3">
      <c r="A4992" t="s">
        <v>11004</v>
      </c>
      <c r="B4992" t="s">
        <v>112</v>
      </c>
      <c r="C4992">
        <v>36</v>
      </c>
      <c r="D4992" t="str">
        <f>VLOOKUP(B4992,Products!$A:$E,2,FALSE)</f>
        <v>Product_52</v>
      </c>
      <c r="E4992" t="str">
        <f>VLOOKUP(B4992,Products!$A:$E,3,FALSE)</f>
        <v>Electronics</v>
      </c>
    </row>
    <row r="4993" spans="1:5" x14ac:dyDescent="0.3">
      <c r="A4993" t="s">
        <v>11005</v>
      </c>
      <c r="B4993" t="s">
        <v>172</v>
      </c>
      <c r="C4993">
        <v>10</v>
      </c>
      <c r="D4993" t="str">
        <f>VLOOKUP(B4993,Products!$A:$E,2,FALSE)</f>
        <v>Product_82</v>
      </c>
      <c r="E4993" t="str">
        <f>VLOOKUP(B4993,Products!$A:$E,3,FALSE)</f>
        <v>Storage</v>
      </c>
    </row>
    <row r="4994" spans="1:5" x14ac:dyDescent="0.3">
      <c r="A4994" t="s">
        <v>11006</v>
      </c>
      <c r="B4994" t="s">
        <v>176</v>
      </c>
      <c r="C4994">
        <v>27</v>
      </c>
      <c r="D4994" t="str">
        <f>VLOOKUP(B4994,Products!$A:$E,2,FALSE)</f>
        <v>Product_84</v>
      </c>
      <c r="E4994" t="str">
        <f>VLOOKUP(B4994,Products!$A:$E,3,FALSE)</f>
        <v>Electronics</v>
      </c>
    </row>
    <row r="4995" spans="1:5" x14ac:dyDescent="0.3">
      <c r="A4995" t="s">
        <v>11007</v>
      </c>
      <c r="B4995" t="s">
        <v>130</v>
      </c>
      <c r="C4995">
        <v>35</v>
      </c>
      <c r="D4995" t="str">
        <f>VLOOKUP(B4995,Products!$A:$E,2,FALSE)</f>
        <v>Product_61</v>
      </c>
      <c r="E4995" t="str">
        <f>VLOOKUP(B4995,Products!$A:$E,3,FALSE)</f>
        <v>Storage</v>
      </c>
    </row>
    <row r="4996" spans="1:5" x14ac:dyDescent="0.3">
      <c r="A4996" t="s">
        <v>11008</v>
      </c>
      <c r="B4996" t="s">
        <v>942</v>
      </c>
      <c r="C4996">
        <v>40</v>
      </c>
      <c r="D4996" t="str">
        <f>VLOOKUP(B4996,Products!$A:$E,2,FALSE)</f>
        <v>Product_467</v>
      </c>
      <c r="E4996" t="str">
        <f>VLOOKUP(B4996,Products!$A:$E,3,FALSE)</f>
        <v>Accessories</v>
      </c>
    </row>
    <row r="4997" spans="1:5" x14ac:dyDescent="0.3">
      <c r="A4997" t="s">
        <v>11009</v>
      </c>
      <c r="B4997" t="s">
        <v>428</v>
      </c>
      <c r="C4997">
        <v>11</v>
      </c>
      <c r="D4997" t="str">
        <f>VLOOKUP(B4997,Products!$A:$E,2,FALSE)</f>
        <v>Product_210</v>
      </c>
      <c r="E4997" t="str">
        <f>VLOOKUP(B4997,Products!$A:$E,3,FALSE)</f>
        <v>Electronics</v>
      </c>
    </row>
    <row r="4998" spans="1:5" x14ac:dyDescent="0.3">
      <c r="A4998" t="s">
        <v>11010</v>
      </c>
      <c r="B4998" t="s">
        <v>584</v>
      </c>
      <c r="C4998">
        <v>36</v>
      </c>
      <c r="D4998" t="str">
        <f>VLOOKUP(B4998,Products!$A:$E,2,FALSE)</f>
        <v>Product_288</v>
      </c>
      <c r="E4998" t="str">
        <f>VLOOKUP(B4998,Products!$A:$E,3,FALSE)</f>
        <v>Networking</v>
      </c>
    </row>
    <row r="4999" spans="1:5" x14ac:dyDescent="0.3">
      <c r="A4999" t="s">
        <v>11011</v>
      </c>
      <c r="B4999" t="s">
        <v>652</v>
      </c>
      <c r="C4999">
        <v>31</v>
      </c>
      <c r="D4999" t="str">
        <f>VLOOKUP(B4999,Products!$A:$E,2,FALSE)</f>
        <v>Product_322</v>
      </c>
      <c r="E4999" t="str">
        <f>VLOOKUP(B4999,Products!$A:$E,3,FALSE)</f>
        <v>Accessories</v>
      </c>
    </row>
    <row r="5000" spans="1:5" x14ac:dyDescent="0.3">
      <c r="A5000" t="s">
        <v>11012</v>
      </c>
      <c r="B5000" t="s">
        <v>726</v>
      </c>
      <c r="C5000">
        <v>18</v>
      </c>
      <c r="D5000" t="str">
        <f>VLOOKUP(B5000,Products!$A:$E,2,FALSE)</f>
        <v>Product_359</v>
      </c>
      <c r="E5000" t="str">
        <f>VLOOKUP(B5000,Products!$A:$E,3,FALSE)</f>
        <v>Electronics</v>
      </c>
    </row>
    <row r="5001" spans="1:5" x14ac:dyDescent="0.3">
      <c r="A5001" t="s">
        <v>11013</v>
      </c>
      <c r="B5001" t="s">
        <v>716</v>
      </c>
      <c r="C5001">
        <v>16</v>
      </c>
      <c r="D5001" t="str">
        <f>VLOOKUP(B5001,Products!$A:$E,2,FALSE)</f>
        <v>Product_354</v>
      </c>
      <c r="E5001" t="str">
        <f>VLOOKUP(B5001,Products!$A:$E,3,FALSE)</f>
        <v>Storage</v>
      </c>
    </row>
    <row r="5002" spans="1:5" x14ac:dyDescent="0.3">
      <c r="A5002" t="s">
        <v>11014</v>
      </c>
      <c r="B5002" t="s">
        <v>1008</v>
      </c>
      <c r="C5002">
        <v>8</v>
      </c>
      <c r="D5002" t="str">
        <f>VLOOKUP(B5002,Products!$A:$E,2,FALSE)</f>
        <v>Product_500</v>
      </c>
      <c r="E5002" t="str">
        <f>VLOOKUP(B5002,Products!$A:$E,3,FALSE)</f>
        <v>Networking</v>
      </c>
    </row>
    <row r="5003" spans="1:5" x14ac:dyDescent="0.3">
      <c r="A5003" t="s">
        <v>11015</v>
      </c>
      <c r="B5003" t="s">
        <v>688</v>
      </c>
      <c r="C5003">
        <v>10</v>
      </c>
      <c r="D5003" t="str">
        <f>VLOOKUP(B5003,Products!$A:$E,2,FALSE)</f>
        <v>Product_340</v>
      </c>
      <c r="E5003" t="str">
        <f>VLOOKUP(B5003,Products!$A:$E,3,FALSE)</f>
        <v>Storage</v>
      </c>
    </row>
    <row r="5004" spans="1:5" x14ac:dyDescent="0.3">
      <c r="A5004" t="s">
        <v>11016</v>
      </c>
      <c r="B5004" t="s">
        <v>940</v>
      </c>
      <c r="C5004">
        <v>29</v>
      </c>
      <c r="D5004" t="str">
        <f>VLOOKUP(B5004,Products!$A:$E,2,FALSE)</f>
        <v>Product_466</v>
      </c>
      <c r="E5004" t="str">
        <f>VLOOKUP(B5004,Products!$A:$E,3,FALSE)</f>
        <v>Networking</v>
      </c>
    </row>
    <row r="5005" spans="1:5" x14ac:dyDescent="0.3">
      <c r="A5005" t="s">
        <v>11017</v>
      </c>
      <c r="B5005" t="s">
        <v>108</v>
      </c>
      <c r="C5005">
        <v>49</v>
      </c>
      <c r="D5005" t="str">
        <f>VLOOKUP(B5005,Products!$A:$E,2,FALSE)</f>
        <v>Product_50</v>
      </c>
      <c r="E5005" t="str">
        <f>VLOOKUP(B5005,Products!$A:$E,3,FALSE)</f>
        <v>Networking</v>
      </c>
    </row>
    <row r="5006" spans="1:5" x14ac:dyDescent="0.3">
      <c r="A5006" t="s">
        <v>11018</v>
      </c>
      <c r="B5006" t="s">
        <v>50</v>
      </c>
      <c r="C5006">
        <v>9</v>
      </c>
      <c r="D5006" t="str">
        <f>VLOOKUP(B5006,Products!$A:$E,2,FALSE)</f>
        <v>Product_21</v>
      </c>
      <c r="E5006" t="str">
        <f>VLOOKUP(B5006,Products!$A:$E,3,FALSE)</f>
        <v>Office Supplies</v>
      </c>
    </row>
    <row r="5007" spans="1:5" x14ac:dyDescent="0.3">
      <c r="A5007" t="s">
        <v>11019</v>
      </c>
      <c r="B5007" t="s">
        <v>910</v>
      </c>
      <c r="C5007">
        <v>25</v>
      </c>
      <c r="D5007" t="str">
        <f>VLOOKUP(B5007,Products!$A:$E,2,FALSE)</f>
        <v>Product_451</v>
      </c>
      <c r="E5007" t="str">
        <f>VLOOKUP(B5007,Products!$A:$E,3,FALSE)</f>
        <v>Accessories</v>
      </c>
    </row>
    <row r="5008" spans="1:5" x14ac:dyDescent="0.3">
      <c r="A5008" t="s">
        <v>11020</v>
      </c>
      <c r="B5008" t="s">
        <v>494</v>
      </c>
      <c r="C5008">
        <v>25</v>
      </c>
      <c r="D5008" t="str">
        <f>VLOOKUP(B5008,Products!$A:$E,2,FALSE)</f>
        <v>Product_243</v>
      </c>
      <c r="E5008" t="str">
        <f>VLOOKUP(B5008,Products!$A:$E,3,FALSE)</f>
        <v>Storage</v>
      </c>
    </row>
    <row r="5009" spans="1:5" x14ac:dyDescent="0.3">
      <c r="A5009" t="s">
        <v>11021</v>
      </c>
      <c r="B5009" t="s">
        <v>498</v>
      </c>
      <c r="C5009">
        <v>11</v>
      </c>
      <c r="D5009" t="str">
        <f>VLOOKUP(B5009,Products!$A:$E,2,FALSE)</f>
        <v>Product_245</v>
      </c>
      <c r="E5009" t="str">
        <f>VLOOKUP(B5009,Products!$A:$E,3,FALSE)</f>
        <v>Office Supplies</v>
      </c>
    </row>
    <row r="5010" spans="1:5" x14ac:dyDescent="0.3">
      <c r="A5010" t="s">
        <v>11022</v>
      </c>
      <c r="B5010" t="s">
        <v>794</v>
      </c>
      <c r="C5010">
        <v>2</v>
      </c>
      <c r="D5010" t="str">
        <f>VLOOKUP(B5010,Products!$A:$E,2,FALSE)</f>
        <v>Product_393</v>
      </c>
      <c r="E5010" t="str">
        <f>VLOOKUP(B5010,Products!$A:$E,3,FALSE)</f>
        <v>Electronics</v>
      </c>
    </row>
    <row r="5011" spans="1:5" x14ac:dyDescent="0.3">
      <c r="A5011" t="s">
        <v>11023</v>
      </c>
      <c r="B5011" t="s">
        <v>610</v>
      </c>
      <c r="C5011">
        <v>45</v>
      </c>
      <c r="D5011" t="str">
        <f>VLOOKUP(B5011,Products!$A:$E,2,FALSE)</f>
        <v>Product_301</v>
      </c>
      <c r="E5011" t="str">
        <f>VLOOKUP(B5011,Products!$A:$E,3,FALSE)</f>
        <v>Networking</v>
      </c>
    </row>
    <row r="5012" spans="1:5" x14ac:dyDescent="0.3">
      <c r="A5012" t="s">
        <v>11024</v>
      </c>
      <c r="B5012" t="s">
        <v>846</v>
      </c>
      <c r="C5012">
        <v>24</v>
      </c>
      <c r="D5012" t="str">
        <f>VLOOKUP(B5012,Products!$A:$E,2,FALSE)</f>
        <v>Product_419</v>
      </c>
      <c r="E5012" t="str">
        <f>VLOOKUP(B5012,Products!$A:$E,3,FALSE)</f>
        <v>Networking</v>
      </c>
    </row>
    <row r="5013" spans="1:5" x14ac:dyDescent="0.3">
      <c r="A5013" t="s">
        <v>11025</v>
      </c>
      <c r="B5013" t="s">
        <v>962</v>
      </c>
      <c r="C5013">
        <v>29</v>
      </c>
      <c r="D5013" t="str">
        <f>VLOOKUP(B5013,Products!$A:$E,2,FALSE)</f>
        <v>Product_477</v>
      </c>
      <c r="E5013" t="str">
        <f>VLOOKUP(B5013,Products!$A:$E,3,FALSE)</f>
        <v>Networking</v>
      </c>
    </row>
    <row r="5014" spans="1:5" x14ac:dyDescent="0.3">
      <c r="A5014" t="s">
        <v>11026</v>
      </c>
      <c r="B5014" t="s">
        <v>608</v>
      </c>
      <c r="C5014">
        <v>37</v>
      </c>
      <c r="D5014" t="str">
        <f>VLOOKUP(B5014,Products!$A:$E,2,FALSE)</f>
        <v>Product_300</v>
      </c>
      <c r="E5014" t="str">
        <f>VLOOKUP(B5014,Products!$A:$E,3,FALSE)</f>
        <v>Accessories</v>
      </c>
    </row>
    <row r="5015" spans="1:5" x14ac:dyDescent="0.3">
      <c r="A5015" t="s">
        <v>11027</v>
      </c>
      <c r="B5015" t="s">
        <v>196</v>
      </c>
      <c r="C5015">
        <v>29</v>
      </c>
      <c r="D5015" t="str">
        <f>VLOOKUP(B5015,Products!$A:$E,2,FALSE)</f>
        <v>Product_94</v>
      </c>
      <c r="E5015" t="str">
        <f>VLOOKUP(B5015,Products!$A:$E,3,FALSE)</f>
        <v>Networking</v>
      </c>
    </row>
    <row r="5016" spans="1:5" x14ac:dyDescent="0.3">
      <c r="A5016" t="s">
        <v>11028</v>
      </c>
      <c r="B5016" t="s">
        <v>924</v>
      </c>
      <c r="C5016">
        <v>2</v>
      </c>
      <c r="D5016" t="str">
        <f>VLOOKUP(B5016,Products!$A:$E,2,FALSE)</f>
        <v>Product_458</v>
      </c>
      <c r="E5016" t="str">
        <f>VLOOKUP(B5016,Products!$A:$E,3,FALSE)</f>
        <v>Accessories</v>
      </c>
    </row>
    <row r="5017" spans="1:5" x14ac:dyDescent="0.3">
      <c r="A5017" t="s">
        <v>11029</v>
      </c>
      <c r="B5017" t="s">
        <v>1002</v>
      </c>
      <c r="C5017">
        <v>32</v>
      </c>
      <c r="D5017" t="str">
        <f>VLOOKUP(B5017,Products!$A:$E,2,FALSE)</f>
        <v>Product_497</v>
      </c>
      <c r="E5017" t="str">
        <f>VLOOKUP(B5017,Products!$A:$E,3,FALSE)</f>
        <v>Office Supplies</v>
      </c>
    </row>
    <row r="5018" spans="1:5" x14ac:dyDescent="0.3">
      <c r="A5018" t="s">
        <v>11030</v>
      </c>
      <c r="B5018" t="s">
        <v>978</v>
      </c>
      <c r="C5018">
        <v>43</v>
      </c>
      <c r="D5018" t="str">
        <f>VLOOKUP(B5018,Products!$A:$E,2,FALSE)</f>
        <v>Product_485</v>
      </c>
      <c r="E5018" t="str">
        <f>VLOOKUP(B5018,Products!$A:$E,3,FALSE)</f>
        <v>Networking</v>
      </c>
    </row>
    <row r="5019" spans="1:5" x14ac:dyDescent="0.3">
      <c r="A5019" t="s">
        <v>11031</v>
      </c>
      <c r="B5019" t="s">
        <v>590</v>
      </c>
      <c r="C5019">
        <v>23</v>
      </c>
      <c r="D5019" t="str">
        <f>VLOOKUP(B5019,Products!$A:$E,2,FALSE)</f>
        <v>Product_291</v>
      </c>
      <c r="E5019" t="str">
        <f>VLOOKUP(B5019,Products!$A:$E,3,FALSE)</f>
        <v>Networking</v>
      </c>
    </row>
    <row r="5020" spans="1:5" x14ac:dyDescent="0.3">
      <c r="A5020" t="s">
        <v>11032</v>
      </c>
      <c r="B5020" t="s">
        <v>916</v>
      </c>
      <c r="C5020">
        <v>22</v>
      </c>
      <c r="D5020" t="str">
        <f>VLOOKUP(B5020,Products!$A:$E,2,FALSE)</f>
        <v>Product_454</v>
      </c>
      <c r="E5020" t="str">
        <f>VLOOKUP(B5020,Products!$A:$E,3,FALSE)</f>
        <v>Networking</v>
      </c>
    </row>
    <row r="5021" spans="1:5" x14ac:dyDescent="0.3">
      <c r="A5021" t="s">
        <v>11033</v>
      </c>
      <c r="B5021" t="s">
        <v>96</v>
      </c>
      <c r="C5021">
        <v>24</v>
      </c>
      <c r="D5021" t="str">
        <f>VLOOKUP(B5021,Products!$A:$E,2,FALSE)</f>
        <v>Product_44</v>
      </c>
      <c r="E5021" t="str">
        <f>VLOOKUP(B5021,Products!$A:$E,3,FALSE)</f>
        <v>Storage</v>
      </c>
    </row>
    <row r="5022" spans="1:5" x14ac:dyDescent="0.3">
      <c r="A5022" t="s">
        <v>11034</v>
      </c>
      <c r="B5022" t="s">
        <v>80</v>
      </c>
      <c r="C5022">
        <v>12</v>
      </c>
      <c r="D5022" t="str">
        <f>VLOOKUP(B5022,Products!$A:$E,2,FALSE)</f>
        <v>Product_36</v>
      </c>
      <c r="E5022" t="str">
        <f>VLOOKUP(B5022,Products!$A:$E,3,FALSE)</f>
        <v>Office Supplies</v>
      </c>
    </row>
    <row r="5023" spans="1:5" x14ac:dyDescent="0.3">
      <c r="A5023" t="s">
        <v>11035</v>
      </c>
      <c r="B5023" t="s">
        <v>148</v>
      </c>
      <c r="C5023">
        <v>40</v>
      </c>
      <c r="D5023" t="str">
        <f>VLOOKUP(B5023,Products!$A:$E,2,FALSE)</f>
        <v>Product_70</v>
      </c>
      <c r="E5023" t="str">
        <f>VLOOKUP(B5023,Products!$A:$E,3,FALSE)</f>
        <v>Electronics</v>
      </c>
    </row>
    <row r="5024" spans="1:5" x14ac:dyDescent="0.3">
      <c r="A5024" t="s">
        <v>11036</v>
      </c>
      <c r="B5024" t="s">
        <v>316</v>
      </c>
      <c r="C5024">
        <v>44</v>
      </c>
      <c r="D5024" t="str">
        <f>VLOOKUP(B5024,Products!$A:$E,2,FALSE)</f>
        <v>Product_154</v>
      </c>
      <c r="E5024" t="str">
        <f>VLOOKUP(B5024,Products!$A:$E,3,FALSE)</f>
        <v>Accessories</v>
      </c>
    </row>
    <row r="5025" spans="1:5" x14ac:dyDescent="0.3">
      <c r="A5025" t="s">
        <v>11037</v>
      </c>
      <c r="B5025" t="s">
        <v>412</v>
      </c>
      <c r="C5025">
        <v>10</v>
      </c>
      <c r="D5025" t="str">
        <f>VLOOKUP(B5025,Products!$A:$E,2,FALSE)</f>
        <v>Product_202</v>
      </c>
      <c r="E5025" t="str">
        <f>VLOOKUP(B5025,Products!$A:$E,3,FALSE)</f>
        <v>Storage</v>
      </c>
    </row>
    <row r="5026" spans="1:5" x14ac:dyDescent="0.3">
      <c r="A5026" t="s">
        <v>11038</v>
      </c>
      <c r="B5026" t="s">
        <v>122</v>
      </c>
      <c r="C5026">
        <v>43</v>
      </c>
      <c r="D5026" t="str">
        <f>VLOOKUP(B5026,Products!$A:$E,2,FALSE)</f>
        <v>Product_57</v>
      </c>
      <c r="E5026" t="str">
        <f>VLOOKUP(B5026,Products!$A:$E,3,FALSE)</f>
        <v>Electronics</v>
      </c>
    </row>
    <row r="5027" spans="1:5" x14ac:dyDescent="0.3">
      <c r="A5027" t="s">
        <v>11039</v>
      </c>
      <c r="B5027" t="s">
        <v>210</v>
      </c>
      <c r="C5027">
        <v>41</v>
      </c>
      <c r="D5027" t="str">
        <f>VLOOKUP(B5027,Products!$A:$E,2,FALSE)</f>
        <v>Product_101</v>
      </c>
      <c r="E5027" t="str">
        <f>VLOOKUP(B5027,Products!$A:$E,3,FALSE)</f>
        <v>Storage</v>
      </c>
    </row>
    <row r="5028" spans="1:5" x14ac:dyDescent="0.3">
      <c r="A5028" t="s">
        <v>11040</v>
      </c>
      <c r="B5028" t="s">
        <v>338</v>
      </c>
      <c r="C5028">
        <v>19</v>
      </c>
      <c r="D5028" t="str">
        <f>VLOOKUP(B5028,Products!$A:$E,2,FALSE)</f>
        <v>Product_165</v>
      </c>
      <c r="E5028" t="str">
        <f>VLOOKUP(B5028,Products!$A:$E,3,FALSE)</f>
        <v>Office Supplies</v>
      </c>
    </row>
    <row r="5029" spans="1:5" x14ac:dyDescent="0.3">
      <c r="A5029" t="s">
        <v>11041</v>
      </c>
      <c r="B5029" t="s">
        <v>738</v>
      </c>
      <c r="C5029">
        <v>6</v>
      </c>
      <c r="D5029" t="str">
        <f>VLOOKUP(B5029,Products!$A:$E,2,FALSE)</f>
        <v>Product_365</v>
      </c>
      <c r="E5029" t="str">
        <f>VLOOKUP(B5029,Products!$A:$E,3,FALSE)</f>
        <v>Storage</v>
      </c>
    </row>
    <row r="5030" spans="1:5" x14ac:dyDescent="0.3">
      <c r="A5030" t="s">
        <v>11042</v>
      </c>
      <c r="B5030" t="s">
        <v>372</v>
      </c>
      <c r="C5030">
        <v>39</v>
      </c>
      <c r="D5030" t="str">
        <f>VLOOKUP(B5030,Products!$A:$E,2,FALSE)</f>
        <v>Product_182</v>
      </c>
      <c r="E5030" t="str">
        <f>VLOOKUP(B5030,Products!$A:$E,3,FALSE)</f>
        <v>Storage</v>
      </c>
    </row>
    <row r="5031" spans="1:5" x14ac:dyDescent="0.3">
      <c r="A5031" t="s">
        <v>11043</v>
      </c>
      <c r="B5031" t="s">
        <v>828</v>
      </c>
      <c r="C5031">
        <v>32</v>
      </c>
      <c r="D5031" t="str">
        <f>VLOOKUP(B5031,Products!$A:$E,2,FALSE)</f>
        <v>Product_410</v>
      </c>
      <c r="E5031" t="str">
        <f>VLOOKUP(B5031,Products!$A:$E,3,FALSE)</f>
        <v>Storage</v>
      </c>
    </row>
    <row r="5032" spans="1:5" x14ac:dyDescent="0.3">
      <c r="A5032" t="s">
        <v>11044</v>
      </c>
      <c r="B5032" t="s">
        <v>26</v>
      </c>
      <c r="C5032">
        <v>40</v>
      </c>
      <c r="D5032" t="str">
        <f>VLOOKUP(B5032,Products!$A:$E,2,FALSE)</f>
        <v>Product_9</v>
      </c>
      <c r="E5032" t="str">
        <f>VLOOKUP(B5032,Products!$A:$E,3,FALSE)</f>
        <v>Storage</v>
      </c>
    </row>
    <row r="5033" spans="1:5" x14ac:dyDescent="0.3">
      <c r="A5033" t="s">
        <v>11045</v>
      </c>
      <c r="B5033" t="s">
        <v>922</v>
      </c>
      <c r="C5033">
        <v>38</v>
      </c>
      <c r="D5033" t="str">
        <f>VLOOKUP(B5033,Products!$A:$E,2,FALSE)</f>
        <v>Product_457</v>
      </c>
      <c r="E5033" t="str">
        <f>VLOOKUP(B5033,Products!$A:$E,3,FALSE)</f>
        <v>Networking</v>
      </c>
    </row>
    <row r="5034" spans="1:5" x14ac:dyDescent="0.3">
      <c r="A5034" t="s">
        <v>11046</v>
      </c>
      <c r="B5034" t="s">
        <v>436</v>
      </c>
      <c r="C5034">
        <v>11</v>
      </c>
      <c r="D5034" t="str">
        <f>VLOOKUP(B5034,Products!$A:$E,2,FALSE)</f>
        <v>Product_214</v>
      </c>
      <c r="E5034" t="str">
        <f>VLOOKUP(B5034,Products!$A:$E,3,FALSE)</f>
        <v>Electronics</v>
      </c>
    </row>
    <row r="5035" spans="1:5" x14ac:dyDescent="0.3">
      <c r="A5035" t="s">
        <v>11047</v>
      </c>
      <c r="B5035" t="s">
        <v>382</v>
      </c>
      <c r="C5035">
        <v>17</v>
      </c>
      <c r="D5035" t="str">
        <f>VLOOKUP(B5035,Products!$A:$E,2,FALSE)</f>
        <v>Product_187</v>
      </c>
      <c r="E5035" t="str">
        <f>VLOOKUP(B5035,Products!$A:$E,3,FALSE)</f>
        <v>Electronics</v>
      </c>
    </row>
    <row r="5036" spans="1:5" x14ac:dyDescent="0.3">
      <c r="A5036" t="s">
        <v>11048</v>
      </c>
      <c r="B5036" t="s">
        <v>206</v>
      </c>
      <c r="C5036">
        <v>33</v>
      </c>
      <c r="D5036" t="str">
        <f>VLOOKUP(B5036,Products!$A:$E,2,FALSE)</f>
        <v>Product_99</v>
      </c>
      <c r="E5036" t="str">
        <f>VLOOKUP(B5036,Products!$A:$E,3,FALSE)</f>
        <v>Accessories</v>
      </c>
    </row>
    <row r="5037" spans="1:5" x14ac:dyDescent="0.3">
      <c r="A5037" t="s">
        <v>11049</v>
      </c>
      <c r="B5037" t="s">
        <v>296</v>
      </c>
      <c r="C5037">
        <v>34</v>
      </c>
      <c r="D5037" t="str">
        <f>VLOOKUP(B5037,Products!$A:$E,2,FALSE)</f>
        <v>Product_144</v>
      </c>
      <c r="E5037" t="str">
        <f>VLOOKUP(B5037,Products!$A:$E,3,FALSE)</f>
        <v>Office Supplies</v>
      </c>
    </row>
    <row r="5038" spans="1:5" x14ac:dyDescent="0.3">
      <c r="A5038" t="s">
        <v>11050</v>
      </c>
      <c r="B5038" t="s">
        <v>934</v>
      </c>
      <c r="C5038">
        <v>2</v>
      </c>
      <c r="D5038" t="str">
        <f>VLOOKUP(B5038,Products!$A:$E,2,FALSE)</f>
        <v>Product_463</v>
      </c>
      <c r="E5038" t="str">
        <f>VLOOKUP(B5038,Products!$A:$E,3,FALSE)</f>
        <v>Networking</v>
      </c>
    </row>
    <row r="5039" spans="1:5" x14ac:dyDescent="0.3">
      <c r="A5039" t="s">
        <v>11051</v>
      </c>
      <c r="B5039" t="s">
        <v>510</v>
      </c>
      <c r="C5039">
        <v>21</v>
      </c>
      <c r="D5039" t="str">
        <f>VLOOKUP(B5039,Products!$A:$E,2,FALSE)</f>
        <v>Product_251</v>
      </c>
      <c r="E5039" t="str">
        <f>VLOOKUP(B5039,Products!$A:$E,3,FALSE)</f>
        <v>Electronics</v>
      </c>
    </row>
    <row r="5040" spans="1:5" x14ac:dyDescent="0.3">
      <c r="A5040" t="s">
        <v>11052</v>
      </c>
      <c r="B5040" t="s">
        <v>936</v>
      </c>
      <c r="C5040">
        <v>11</v>
      </c>
      <c r="D5040" t="str">
        <f>VLOOKUP(B5040,Products!$A:$E,2,FALSE)</f>
        <v>Product_464</v>
      </c>
      <c r="E5040" t="str">
        <f>VLOOKUP(B5040,Products!$A:$E,3,FALSE)</f>
        <v>Office Supplies</v>
      </c>
    </row>
    <row r="5041" spans="1:5" x14ac:dyDescent="0.3">
      <c r="A5041" t="s">
        <v>11053</v>
      </c>
      <c r="B5041" t="s">
        <v>62</v>
      </c>
      <c r="C5041">
        <v>42</v>
      </c>
      <c r="D5041" t="str">
        <f>VLOOKUP(B5041,Products!$A:$E,2,FALSE)</f>
        <v>Product_27</v>
      </c>
      <c r="E5041" t="str">
        <f>VLOOKUP(B5041,Products!$A:$E,3,FALSE)</f>
        <v>Office Supplies</v>
      </c>
    </row>
    <row r="5042" spans="1:5" x14ac:dyDescent="0.3">
      <c r="A5042" t="s">
        <v>11054</v>
      </c>
      <c r="B5042" t="s">
        <v>254</v>
      </c>
      <c r="C5042">
        <v>45</v>
      </c>
      <c r="D5042" t="str">
        <f>VLOOKUP(B5042,Products!$A:$E,2,FALSE)</f>
        <v>Product_123</v>
      </c>
      <c r="E5042" t="str">
        <f>VLOOKUP(B5042,Products!$A:$E,3,FALSE)</f>
        <v>Electronics</v>
      </c>
    </row>
    <row r="5043" spans="1:5" x14ac:dyDescent="0.3">
      <c r="A5043" t="s">
        <v>11055</v>
      </c>
      <c r="B5043" t="s">
        <v>322</v>
      </c>
      <c r="C5043">
        <v>17</v>
      </c>
      <c r="D5043" t="str">
        <f>VLOOKUP(B5043,Products!$A:$E,2,FALSE)</f>
        <v>Product_157</v>
      </c>
      <c r="E5043" t="str">
        <f>VLOOKUP(B5043,Products!$A:$E,3,FALSE)</f>
        <v>Electronics</v>
      </c>
    </row>
    <row r="5044" spans="1:5" x14ac:dyDescent="0.3">
      <c r="A5044" t="s">
        <v>11056</v>
      </c>
      <c r="B5044" t="s">
        <v>468</v>
      </c>
      <c r="C5044">
        <v>28</v>
      </c>
      <c r="D5044" t="str">
        <f>VLOOKUP(B5044,Products!$A:$E,2,FALSE)</f>
        <v>Product_230</v>
      </c>
      <c r="E5044" t="str">
        <f>VLOOKUP(B5044,Products!$A:$E,3,FALSE)</f>
        <v>Electronics</v>
      </c>
    </row>
    <row r="5045" spans="1:5" x14ac:dyDescent="0.3">
      <c r="A5045" t="s">
        <v>11057</v>
      </c>
      <c r="B5045" t="s">
        <v>354</v>
      </c>
      <c r="C5045">
        <v>3</v>
      </c>
      <c r="D5045" t="str">
        <f>VLOOKUP(B5045,Products!$A:$E,2,FALSE)</f>
        <v>Product_173</v>
      </c>
      <c r="E5045" t="str">
        <f>VLOOKUP(B5045,Products!$A:$E,3,FALSE)</f>
        <v>Electronics</v>
      </c>
    </row>
    <row r="5046" spans="1:5" x14ac:dyDescent="0.3">
      <c r="A5046" t="s">
        <v>11058</v>
      </c>
      <c r="B5046" t="s">
        <v>288</v>
      </c>
      <c r="C5046">
        <v>48</v>
      </c>
      <c r="D5046" t="str">
        <f>VLOOKUP(B5046,Products!$A:$E,2,FALSE)</f>
        <v>Product_140</v>
      </c>
      <c r="E5046" t="str">
        <f>VLOOKUP(B5046,Products!$A:$E,3,FALSE)</f>
        <v>Electronics</v>
      </c>
    </row>
    <row r="5047" spans="1:5" x14ac:dyDescent="0.3">
      <c r="A5047" t="s">
        <v>11059</v>
      </c>
      <c r="B5047" t="s">
        <v>786</v>
      </c>
      <c r="C5047">
        <v>43</v>
      </c>
      <c r="D5047" t="str">
        <f>VLOOKUP(B5047,Products!$A:$E,2,FALSE)</f>
        <v>Product_389</v>
      </c>
      <c r="E5047" t="str">
        <f>VLOOKUP(B5047,Products!$A:$E,3,FALSE)</f>
        <v>Networking</v>
      </c>
    </row>
    <row r="5048" spans="1:5" x14ac:dyDescent="0.3">
      <c r="A5048" t="s">
        <v>11060</v>
      </c>
      <c r="B5048" t="s">
        <v>478</v>
      </c>
      <c r="C5048">
        <v>43</v>
      </c>
      <c r="D5048" t="str">
        <f>VLOOKUP(B5048,Products!$A:$E,2,FALSE)</f>
        <v>Product_235</v>
      </c>
      <c r="E5048" t="str">
        <f>VLOOKUP(B5048,Products!$A:$E,3,FALSE)</f>
        <v>Accessories</v>
      </c>
    </row>
    <row r="5049" spans="1:5" x14ac:dyDescent="0.3">
      <c r="A5049" t="s">
        <v>11061</v>
      </c>
      <c r="B5049" t="s">
        <v>92</v>
      </c>
      <c r="C5049">
        <v>22</v>
      </c>
      <c r="D5049" t="str">
        <f>VLOOKUP(B5049,Products!$A:$E,2,FALSE)</f>
        <v>Product_42</v>
      </c>
      <c r="E5049" t="str">
        <f>VLOOKUP(B5049,Products!$A:$E,3,FALSE)</f>
        <v>Storage</v>
      </c>
    </row>
    <row r="5050" spans="1:5" x14ac:dyDescent="0.3">
      <c r="A5050" t="s">
        <v>11062</v>
      </c>
      <c r="B5050" t="s">
        <v>574</v>
      </c>
      <c r="C5050">
        <v>3</v>
      </c>
      <c r="D5050" t="str">
        <f>VLOOKUP(B5050,Products!$A:$E,2,FALSE)</f>
        <v>Product_283</v>
      </c>
      <c r="E5050" t="str">
        <f>VLOOKUP(B5050,Products!$A:$E,3,FALSE)</f>
        <v>Networking</v>
      </c>
    </row>
    <row r="5051" spans="1:5" x14ac:dyDescent="0.3">
      <c r="A5051" t="s">
        <v>11063</v>
      </c>
      <c r="B5051" t="s">
        <v>142</v>
      </c>
      <c r="C5051">
        <v>40</v>
      </c>
      <c r="D5051" t="str">
        <f>VLOOKUP(B5051,Products!$A:$E,2,FALSE)</f>
        <v>Product_67</v>
      </c>
      <c r="E5051" t="str">
        <f>VLOOKUP(B5051,Products!$A:$E,3,FALSE)</f>
        <v>Office Supplies</v>
      </c>
    </row>
    <row r="5052" spans="1:5" x14ac:dyDescent="0.3">
      <c r="A5052" t="s">
        <v>11064</v>
      </c>
      <c r="B5052" t="s">
        <v>20</v>
      </c>
      <c r="C5052">
        <v>48</v>
      </c>
      <c r="D5052" t="str">
        <f>VLOOKUP(B5052,Products!$A:$E,2,FALSE)</f>
        <v>Product_6</v>
      </c>
      <c r="E5052" t="str">
        <f>VLOOKUP(B5052,Products!$A:$E,3,FALSE)</f>
        <v>Electronics</v>
      </c>
    </row>
    <row r="5053" spans="1:5" x14ac:dyDescent="0.3">
      <c r="A5053" t="s">
        <v>11065</v>
      </c>
      <c r="B5053" t="s">
        <v>596</v>
      </c>
      <c r="C5053">
        <v>2</v>
      </c>
      <c r="D5053" t="str">
        <f>VLOOKUP(B5053,Products!$A:$E,2,FALSE)</f>
        <v>Product_294</v>
      </c>
      <c r="E5053" t="str">
        <f>VLOOKUP(B5053,Products!$A:$E,3,FALSE)</f>
        <v>Networking</v>
      </c>
    </row>
    <row r="5054" spans="1:5" x14ac:dyDescent="0.3">
      <c r="A5054" t="s">
        <v>11066</v>
      </c>
      <c r="B5054" t="s">
        <v>318</v>
      </c>
      <c r="C5054">
        <v>25</v>
      </c>
      <c r="D5054" t="str">
        <f>VLOOKUP(B5054,Products!$A:$E,2,FALSE)</f>
        <v>Product_155</v>
      </c>
      <c r="E5054" t="str">
        <f>VLOOKUP(B5054,Products!$A:$E,3,FALSE)</f>
        <v>Office Supplies</v>
      </c>
    </row>
    <row r="5055" spans="1:5" x14ac:dyDescent="0.3">
      <c r="A5055" t="s">
        <v>11067</v>
      </c>
      <c r="B5055" t="s">
        <v>214</v>
      </c>
      <c r="C5055">
        <v>31</v>
      </c>
      <c r="D5055" t="str">
        <f>VLOOKUP(B5055,Products!$A:$E,2,FALSE)</f>
        <v>Product_103</v>
      </c>
      <c r="E5055" t="str">
        <f>VLOOKUP(B5055,Products!$A:$E,3,FALSE)</f>
        <v>Accessories</v>
      </c>
    </row>
    <row r="5056" spans="1:5" x14ac:dyDescent="0.3">
      <c r="A5056" t="s">
        <v>11068</v>
      </c>
      <c r="B5056" t="s">
        <v>398</v>
      </c>
      <c r="C5056">
        <v>25</v>
      </c>
      <c r="D5056" t="str">
        <f>VLOOKUP(B5056,Products!$A:$E,2,FALSE)</f>
        <v>Product_195</v>
      </c>
      <c r="E5056" t="str">
        <f>VLOOKUP(B5056,Products!$A:$E,3,FALSE)</f>
        <v>Accessories</v>
      </c>
    </row>
    <row r="5057" spans="1:5" x14ac:dyDescent="0.3">
      <c r="A5057" t="s">
        <v>11069</v>
      </c>
      <c r="B5057" t="s">
        <v>46</v>
      </c>
      <c r="C5057">
        <v>45</v>
      </c>
      <c r="D5057" t="str">
        <f>VLOOKUP(B5057,Products!$A:$E,2,FALSE)</f>
        <v>Product_19</v>
      </c>
      <c r="E5057" t="str">
        <f>VLOOKUP(B5057,Products!$A:$E,3,FALSE)</f>
        <v>Networking</v>
      </c>
    </row>
    <row r="5058" spans="1:5" x14ac:dyDescent="0.3">
      <c r="A5058" t="s">
        <v>11070</v>
      </c>
      <c r="B5058" t="s">
        <v>698</v>
      </c>
      <c r="C5058">
        <v>18</v>
      </c>
      <c r="D5058" t="str">
        <f>VLOOKUP(B5058,Products!$A:$E,2,FALSE)</f>
        <v>Product_345</v>
      </c>
      <c r="E5058" t="str">
        <f>VLOOKUP(B5058,Products!$A:$E,3,FALSE)</f>
        <v>Storage</v>
      </c>
    </row>
    <row r="5059" spans="1:5" x14ac:dyDescent="0.3">
      <c r="A5059" t="s">
        <v>11071</v>
      </c>
      <c r="B5059" t="s">
        <v>722</v>
      </c>
      <c r="C5059">
        <v>25</v>
      </c>
      <c r="D5059" t="str">
        <f>VLOOKUP(B5059,Products!$A:$E,2,FALSE)</f>
        <v>Product_357</v>
      </c>
      <c r="E5059" t="str">
        <f>VLOOKUP(B5059,Products!$A:$E,3,FALSE)</f>
        <v>Accessories</v>
      </c>
    </row>
    <row r="5060" spans="1:5" x14ac:dyDescent="0.3">
      <c r="A5060" t="s">
        <v>11072</v>
      </c>
      <c r="B5060" t="s">
        <v>352</v>
      </c>
      <c r="C5060">
        <v>24</v>
      </c>
      <c r="D5060" t="str">
        <f>VLOOKUP(B5060,Products!$A:$E,2,FALSE)</f>
        <v>Product_172</v>
      </c>
      <c r="E5060" t="str">
        <f>VLOOKUP(B5060,Products!$A:$E,3,FALSE)</f>
        <v>Networking</v>
      </c>
    </row>
    <row r="5061" spans="1:5" x14ac:dyDescent="0.3">
      <c r="A5061" t="s">
        <v>11073</v>
      </c>
      <c r="B5061" t="s">
        <v>832</v>
      </c>
      <c r="C5061">
        <v>33</v>
      </c>
      <c r="D5061" t="str">
        <f>VLOOKUP(B5061,Products!$A:$E,2,FALSE)</f>
        <v>Product_412</v>
      </c>
      <c r="E5061" t="str">
        <f>VLOOKUP(B5061,Products!$A:$E,3,FALSE)</f>
        <v>Accessories</v>
      </c>
    </row>
    <row r="5062" spans="1:5" x14ac:dyDescent="0.3">
      <c r="A5062" t="s">
        <v>11074</v>
      </c>
      <c r="B5062" t="s">
        <v>884</v>
      </c>
      <c r="C5062">
        <v>28</v>
      </c>
      <c r="D5062" t="str">
        <f>VLOOKUP(B5062,Products!$A:$E,2,FALSE)</f>
        <v>Product_438</v>
      </c>
      <c r="E5062" t="str">
        <f>VLOOKUP(B5062,Products!$A:$E,3,FALSE)</f>
        <v>Electronics</v>
      </c>
    </row>
    <row r="5063" spans="1:5" x14ac:dyDescent="0.3">
      <c r="A5063" t="s">
        <v>11075</v>
      </c>
      <c r="B5063" t="s">
        <v>426</v>
      </c>
      <c r="C5063">
        <v>46</v>
      </c>
      <c r="D5063" t="str">
        <f>VLOOKUP(B5063,Products!$A:$E,2,FALSE)</f>
        <v>Product_209</v>
      </c>
      <c r="E5063" t="str">
        <f>VLOOKUP(B5063,Products!$A:$E,3,FALSE)</f>
        <v>Networking</v>
      </c>
    </row>
    <row r="5064" spans="1:5" x14ac:dyDescent="0.3">
      <c r="A5064" t="s">
        <v>11076</v>
      </c>
      <c r="B5064" t="s">
        <v>360</v>
      </c>
      <c r="C5064">
        <v>9</v>
      </c>
      <c r="D5064" t="str">
        <f>VLOOKUP(B5064,Products!$A:$E,2,FALSE)</f>
        <v>Product_176</v>
      </c>
      <c r="E5064" t="str">
        <f>VLOOKUP(B5064,Products!$A:$E,3,FALSE)</f>
        <v>Electronics</v>
      </c>
    </row>
    <row r="5065" spans="1:5" x14ac:dyDescent="0.3">
      <c r="A5065" t="s">
        <v>11077</v>
      </c>
      <c r="B5065" t="s">
        <v>974</v>
      </c>
      <c r="C5065">
        <v>23</v>
      </c>
      <c r="D5065" t="str">
        <f>VLOOKUP(B5065,Products!$A:$E,2,FALSE)</f>
        <v>Product_483</v>
      </c>
      <c r="E5065" t="str">
        <f>VLOOKUP(B5065,Products!$A:$E,3,FALSE)</f>
        <v>Electronics</v>
      </c>
    </row>
    <row r="5066" spans="1:5" x14ac:dyDescent="0.3">
      <c r="A5066" t="s">
        <v>11078</v>
      </c>
      <c r="B5066" t="s">
        <v>746</v>
      </c>
      <c r="C5066">
        <v>17</v>
      </c>
      <c r="D5066" t="str">
        <f>VLOOKUP(B5066,Products!$A:$E,2,FALSE)</f>
        <v>Product_369</v>
      </c>
      <c r="E5066" t="str">
        <f>VLOOKUP(B5066,Products!$A:$E,3,FALSE)</f>
        <v>Accessories</v>
      </c>
    </row>
    <row r="5067" spans="1:5" x14ac:dyDescent="0.3">
      <c r="A5067" t="s">
        <v>11079</v>
      </c>
      <c r="B5067" t="s">
        <v>574</v>
      </c>
      <c r="C5067">
        <v>13</v>
      </c>
      <c r="D5067" t="str">
        <f>VLOOKUP(B5067,Products!$A:$E,2,FALSE)</f>
        <v>Product_283</v>
      </c>
      <c r="E5067" t="str">
        <f>VLOOKUP(B5067,Products!$A:$E,3,FALSE)</f>
        <v>Networking</v>
      </c>
    </row>
    <row r="5068" spans="1:5" x14ac:dyDescent="0.3">
      <c r="A5068" t="s">
        <v>11080</v>
      </c>
      <c r="B5068" t="s">
        <v>510</v>
      </c>
      <c r="C5068">
        <v>19</v>
      </c>
      <c r="D5068" t="str">
        <f>VLOOKUP(B5068,Products!$A:$E,2,FALSE)</f>
        <v>Product_251</v>
      </c>
      <c r="E5068" t="str">
        <f>VLOOKUP(B5068,Products!$A:$E,3,FALSE)</f>
        <v>Electronics</v>
      </c>
    </row>
    <row r="5069" spans="1:5" x14ac:dyDescent="0.3">
      <c r="A5069" t="s">
        <v>11081</v>
      </c>
      <c r="B5069" t="s">
        <v>282</v>
      </c>
      <c r="C5069">
        <v>6</v>
      </c>
      <c r="D5069" t="str">
        <f>VLOOKUP(B5069,Products!$A:$E,2,FALSE)</f>
        <v>Product_137</v>
      </c>
      <c r="E5069" t="str">
        <f>VLOOKUP(B5069,Products!$A:$E,3,FALSE)</f>
        <v>Storage</v>
      </c>
    </row>
    <row r="5070" spans="1:5" x14ac:dyDescent="0.3">
      <c r="A5070" t="s">
        <v>11082</v>
      </c>
      <c r="B5070" t="s">
        <v>944</v>
      </c>
      <c r="C5070">
        <v>29</v>
      </c>
      <c r="D5070" t="str">
        <f>VLOOKUP(B5070,Products!$A:$E,2,FALSE)</f>
        <v>Product_468</v>
      </c>
      <c r="E5070" t="str">
        <f>VLOOKUP(B5070,Products!$A:$E,3,FALSE)</f>
        <v>Office Supplies</v>
      </c>
    </row>
    <row r="5071" spans="1:5" x14ac:dyDescent="0.3">
      <c r="A5071" t="s">
        <v>11083</v>
      </c>
      <c r="B5071" t="s">
        <v>950</v>
      </c>
      <c r="C5071">
        <v>43</v>
      </c>
      <c r="D5071" t="str">
        <f>VLOOKUP(B5071,Products!$A:$E,2,FALSE)</f>
        <v>Product_471</v>
      </c>
      <c r="E5071" t="str">
        <f>VLOOKUP(B5071,Products!$A:$E,3,FALSE)</f>
        <v>Office Supplies</v>
      </c>
    </row>
    <row r="5072" spans="1:5" x14ac:dyDescent="0.3">
      <c r="A5072" t="s">
        <v>11084</v>
      </c>
      <c r="B5072" t="s">
        <v>96</v>
      </c>
      <c r="C5072">
        <v>43</v>
      </c>
      <c r="D5072" t="str">
        <f>VLOOKUP(B5072,Products!$A:$E,2,FALSE)</f>
        <v>Product_44</v>
      </c>
      <c r="E5072" t="str">
        <f>VLOOKUP(B5072,Products!$A:$E,3,FALSE)</f>
        <v>Storage</v>
      </c>
    </row>
    <row r="5073" spans="1:5" x14ac:dyDescent="0.3">
      <c r="A5073" t="s">
        <v>11085</v>
      </c>
      <c r="B5073" t="s">
        <v>944</v>
      </c>
      <c r="C5073">
        <v>21</v>
      </c>
      <c r="D5073" t="str">
        <f>VLOOKUP(B5073,Products!$A:$E,2,FALSE)</f>
        <v>Product_468</v>
      </c>
      <c r="E5073" t="str">
        <f>VLOOKUP(B5073,Products!$A:$E,3,FALSE)</f>
        <v>Office Supplies</v>
      </c>
    </row>
    <row r="5074" spans="1:5" x14ac:dyDescent="0.3">
      <c r="A5074" t="s">
        <v>11086</v>
      </c>
      <c r="B5074" t="s">
        <v>892</v>
      </c>
      <c r="C5074">
        <v>33</v>
      </c>
      <c r="D5074" t="str">
        <f>VLOOKUP(B5074,Products!$A:$E,2,FALSE)</f>
        <v>Product_442</v>
      </c>
      <c r="E5074" t="str">
        <f>VLOOKUP(B5074,Products!$A:$E,3,FALSE)</f>
        <v>Networking</v>
      </c>
    </row>
    <row r="5075" spans="1:5" x14ac:dyDescent="0.3">
      <c r="A5075" t="s">
        <v>11087</v>
      </c>
      <c r="B5075" t="s">
        <v>926</v>
      </c>
      <c r="C5075">
        <v>8</v>
      </c>
      <c r="D5075" t="str">
        <f>VLOOKUP(B5075,Products!$A:$E,2,FALSE)</f>
        <v>Product_459</v>
      </c>
      <c r="E5075" t="str">
        <f>VLOOKUP(B5075,Products!$A:$E,3,FALSE)</f>
        <v>Office Supplies</v>
      </c>
    </row>
    <row r="5076" spans="1:5" x14ac:dyDescent="0.3">
      <c r="A5076" t="s">
        <v>11088</v>
      </c>
      <c r="B5076" t="s">
        <v>32</v>
      </c>
      <c r="C5076">
        <v>9</v>
      </c>
      <c r="D5076" t="str">
        <f>VLOOKUP(B5076,Products!$A:$E,2,FALSE)</f>
        <v>Product_12</v>
      </c>
      <c r="E5076" t="str">
        <f>VLOOKUP(B5076,Products!$A:$E,3,FALSE)</f>
        <v>Accessories</v>
      </c>
    </row>
    <row r="5077" spans="1:5" x14ac:dyDescent="0.3">
      <c r="A5077" t="s">
        <v>11089</v>
      </c>
      <c r="B5077" t="s">
        <v>834</v>
      </c>
      <c r="C5077">
        <v>49</v>
      </c>
      <c r="D5077" t="str">
        <f>VLOOKUP(B5077,Products!$A:$E,2,FALSE)</f>
        <v>Product_413</v>
      </c>
      <c r="E5077" t="str">
        <f>VLOOKUP(B5077,Products!$A:$E,3,FALSE)</f>
        <v>Accessories</v>
      </c>
    </row>
    <row r="5078" spans="1:5" x14ac:dyDescent="0.3">
      <c r="A5078" t="s">
        <v>11090</v>
      </c>
      <c r="B5078" t="s">
        <v>118</v>
      </c>
      <c r="C5078">
        <v>16</v>
      </c>
      <c r="D5078" t="str">
        <f>VLOOKUP(B5078,Products!$A:$E,2,FALSE)</f>
        <v>Product_55</v>
      </c>
      <c r="E5078" t="str">
        <f>VLOOKUP(B5078,Products!$A:$E,3,FALSE)</f>
        <v>Office Supplies</v>
      </c>
    </row>
    <row r="5079" spans="1:5" x14ac:dyDescent="0.3">
      <c r="A5079" t="s">
        <v>11091</v>
      </c>
      <c r="B5079" t="s">
        <v>86</v>
      </c>
      <c r="C5079">
        <v>12</v>
      </c>
      <c r="D5079" t="str">
        <f>VLOOKUP(B5079,Products!$A:$E,2,FALSE)</f>
        <v>Product_39</v>
      </c>
      <c r="E5079" t="str">
        <f>VLOOKUP(B5079,Products!$A:$E,3,FALSE)</f>
        <v>Networking</v>
      </c>
    </row>
    <row r="5080" spans="1:5" x14ac:dyDescent="0.3">
      <c r="A5080" t="s">
        <v>11092</v>
      </c>
      <c r="B5080" t="s">
        <v>392</v>
      </c>
      <c r="C5080">
        <v>5</v>
      </c>
      <c r="D5080" t="str">
        <f>VLOOKUP(B5080,Products!$A:$E,2,FALSE)</f>
        <v>Product_192</v>
      </c>
      <c r="E5080" t="str">
        <f>VLOOKUP(B5080,Products!$A:$E,3,FALSE)</f>
        <v>Office Supplies</v>
      </c>
    </row>
    <row r="5081" spans="1:5" x14ac:dyDescent="0.3">
      <c r="A5081" t="s">
        <v>11093</v>
      </c>
      <c r="B5081" t="s">
        <v>166</v>
      </c>
      <c r="C5081">
        <v>37</v>
      </c>
      <c r="D5081" t="str">
        <f>VLOOKUP(B5081,Products!$A:$E,2,FALSE)</f>
        <v>Product_79</v>
      </c>
      <c r="E5081" t="str">
        <f>VLOOKUP(B5081,Products!$A:$E,3,FALSE)</f>
        <v>Storage</v>
      </c>
    </row>
    <row r="5082" spans="1:5" x14ac:dyDescent="0.3">
      <c r="A5082" t="s">
        <v>11094</v>
      </c>
      <c r="B5082" t="s">
        <v>830</v>
      </c>
      <c r="C5082">
        <v>16</v>
      </c>
      <c r="D5082" t="str">
        <f>VLOOKUP(B5082,Products!$A:$E,2,FALSE)</f>
        <v>Product_411</v>
      </c>
      <c r="E5082" t="str">
        <f>VLOOKUP(B5082,Products!$A:$E,3,FALSE)</f>
        <v>Office Supplies</v>
      </c>
    </row>
    <row r="5083" spans="1:5" x14ac:dyDescent="0.3">
      <c r="A5083" t="s">
        <v>11095</v>
      </c>
      <c r="B5083" t="s">
        <v>806</v>
      </c>
      <c r="C5083">
        <v>6</v>
      </c>
      <c r="D5083" t="str">
        <f>VLOOKUP(B5083,Products!$A:$E,2,FALSE)</f>
        <v>Product_399</v>
      </c>
      <c r="E5083" t="str">
        <f>VLOOKUP(B5083,Products!$A:$E,3,FALSE)</f>
        <v>Networking</v>
      </c>
    </row>
    <row r="5084" spans="1:5" x14ac:dyDescent="0.3">
      <c r="A5084" t="s">
        <v>11096</v>
      </c>
      <c r="B5084" t="s">
        <v>894</v>
      </c>
      <c r="C5084">
        <v>5</v>
      </c>
      <c r="D5084" t="str">
        <f>VLOOKUP(B5084,Products!$A:$E,2,FALSE)</f>
        <v>Product_443</v>
      </c>
      <c r="E5084" t="str">
        <f>VLOOKUP(B5084,Products!$A:$E,3,FALSE)</f>
        <v>Networking</v>
      </c>
    </row>
    <row r="5085" spans="1:5" x14ac:dyDescent="0.3">
      <c r="A5085" t="s">
        <v>11097</v>
      </c>
      <c r="B5085" t="s">
        <v>17</v>
      </c>
      <c r="C5085">
        <v>47</v>
      </c>
      <c r="D5085" t="str">
        <f>VLOOKUP(B5085,Products!$A:$E,2,FALSE)</f>
        <v>Product_5</v>
      </c>
      <c r="E5085" t="str">
        <f>VLOOKUP(B5085,Products!$A:$E,3,FALSE)</f>
        <v>Networking</v>
      </c>
    </row>
    <row r="5086" spans="1:5" x14ac:dyDescent="0.3">
      <c r="A5086" t="s">
        <v>11098</v>
      </c>
      <c r="B5086" t="s">
        <v>22</v>
      </c>
      <c r="C5086">
        <v>48</v>
      </c>
      <c r="D5086" t="str">
        <f>VLOOKUP(B5086,Products!$A:$E,2,FALSE)</f>
        <v>Product_7</v>
      </c>
      <c r="E5086" t="str">
        <f>VLOOKUP(B5086,Products!$A:$E,3,FALSE)</f>
        <v>Storage</v>
      </c>
    </row>
    <row r="5087" spans="1:5" x14ac:dyDescent="0.3">
      <c r="A5087" t="s">
        <v>11099</v>
      </c>
      <c r="B5087" t="s">
        <v>836</v>
      </c>
      <c r="C5087">
        <v>22</v>
      </c>
      <c r="D5087" t="str">
        <f>VLOOKUP(B5087,Products!$A:$E,2,FALSE)</f>
        <v>Product_414</v>
      </c>
      <c r="E5087" t="str">
        <f>VLOOKUP(B5087,Products!$A:$E,3,FALSE)</f>
        <v>Office Supplies</v>
      </c>
    </row>
    <row r="5088" spans="1:5" x14ac:dyDescent="0.3">
      <c r="A5088" t="s">
        <v>11100</v>
      </c>
      <c r="B5088" t="s">
        <v>900</v>
      </c>
      <c r="C5088">
        <v>40</v>
      </c>
      <c r="D5088" t="str">
        <f>VLOOKUP(B5088,Products!$A:$E,2,FALSE)</f>
        <v>Product_446</v>
      </c>
      <c r="E5088" t="str">
        <f>VLOOKUP(B5088,Products!$A:$E,3,FALSE)</f>
        <v>Accessories</v>
      </c>
    </row>
    <row r="5089" spans="1:5" x14ac:dyDescent="0.3">
      <c r="A5089" t="s">
        <v>11101</v>
      </c>
      <c r="B5089" t="s">
        <v>82</v>
      </c>
      <c r="C5089">
        <v>10</v>
      </c>
      <c r="D5089" t="str">
        <f>VLOOKUP(B5089,Products!$A:$E,2,FALSE)</f>
        <v>Product_37</v>
      </c>
      <c r="E5089" t="str">
        <f>VLOOKUP(B5089,Products!$A:$E,3,FALSE)</f>
        <v>Storage</v>
      </c>
    </row>
    <row r="5090" spans="1:5" x14ac:dyDescent="0.3">
      <c r="A5090" t="s">
        <v>11102</v>
      </c>
      <c r="B5090" t="s">
        <v>606</v>
      </c>
      <c r="C5090">
        <v>41</v>
      </c>
      <c r="D5090" t="str">
        <f>VLOOKUP(B5090,Products!$A:$E,2,FALSE)</f>
        <v>Product_299</v>
      </c>
      <c r="E5090" t="str">
        <f>VLOOKUP(B5090,Products!$A:$E,3,FALSE)</f>
        <v>Storage</v>
      </c>
    </row>
    <row r="5091" spans="1:5" x14ac:dyDescent="0.3">
      <c r="A5091" t="s">
        <v>11103</v>
      </c>
      <c r="B5091" t="s">
        <v>998</v>
      </c>
      <c r="C5091">
        <v>30</v>
      </c>
      <c r="D5091" t="str">
        <f>VLOOKUP(B5091,Products!$A:$E,2,FALSE)</f>
        <v>Product_495</v>
      </c>
      <c r="E5091" t="str">
        <f>VLOOKUP(B5091,Products!$A:$E,3,FALSE)</f>
        <v>Networking</v>
      </c>
    </row>
    <row r="5092" spans="1:5" x14ac:dyDescent="0.3">
      <c r="A5092" t="s">
        <v>11104</v>
      </c>
      <c r="B5092" t="s">
        <v>656</v>
      </c>
      <c r="C5092">
        <v>22</v>
      </c>
      <c r="D5092" t="str">
        <f>VLOOKUP(B5092,Products!$A:$E,2,FALSE)</f>
        <v>Product_324</v>
      </c>
      <c r="E5092" t="str">
        <f>VLOOKUP(B5092,Products!$A:$E,3,FALSE)</f>
        <v>Accessories</v>
      </c>
    </row>
    <row r="5093" spans="1:5" x14ac:dyDescent="0.3">
      <c r="A5093" t="s">
        <v>11105</v>
      </c>
      <c r="B5093" t="s">
        <v>814</v>
      </c>
      <c r="C5093">
        <v>43</v>
      </c>
      <c r="D5093" t="str">
        <f>VLOOKUP(B5093,Products!$A:$E,2,FALSE)</f>
        <v>Product_403</v>
      </c>
      <c r="E5093" t="str">
        <f>VLOOKUP(B5093,Products!$A:$E,3,FALSE)</f>
        <v>Networking</v>
      </c>
    </row>
    <row r="5094" spans="1:5" x14ac:dyDescent="0.3">
      <c r="A5094" t="s">
        <v>11106</v>
      </c>
      <c r="B5094" t="s">
        <v>118</v>
      </c>
      <c r="C5094">
        <v>40</v>
      </c>
      <c r="D5094" t="str">
        <f>VLOOKUP(B5094,Products!$A:$E,2,FALSE)</f>
        <v>Product_55</v>
      </c>
      <c r="E5094" t="str">
        <f>VLOOKUP(B5094,Products!$A:$E,3,FALSE)</f>
        <v>Office Supplies</v>
      </c>
    </row>
    <row r="5095" spans="1:5" x14ac:dyDescent="0.3">
      <c r="A5095" t="s">
        <v>11107</v>
      </c>
      <c r="B5095" t="s">
        <v>134</v>
      </c>
      <c r="C5095">
        <v>4</v>
      </c>
      <c r="D5095" t="str">
        <f>VLOOKUP(B5095,Products!$A:$E,2,FALSE)</f>
        <v>Product_63</v>
      </c>
      <c r="E5095" t="str">
        <f>VLOOKUP(B5095,Products!$A:$E,3,FALSE)</f>
        <v>Accessories</v>
      </c>
    </row>
    <row r="5096" spans="1:5" x14ac:dyDescent="0.3">
      <c r="A5096" t="s">
        <v>11108</v>
      </c>
      <c r="B5096" t="s">
        <v>730</v>
      </c>
      <c r="C5096">
        <v>9</v>
      </c>
      <c r="D5096" t="str">
        <f>VLOOKUP(B5096,Products!$A:$E,2,FALSE)</f>
        <v>Product_361</v>
      </c>
      <c r="E5096" t="str">
        <f>VLOOKUP(B5096,Products!$A:$E,3,FALSE)</f>
        <v>Office Supplies</v>
      </c>
    </row>
    <row r="5097" spans="1:5" x14ac:dyDescent="0.3">
      <c r="A5097" t="s">
        <v>11109</v>
      </c>
      <c r="B5097" t="s">
        <v>214</v>
      </c>
      <c r="C5097">
        <v>48</v>
      </c>
      <c r="D5097" t="str">
        <f>VLOOKUP(B5097,Products!$A:$E,2,FALSE)</f>
        <v>Product_103</v>
      </c>
      <c r="E5097" t="str">
        <f>VLOOKUP(B5097,Products!$A:$E,3,FALSE)</f>
        <v>Accessories</v>
      </c>
    </row>
    <row r="5098" spans="1:5" x14ac:dyDescent="0.3">
      <c r="A5098" t="s">
        <v>11110</v>
      </c>
      <c r="B5098" t="s">
        <v>958</v>
      </c>
      <c r="C5098">
        <v>6</v>
      </c>
      <c r="D5098" t="str">
        <f>VLOOKUP(B5098,Products!$A:$E,2,FALSE)</f>
        <v>Product_475</v>
      </c>
      <c r="E5098" t="str">
        <f>VLOOKUP(B5098,Products!$A:$E,3,FALSE)</f>
        <v>Electronics</v>
      </c>
    </row>
    <row r="5099" spans="1:5" x14ac:dyDescent="0.3">
      <c r="A5099" t="s">
        <v>11111</v>
      </c>
      <c r="B5099" t="s">
        <v>200</v>
      </c>
      <c r="C5099">
        <v>6</v>
      </c>
      <c r="D5099" t="str">
        <f>VLOOKUP(B5099,Products!$A:$E,2,FALSE)</f>
        <v>Product_96</v>
      </c>
      <c r="E5099" t="str">
        <f>VLOOKUP(B5099,Products!$A:$E,3,FALSE)</f>
        <v>Office Supplies</v>
      </c>
    </row>
    <row r="5100" spans="1:5" x14ac:dyDescent="0.3">
      <c r="A5100" t="s">
        <v>11112</v>
      </c>
      <c r="B5100" t="s">
        <v>744</v>
      </c>
      <c r="C5100">
        <v>6</v>
      </c>
      <c r="D5100" t="str">
        <f>VLOOKUP(B5100,Products!$A:$E,2,FALSE)</f>
        <v>Product_368</v>
      </c>
      <c r="E5100" t="str">
        <f>VLOOKUP(B5100,Products!$A:$E,3,FALSE)</f>
        <v>Office Supplies</v>
      </c>
    </row>
    <row r="5101" spans="1:5" x14ac:dyDescent="0.3">
      <c r="A5101" t="s">
        <v>11113</v>
      </c>
      <c r="B5101" t="s">
        <v>8</v>
      </c>
      <c r="C5101">
        <v>28</v>
      </c>
      <c r="D5101" t="str">
        <f>VLOOKUP(B5101,Products!$A:$E,2,FALSE)</f>
        <v>Product_2</v>
      </c>
      <c r="E5101" t="str">
        <f>VLOOKUP(B5101,Products!$A:$E,3,FALSE)</f>
        <v>Office Supplies</v>
      </c>
    </row>
    <row r="5102" spans="1:5" x14ac:dyDescent="0.3">
      <c r="A5102" t="s">
        <v>11114</v>
      </c>
      <c r="B5102" t="s">
        <v>820</v>
      </c>
      <c r="C5102">
        <v>44</v>
      </c>
      <c r="D5102" t="str">
        <f>VLOOKUP(B5102,Products!$A:$E,2,FALSE)</f>
        <v>Product_406</v>
      </c>
      <c r="E5102" t="str">
        <f>VLOOKUP(B5102,Products!$A:$E,3,FALSE)</f>
        <v>Office Supplies</v>
      </c>
    </row>
    <row r="5103" spans="1:5" x14ac:dyDescent="0.3">
      <c r="A5103" t="s">
        <v>11115</v>
      </c>
      <c r="B5103" t="s">
        <v>248</v>
      </c>
      <c r="C5103">
        <v>14</v>
      </c>
      <c r="D5103" t="str">
        <f>VLOOKUP(B5103,Products!$A:$E,2,FALSE)</f>
        <v>Product_120</v>
      </c>
      <c r="E5103" t="str">
        <f>VLOOKUP(B5103,Products!$A:$E,3,FALSE)</f>
        <v>Accessories</v>
      </c>
    </row>
    <row r="5104" spans="1:5" x14ac:dyDescent="0.3">
      <c r="A5104" t="s">
        <v>11116</v>
      </c>
      <c r="B5104" t="s">
        <v>60</v>
      </c>
      <c r="C5104">
        <v>46</v>
      </c>
      <c r="D5104" t="str">
        <f>VLOOKUP(B5104,Products!$A:$E,2,FALSE)</f>
        <v>Product_26</v>
      </c>
      <c r="E5104" t="str">
        <f>VLOOKUP(B5104,Products!$A:$E,3,FALSE)</f>
        <v>Office Supplies</v>
      </c>
    </row>
    <row r="5105" spans="1:5" x14ac:dyDescent="0.3">
      <c r="A5105" t="s">
        <v>11117</v>
      </c>
      <c r="B5105" t="s">
        <v>90</v>
      </c>
      <c r="C5105">
        <v>25</v>
      </c>
      <c r="D5105" t="str">
        <f>VLOOKUP(B5105,Products!$A:$E,2,FALSE)</f>
        <v>Product_41</v>
      </c>
      <c r="E5105" t="str">
        <f>VLOOKUP(B5105,Products!$A:$E,3,FALSE)</f>
        <v>Accessories</v>
      </c>
    </row>
    <row r="5106" spans="1:5" x14ac:dyDescent="0.3">
      <c r="A5106" t="s">
        <v>11118</v>
      </c>
      <c r="B5106" t="s">
        <v>338</v>
      </c>
      <c r="C5106">
        <v>41</v>
      </c>
      <c r="D5106" t="str">
        <f>VLOOKUP(B5106,Products!$A:$E,2,FALSE)</f>
        <v>Product_165</v>
      </c>
      <c r="E5106" t="str">
        <f>VLOOKUP(B5106,Products!$A:$E,3,FALSE)</f>
        <v>Office Supplies</v>
      </c>
    </row>
    <row r="5107" spans="1:5" x14ac:dyDescent="0.3">
      <c r="A5107" t="s">
        <v>11119</v>
      </c>
      <c r="B5107" t="s">
        <v>552</v>
      </c>
      <c r="C5107">
        <v>13</v>
      </c>
      <c r="D5107" t="str">
        <f>VLOOKUP(B5107,Products!$A:$E,2,FALSE)</f>
        <v>Product_272</v>
      </c>
      <c r="E5107" t="str">
        <f>VLOOKUP(B5107,Products!$A:$E,3,FALSE)</f>
        <v>Office Supplies</v>
      </c>
    </row>
    <row r="5108" spans="1:5" x14ac:dyDescent="0.3">
      <c r="A5108" t="s">
        <v>11120</v>
      </c>
      <c r="B5108" t="s">
        <v>496</v>
      </c>
      <c r="C5108">
        <v>13</v>
      </c>
      <c r="D5108" t="str">
        <f>VLOOKUP(B5108,Products!$A:$E,2,FALSE)</f>
        <v>Product_244</v>
      </c>
      <c r="E5108" t="str">
        <f>VLOOKUP(B5108,Products!$A:$E,3,FALSE)</f>
        <v>Accessories</v>
      </c>
    </row>
    <row r="5109" spans="1:5" x14ac:dyDescent="0.3">
      <c r="A5109" t="s">
        <v>11121</v>
      </c>
      <c r="B5109" t="s">
        <v>734</v>
      </c>
      <c r="C5109">
        <v>32</v>
      </c>
      <c r="D5109" t="str">
        <f>VLOOKUP(B5109,Products!$A:$E,2,FALSE)</f>
        <v>Product_363</v>
      </c>
      <c r="E5109" t="str">
        <f>VLOOKUP(B5109,Products!$A:$E,3,FALSE)</f>
        <v>Storage</v>
      </c>
    </row>
    <row r="5110" spans="1:5" x14ac:dyDescent="0.3">
      <c r="A5110" t="s">
        <v>11122</v>
      </c>
      <c r="B5110" t="s">
        <v>628</v>
      </c>
      <c r="C5110">
        <v>46</v>
      </c>
      <c r="D5110" t="str">
        <f>VLOOKUP(B5110,Products!$A:$E,2,FALSE)</f>
        <v>Product_310</v>
      </c>
      <c r="E5110" t="str">
        <f>VLOOKUP(B5110,Products!$A:$E,3,FALSE)</f>
        <v>Office Supplies</v>
      </c>
    </row>
    <row r="5111" spans="1:5" x14ac:dyDescent="0.3">
      <c r="A5111" t="s">
        <v>11123</v>
      </c>
      <c r="B5111" t="s">
        <v>200</v>
      </c>
      <c r="C5111">
        <v>31</v>
      </c>
      <c r="D5111" t="str">
        <f>VLOOKUP(B5111,Products!$A:$E,2,FALSE)</f>
        <v>Product_96</v>
      </c>
      <c r="E5111" t="str">
        <f>VLOOKUP(B5111,Products!$A:$E,3,FALSE)</f>
        <v>Office Supplies</v>
      </c>
    </row>
    <row r="5112" spans="1:5" x14ac:dyDescent="0.3">
      <c r="A5112" t="s">
        <v>11124</v>
      </c>
      <c r="B5112" t="s">
        <v>304</v>
      </c>
      <c r="C5112">
        <v>47</v>
      </c>
      <c r="D5112" t="str">
        <f>VLOOKUP(B5112,Products!$A:$E,2,FALSE)</f>
        <v>Product_148</v>
      </c>
      <c r="E5112" t="str">
        <f>VLOOKUP(B5112,Products!$A:$E,3,FALSE)</f>
        <v>Electronics</v>
      </c>
    </row>
    <row r="5113" spans="1:5" x14ac:dyDescent="0.3">
      <c r="A5113" t="s">
        <v>11125</v>
      </c>
      <c r="B5113" t="s">
        <v>702</v>
      </c>
      <c r="C5113">
        <v>38</v>
      </c>
      <c r="D5113" t="str">
        <f>VLOOKUP(B5113,Products!$A:$E,2,FALSE)</f>
        <v>Product_347</v>
      </c>
      <c r="E5113" t="str">
        <f>VLOOKUP(B5113,Products!$A:$E,3,FALSE)</f>
        <v>Storage</v>
      </c>
    </row>
    <row r="5114" spans="1:5" x14ac:dyDescent="0.3">
      <c r="A5114" t="s">
        <v>11126</v>
      </c>
      <c r="B5114" t="s">
        <v>894</v>
      </c>
      <c r="C5114">
        <v>4</v>
      </c>
      <c r="D5114" t="str">
        <f>VLOOKUP(B5114,Products!$A:$E,2,FALSE)</f>
        <v>Product_443</v>
      </c>
      <c r="E5114" t="str">
        <f>VLOOKUP(B5114,Products!$A:$E,3,FALSE)</f>
        <v>Networking</v>
      </c>
    </row>
    <row r="5115" spans="1:5" x14ac:dyDescent="0.3">
      <c r="A5115" t="s">
        <v>11127</v>
      </c>
      <c r="B5115" t="s">
        <v>462</v>
      </c>
      <c r="C5115">
        <v>12</v>
      </c>
      <c r="D5115" t="str">
        <f>VLOOKUP(B5115,Products!$A:$E,2,FALSE)</f>
        <v>Product_227</v>
      </c>
      <c r="E5115" t="str">
        <f>VLOOKUP(B5115,Products!$A:$E,3,FALSE)</f>
        <v>Accessories</v>
      </c>
    </row>
    <row r="5116" spans="1:5" x14ac:dyDescent="0.3">
      <c r="A5116" t="s">
        <v>11128</v>
      </c>
      <c r="B5116" t="s">
        <v>528</v>
      </c>
      <c r="C5116">
        <v>1</v>
      </c>
      <c r="D5116" t="str">
        <f>VLOOKUP(B5116,Products!$A:$E,2,FALSE)</f>
        <v>Product_260</v>
      </c>
      <c r="E5116" t="str">
        <f>VLOOKUP(B5116,Products!$A:$E,3,FALSE)</f>
        <v>Storage</v>
      </c>
    </row>
    <row r="5117" spans="1:5" x14ac:dyDescent="0.3">
      <c r="A5117" t="s">
        <v>11129</v>
      </c>
      <c r="B5117" t="s">
        <v>90</v>
      </c>
      <c r="C5117">
        <v>12</v>
      </c>
      <c r="D5117" t="str">
        <f>VLOOKUP(B5117,Products!$A:$E,2,FALSE)</f>
        <v>Product_41</v>
      </c>
      <c r="E5117" t="str">
        <f>VLOOKUP(B5117,Products!$A:$E,3,FALSE)</f>
        <v>Accessories</v>
      </c>
    </row>
    <row r="5118" spans="1:5" x14ac:dyDescent="0.3">
      <c r="A5118" t="s">
        <v>11130</v>
      </c>
      <c r="B5118" t="s">
        <v>1006</v>
      </c>
      <c r="C5118">
        <v>13</v>
      </c>
      <c r="D5118" t="str">
        <f>VLOOKUP(B5118,Products!$A:$E,2,FALSE)</f>
        <v>Product_499</v>
      </c>
      <c r="E5118" t="str">
        <f>VLOOKUP(B5118,Products!$A:$E,3,FALSE)</f>
        <v>Office Supplies</v>
      </c>
    </row>
    <row r="5119" spans="1:5" x14ac:dyDescent="0.3">
      <c r="A5119" t="s">
        <v>11131</v>
      </c>
      <c r="B5119" t="s">
        <v>278</v>
      </c>
      <c r="C5119">
        <v>10</v>
      </c>
      <c r="D5119" t="str">
        <f>VLOOKUP(B5119,Products!$A:$E,2,FALSE)</f>
        <v>Product_135</v>
      </c>
      <c r="E5119" t="str">
        <f>VLOOKUP(B5119,Products!$A:$E,3,FALSE)</f>
        <v>Accessories</v>
      </c>
    </row>
    <row r="5120" spans="1:5" x14ac:dyDescent="0.3">
      <c r="A5120" t="s">
        <v>11132</v>
      </c>
      <c r="B5120" t="s">
        <v>908</v>
      </c>
      <c r="C5120">
        <v>35</v>
      </c>
      <c r="D5120" t="str">
        <f>VLOOKUP(B5120,Products!$A:$E,2,FALSE)</f>
        <v>Product_450</v>
      </c>
      <c r="E5120" t="str">
        <f>VLOOKUP(B5120,Products!$A:$E,3,FALSE)</f>
        <v>Networking</v>
      </c>
    </row>
    <row r="5121" spans="1:5" x14ac:dyDescent="0.3">
      <c r="A5121" t="s">
        <v>11133</v>
      </c>
      <c r="B5121" t="s">
        <v>598</v>
      </c>
      <c r="C5121">
        <v>13</v>
      </c>
      <c r="D5121" t="str">
        <f>VLOOKUP(B5121,Products!$A:$E,2,FALSE)</f>
        <v>Product_295</v>
      </c>
      <c r="E5121" t="str">
        <f>VLOOKUP(B5121,Products!$A:$E,3,FALSE)</f>
        <v>Networking</v>
      </c>
    </row>
    <row r="5122" spans="1:5" x14ac:dyDescent="0.3">
      <c r="A5122" t="s">
        <v>11134</v>
      </c>
      <c r="B5122" t="s">
        <v>726</v>
      </c>
      <c r="C5122">
        <v>8</v>
      </c>
      <c r="D5122" t="str">
        <f>VLOOKUP(B5122,Products!$A:$E,2,FALSE)</f>
        <v>Product_359</v>
      </c>
      <c r="E5122" t="str">
        <f>VLOOKUP(B5122,Products!$A:$E,3,FALSE)</f>
        <v>Electronics</v>
      </c>
    </row>
    <row r="5123" spans="1:5" x14ac:dyDescent="0.3">
      <c r="A5123" t="s">
        <v>11135</v>
      </c>
      <c r="B5123" t="s">
        <v>728</v>
      </c>
      <c r="C5123">
        <v>49</v>
      </c>
      <c r="D5123" t="str">
        <f>VLOOKUP(B5123,Products!$A:$E,2,FALSE)</f>
        <v>Product_360</v>
      </c>
      <c r="E5123" t="str">
        <f>VLOOKUP(B5123,Products!$A:$E,3,FALSE)</f>
        <v>Office Supplies</v>
      </c>
    </row>
    <row r="5124" spans="1:5" x14ac:dyDescent="0.3">
      <c r="A5124" t="s">
        <v>11136</v>
      </c>
      <c r="B5124" t="s">
        <v>86</v>
      </c>
      <c r="C5124">
        <v>13</v>
      </c>
      <c r="D5124" t="str">
        <f>VLOOKUP(B5124,Products!$A:$E,2,FALSE)</f>
        <v>Product_39</v>
      </c>
      <c r="E5124" t="str">
        <f>VLOOKUP(B5124,Products!$A:$E,3,FALSE)</f>
        <v>Networking</v>
      </c>
    </row>
    <row r="5125" spans="1:5" x14ac:dyDescent="0.3">
      <c r="A5125" t="s">
        <v>11137</v>
      </c>
      <c r="B5125" t="s">
        <v>200</v>
      </c>
      <c r="C5125">
        <v>21</v>
      </c>
      <c r="D5125" t="str">
        <f>VLOOKUP(B5125,Products!$A:$E,2,FALSE)</f>
        <v>Product_96</v>
      </c>
      <c r="E5125" t="str">
        <f>VLOOKUP(B5125,Products!$A:$E,3,FALSE)</f>
        <v>Office Supplies</v>
      </c>
    </row>
    <row r="5126" spans="1:5" x14ac:dyDescent="0.3">
      <c r="A5126" t="s">
        <v>11138</v>
      </c>
      <c r="B5126" t="s">
        <v>784</v>
      </c>
      <c r="C5126">
        <v>15</v>
      </c>
      <c r="D5126" t="str">
        <f>VLOOKUP(B5126,Products!$A:$E,2,FALSE)</f>
        <v>Product_388</v>
      </c>
      <c r="E5126" t="str">
        <f>VLOOKUP(B5126,Products!$A:$E,3,FALSE)</f>
        <v>Office Supplies</v>
      </c>
    </row>
    <row r="5127" spans="1:5" x14ac:dyDescent="0.3">
      <c r="A5127" t="s">
        <v>11139</v>
      </c>
      <c r="B5127" t="s">
        <v>176</v>
      </c>
      <c r="C5127">
        <v>26</v>
      </c>
      <c r="D5127" t="str">
        <f>VLOOKUP(B5127,Products!$A:$E,2,FALSE)</f>
        <v>Product_84</v>
      </c>
      <c r="E5127" t="str">
        <f>VLOOKUP(B5127,Products!$A:$E,3,FALSE)</f>
        <v>Electronics</v>
      </c>
    </row>
    <row r="5128" spans="1:5" x14ac:dyDescent="0.3">
      <c r="A5128" t="s">
        <v>11140</v>
      </c>
      <c r="B5128" t="s">
        <v>660</v>
      </c>
      <c r="C5128">
        <v>38</v>
      </c>
      <c r="D5128" t="str">
        <f>VLOOKUP(B5128,Products!$A:$E,2,FALSE)</f>
        <v>Product_326</v>
      </c>
      <c r="E5128" t="str">
        <f>VLOOKUP(B5128,Products!$A:$E,3,FALSE)</f>
        <v>Electronics</v>
      </c>
    </row>
    <row r="5129" spans="1:5" x14ac:dyDescent="0.3">
      <c r="A5129" t="s">
        <v>11141</v>
      </c>
      <c r="B5129" t="s">
        <v>312</v>
      </c>
      <c r="C5129">
        <v>39</v>
      </c>
      <c r="D5129" t="str">
        <f>VLOOKUP(B5129,Products!$A:$E,2,FALSE)</f>
        <v>Product_152</v>
      </c>
      <c r="E5129" t="str">
        <f>VLOOKUP(B5129,Products!$A:$E,3,FALSE)</f>
        <v>Storage</v>
      </c>
    </row>
    <row r="5130" spans="1:5" x14ac:dyDescent="0.3">
      <c r="A5130" t="s">
        <v>11142</v>
      </c>
      <c r="B5130" t="s">
        <v>432</v>
      </c>
      <c r="C5130">
        <v>33</v>
      </c>
      <c r="D5130" t="str">
        <f>VLOOKUP(B5130,Products!$A:$E,2,FALSE)</f>
        <v>Product_212</v>
      </c>
      <c r="E5130" t="str">
        <f>VLOOKUP(B5130,Products!$A:$E,3,FALSE)</f>
        <v>Networking</v>
      </c>
    </row>
    <row r="5131" spans="1:5" x14ac:dyDescent="0.3">
      <c r="A5131" t="s">
        <v>11143</v>
      </c>
      <c r="B5131" t="s">
        <v>664</v>
      </c>
      <c r="C5131">
        <v>19</v>
      </c>
      <c r="D5131" t="str">
        <f>VLOOKUP(B5131,Products!$A:$E,2,FALSE)</f>
        <v>Product_328</v>
      </c>
      <c r="E5131" t="str">
        <f>VLOOKUP(B5131,Products!$A:$E,3,FALSE)</f>
        <v>Office Supplies</v>
      </c>
    </row>
    <row r="5132" spans="1:5" x14ac:dyDescent="0.3">
      <c r="A5132" t="s">
        <v>11144</v>
      </c>
      <c r="B5132" t="s">
        <v>232</v>
      </c>
      <c r="C5132">
        <v>28</v>
      </c>
      <c r="D5132" t="str">
        <f>VLOOKUP(B5132,Products!$A:$E,2,FALSE)</f>
        <v>Product_112</v>
      </c>
      <c r="E5132" t="str">
        <f>VLOOKUP(B5132,Products!$A:$E,3,FALSE)</f>
        <v>Storage</v>
      </c>
    </row>
    <row r="5133" spans="1:5" x14ac:dyDescent="0.3">
      <c r="A5133" t="s">
        <v>11145</v>
      </c>
      <c r="B5133" t="s">
        <v>266</v>
      </c>
      <c r="C5133">
        <v>23</v>
      </c>
      <c r="D5133" t="str">
        <f>VLOOKUP(B5133,Products!$A:$E,2,FALSE)</f>
        <v>Product_129</v>
      </c>
      <c r="E5133" t="str">
        <f>VLOOKUP(B5133,Products!$A:$E,3,FALSE)</f>
        <v>Electronics</v>
      </c>
    </row>
    <row r="5134" spans="1:5" x14ac:dyDescent="0.3">
      <c r="A5134" t="s">
        <v>11146</v>
      </c>
      <c r="B5134" t="s">
        <v>762</v>
      </c>
      <c r="C5134">
        <v>16</v>
      </c>
      <c r="D5134" t="str">
        <f>VLOOKUP(B5134,Products!$A:$E,2,FALSE)</f>
        <v>Product_377</v>
      </c>
      <c r="E5134" t="str">
        <f>VLOOKUP(B5134,Products!$A:$E,3,FALSE)</f>
        <v>Networking</v>
      </c>
    </row>
    <row r="5135" spans="1:5" x14ac:dyDescent="0.3">
      <c r="A5135" t="s">
        <v>11147</v>
      </c>
      <c r="B5135" t="s">
        <v>552</v>
      </c>
      <c r="C5135">
        <v>1</v>
      </c>
      <c r="D5135" t="str">
        <f>VLOOKUP(B5135,Products!$A:$E,2,FALSE)</f>
        <v>Product_272</v>
      </c>
      <c r="E5135" t="str">
        <f>VLOOKUP(B5135,Products!$A:$E,3,FALSE)</f>
        <v>Office Supplies</v>
      </c>
    </row>
    <row r="5136" spans="1:5" x14ac:dyDescent="0.3">
      <c r="A5136" t="s">
        <v>11148</v>
      </c>
      <c r="B5136" t="s">
        <v>680</v>
      </c>
      <c r="C5136">
        <v>44</v>
      </c>
      <c r="D5136" t="str">
        <f>VLOOKUP(B5136,Products!$A:$E,2,FALSE)</f>
        <v>Product_336</v>
      </c>
      <c r="E5136" t="str">
        <f>VLOOKUP(B5136,Products!$A:$E,3,FALSE)</f>
        <v>Storage</v>
      </c>
    </row>
    <row r="5137" spans="1:5" x14ac:dyDescent="0.3">
      <c r="A5137" t="s">
        <v>11149</v>
      </c>
      <c r="B5137" t="s">
        <v>266</v>
      </c>
      <c r="C5137">
        <v>19</v>
      </c>
      <c r="D5137" t="str">
        <f>VLOOKUP(B5137,Products!$A:$E,2,FALSE)</f>
        <v>Product_129</v>
      </c>
      <c r="E5137" t="str">
        <f>VLOOKUP(B5137,Products!$A:$E,3,FALSE)</f>
        <v>Electronics</v>
      </c>
    </row>
    <row r="5138" spans="1:5" x14ac:dyDescent="0.3">
      <c r="A5138" t="s">
        <v>11150</v>
      </c>
      <c r="B5138" t="s">
        <v>782</v>
      </c>
      <c r="C5138">
        <v>11</v>
      </c>
      <c r="D5138" t="str">
        <f>VLOOKUP(B5138,Products!$A:$E,2,FALSE)</f>
        <v>Product_387</v>
      </c>
      <c r="E5138" t="str">
        <f>VLOOKUP(B5138,Products!$A:$E,3,FALSE)</f>
        <v>Storage</v>
      </c>
    </row>
    <row r="5139" spans="1:5" x14ac:dyDescent="0.3">
      <c r="A5139" t="s">
        <v>11151</v>
      </c>
      <c r="B5139" t="s">
        <v>76</v>
      </c>
      <c r="C5139">
        <v>4</v>
      </c>
      <c r="D5139" t="str">
        <f>VLOOKUP(B5139,Products!$A:$E,2,FALSE)</f>
        <v>Product_34</v>
      </c>
      <c r="E5139" t="str">
        <f>VLOOKUP(B5139,Products!$A:$E,3,FALSE)</f>
        <v>Office Supplies</v>
      </c>
    </row>
    <row r="5140" spans="1:5" x14ac:dyDescent="0.3">
      <c r="A5140" t="s">
        <v>11152</v>
      </c>
      <c r="B5140" t="s">
        <v>74</v>
      </c>
      <c r="C5140">
        <v>32</v>
      </c>
      <c r="D5140" t="str">
        <f>VLOOKUP(B5140,Products!$A:$E,2,FALSE)</f>
        <v>Product_33</v>
      </c>
      <c r="E5140" t="str">
        <f>VLOOKUP(B5140,Products!$A:$E,3,FALSE)</f>
        <v>Storage</v>
      </c>
    </row>
    <row r="5141" spans="1:5" x14ac:dyDescent="0.3">
      <c r="A5141" t="s">
        <v>11153</v>
      </c>
      <c r="B5141" t="s">
        <v>362</v>
      </c>
      <c r="C5141">
        <v>47</v>
      </c>
      <c r="D5141" t="str">
        <f>VLOOKUP(B5141,Products!$A:$E,2,FALSE)</f>
        <v>Product_177</v>
      </c>
      <c r="E5141" t="str">
        <f>VLOOKUP(B5141,Products!$A:$E,3,FALSE)</f>
        <v>Office Supplies</v>
      </c>
    </row>
    <row r="5142" spans="1:5" x14ac:dyDescent="0.3">
      <c r="A5142" t="s">
        <v>11154</v>
      </c>
      <c r="B5142" t="s">
        <v>70</v>
      </c>
      <c r="C5142">
        <v>40</v>
      </c>
      <c r="D5142" t="str">
        <f>VLOOKUP(B5142,Products!$A:$E,2,FALSE)</f>
        <v>Product_31</v>
      </c>
      <c r="E5142" t="str">
        <f>VLOOKUP(B5142,Products!$A:$E,3,FALSE)</f>
        <v>Accessories</v>
      </c>
    </row>
    <row r="5143" spans="1:5" x14ac:dyDescent="0.3">
      <c r="A5143" t="s">
        <v>11155</v>
      </c>
      <c r="B5143" t="s">
        <v>782</v>
      </c>
      <c r="C5143">
        <v>28</v>
      </c>
      <c r="D5143" t="str">
        <f>VLOOKUP(B5143,Products!$A:$E,2,FALSE)</f>
        <v>Product_387</v>
      </c>
      <c r="E5143" t="str">
        <f>VLOOKUP(B5143,Products!$A:$E,3,FALSE)</f>
        <v>Storage</v>
      </c>
    </row>
    <row r="5144" spans="1:5" x14ac:dyDescent="0.3">
      <c r="A5144" t="s">
        <v>11156</v>
      </c>
      <c r="B5144" t="s">
        <v>90</v>
      </c>
      <c r="C5144">
        <v>44</v>
      </c>
      <c r="D5144" t="str">
        <f>VLOOKUP(B5144,Products!$A:$E,2,FALSE)</f>
        <v>Product_41</v>
      </c>
      <c r="E5144" t="str">
        <f>VLOOKUP(B5144,Products!$A:$E,3,FALSE)</f>
        <v>Accessories</v>
      </c>
    </row>
    <row r="5145" spans="1:5" x14ac:dyDescent="0.3">
      <c r="A5145" t="s">
        <v>11157</v>
      </c>
      <c r="B5145" t="s">
        <v>792</v>
      </c>
      <c r="C5145">
        <v>46</v>
      </c>
      <c r="D5145" t="str">
        <f>VLOOKUP(B5145,Products!$A:$E,2,FALSE)</f>
        <v>Product_392</v>
      </c>
      <c r="E5145" t="str">
        <f>VLOOKUP(B5145,Products!$A:$E,3,FALSE)</f>
        <v>Electronics</v>
      </c>
    </row>
    <row r="5146" spans="1:5" x14ac:dyDescent="0.3">
      <c r="A5146" t="s">
        <v>11158</v>
      </c>
      <c r="B5146" t="s">
        <v>466</v>
      </c>
      <c r="C5146">
        <v>1</v>
      </c>
      <c r="D5146" t="str">
        <f>VLOOKUP(B5146,Products!$A:$E,2,FALSE)</f>
        <v>Product_229</v>
      </c>
      <c r="E5146" t="str">
        <f>VLOOKUP(B5146,Products!$A:$E,3,FALSE)</f>
        <v>Accessories</v>
      </c>
    </row>
    <row r="5147" spans="1:5" x14ac:dyDescent="0.3">
      <c r="A5147" t="s">
        <v>11159</v>
      </c>
      <c r="B5147" t="s">
        <v>772</v>
      </c>
      <c r="C5147">
        <v>44</v>
      </c>
      <c r="D5147" t="str">
        <f>VLOOKUP(B5147,Products!$A:$E,2,FALSE)</f>
        <v>Product_382</v>
      </c>
      <c r="E5147" t="str">
        <f>VLOOKUP(B5147,Products!$A:$E,3,FALSE)</f>
        <v>Storage</v>
      </c>
    </row>
    <row r="5148" spans="1:5" x14ac:dyDescent="0.3">
      <c r="A5148" t="s">
        <v>11160</v>
      </c>
      <c r="B5148" t="s">
        <v>100</v>
      </c>
      <c r="C5148">
        <v>21</v>
      </c>
      <c r="D5148" t="str">
        <f>VLOOKUP(B5148,Products!$A:$E,2,FALSE)</f>
        <v>Product_46</v>
      </c>
      <c r="E5148" t="str">
        <f>VLOOKUP(B5148,Products!$A:$E,3,FALSE)</f>
        <v>Networking</v>
      </c>
    </row>
    <row r="5149" spans="1:5" x14ac:dyDescent="0.3">
      <c r="A5149" t="s">
        <v>11161</v>
      </c>
      <c r="B5149" t="s">
        <v>612</v>
      </c>
      <c r="C5149">
        <v>50</v>
      </c>
      <c r="D5149" t="str">
        <f>VLOOKUP(B5149,Products!$A:$E,2,FALSE)</f>
        <v>Product_302</v>
      </c>
      <c r="E5149" t="str">
        <f>VLOOKUP(B5149,Products!$A:$E,3,FALSE)</f>
        <v>Accessories</v>
      </c>
    </row>
    <row r="5150" spans="1:5" x14ac:dyDescent="0.3">
      <c r="A5150" t="s">
        <v>11162</v>
      </c>
      <c r="B5150" t="s">
        <v>948</v>
      </c>
      <c r="C5150">
        <v>24</v>
      </c>
      <c r="D5150" t="str">
        <f>VLOOKUP(B5150,Products!$A:$E,2,FALSE)</f>
        <v>Product_470</v>
      </c>
      <c r="E5150" t="str">
        <f>VLOOKUP(B5150,Products!$A:$E,3,FALSE)</f>
        <v>Networking</v>
      </c>
    </row>
    <row r="5151" spans="1:5" x14ac:dyDescent="0.3">
      <c r="A5151" t="s">
        <v>11163</v>
      </c>
      <c r="B5151" t="s">
        <v>724</v>
      </c>
      <c r="C5151">
        <v>44</v>
      </c>
      <c r="D5151" t="str">
        <f>VLOOKUP(B5151,Products!$A:$E,2,FALSE)</f>
        <v>Product_358</v>
      </c>
      <c r="E5151" t="str">
        <f>VLOOKUP(B5151,Products!$A:$E,3,FALSE)</f>
        <v>Storage</v>
      </c>
    </row>
    <row r="5152" spans="1:5" x14ac:dyDescent="0.3">
      <c r="A5152" t="s">
        <v>11164</v>
      </c>
      <c r="B5152" t="s">
        <v>630</v>
      </c>
      <c r="C5152">
        <v>44</v>
      </c>
      <c r="D5152" t="str">
        <f>VLOOKUP(B5152,Products!$A:$E,2,FALSE)</f>
        <v>Product_311</v>
      </c>
      <c r="E5152" t="str">
        <f>VLOOKUP(B5152,Products!$A:$E,3,FALSE)</f>
        <v>Networking</v>
      </c>
    </row>
    <row r="5153" spans="1:5" x14ac:dyDescent="0.3">
      <c r="A5153" t="s">
        <v>11165</v>
      </c>
      <c r="B5153" t="s">
        <v>992</v>
      </c>
      <c r="C5153">
        <v>5</v>
      </c>
      <c r="D5153" t="str">
        <f>VLOOKUP(B5153,Products!$A:$E,2,FALSE)</f>
        <v>Product_492</v>
      </c>
      <c r="E5153" t="str">
        <f>VLOOKUP(B5153,Products!$A:$E,3,FALSE)</f>
        <v>Electronics</v>
      </c>
    </row>
    <row r="5154" spans="1:5" x14ac:dyDescent="0.3">
      <c r="A5154" t="s">
        <v>11166</v>
      </c>
      <c r="B5154" t="s">
        <v>592</v>
      </c>
      <c r="C5154">
        <v>17</v>
      </c>
      <c r="D5154" t="str">
        <f>VLOOKUP(B5154,Products!$A:$E,2,FALSE)</f>
        <v>Product_292</v>
      </c>
      <c r="E5154" t="str">
        <f>VLOOKUP(B5154,Products!$A:$E,3,FALSE)</f>
        <v>Networking</v>
      </c>
    </row>
    <row r="5155" spans="1:5" x14ac:dyDescent="0.3">
      <c r="A5155" t="s">
        <v>11167</v>
      </c>
      <c r="B5155" t="s">
        <v>754</v>
      </c>
      <c r="C5155">
        <v>21</v>
      </c>
      <c r="D5155" t="str">
        <f>VLOOKUP(B5155,Products!$A:$E,2,FALSE)</f>
        <v>Product_373</v>
      </c>
      <c r="E5155" t="str">
        <f>VLOOKUP(B5155,Products!$A:$E,3,FALSE)</f>
        <v>Office Supplies</v>
      </c>
    </row>
    <row r="5156" spans="1:5" x14ac:dyDescent="0.3">
      <c r="A5156" t="s">
        <v>11168</v>
      </c>
      <c r="B5156" t="s">
        <v>470</v>
      </c>
      <c r="C5156">
        <v>23</v>
      </c>
      <c r="D5156" t="str">
        <f>VLOOKUP(B5156,Products!$A:$E,2,FALSE)</f>
        <v>Product_231</v>
      </c>
      <c r="E5156" t="str">
        <f>VLOOKUP(B5156,Products!$A:$E,3,FALSE)</f>
        <v>Accessories</v>
      </c>
    </row>
    <row r="5157" spans="1:5" x14ac:dyDescent="0.3">
      <c r="A5157" t="s">
        <v>11169</v>
      </c>
      <c r="B5157" t="s">
        <v>770</v>
      </c>
      <c r="C5157">
        <v>31</v>
      </c>
      <c r="D5157" t="str">
        <f>VLOOKUP(B5157,Products!$A:$E,2,FALSE)</f>
        <v>Product_381</v>
      </c>
      <c r="E5157" t="str">
        <f>VLOOKUP(B5157,Products!$A:$E,3,FALSE)</f>
        <v>Storage</v>
      </c>
    </row>
    <row r="5158" spans="1:5" x14ac:dyDescent="0.3">
      <c r="A5158" t="s">
        <v>11170</v>
      </c>
      <c r="B5158" t="s">
        <v>388</v>
      </c>
      <c r="C5158">
        <v>32</v>
      </c>
      <c r="D5158" t="str">
        <f>VLOOKUP(B5158,Products!$A:$E,2,FALSE)</f>
        <v>Product_190</v>
      </c>
      <c r="E5158" t="str">
        <f>VLOOKUP(B5158,Products!$A:$E,3,FALSE)</f>
        <v>Office Supplies</v>
      </c>
    </row>
    <row r="5159" spans="1:5" x14ac:dyDescent="0.3">
      <c r="A5159" t="s">
        <v>11171</v>
      </c>
      <c r="B5159" t="s">
        <v>316</v>
      </c>
      <c r="C5159">
        <v>49</v>
      </c>
      <c r="D5159" t="str">
        <f>VLOOKUP(B5159,Products!$A:$E,2,FALSE)</f>
        <v>Product_154</v>
      </c>
      <c r="E5159" t="str">
        <f>VLOOKUP(B5159,Products!$A:$E,3,FALSE)</f>
        <v>Accessories</v>
      </c>
    </row>
    <row r="5160" spans="1:5" x14ac:dyDescent="0.3">
      <c r="A5160" t="s">
        <v>11172</v>
      </c>
      <c r="B5160" t="s">
        <v>510</v>
      </c>
      <c r="C5160">
        <v>21</v>
      </c>
      <c r="D5160" t="str">
        <f>VLOOKUP(B5160,Products!$A:$E,2,FALSE)</f>
        <v>Product_251</v>
      </c>
      <c r="E5160" t="str">
        <f>VLOOKUP(B5160,Products!$A:$E,3,FALSE)</f>
        <v>Electronics</v>
      </c>
    </row>
    <row r="5161" spans="1:5" x14ac:dyDescent="0.3">
      <c r="A5161" t="s">
        <v>11173</v>
      </c>
      <c r="B5161" t="s">
        <v>568</v>
      </c>
      <c r="C5161">
        <v>48</v>
      </c>
      <c r="D5161" t="str">
        <f>VLOOKUP(B5161,Products!$A:$E,2,FALSE)</f>
        <v>Product_280</v>
      </c>
      <c r="E5161" t="str">
        <f>VLOOKUP(B5161,Products!$A:$E,3,FALSE)</f>
        <v>Electronics</v>
      </c>
    </row>
    <row r="5162" spans="1:5" x14ac:dyDescent="0.3">
      <c r="A5162" t="s">
        <v>11174</v>
      </c>
      <c r="B5162" t="s">
        <v>204</v>
      </c>
      <c r="C5162">
        <v>15</v>
      </c>
      <c r="D5162" t="str">
        <f>VLOOKUP(B5162,Products!$A:$E,2,FALSE)</f>
        <v>Product_98</v>
      </c>
      <c r="E5162" t="str">
        <f>VLOOKUP(B5162,Products!$A:$E,3,FALSE)</f>
        <v>Networking</v>
      </c>
    </row>
    <row r="5163" spans="1:5" x14ac:dyDescent="0.3">
      <c r="A5163" t="s">
        <v>11175</v>
      </c>
      <c r="B5163" t="s">
        <v>610</v>
      </c>
      <c r="C5163">
        <v>11</v>
      </c>
      <c r="D5163" t="str">
        <f>VLOOKUP(B5163,Products!$A:$E,2,FALSE)</f>
        <v>Product_301</v>
      </c>
      <c r="E5163" t="str">
        <f>VLOOKUP(B5163,Products!$A:$E,3,FALSE)</f>
        <v>Networking</v>
      </c>
    </row>
    <row r="5164" spans="1:5" x14ac:dyDescent="0.3">
      <c r="A5164" t="s">
        <v>11176</v>
      </c>
      <c r="B5164" t="s">
        <v>52</v>
      </c>
      <c r="C5164">
        <v>45</v>
      </c>
      <c r="D5164" t="str">
        <f>VLOOKUP(B5164,Products!$A:$E,2,FALSE)</f>
        <v>Product_22</v>
      </c>
      <c r="E5164" t="str">
        <f>VLOOKUP(B5164,Products!$A:$E,3,FALSE)</f>
        <v>Electronics</v>
      </c>
    </row>
    <row r="5165" spans="1:5" x14ac:dyDescent="0.3">
      <c r="A5165" t="s">
        <v>11177</v>
      </c>
      <c r="B5165" t="s">
        <v>370</v>
      </c>
      <c r="C5165">
        <v>27</v>
      </c>
      <c r="D5165" t="str">
        <f>VLOOKUP(B5165,Products!$A:$E,2,FALSE)</f>
        <v>Product_181</v>
      </c>
      <c r="E5165" t="str">
        <f>VLOOKUP(B5165,Products!$A:$E,3,FALSE)</f>
        <v>Storage</v>
      </c>
    </row>
    <row r="5166" spans="1:5" x14ac:dyDescent="0.3">
      <c r="A5166" t="s">
        <v>11178</v>
      </c>
      <c r="B5166" t="s">
        <v>486</v>
      </c>
      <c r="C5166">
        <v>30</v>
      </c>
      <c r="D5166" t="str">
        <f>VLOOKUP(B5166,Products!$A:$E,2,FALSE)</f>
        <v>Product_239</v>
      </c>
      <c r="E5166" t="str">
        <f>VLOOKUP(B5166,Products!$A:$E,3,FALSE)</f>
        <v>Storage</v>
      </c>
    </row>
    <row r="5167" spans="1:5" x14ac:dyDescent="0.3">
      <c r="A5167" t="s">
        <v>11179</v>
      </c>
      <c r="B5167" t="s">
        <v>342</v>
      </c>
      <c r="C5167">
        <v>26</v>
      </c>
      <c r="D5167" t="str">
        <f>VLOOKUP(B5167,Products!$A:$E,2,FALSE)</f>
        <v>Product_167</v>
      </c>
      <c r="E5167" t="str">
        <f>VLOOKUP(B5167,Products!$A:$E,3,FALSE)</f>
        <v>Electronics</v>
      </c>
    </row>
    <row r="5168" spans="1:5" x14ac:dyDescent="0.3">
      <c r="A5168" t="s">
        <v>11180</v>
      </c>
      <c r="B5168" t="s">
        <v>484</v>
      </c>
      <c r="C5168">
        <v>30</v>
      </c>
      <c r="D5168" t="str">
        <f>VLOOKUP(B5168,Products!$A:$E,2,FALSE)</f>
        <v>Product_238</v>
      </c>
      <c r="E5168" t="str">
        <f>VLOOKUP(B5168,Products!$A:$E,3,FALSE)</f>
        <v>Accessories</v>
      </c>
    </row>
    <row r="5169" spans="1:5" x14ac:dyDescent="0.3">
      <c r="A5169" t="s">
        <v>11181</v>
      </c>
      <c r="B5169" t="s">
        <v>472</v>
      </c>
      <c r="C5169">
        <v>10</v>
      </c>
      <c r="D5169" t="str">
        <f>VLOOKUP(B5169,Products!$A:$E,2,FALSE)</f>
        <v>Product_232</v>
      </c>
      <c r="E5169" t="str">
        <f>VLOOKUP(B5169,Products!$A:$E,3,FALSE)</f>
        <v>Office Supplies</v>
      </c>
    </row>
    <row r="5170" spans="1:5" x14ac:dyDescent="0.3">
      <c r="A5170" t="s">
        <v>11182</v>
      </c>
      <c r="B5170" t="s">
        <v>154</v>
      </c>
      <c r="C5170">
        <v>48</v>
      </c>
      <c r="D5170" t="str">
        <f>VLOOKUP(B5170,Products!$A:$E,2,FALSE)</f>
        <v>Product_73</v>
      </c>
      <c r="E5170" t="str">
        <f>VLOOKUP(B5170,Products!$A:$E,3,FALSE)</f>
        <v>Office Supplies</v>
      </c>
    </row>
    <row r="5171" spans="1:5" x14ac:dyDescent="0.3">
      <c r="A5171" t="s">
        <v>11183</v>
      </c>
      <c r="B5171" t="s">
        <v>778</v>
      </c>
      <c r="C5171">
        <v>25</v>
      </c>
      <c r="D5171" t="str">
        <f>VLOOKUP(B5171,Products!$A:$E,2,FALSE)</f>
        <v>Product_385</v>
      </c>
      <c r="E5171" t="str">
        <f>VLOOKUP(B5171,Products!$A:$E,3,FALSE)</f>
        <v>Networking</v>
      </c>
    </row>
    <row r="5172" spans="1:5" x14ac:dyDescent="0.3">
      <c r="A5172" t="s">
        <v>11184</v>
      </c>
      <c r="B5172" t="s">
        <v>438</v>
      </c>
      <c r="C5172">
        <v>2</v>
      </c>
      <c r="D5172" t="str">
        <f>VLOOKUP(B5172,Products!$A:$E,2,FALSE)</f>
        <v>Product_215</v>
      </c>
      <c r="E5172" t="str">
        <f>VLOOKUP(B5172,Products!$A:$E,3,FALSE)</f>
        <v>Electronics</v>
      </c>
    </row>
    <row r="5173" spans="1:5" x14ac:dyDescent="0.3">
      <c r="A5173" t="s">
        <v>11185</v>
      </c>
      <c r="B5173" t="s">
        <v>904</v>
      </c>
      <c r="C5173">
        <v>9</v>
      </c>
      <c r="D5173" t="str">
        <f>VLOOKUP(B5173,Products!$A:$E,2,FALSE)</f>
        <v>Product_448</v>
      </c>
      <c r="E5173" t="str">
        <f>VLOOKUP(B5173,Products!$A:$E,3,FALSE)</f>
        <v>Networking</v>
      </c>
    </row>
    <row r="5174" spans="1:5" x14ac:dyDescent="0.3">
      <c r="A5174" t="s">
        <v>11186</v>
      </c>
      <c r="B5174" t="s">
        <v>816</v>
      </c>
      <c r="C5174">
        <v>21</v>
      </c>
      <c r="D5174" t="str">
        <f>VLOOKUP(B5174,Products!$A:$E,2,FALSE)</f>
        <v>Product_404</v>
      </c>
      <c r="E5174" t="str">
        <f>VLOOKUP(B5174,Products!$A:$E,3,FALSE)</f>
        <v>Storage</v>
      </c>
    </row>
    <row r="5175" spans="1:5" x14ac:dyDescent="0.3">
      <c r="A5175" t="s">
        <v>11187</v>
      </c>
      <c r="B5175" t="s">
        <v>400</v>
      </c>
      <c r="C5175">
        <v>41</v>
      </c>
      <c r="D5175" t="str">
        <f>VLOOKUP(B5175,Products!$A:$E,2,FALSE)</f>
        <v>Product_196</v>
      </c>
      <c r="E5175" t="str">
        <f>VLOOKUP(B5175,Products!$A:$E,3,FALSE)</f>
        <v>Office Supplies</v>
      </c>
    </row>
    <row r="5176" spans="1:5" x14ac:dyDescent="0.3">
      <c r="A5176" t="s">
        <v>11188</v>
      </c>
      <c r="B5176" t="s">
        <v>162</v>
      </c>
      <c r="C5176">
        <v>26</v>
      </c>
      <c r="D5176" t="str">
        <f>VLOOKUP(B5176,Products!$A:$E,2,FALSE)</f>
        <v>Product_77</v>
      </c>
      <c r="E5176" t="str">
        <f>VLOOKUP(B5176,Products!$A:$E,3,FALSE)</f>
        <v>Networking</v>
      </c>
    </row>
    <row r="5177" spans="1:5" x14ac:dyDescent="0.3">
      <c r="A5177" t="s">
        <v>11189</v>
      </c>
      <c r="B5177" t="s">
        <v>384</v>
      </c>
      <c r="C5177">
        <v>1</v>
      </c>
      <c r="D5177" t="str">
        <f>VLOOKUP(B5177,Products!$A:$E,2,FALSE)</f>
        <v>Product_188</v>
      </c>
      <c r="E5177" t="str">
        <f>VLOOKUP(B5177,Products!$A:$E,3,FALSE)</f>
        <v>Office Supplies</v>
      </c>
    </row>
    <row r="5178" spans="1:5" x14ac:dyDescent="0.3">
      <c r="A5178" t="s">
        <v>11190</v>
      </c>
      <c r="B5178" t="s">
        <v>454</v>
      </c>
      <c r="C5178">
        <v>43</v>
      </c>
      <c r="D5178" t="str">
        <f>VLOOKUP(B5178,Products!$A:$E,2,FALSE)</f>
        <v>Product_223</v>
      </c>
      <c r="E5178" t="str">
        <f>VLOOKUP(B5178,Products!$A:$E,3,FALSE)</f>
        <v>Storage</v>
      </c>
    </row>
    <row r="5179" spans="1:5" x14ac:dyDescent="0.3">
      <c r="A5179" t="s">
        <v>11191</v>
      </c>
      <c r="B5179" t="s">
        <v>936</v>
      </c>
      <c r="C5179">
        <v>12</v>
      </c>
      <c r="D5179" t="str">
        <f>VLOOKUP(B5179,Products!$A:$E,2,FALSE)</f>
        <v>Product_464</v>
      </c>
      <c r="E5179" t="str">
        <f>VLOOKUP(B5179,Products!$A:$E,3,FALSE)</f>
        <v>Office Supplies</v>
      </c>
    </row>
    <row r="5180" spans="1:5" x14ac:dyDescent="0.3">
      <c r="A5180" t="s">
        <v>11192</v>
      </c>
      <c r="B5180" t="s">
        <v>164</v>
      </c>
      <c r="C5180">
        <v>38</v>
      </c>
      <c r="D5180" t="str">
        <f>VLOOKUP(B5180,Products!$A:$E,2,FALSE)</f>
        <v>Product_78</v>
      </c>
      <c r="E5180" t="str">
        <f>VLOOKUP(B5180,Products!$A:$E,3,FALSE)</f>
        <v>Office Supplies</v>
      </c>
    </row>
    <row r="5181" spans="1:5" x14ac:dyDescent="0.3">
      <c r="A5181" t="s">
        <v>11193</v>
      </c>
      <c r="B5181" t="s">
        <v>978</v>
      </c>
      <c r="C5181">
        <v>12</v>
      </c>
      <c r="D5181" t="str">
        <f>VLOOKUP(B5181,Products!$A:$E,2,FALSE)</f>
        <v>Product_485</v>
      </c>
      <c r="E5181" t="str">
        <f>VLOOKUP(B5181,Products!$A:$E,3,FALSE)</f>
        <v>Networking</v>
      </c>
    </row>
    <row r="5182" spans="1:5" x14ac:dyDescent="0.3">
      <c r="A5182" t="s">
        <v>11194</v>
      </c>
      <c r="B5182" t="s">
        <v>232</v>
      </c>
      <c r="C5182">
        <v>7</v>
      </c>
      <c r="D5182" t="str">
        <f>VLOOKUP(B5182,Products!$A:$E,2,FALSE)</f>
        <v>Product_112</v>
      </c>
      <c r="E5182" t="str">
        <f>VLOOKUP(B5182,Products!$A:$E,3,FALSE)</f>
        <v>Storage</v>
      </c>
    </row>
    <row r="5183" spans="1:5" x14ac:dyDescent="0.3">
      <c r="A5183" t="s">
        <v>11195</v>
      </c>
      <c r="B5183" t="s">
        <v>26</v>
      </c>
      <c r="C5183">
        <v>26</v>
      </c>
      <c r="D5183" t="str">
        <f>VLOOKUP(B5183,Products!$A:$E,2,FALSE)</f>
        <v>Product_9</v>
      </c>
      <c r="E5183" t="str">
        <f>VLOOKUP(B5183,Products!$A:$E,3,FALSE)</f>
        <v>Storage</v>
      </c>
    </row>
    <row r="5184" spans="1:5" x14ac:dyDescent="0.3">
      <c r="A5184" t="s">
        <v>11196</v>
      </c>
      <c r="B5184" t="s">
        <v>492</v>
      </c>
      <c r="C5184">
        <v>10</v>
      </c>
      <c r="D5184" t="str">
        <f>VLOOKUP(B5184,Products!$A:$E,2,FALSE)</f>
        <v>Product_242</v>
      </c>
      <c r="E5184" t="str">
        <f>VLOOKUP(B5184,Products!$A:$E,3,FALSE)</f>
        <v>Networking</v>
      </c>
    </row>
    <row r="5185" spans="1:5" x14ac:dyDescent="0.3">
      <c r="A5185" t="s">
        <v>11197</v>
      </c>
      <c r="B5185" t="s">
        <v>286</v>
      </c>
      <c r="C5185">
        <v>22</v>
      </c>
      <c r="D5185" t="str">
        <f>VLOOKUP(B5185,Products!$A:$E,2,FALSE)</f>
        <v>Product_139</v>
      </c>
      <c r="E5185" t="str">
        <f>VLOOKUP(B5185,Products!$A:$E,3,FALSE)</f>
        <v>Storage</v>
      </c>
    </row>
    <row r="5186" spans="1:5" x14ac:dyDescent="0.3">
      <c r="A5186" t="s">
        <v>11198</v>
      </c>
      <c r="B5186" t="s">
        <v>212</v>
      </c>
      <c r="C5186">
        <v>2</v>
      </c>
      <c r="D5186" t="str">
        <f>VLOOKUP(B5186,Products!$A:$E,2,FALSE)</f>
        <v>Product_102</v>
      </c>
      <c r="E5186" t="str">
        <f>VLOOKUP(B5186,Products!$A:$E,3,FALSE)</f>
        <v>Storage</v>
      </c>
    </row>
    <row r="5187" spans="1:5" x14ac:dyDescent="0.3">
      <c r="A5187" t="s">
        <v>11199</v>
      </c>
      <c r="B5187" t="s">
        <v>518</v>
      </c>
      <c r="C5187">
        <v>26</v>
      </c>
      <c r="D5187" t="str">
        <f>VLOOKUP(B5187,Products!$A:$E,2,FALSE)</f>
        <v>Product_255</v>
      </c>
      <c r="E5187" t="str">
        <f>VLOOKUP(B5187,Products!$A:$E,3,FALSE)</f>
        <v>Accessories</v>
      </c>
    </row>
    <row r="5188" spans="1:5" x14ac:dyDescent="0.3">
      <c r="A5188" t="s">
        <v>11200</v>
      </c>
      <c r="B5188" t="s">
        <v>172</v>
      </c>
      <c r="C5188">
        <v>20</v>
      </c>
      <c r="D5188" t="str">
        <f>VLOOKUP(B5188,Products!$A:$E,2,FALSE)</f>
        <v>Product_82</v>
      </c>
      <c r="E5188" t="str">
        <f>VLOOKUP(B5188,Products!$A:$E,3,FALSE)</f>
        <v>Storage</v>
      </c>
    </row>
    <row r="5189" spans="1:5" x14ac:dyDescent="0.3">
      <c r="A5189" t="s">
        <v>11201</v>
      </c>
      <c r="B5189" t="s">
        <v>858</v>
      </c>
      <c r="C5189">
        <v>36</v>
      </c>
      <c r="D5189" t="str">
        <f>VLOOKUP(B5189,Products!$A:$E,2,FALSE)</f>
        <v>Product_425</v>
      </c>
      <c r="E5189" t="str">
        <f>VLOOKUP(B5189,Products!$A:$E,3,FALSE)</f>
        <v>Office Supplies</v>
      </c>
    </row>
    <row r="5190" spans="1:5" x14ac:dyDescent="0.3">
      <c r="A5190" t="s">
        <v>11202</v>
      </c>
      <c r="B5190" t="s">
        <v>294</v>
      </c>
      <c r="C5190">
        <v>15</v>
      </c>
      <c r="D5190" t="str">
        <f>VLOOKUP(B5190,Products!$A:$E,2,FALSE)</f>
        <v>Product_143</v>
      </c>
      <c r="E5190" t="str">
        <f>VLOOKUP(B5190,Products!$A:$E,3,FALSE)</f>
        <v>Office Supplies</v>
      </c>
    </row>
    <row r="5191" spans="1:5" x14ac:dyDescent="0.3">
      <c r="A5191" t="s">
        <v>11203</v>
      </c>
      <c r="B5191" t="s">
        <v>204</v>
      </c>
      <c r="C5191">
        <v>32</v>
      </c>
      <c r="D5191" t="str">
        <f>VLOOKUP(B5191,Products!$A:$E,2,FALSE)</f>
        <v>Product_98</v>
      </c>
      <c r="E5191" t="str">
        <f>VLOOKUP(B5191,Products!$A:$E,3,FALSE)</f>
        <v>Networking</v>
      </c>
    </row>
    <row r="5192" spans="1:5" x14ac:dyDescent="0.3">
      <c r="A5192" t="s">
        <v>11204</v>
      </c>
      <c r="B5192" t="s">
        <v>630</v>
      </c>
      <c r="C5192">
        <v>47</v>
      </c>
      <c r="D5192" t="str">
        <f>VLOOKUP(B5192,Products!$A:$E,2,FALSE)</f>
        <v>Product_311</v>
      </c>
      <c r="E5192" t="str">
        <f>VLOOKUP(B5192,Products!$A:$E,3,FALSE)</f>
        <v>Networking</v>
      </c>
    </row>
    <row r="5193" spans="1:5" x14ac:dyDescent="0.3">
      <c r="A5193" t="s">
        <v>11205</v>
      </c>
      <c r="B5193" t="s">
        <v>520</v>
      </c>
      <c r="C5193">
        <v>28</v>
      </c>
      <c r="D5193" t="str">
        <f>VLOOKUP(B5193,Products!$A:$E,2,FALSE)</f>
        <v>Product_256</v>
      </c>
      <c r="E5193" t="str">
        <f>VLOOKUP(B5193,Products!$A:$E,3,FALSE)</f>
        <v>Office Supplies</v>
      </c>
    </row>
    <row r="5194" spans="1:5" x14ac:dyDescent="0.3">
      <c r="A5194" t="s">
        <v>11206</v>
      </c>
      <c r="B5194" t="s">
        <v>454</v>
      </c>
      <c r="C5194">
        <v>11</v>
      </c>
      <c r="D5194" t="str">
        <f>VLOOKUP(B5194,Products!$A:$E,2,FALSE)</f>
        <v>Product_223</v>
      </c>
      <c r="E5194" t="str">
        <f>VLOOKUP(B5194,Products!$A:$E,3,FALSE)</f>
        <v>Storage</v>
      </c>
    </row>
    <row r="5195" spans="1:5" x14ac:dyDescent="0.3">
      <c r="A5195" t="s">
        <v>11207</v>
      </c>
      <c r="B5195" t="s">
        <v>508</v>
      </c>
      <c r="C5195">
        <v>43</v>
      </c>
      <c r="D5195" t="str">
        <f>VLOOKUP(B5195,Products!$A:$E,2,FALSE)</f>
        <v>Product_250</v>
      </c>
      <c r="E5195" t="str">
        <f>VLOOKUP(B5195,Products!$A:$E,3,FALSE)</f>
        <v>Networking</v>
      </c>
    </row>
    <row r="5196" spans="1:5" x14ac:dyDescent="0.3">
      <c r="A5196" t="s">
        <v>11208</v>
      </c>
      <c r="B5196" t="s">
        <v>70</v>
      </c>
      <c r="C5196">
        <v>23</v>
      </c>
      <c r="D5196" t="str">
        <f>VLOOKUP(B5196,Products!$A:$E,2,FALSE)</f>
        <v>Product_31</v>
      </c>
      <c r="E5196" t="str">
        <f>VLOOKUP(B5196,Products!$A:$E,3,FALSE)</f>
        <v>Accessories</v>
      </c>
    </row>
    <row r="5197" spans="1:5" x14ac:dyDescent="0.3">
      <c r="A5197" t="s">
        <v>11209</v>
      </c>
      <c r="B5197" t="s">
        <v>994</v>
      </c>
      <c r="C5197">
        <v>7</v>
      </c>
      <c r="D5197" t="str">
        <f>VLOOKUP(B5197,Products!$A:$E,2,FALSE)</f>
        <v>Product_493</v>
      </c>
      <c r="E5197" t="str">
        <f>VLOOKUP(B5197,Products!$A:$E,3,FALSE)</f>
        <v>Networking</v>
      </c>
    </row>
    <row r="5198" spans="1:5" x14ac:dyDescent="0.3">
      <c r="A5198" t="s">
        <v>11210</v>
      </c>
      <c r="B5198" t="s">
        <v>78</v>
      </c>
      <c r="C5198">
        <v>21</v>
      </c>
      <c r="D5198" t="str">
        <f>VLOOKUP(B5198,Products!$A:$E,2,FALSE)</f>
        <v>Product_35</v>
      </c>
      <c r="E5198" t="str">
        <f>VLOOKUP(B5198,Products!$A:$E,3,FALSE)</f>
        <v>Electronics</v>
      </c>
    </row>
    <row r="5199" spans="1:5" x14ac:dyDescent="0.3">
      <c r="A5199" t="s">
        <v>11211</v>
      </c>
      <c r="B5199" t="s">
        <v>732</v>
      </c>
      <c r="C5199">
        <v>31</v>
      </c>
      <c r="D5199" t="str">
        <f>VLOOKUP(B5199,Products!$A:$E,2,FALSE)</f>
        <v>Product_362</v>
      </c>
      <c r="E5199" t="str">
        <f>VLOOKUP(B5199,Products!$A:$E,3,FALSE)</f>
        <v>Networking</v>
      </c>
    </row>
    <row r="5200" spans="1:5" x14ac:dyDescent="0.3">
      <c r="A5200" t="s">
        <v>11212</v>
      </c>
      <c r="B5200" t="s">
        <v>632</v>
      </c>
      <c r="C5200">
        <v>19</v>
      </c>
      <c r="D5200" t="str">
        <f>VLOOKUP(B5200,Products!$A:$E,2,FALSE)</f>
        <v>Product_312</v>
      </c>
      <c r="E5200" t="str">
        <f>VLOOKUP(B5200,Products!$A:$E,3,FALSE)</f>
        <v>Office Supplies</v>
      </c>
    </row>
    <row r="5201" spans="1:5" x14ac:dyDescent="0.3">
      <c r="A5201" t="s">
        <v>11213</v>
      </c>
      <c r="B5201" t="s">
        <v>154</v>
      </c>
      <c r="C5201">
        <v>16</v>
      </c>
      <c r="D5201" t="str">
        <f>VLOOKUP(B5201,Products!$A:$E,2,FALSE)</f>
        <v>Product_73</v>
      </c>
      <c r="E5201" t="str">
        <f>VLOOKUP(B5201,Products!$A:$E,3,FALSE)</f>
        <v>Office Supplies</v>
      </c>
    </row>
    <row r="5202" spans="1:5" x14ac:dyDescent="0.3">
      <c r="A5202" t="s">
        <v>11214</v>
      </c>
      <c r="B5202" t="s">
        <v>540</v>
      </c>
      <c r="C5202">
        <v>32</v>
      </c>
      <c r="D5202" t="str">
        <f>VLOOKUP(B5202,Products!$A:$E,2,FALSE)</f>
        <v>Product_266</v>
      </c>
      <c r="E5202" t="str">
        <f>VLOOKUP(B5202,Products!$A:$E,3,FALSE)</f>
        <v>Electronics</v>
      </c>
    </row>
    <row r="5203" spans="1:5" x14ac:dyDescent="0.3">
      <c r="A5203" t="s">
        <v>11215</v>
      </c>
      <c r="B5203" t="s">
        <v>832</v>
      </c>
      <c r="C5203">
        <v>14</v>
      </c>
      <c r="D5203" t="str">
        <f>VLOOKUP(B5203,Products!$A:$E,2,FALSE)</f>
        <v>Product_412</v>
      </c>
      <c r="E5203" t="str">
        <f>VLOOKUP(B5203,Products!$A:$E,3,FALSE)</f>
        <v>Accessories</v>
      </c>
    </row>
    <row r="5204" spans="1:5" x14ac:dyDescent="0.3">
      <c r="A5204" t="s">
        <v>11216</v>
      </c>
      <c r="B5204" t="s">
        <v>436</v>
      </c>
      <c r="C5204">
        <v>32</v>
      </c>
      <c r="D5204" t="str">
        <f>VLOOKUP(B5204,Products!$A:$E,2,FALSE)</f>
        <v>Product_214</v>
      </c>
      <c r="E5204" t="str">
        <f>VLOOKUP(B5204,Products!$A:$E,3,FALSE)</f>
        <v>Electronics</v>
      </c>
    </row>
    <row r="5205" spans="1:5" x14ac:dyDescent="0.3">
      <c r="A5205" t="s">
        <v>11217</v>
      </c>
      <c r="B5205" t="s">
        <v>22</v>
      </c>
      <c r="C5205">
        <v>20</v>
      </c>
      <c r="D5205" t="str">
        <f>VLOOKUP(B5205,Products!$A:$E,2,FALSE)</f>
        <v>Product_7</v>
      </c>
      <c r="E5205" t="str">
        <f>VLOOKUP(B5205,Products!$A:$E,3,FALSE)</f>
        <v>Storage</v>
      </c>
    </row>
    <row r="5206" spans="1:5" x14ac:dyDescent="0.3">
      <c r="A5206" t="s">
        <v>11218</v>
      </c>
      <c r="B5206" t="s">
        <v>656</v>
      </c>
      <c r="C5206">
        <v>11</v>
      </c>
      <c r="D5206" t="str">
        <f>VLOOKUP(B5206,Products!$A:$E,2,FALSE)</f>
        <v>Product_324</v>
      </c>
      <c r="E5206" t="str">
        <f>VLOOKUP(B5206,Products!$A:$E,3,FALSE)</f>
        <v>Accessories</v>
      </c>
    </row>
    <row r="5207" spans="1:5" x14ac:dyDescent="0.3">
      <c r="A5207" t="s">
        <v>11219</v>
      </c>
      <c r="B5207" t="s">
        <v>356</v>
      </c>
      <c r="C5207">
        <v>41</v>
      </c>
      <c r="D5207" t="str">
        <f>VLOOKUP(B5207,Products!$A:$E,2,FALSE)</f>
        <v>Product_174</v>
      </c>
      <c r="E5207" t="str">
        <f>VLOOKUP(B5207,Products!$A:$E,3,FALSE)</f>
        <v>Storage</v>
      </c>
    </row>
    <row r="5208" spans="1:5" x14ac:dyDescent="0.3">
      <c r="A5208" t="s">
        <v>11220</v>
      </c>
      <c r="B5208" t="s">
        <v>328</v>
      </c>
      <c r="C5208">
        <v>44</v>
      </c>
      <c r="D5208" t="str">
        <f>VLOOKUP(B5208,Products!$A:$E,2,FALSE)</f>
        <v>Product_160</v>
      </c>
      <c r="E5208" t="str">
        <f>VLOOKUP(B5208,Products!$A:$E,3,FALSE)</f>
        <v>Office Supplies</v>
      </c>
    </row>
    <row r="5209" spans="1:5" x14ac:dyDescent="0.3">
      <c r="A5209" t="s">
        <v>11221</v>
      </c>
      <c r="B5209" t="s">
        <v>642</v>
      </c>
      <c r="C5209">
        <v>28</v>
      </c>
      <c r="D5209" t="str">
        <f>VLOOKUP(B5209,Products!$A:$E,2,FALSE)</f>
        <v>Product_317</v>
      </c>
      <c r="E5209" t="str">
        <f>VLOOKUP(B5209,Products!$A:$E,3,FALSE)</f>
        <v>Storage</v>
      </c>
    </row>
    <row r="5210" spans="1:5" x14ac:dyDescent="0.3">
      <c r="A5210" t="s">
        <v>11222</v>
      </c>
      <c r="B5210" t="s">
        <v>636</v>
      </c>
      <c r="C5210">
        <v>8</v>
      </c>
      <c r="D5210" t="str">
        <f>VLOOKUP(B5210,Products!$A:$E,2,FALSE)</f>
        <v>Product_314</v>
      </c>
      <c r="E5210" t="str">
        <f>VLOOKUP(B5210,Products!$A:$E,3,FALSE)</f>
        <v>Storage</v>
      </c>
    </row>
    <row r="5211" spans="1:5" x14ac:dyDescent="0.3">
      <c r="A5211" t="s">
        <v>11223</v>
      </c>
      <c r="B5211" t="s">
        <v>622</v>
      </c>
      <c r="C5211">
        <v>9</v>
      </c>
      <c r="D5211" t="str">
        <f>VLOOKUP(B5211,Products!$A:$E,2,FALSE)</f>
        <v>Product_307</v>
      </c>
      <c r="E5211" t="str">
        <f>VLOOKUP(B5211,Products!$A:$E,3,FALSE)</f>
        <v>Storage</v>
      </c>
    </row>
    <row r="5212" spans="1:5" x14ac:dyDescent="0.3">
      <c r="A5212" t="s">
        <v>11224</v>
      </c>
      <c r="B5212" t="s">
        <v>552</v>
      </c>
      <c r="C5212">
        <v>19</v>
      </c>
      <c r="D5212" t="str">
        <f>VLOOKUP(B5212,Products!$A:$E,2,FALSE)</f>
        <v>Product_272</v>
      </c>
      <c r="E5212" t="str">
        <f>VLOOKUP(B5212,Products!$A:$E,3,FALSE)</f>
        <v>Office Supplies</v>
      </c>
    </row>
    <row r="5213" spans="1:5" x14ac:dyDescent="0.3">
      <c r="A5213" t="s">
        <v>11225</v>
      </c>
      <c r="B5213" t="s">
        <v>358</v>
      </c>
      <c r="C5213">
        <v>47</v>
      </c>
      <c r="D5213" t="str">
        <f>VLOOKUP(B5213,Products!$A:$E,2,FALSE)</f>
        <v>Product_175</v>
      </c>
      <c r="E5213" t="str">
        <f>VLOOKUP(B5213,Products!$A:$E,3,FALSE)</f>
        <v>Storage</v>
      </c>
    </row>
    <row r="5214" spans="1:5" x14ac:dyDescent="0.3">
      <c r="A5214" t="s">
        <v>11226</v>
      </c>
      <c r="B5214" t="s">
        <v>392</v>
      </c>
      <c r="C5214">
        <v>45</v>
      </c>
      <c r="D5214" t="str">
        <f>VLOOKUP(B5214,Products!$A:$E,2,FALSE)</f>
        <v>Product_192</v>
      </c>
      <c r="E5214" t="str">
        <f>VLOOKUP(B5214,Products!$A:$E,3,FALSE)</f>
        <v>Office Supplies</v>
      </c>
    </row>
    <row r="5215" spans="1:5" x14ac:dyDescent="0.3">
      <c r="A5215" t="s">
        <v>11227</v>
      </c>
      <c r="B5215" t="s">
        <v>894</v>
      </c>
      <c r="C5215">
        <v>9</v>
      </c>
      <c r="D5215" t="str">
        <f>VLOOKUP(B5215,Products!$A:$E,2,FALSE)</f>
        <v>Product_443</v>
      </c>
      <c r="E5215" t="str">
        <f>VLOOKUP(B5215,Products!$A:$E,3,FALSE)</f>
        <v>Networking</v>
      </c>
    </row>
    <row r="5216" spans="1:5" x14ac:dyDescent="0.3">
      <c r="A5216" t="s">
        <v>11228</v>
      </c>
      <c r="B5216" t="s">
        <v>388</v>
      </c>
      <c r="C5216">
        <v>37</v>
      </c>
      <c r="D5216" t="str">
        <f>VLOOKUP(B5216,Products!$A:$E,2,FALSE)</f>
        <v>Product_190</v>
      </c>
      <c r="E5216" t="str">
        <f>VLOOKUP(B5216,Products!$A:$E,3,FALSE)</f>
        <v>Office Supplies</v>
      </c>
    </row>
    <row r="5217" spans="1:5" x14ac:dyDescent="0.3">
      <c r="A5217" t="s">
        <v>11229</v>
      </c>
      <c r="B5217" t="s">
        <v>1002</v>
      </c>
      <c r="C5217">
        <v>31</v>
      </c>
      <c r="D5217" t="str">
        <f>VLOOKUP(B5217,Products!$A:$E,2,FALSE)</f>
        <v>Product_497</v>
      </c>
      <c r="E5217" t="str">
        <f>VLOOKUP(B5217,Products!$A:$E,3,FALSE)</f>
        <v>Office Supplies</v>
      </c>
    </row>
    <row r="5218" spans="1:5" x14ac:dyDescent="0.3">
      <c r="A5218" t="s">
        <v>11230</v>
      </c>
      <c r="B5218" t="s">
        <v>74</v>
      </c>
      <c r="C5218">
        <v>2</v>
      </c>
      <c r="D5218" t="str">
        <f>VLOOKUP(B5218,Products!$A:$E,2,FALSE)</f>
        <v>Product_33</v>
      </c>
      <c r="E5218" t="str">
        <f>VLOOKUP(B5218,Products!$A:$E,3,FALSE)</f>
        <v>Storage</v>
      </c>
    </row>
    <row r="5219" spans="1:5" x14ac:dyDescent="0.3">
      <c r="A5219" t="s">
        <v>11231</v>
      </c>
      <c r="B5219" t="s">
        <v>466</v>
      </c>
      <c r="C5219">
        <v>24</v>
      </c>
      <c r="D5219" t="str">
        <f>VLOOKUP(B5219,Products!$A:$E,2,FALSE)</f>
        <v>Product_229</v>
      </c>
      <c r="E5219" t="str">
        <f>VLOOKUP(B5219,Products!$A:$E,3,FALSE)</f>
        <v>Accessories</v>
      </c>
    </row>
    <row r="5220" spans="1:5" x14ac:dyDescent="0.3">
      <c r="A5220" t="s">
        <v>11232</v>
      </c>
      <c r="B5220" t="s">
        <v>436</v>
      </c>
      <c r="C5220">
        <v>16</v>
      </c>
      <c r="D5220" t="str">
        <f>VLOOKUP(B5220,Products!$A:$E,2,FALSE)</f>
        <v>Product_214</v>
      </c>
      <c r="E5220" t="str">
        <f>VLOOKUP(B5220,Products!$A:$E,3,FALSE)</f>
        <v>Electronics</v>
      </c>
    </row>
    <row r="5221" spans="1:5" x14ac:dyDescent="0.3">
      <c r="A5221" t="s">
        <v>11233</v>
      </c>
      <c r="B5221" t="s">
        <v>224</v>
      </c>
      <c r="C5221">
        <v>21</v>
      </c>
      <c r="D5221" t="str">
        <f>VLOOKUP(B5221,Products!$A:$E,2,FALSE)</f>
        <v>Product_108</v>
      </c>
      <c r="E5221" t="str">
        <f>VLOOKUP(B5221,Products!$A:$E,3,FALSE)</f>
        <v>Networking</v>
      </c>
    </row>
    <row r="5222" spans="1:5" x14ac:dyDescent="0.3">
      <c r="A5222" t="s">
        <v>11234</v>
      </c>
      <c r="B5222" t="s">
        <v>714</v>
      </c>
      <c r="C5222">
        <v>15</v>
      </c>
      <c r="D5222" t="str">
        <f>VLOOKUP(B5222,Products!$A:$E,2,FALSE)</f>
        <v>Product_353</v>
      </c>
      <c r="E5222" t="str">
        <f>VLOOKUP(B5222,Products!$A:$E,3,FALSE)</f>
        <v>Accessories</v>
      </c>
    </row>
    <row r="5223" spans="1:5" x14ac:dyDescent="0.3">
      <c r="A5223" t="s">
        <v>11235</v>
      </c>
      <c r="B5223" t="s">
        <v>940</v>
      </c>
      <c r="C5223">
        <v>21</v>
      </c>
      <c r="D5223" t="str">
        <f>VLOOKUP(B5223,Products!$A:$E,2,FALSE)</f>
        <v>Product_466</v>
      </c>
      <c r="E5223" t="str">
        <f>VLOOKUP(B5223,Products!$A:$E,3,FALSE)</f>
        <v>Networking</v>
      </c>
    </row>
    <row r="5224" spans="1:5" x14ac:dyDescent="0.3">
      <c r="A5224" t="s">
        <v>11236</v>
      </c>
      <c r="B5224" t="s">
        <v>658</v>
      </c>
      <c r="C5224">
        <v>31</v>
      </c>
      <c r="D5224" t="str">
        <f>VLOOKUP(B5224,Products!$A:$E,2,FALSE)</f>
        <v>Product_325</v>
      </c>
      <c r="E5224" t="str">
        <f>VLOOKUP(B5224,Products!$A:$E,3,FALSE)</f>
        <v>Networking</v>
      </c>
    </row>
    <row r="5225" spans="1:5" x14ac:dyDescent="0.3">
      <c r="A5225" t="s">
        <v>11237</v>
      </c>
      <c r="B5225" t="s">
        <v>814</v>
      </c>
      <c r="C5225">
        <v>18</v>
      </c>
      <c r="D5225" t="str">
        <f>VLOOKUP(B5225,Products!$A:$E,2,FALSE)</f>
        <v>Product_403</v>
      </c>
      <c r="E5225" t="str">
        <f>VLOOKUP(B5225,Products!$A:$E,3,FALSE)</f>
        <v>Networking</v>
      </c>
    </row>
    <row r="5226" spans="1:5" x14ac:dyDescent="0.3">
      <c r="A5226" t="s">
        <v>11238</v>
      </c>
      <c r="B5226" t="s">
        <v>578</v>
      </c>
      <c r="C5226">
        <v>22</v>
      </c>
      <c r="D5226" t="str">
        <f>VLOOKUP(B5226,Products!$A:$E,2,FALSE)</f>
        <v>Product_285</v>
      </c>
      <c r="E5226" t="str">
        <f>VLOOKUP(B5226,Products!$A:$E,3,FALSE)</f>
        <v>Networking</v>
      </c>
    </row>
    <row r="5227" spans="1:5" x14ac:dyDescent="0.3">
      <c r="A5227" t="s">
        <v>11239</v>
      </c>
      <c r="B5227" t="s">
        <v>600</v>
      </c>
      <c r="C5227">
        <v>22</v>
      </c>
      <c r="D5227" t="str">
        <f>VLOOKUP(B5227,Products!$A:$E,2,FALSE)</f>
        <v>Product_296</v>
      </c>
      <c r="E5227" t="str">
        <f>VLOOKUP(B5227,Products!$A:$E,3,FALSE)</f>
        <v>Office Supplies</v>
      </c>
    </row>
    <row r="5228" spans="1:5" x14ac:dyDescent="0.3">
      <c r="A5228" t="s">
        <v>11240</v>
      </c>
      <c r="B5228" t="s">
        <v>724</v>
      </c>
      <c r="C5228">
        <v>13</v>
      </c>
      <c r="D5228" t="str">
        <f>VLOOKUP(B5228,Products!$A:$E,2,FALSE)</f>
        <v>Product_358</v>
      </c>
      <c r="E5228" t="str">
        <f>VLOOKUP(B5228,Products!$A:$E,3,FALSE)</f>
        <v>Storage</v>
      </c>
    </row>
    <row r="5229" spans="1:5" x14ac:dyDescent="0.3">
      <c r="A5229" t="s">
        <v>11241</v>
      </c>
      <c r="B5229" t="s">
        <v>932</v>
      </c>
      <c r="C5229">
        <v>9</v>
      </c>
      <c r="D5229" t="str">
        <f>VLOOKUP(B5229,Products!$A:$E,2,FALSE)</f>
        <v>Product_462</v>
      </c>
      <c r="E5229" t="str">
        <f>VLOOKUP(B5229,Products!$A:$E,3,FALSE)</f>
        <v>Electronics</v>
      </c>
    </row>
    <row r="5230" spans="1:5" x14ac:dyDescent="0.3">
      <c r="A5230" t="s">
        <v>11242</v>
      </c>
      <c r="B5230" t="s">
        <v>998</v>
      </c>
      <c r="C5230">
        <v>21</v>
      </c>
      <c r="D5230" t="str">
        <f>VLOOKUP(B5230,Products!$A:$E,2,FALSE)</f>
        <v>Product_495</v>
      </c>
      <c r="E5230" t="str">
        <f>VLOOKUP(B5230,Products!$A:$E,3,FALSE)</f>
        <v>Networking</v>
      </c>
    </row>
    <row r="5231" spans="1:5" x14ac:dyDescent="0.3">
      <c r="A5231" t="s">
        <v>11243</v>
      </c>
      <c r="B5231" t="s">
        <v>810</v>
      </c>
      <c r="C5231">
        <v>41</v>
      </c>
      <c r="D5231" t="str">
        <f>VLOOKUP(B5231,Products!$A:$E,2,FALSE)</f>
        <v>Product_401</v>
      </c>
      <c r="E5231" t="str">
        <f>VLOOKUP(B5231,Products!$A:$E,3,FALSE)</f>
        <v>Storage</v>
      </c>
    </row>
    <row r="5232" spans="1:5" x14ac:dyDescent="0.3">
      <c r="A5232" t="s">
        <v>11244</v>
      </c>
      <c r="B5232" t="s">
        <v>596</v>
      </c>
      <c r="C5232">
        <v>15</v>
      </c>
      <c r="D5232" t="str">
        <f>VLOOKUP(B5232,Products!$A:$E,2,FALSE)</f>
        <v>Product_294</v>
      </c>
      <c r="E5232" t="str">
        <f>VLOOKUP(B5232,Products!$A:$E,3,FALSE)</f>
        <v>Networking</v>
      </c>
    </row>
    <row r="5233" spans="1:5" x14ac:dyDescent="0.3">
      <c r="A5233" t="s">
        <v>11245</v>
      </c>
      <c r="B5233" t="s">
        <v>734</v>
      </c>
      <c r="C5233">
        <v>38</v>
      </c>
      <c r="D5233" t="str">
        <f>VLOOKUP(B5233,Products!$A:$E,2,FALSE)</f>
        <v>Product_363</v>
      </c>
      <c r="E5233" t="str">
        <f>VLOOKUP(B5233,Products!$A:$E,3,FALSE)</f>
        <v>Storage</v>
      </c>
    </row>
    <row r="5234" spans="1:5" x14ac:dyDescent="0.3">
      <c r="A5234" t="s">
        <v>11246</v>
      </c>
      <c r="B5234" t="s">
        <v>634</v>
      </c>
      <c r="C5234">
        <v>16</v>
      </c>
      <c r="D5234" t="str">
        <f>VLOOKUP(B5234,Products!$A:$E,2,FALSE)</f>
        <v>Product_313</v>
      </c>
      <c r="E5234" t="str">
        <f>VLOOKUP(B5234,Products!$A:$E,3,FALSE)</f>
        <v>Accessories</v>
      </c>
    </row>
    <row r="5235" spans="1:5" x14ac:dyDescent="0.3">
      <c r="A5235" t="s">
        <v>11247</v>
      </c>
      <c r="B5235" t="s">
        <v>842</v>
      </c>
      <c r="C5235">
        <v>16</v>
      </c>
      <c r="D5235" t="str">
        <f>VLOOKUP(B5235,Products!$A:$E,2,FALSE)</f>
        <v>Product_417</v>
      </c>
      <c r="E5235" t="str">
        <f>VLOOKUP(B5235,Products!$A:$E,3,FALSE)</f>
        <v>Accessories</v>
      </c>
    </row>
    <row r="5236" spans="1:5" x14ac:dyDescent="0.3">
      <c r="A5236" t="s">
        <v>11248</v>
      </c>
      <c r="B5236" t="s">
        <v>510</v>
      </c>
      <c r="C5236">
        <v>37</v>
      </c>
      <c r="D5236" t="str">
        <f>VLOOKUP(B5236,Products!$A:$E,2,FALSE)</f>
        <v>Product_251</v>
      </c>
      <c r="E5236" t="str">
        <f>VLOOKUP(B5236,Products!$A:$E,3,FALSE)</f>
        <v>Electronics</v>
      </c>
    </row>
    <row r="5237" spans="1:5" x14ac:dyDescent="0.3">
      <c r="A5237" t="s">
        <v>11249</v>
      </c>
      <c r="B5237" t="s">
        <v>490</v>
      </c>
      <c r="C5237">
        <v>2</v>
      </c>
      <c r="D5237" t="str">
        <f>VLOOKUP(B5237,Products!$A:$E,2,FALSE)</f>
        <v>Product_241</v>
      </c>
      <c r="E5237" t="str">
        <f>VLOOKUP(B5237,Products!$A:$E,3,FALSE)</f>
        <v>Electronics</v>
      </c>
    </row>
    <row r="5238" spans="1:5" x14ac:dyDescent="0.3">
      <c r="A5238" t="s">
        <v>11250</v>
      </c>
      <c r="B5238" t="s">
        <v>330</v>
      </c>
      <c r="C5238">
        <v>33</v>
      </c>
      <c r="D5238" t="str">
        <f>VLOOKUP(B5238,Products!$A:$E,2,FALSE)</f>
        <v>Product_161</v>
      </c>
      <c r="E5238" t="str">
        <f>VLOOKUP(B5238,Products!$A:$E,3,FALSE)</f>
        <v>Networking</v>
      </c>
    </row>
    <row r="5239" spans="1:5" x14ac:dyDescent="0.3">
      <c r="A5239" t="s">
        <v>11251</v>
      </c>
      <c r="B5239" t="s">
        <v>910</v>
      </c>
      <c r="C5239">
        <v>7</v>
      </c>
      <c r="D5239" t="str">
        <f>VLOOKUP(B5239,Products!$A:$E,2,FALSE)</f>
        <v>Product_451</v>
      </c>
      <c r="E5239" t="str">
        <f>VLOOKUP(B5239,Products!$A:$E,3,FALSE)</f>
        <v>Accessories</v>
      </c>
    </row>
    <row r="5240" spans="1:5" x14ac:dyDescent="0.3">
      <c r="A5240" t="s">
        <v>11252</v>
      </c>
      <c r="B5240" t="s">
        <v>402</v>
      </c>
      <c r="C5240">
        <v>49</v>
      </c>
      <c r="D5240" t="str">
        <f>VLOOKUP(B5240,Products!$A:$E,2,FALSE)</f>
        <v>Product_197</v>
      </c>
      <c r="E5240" t="str">
        <f>VLOOKUP(B5240,Products!$A:$E,3,FALSE)</f>
        <v>Electronics</v>
      </c>
    </row>
    <row r="5241" spans="1:5" x14ac:dyDescent="0.3">
      <c r="A5241" t="s">
        <v>11253</v>
      </c>
      <c r="B5241" t="s">
        <v>160</v>
      </c>
      <c r="C5241">
        <v>40</v>
      </c>
      <c r="D5241" t="str">
        <f>VLOOKUP(B5241,Products!$A:$E,2,FALSE)</f>
        <v>Product_76</v>
      </c>
      <c r="E5241" t="str">
        <f>VLOOKUP(B5241,Products!$A:$E,3,FALSE)</f>
        <v>Accessories</v>
      </c>
    </row>
    <row r="5242" spans="1:5" x14ac:dyDescent="0.3">
      <c r="A5242" t="s">
        <v>11254</v>
      </c>
      <c r="B5242" t="s">
        <v>338</v>
      </c>
      <c r="C5242">
        <v>6</v>
      </c>
      <c r="D5242" t="str">
        <f>VLOOKUP(B5242,Products!$A:$E,2,FALSE)</f>
        <v>Product_165</v>
      </c>
      <c r="E5242" t="str">
        <f>VLOOKUP(B5242,Products!$A:$E,3,FALSE)</f>
        <v>Office Supplies</v>
      </c>
    </row>
    <row r="5243" spans="1:5" x14ac:dyDescent="0.3">
      <c r="A5243" t="s">
        <v>11255</v>
      </c>
      <c r="B5243" t="s">
        <v>550</v>
      </c>
      <c r="C5243">
        <v>32</v>
      </c>
      <c r="D5243" t="str">
        <f>VLOOKUP(B5243,Products!$A:$E,2,FALSE)</f>
        <v>Product_271</v>
      </c>
      <c r="E5243" t="str">
        <f>VLOOKUP(B5243,Products!$A:$E,3,FALSE)</f>
        <v>Electronics</v>
      </c>
    </row>
    <row r="5244" spans="1:5" x14ac:dyDescent="0.3">
      <c r="A5244" t="s">
        <v>11256</v>
      </c>
      <c r="B5244" t="s">
        <v>482</v>
      </c>
      <c r="C5244">
        <v>39</v>
      </c>
      <c r="D5244" t="str">
        <f>VLOOKUP(B5244,Products!$A:$E,2,FALSE)</f>
        <v>Product_237</v>
      </c>
      <c r="E5244" t="str">
        <f>VLOOKUP(B5244,Products!$A:$E,3,FALSE)</f>
        <v>Networking</v>
      </c>
    </row>
    <row r="5245" spans="1:5" x14ac:dyDescent="0.3">
      <c r="A5245" t="s">
        <v>11257</v>
      </c>
      <c r="B5245" t="s">
        <v>932</v>
      </c>
      <c r="C5245">
        <v>47</v>
      </c>
      <c r="D5245" t="str">
        <f>VLOOKUP(B5245,Products!$A:$E,2,FALSE)</f>
        <v>Product_462</v>
      </c>
      <c r="E5245" t="str">
        <f>VLOOKUP(B5245,Products!$A:$E,3,FALSE)</f>
        <v>Electronics</v>
      </c>
    </row>
    <row r="5246" spans="1:5" x14ac:dyDescent="0.3">
      <c r="A5246" t="s">
        <v>11258</v>
      </c>
      <c r="B5246" t="s">
        <v>282</v>
      </c>
      <c r="C5246">
        <v>5</v>
      </c>
      <c r="D5246" t="str">
        <f>VLOOKUP(B5246,Products!$A:$E,2,FALSE)</f>
        <v>Product_137</v>
      </c>
      <c r="E5246" t="str">
        <f>VLOOKUP(B5246,Products!$A:$E,3,FALSE)</f>
        <v>Storage</v>
      </c>
    </row>
    <row r="5247" spans="1:5" x14ac:dyDescent="0.3">
      <c r="A5247" t="s">
        <v>11259</v>
      </c>
      <c r="B5247" t="s">
        <v>470</v>
      </c>
      <c r="C5247">
        <v>25</v>
      </c>
      <c r="D5247" t="str">
        <f>VLOOKUP(B5247,Products!$A:$E,2,FALSE)</f>
        <v>Product_231</v>
      </c>
      <c r="E5247" t="str">
        <f>VLOOKUP(B5247,Products!$A:$E,3,FALSE)</f>
        <v>Accessories</v>
      </c>
    </row>
    <row r="5248" spans="1:5" x14ac:dyDescent="0.3">
      <c r="A5248" t="s">
        <v>11260</v>
      </c>
      <c r="B5248" t="s">
        <v>806</v>
      </c>
      <c r="C5248">
        <v>13</v>
      </c>
      <c r="D5248" t="str">
        <f>VLOOKUP(B5248,Products!$A:$E,2,FALSE)</f>
        <v>Product_399</v>
      </c>
      <c r="E5248" t="str">
        <f>VLOOKUP(B5248,Products!$A:$E,3,FALSE)</f>
        <v>Networking</v>
      </c>
    </row>
    <row r="5249" spans="1:5" x14ac:dyDescent="0.3">
      <c r="A5249" t="s">
        <v>11261</v>
      </c>
      <c r="B5249" t="s">
        <v>820</v>
      </c>
      <c r="C5249">
        <v>50</v>
      </c>
      <c r="D5249" t="str">
        <f>VLOOKUP(B5249,Products!$A:$E,2,FALSE)</f>
        <v>Product_406</v>
      </c>
      <c r="E5249" t="str">
        <f>VLOOKUP(B5249,Products!$A:$E,3,FALSE)</f>
        <v>Office Supplies</v>
      </c>
    </row>
    <row r="5250" spans="1:5" x14ac:dyDescent="0.3">
      <c r="A5250" t="s">
        <v>11262</v>
      </c>
      <c r="B5250" t="s">
        <v>292</v>
      </c>
      <c r="C5250">
        <v>46</v>
      </c>
      <c r="D5250" t="str">
        <f>VLOOKUP(B5250,Products!$A:$E,2,FALSE)</f>
        <v>Product_142</v>
      </c>
      <c r="E5250" t="str">
        <f>VLOOKUP(B5250,Products!$A:$E,3,FALSE)</f>
        <v>Storage</v>
      </c>
    </row>
    <row r="5251" spans="1:5" x14ac:dyDescent="0.3">
      <c r="A5251" t="s">
        <v>11263</v>
      </c>
      <c r="B5251" t="s">
        <v>156</v>
      </c>
      <c r="C5251">
        <v>24</v>
      </c>
      <c r="D5251" t="str">
        <f>VLOOKUP(B5251,Products!$A:$E,2,FALSE)</f>
        <v>Product_74</v>
      </c>
      <c r="E5251" t="str">
        <f>VLOOKUP(B5251,Products!$A:$E,3,FALSE)</f>
        <v>Storage</v>
      </c>
    </row>
    <row r="5252" spans="1:5" x14ac:dyDescent="0.3">
      <c r="A5252" t="s">
        <v>11264</v>
      </c>
      <c r="B5252" t="s">
        <v>878</v>
      </c>
      <c r="C5252">
        <v>50</v>
      </c>
      <c r="D5252" t="str">
        <f>VLOOKUP(B5252,Products!$A:$E,2,FALSE)</f>
        <v>Product_435</v>
      </c>
      <c r="E5252" t="str">
        <f>VLOOKUP(B5252,Products!$A:$E,3,FALSE)</f>
        <v>Accessories</v>
      </c>
    </row>
    <row r="5253" spans="1:5" x14ac:dyDescent="0.3">
      <c r="A5253" t="s">
        <v>11265</v>
      </c>
      <c r="B5253" t="s">
        <v>70</v>
      </c>
      <c r="C5253">
        <v>31</v>
      </c>
      <c r="D5253" t="str">
        <f>VLOOKUP(B5253,Products!$A:$E,2,FALSE)</f>
        <v>Product_31</v>
      </c>
      <c r="E5253" t="str">
        <f>VLOOKUP(B5253,Products!$A:$E,3,FALSE)</f>
        <v>Accessories</v>
      </c>
    </row>
    <row r="5254" spans="1:5" x14ac:dyDescent="0.3">
      <c r="A5254" t="s">
        <v>11266</v>
      </c>
      <c r="B5254" t="s">
        <v>262</v>
      </c>
      <c r="C5254">
        <v>15</v>
      </c>
      <c r="D5254" t="str">
        <f>VLOOKUP(B5254,Products!$A:$E,2,FALSE)</f>
        <v>Product_127</v>
      </c>
      <c r="E5254" t="str">
        <f>VLOOKUP(B5254,Products!$A:$E,3,FALSE)</f>
        <v>Networking</v>
      </c>
    </row>
    <row r="5255" spans="1:5" x14ac:dyDescent="0.3">
      <c r="A5255" t="s">
        <v>11267</v>
      </c>
      <c r="B5255" t="s">
        <v>658</v>
      </c>
      <c r="C5255">
        <v>1</v>
      </c>
      <c r="D5255" t="str">
        <f>VLOOKUP(B5255,Products!$A:$E,2,FALSE)</f>
        <v>Product_325</v>
      </c>
      <c r="E5255" t="str">
        <f>VLOOKUP(B5255,Products!$A:$E,3,FALSE)</f>
        <v>Networking</v>
      </c>
    </row>
    <row r="5256" spans="1:5" x14ac:dyDescent="0.3">
      <c r="A5256" t="s">
        <v>11268</v>
      </c>
      <c r="B5256" t="s">
        <v>344</v>
      </c>
      <c r="C5256">
        <v>23</v>
      </c>
      <c r="D5256" t="str">
        <f>VLOOKUP(B5256,Products!$A:$E,2,FALSE)</f>
        <v>Product_168</v>
      </c>
      <c r="E5256" t="str">
        <f>VLOOKUP(B5256,Products!$A:$E,3,FALSE)</f>
        <v>Electronics</v>
      </c>
    </row>
    <row r="5257" spans="1:5" x14ac:dyDescent="0.3">
      <c r="A5257" t="s">
        <v>11269</v>
      </c>
      <c r="B5257" t="s">
        <v>854</v>
      </c>
      <c r="C5257">
        <v>40</v>
      </c>
      <c r="D5257" t="str">
        <f>VLOOKUP(B5257,Products!$A:$E,2,FALSE)</f>
        <v>Product_423</v>
      </c>
      <c r="E5257" t="str">
        <f>VLOOKUP(B5257,Products!$A:$E,3,FALSE)</f>
        <v>Office Supplies</v>
      </c>
    </row>
    <row r="5258" spans="1:5" x14ac:dyDescent="0.3">
      <c r="A5258" t="s">
        <v>11270</v>
      </c>
      <c r="B5258" t="s">
        <v>504</v>
      </c>
      <c r="C5258">
        <v>36</v>
      </c>
      <c r="D5258" t="str">
        <f>VLOOKUP(B5258,Products!$A:$E,2,FALSE)</f>
        <v>Product_248</v>
      </c>
      <c r="E5258" t="str">
        <f>VLOOKUP(B5258,Products!$A:$E,3,FALSE)</f>
        <v>Networking</v>
      </c>
    </row>
    <row r="5259" spans="1:5" x14ac:dyDescent="0.3">
      <c r="A5259" t="s">
        <v>11271</v>
      </c>
      <c r="B5259" t="s">
        <v>158</v>
      </c>
      <c r="C5259">
        <v>18</v>
      </c>
      <c r="D5259" t="str">
        <f>VLOOKUP(B5259,Products!$A:$E,2,FALSE)</f>
        <v>Product_75</v>
      </c>
      <c r="E5259" t="str">
        <f>VLOOKUP(B5259,Products!$A:$E,3,FALSE)</f>
        <v>Storage</v>
      </c>
    </row>
    <row r="5260" spans="1:5" x14ac:dyDescent="0.3">
      <c r="A5260" t="s">
        <v>11272</v>
      </c>
      <c r="B5260" t="s">
        <v>988</v>
      </c>
      <c r="C5260">
        <v>21</v>
      </c>
      <c r="D5260" t="str">
        <f>VLOOKUP(B5260,Products!$A:$E,2,FALSE)</f>
        <v>Product_490</v>
      </c>
      <c r="E5260" t="str">
        <f>VLOOKUP(B5260,Products!$A:$E,3,FALSE)</f>
        <v>Storage</v>
      </c>
    </row>
    <row r="5261" spans="1:5" x14ac:dyDescent="0.3">
      <c r="A5261" t="s">
        <v>11273</v>
      </c>
      <c r="B5261" t="s">
        <v>506</v>
      </c>
      <c r="C5261">
        <v>21</v>
      </c>
      <c r="D5261" t="str">
        <f>VLOOKUP(B5261,Products!$A:$E,2,FALSE)</f>
        <v>Product_249</v>
      </c>
      <c r="E5261" t="str">
        <f>VLOOKUP(B5261,Products!$A:$E,3,FALSE)</f>
        <v>Storage</v>
      </c>
    </row>
    <row r="5262" spans="1:5" x14ac:dyDescent="0.3">
      <c r="A5262" t="s">
        <v>11274</v>
      </c>
      <c r="B5262" t="s">
        <v>628</v>
      </c>
      <c r="C5262">
        <v>35</v>
      </c>
      <c r="D5262" t="str">
        <f>VLOOKUP(B5262,Products!$A:$E,2,FALSE)</f>
        <v>Product_310</v>
      </c>
      <c r="E5262" t="str">
        <f>VLOOKUP(B5262,Products!$A:$E,3,FALSE)</f>
        <v>Office Supplies</v>
      </c>
    </row>
    <row r="5263" spans="1:5" x14ac:dyDescent="0.3">
      <c r="A5263" t="s">
        <v>11275</v>
      </c>
      <c r="B5263" t="s">
        <v>214</v>
      </c>
      <c r="C5263">
        <v>42</v>
      </c>
      <c r="D5263" t="str">
        <f>VLOOKUP(B5263,Products!$A:$E,2,FALSE)</f>
        <v>Product_103</v>
      </c>
      <c r="E5263" t="str">
        <f>VLOOKUP(B5263,Products!$A:$E,3,FALSE)</f>
        <v>Accessories</v>
      </c>
    </row>
    <row r="5264" spans="1:5" x14ac:dyDescent="0.3">
      <c r="A5264" t="s">
        <v>11276</v>
      </c>
      <c r="B5264" t="s">
        <v>202</v>
      </c>
      <c r="C5264">
        <v>39</v>
      </c>
      <c r="D5264" t="str">
        <f>VLOOKUP(B5264,Products!$A:$E,2,FALSE)</f>
        <v>Product_97</v>
      </c>
      <c r="E5264" t="str">
        <f>VLOOKUP(B5264,Products!$A:$E,3,FALSE)</f>
        <v>Accessories</v>
      </c>
    </row>
    <row r="5265" spans="1:5" x14ac:dyDescent="0.3">
      <c r="A5265" t="s">
        <v>11277</v>
      </c>
      <c r="B5265" t="s">
        <v>628</v>
      </c>
      <c r="C5265">
        <v>8</v>
      </c>
      <c r="D5265" t="str">
        <f>VLOOKUP(B5265,Products!$A:$E,2,FALSE)</f>
        <v>Product_310</v>
      </c>
      <c r="E5265" t="str">
        <f>VLOOKUP(B5265,Products!$A:$E,3,FALSE)</f>
        <v>Office Supplies</v>
      </c>
    </row>
    <row r="5266" spans="1:5" x14ac:dyDescent="0.3">
      <c r="A5266" t="s">
        <v>11278</v>
      </c>
      <c r="B5266" t="s">
        <v>312</v>
      </c>
      <c r="C5266">
        <v>47</v>
      </c>
      <c r="D5266" t="str">
        <f>VLOOKUP(B5266,Products!$A:$E,2,FALSE)</f>
        <v>Product_152</v>
      </c>
      <c r="E5266" t="str">
        <f>VLOOKUP(B5266,Products!$A:$E,3,FALSE)</f>
        <v>Storage</v>
      </c>
    </row>
    <row r="5267" spans="1:5" x14ac:dyDescent="0.3">
      <c r="A5267" t="s">
        <v>11279</v>
      </c>
      <c r="B5267" t="s">
        <v>72</v>
      </c>
      <c r="C5267">
        <v>48</v>
      </c>
      <c r="D5267" t="str">
        <f>VLOOKUP(B5267,Products!$A:$E,2,FALSE)</f>
        <v>Product_32</v>
      </c>
      <c r="E5267" t="str">
        <f>VLOOKUP(B5267,Products!$A:$E,3,FALSE)</f>
        <v>Networking</v>
      </c>
    </row>
    <row r="5268" spans="1:5" x14ac:dyDescent="0.3">
      <c r="A5268" t="s">
        <v>11280</v>
      </c>
      <c r="B5268" t="s">
        <v>916</v>
      </c>
      <c r="C5268">
        <v>13</v>
      </c>
      <c r="D5268" t="str">
        <f>VLOOKUP(B5268,Products!$A:$E,2,FALSE)</f>
        <v>Product_454</v>
      </c>
      <c r="E5268" t="str">
        <f>VLOOKUP(B5268,Products!$A:$E,3,FALSE)</f>
        <v>Networking</v>
      </c>
    </row>
    <row r="5269" spans="1:5" x14ac:dyDescent="0.3">
      <c r="A5269" t="s">
        <v>11281</v>
      </c>
      <c r="B5269" t="s">
        <v>546</v>
      </c>
      <c r="C5269">
        <v>33</v>
      </c>
      <c r="D5269" t="str">
        <f>VLOOKUP(B5269,Products!$A:$E,2,FALSE)</f>
        <v>Product_269</v>
      </c>
      <c r="E5269" t="str">
        <f>VLOOKUP(B5269,Products!$A:$E,3,FALSE)</f>
        <v>Storage</v>
      </c>
    </row>
    <row r="5270" spans="1:5" x14ac:dyDescent="0.3">
      <c r="A5270" t="s">
        <v>11282</v>
      </c>
      <c r="B5270" t="s">
        <v>298</v>
      </c>
      <c r="C5270">
        <v>16</v>
      </c>
      <c r="D5270" t="str">
        <f>VLOOKUP(B5270,Products!$A:$E,2,FALSE)</f>
        <v>Product_145</v>
      </c>
      <c r="E5270" t="str">
        <f>VLOOKUP(B5270,Products!$A:$E,3,FALSE)</f>
        <v>Office Supplies</v>
      </c>
    </row>
    <row r="5271" spans="1:5" x14ac:dyDescent="0.3">
      <c r="A5271" t="s">
        <v>11283</v>
      </c>
      <c r="B5271" t="s">
        <v>818</v>
      </c>
      <c r="C5271">
        <v>25</v>
      </c>
      <c r="D5271" t="str">
        <f>VLOOKUP(B5271,Products!$A:$E,2,FALSE)</f>
        <v>Product_405</v>
      </c>
      <c r="E5271" t="str">
        <f>VLOOKUP(B5271,Products!$A:$E,3,FALSE)</f>
        <v>Electronics</v>
      </c>
    </row>
    <row r="5272" spans="1:5" x14ac:dyDescent="0.3">
      <c r="A5272" t="s">
        <v>11284</v>
      </c>
      <c r="B5272" t="s">
        <v>442</v>
      </c>
      <c r="C5272">
        <v>45</v>
      </c>
      <c r="D5272" t="str">
        <f>VLOOKUP(B5272,Products!$A:$E,2,FALSE)</f>
        <v>Product_217</v>
      </c>
      <c r="E5272" t="str">
        <f>VLOOKUP(B5272,Products!$A:$E,3,FALSE)</f>
        <v>Networking</v>
      </c>
    </row>
    <row r="5273" spans="1:5" x14ac:dyDescent="0.3">
      <c r="A5273" t="s">
        <v>11285</v>
      </c>
      <c r="B5273" t="s">
        <v>848</v>
      </c>
      <c r="C5273">
        <v>1</v>
      </c>
      <c r="D5273" t="str">
        <f>VLOOKUP(B5273,Products!$A:$E,2,FALSE)</f>
        <v>Product_420</v>
      </c>
      <c r="E5273" t="str">
        <f>VLOOKUP(B5273,Products!$A:$E,3,FALSE)</f>
        <v>Networking</v>
      </c>
    </row>
    <row r="5274" spans="1:5" x14ac:dyDescent="0.3">
      <c r="A5274" t="s">
        <v>11286</v>
      </c>
      <c r="B5274" t="s">
        <v>314</v>
      </c>
      <c r="C5274">
        <v>17</v>
      </c>
      <c r="D5274" t="str">
        <f>VLOOKUP(B5274,Products!$A:$E,2,FALSE)</f>
        <v>Product_153</v>
      </c>
      <c r="E5274" t="str">
        <f>VLOOKUP(B5274,Products!$A:$E,3,FALSE)</f>
        <v>Electronics</v>
      </c>
    </row>
    <row r="5275" spans="1:5" x14ac:dyDescent="0.3">
      <c r="A5275" t="s">
        <v>11287</v>
      </c>
      <c r="B5275" t="s">
        <v>218</v>
      </c>
      <c r="C5275">
        <v>10</v>
      </c>
      <c r="D5275" t="str">
        <f>VLOOKUP(B5275,Products!$A:$E,2,FALSE)</f>
        <v>Product_105</v>
      </c>
      <c r="E5275" t="str">
        <f>VLOOKUP(B5275,Products!$A:$E,3,FALSE)</f>
        <v>Networking</v>
      </c>
    </row>
    <row r="5276" spans="1:5" x14ac:dyDescent="0.3">
      <c r="A5276" t="s">
        <v>11288</v>
      </c>
      <c r="B5276" t="s">
        <v>312</v>
      </c>
      <c r="C5276">
        <v>2</v>
      </c>
      <c r="D5276" t="str">
        <f>VLOOKUP(B5276,Products!$A:$E,2,FALSE)</f>
        <v>Product_152</v>
      </c>
      <c r="E5276" t="str">
        <f>VLOOKUP(B5276,Products!$A:$E,3,FALSE)</f>
        <v>Storage</v>
      </c>
    </row>
    <row r="5277" spans="1:5" x14ac:dyDescent="0.3">
      <c r="A5277" t="s">
        <v>11289</v>
      </c>
      <c r="B5277" t="s">
        <v>38</v>
      </c>
      <c r="C5277">
        <v>42</v>
      </c>
      <c r="D5277" t="str">
        <f>VLOOKUP(B5277,Products!$A:$E,2,FALSE)</f>
        <v>Product_15</v>
      </c>
      <c r="E5277" t="str">
        <f>VLOOKUP(B5277,Products!$A:$E,3,FALSE)</f>
        <v>Electronics</v>
      </c>
    </row>
    <row r="5278" spans="1:5" x14ac:dyDescent="0.3">
      <c r="A5278" t="s">
        <v>11290</v>
      </c>
      <c r="B5278" t="s">
        <v>668</v>
      </c>
      <c r="C5278">
        <v>49</v>
      </c>
      <c r="D5278" t="str">
        <f>VLOOKUP(B5278,Products!$A:$E,2,FALSE)</f>
        <v>Product_330</v>
      </c>
      <c r="E5278" t="str">
        <f>VLOOKUP(B5278,Products!$A:$E,3,FALSE)</f>
        <v>Electronics</v>
      </c>
    </row>
    <row r="5279" spans="1:5" x14ac:dyDescent="0.3">
      <c r="A5279" t="s">
        <v>11291</v>
      </c>
      <c r="B5279" t="s">
        <v>440</v>
      </c>
      <c r="C5279">
        <v>6</v>
      </c>
      <c r="D5279" t="str">
        <f>VLOOKUP(B5279,Products!$A:$E,2,FALSE)</f>
        <v>Product_216</v>
      </c>
      <c r="E5279" t="str">
        <f>VLOOKUP(B5279,Products!$A:$E,3,FALSE)</f>
        <v>Accessories</v>
      </c>
    </row>
    <row r="5280" spans="1:5" x14ac:dyDescent="0.3">
      <c r="A5280" t="s">
        <v>11292</v>
      </c>
      <c r="B5280" t="s">
        <v>386</v>
      </c>
      <c r="C5280">
        <v>30</v>
      </c>
      <c r="D5280" t="str">
        <f>VLOOKUP(B5280,Products!$A:$E,2,FALSE)</f>
        <v>Product_189</v>
      </c>
      <c r="E5280" t="str">
        <f>VLOOKUP(B5280,Products!$A:$E,3,FALSE)</f>
        <v>Electronics</v>
      </c>
    </row>
    <row r="5281" spans="1:5" x14ac:dyDescent="0.3">
      <c r="A5281" t="s">
        <v>11293</v>
      </c>
      <c r="B5281" t="s">
        <v>804</v>
      </c>
      <c r="C5281">
        <v>10</v>
      </c>
      <c r="D5281" t="str">
        <f>VLOOKUP(B5281,Products!$A:$E,2,FALSE)</f>
        <v>Product_398</v>
      </c>
      <c r="E5281" t="str">
        <f>VLOOKUP(B5281,Products!$A:$E,3,FALSE)</f>
        <v>Networking</v>
      </c>
    </row>
    <row r="5282" spans="1:5" x14ac:dyDescent="0.3">
      <c r="A5282" t="s">
        <v>11294</v>
      </c>
      <c r="B5282" t="s">
        <v>466</v>
      </c>
      <c r="C5282">
        <v>41</v>
      </c>
      <c r="D5282" t="str">
        <f>VLOOKUP(B5282,Products!$A:$E,2,FALSE)</f>
        <v>Product_229</v>
      </c>
      <c r="E5282" t="str">
        <f>VLOOKUP(B5282,Products!$A:$E,3,FALSE)</f>
        <v>Accessories</v>
      </c>
    </row>
    <row r="5283" spans="1:5" x14ac:dyDescent="0.3">
      <c r="A5283" t="s">
        <v>11295</v>
      </c>
      <c r="B5283" t="s">
        <v>400</v>
      </c>
      <c r="C5283">
        <v>36</v>
      </c>
      <c r="D5283" t="str">
        <f>VLOOKUP(B5283,Products!$A:$E,2,FALSE)</f>
        <v>Product_196</v>
      </c>
      <c r="E5283" t="str">
        <f>VLOOKUP(B5283,Products!$A:$E,3,FALSE)</f>
        <v>Office Supplies</v>
      </c>
    </row>
    <row r="5284" spans="1:5" x14ac:dyDescent="0.3">
      <c r="A5284" t="s">
        <v>11296</v>
      </c>
      <c r="B5284" t="s">
        <v>170</v>
      </c>
      <c r="C5284">
        <v>39</v>
      </c>
      <c r="D5284" t="str">
        <f>VLOOKUP(B5284,Products!$A:$E,2,FALSE)</f>
        <v>Product_81</v>
      </c>
      <c r="E5284" t="str">
        <f>VLOOKUP(B5284,Products!$A:$E,3,FALSE)</f>
        <v>Office Supplies</v>
      </c>
    </row>
    <row r="5285" spans="1:5" x14ac:dyDescent="0.3">
      <c r="A5285" t="s">
        <v>11297</v>
      </c>
      <c r="B5285" t="s">
        <v>464</v>
      </c>
      <c r="C5285">
        <v>49</v>
      </c>
      <c r="D5285" t="str">
        <f>VLOOKUP(B5285,Products!$A:$E,2,FALSE)</f>
        <v>Product_228</v>
      </c>
      <c r="E5285" t="str">
        <f>VLOOKUP(B5285,Products!$A:$E,3,FALSE)</f>
        <v>Storage</v>
      </c>
    </row>
    <row r="5286" spans="1:5" x14ac:dyDescent="0.3">
      <c r="A5286" t="s">
        <v>11298</v>
      </c>
      <c r="B5286" t="s">
        <v>330</v>
      </c>
      <c r="C5286">
        <v>7</v>
      </c>
      <c r="D5286" t="str">
        <f>VLOOKUP(B5286,Products!$A:$E,2,FALSE)</f>
        <v>Product_161</v>
      </c>
      <c r="E5286" t="str">
        <f>VLOOKUP(B5286,Products!$A:$E,3,FALSE)</f>
        <v>Networking</v>
      </c>
    </row>
    <row r="5287" spans="1:5" x14ac:dyDescent="0.3">
      <c r="A5287" t="s">
        <v>11299</v>
      </c>
      <c r="B5287" t="s">
        <v>968</v>
      </c>
      <c r="C5287">
        <v>18</v>
      </c>
      <c r="D5287" t="str">
        <f>VLOOKUP(B5287,Products!$A:$E,2,FALSE)</f>
        <v>Product_480</v>
      </c>
      <c r="E5287" t="str">
        <f>VLOOKUP(B5287,Products!$A:$E,3,FALSE)</f>
        <v>Accessories</v>
      </c>
    </row>
    <row r="5288" spans="1:5" x14ac:dyDescent="0.3">
      <c r="A5288" t="s">
        <v>11300</v>
      </c>
      <c r="B5288" t="s">
        <v>476</v>
      </c>
      <c r="C5288">
        <v>18</v>
      </c>
      <c r="D5288" t="str">
        <f>VLOOKUP(B5288,Products!$A:$E,2,FALSE)</f>
        <v>Product_234</v>
      </c>
      <c r="E5288" t="str">
        <f>VLOOKUP(B5288,Products!$A:$E,3,FALSE)</f>
        <v>Networking</v>
      </c>
    </row>
    <row r="5289" spans="1:5" x14ac:dyDescent="0.3">
      <c r="A5289" t="s">
        <v>11301</v>
      </c>
      <c r="B5289" t="s">
        <v>212</v>
      </c>
      <c r="C5289">
        <v>46</v>
      </c>
      <c r="D5289" t="str">
        <f>VLOOKUP(B5289,Products!$A:$E,2,FALSE)</f>
        <v>Product_102</v>
      </c>
      <c r="E5289" t="str">
        <f>VLOOKUP(B5289,Products!$A:$E,3,FALSE)</f>
        <v>Storage</v>
      </c>
    </row>
    <row r="5290" spans="1:5" x14ac:dyDescent="0.3">
      <c r="A5290" t="s">
        <v>11302</v>
      </c>
      <c r="B5290" t="s">
        <v>630</v>
      </c>
      <c r="C5290">
        <v>30</v>
      </c>
      <c r="D5290" t="str">
        <f>VLOOKUP(B5290,Products!$A:$E,2,FALSE)</f>
        <v>Product_311</v>
      </c>
      <c r="E5290" t="str">
        <f>VLOOKUP(B5290,Products!$A:$E,3,FALSE)</f>
        <v>Networking</v>
      </c>
    </row>
    <row r="5291" spans="1:5" x14ac:dyDescent="0.3">
      <c r="A5291" t="s">
        <v>11303</v>
      </c>
      <c r="B5291" t="s">
        <v>300</v>
      </c>
      <c r="C5291">
        <v>11</v>
      </c>
      <c r="D5291" t="str">
        <f>VLOOKUP(B5291,Products!$A:$E,2,FALSE)</f>
        <v>Product_146</v>
      </c>
      <c r="E5291" t="str">
        <f>VLOOKUP(B5291,Products!$A:$E,3,FALSE)</f>
        <v>Office Supplies</v>
      </c>
    </row>
    <row r="5292" spans="1:5" x14ac:dyDescent="0.3">
      <c r="A5292" t="s">
        <v>11304</v>
      </c>
      <c r="B5292" t="s">
        <v>610</v>
      </c>
      <c r="C5292">
        <v>9</v>
      </c>
      <c r="D5292" t="str">
        <f>VLOOKUP(B5292,Products!$A:$E,2,FALSE)</f>
        <v>Product_301</v>
      </c>
      <c r="E5292" t="str">
        <f>VLOOKUP(B5292,Products!$A:$E,3,FALSE)</f>
        <v>Networking</v>
      </c>
    </row>
    <row r="5293" spans="1:5" x14ac:dyDescent="0.3">
      <c r="A5293" t="s">
        <v>11305</v>
      </c>
      <c r="B5293" t="s">
        <v>340</v>
      </c>
      <c r="C5293">
        <v>2</v>
      </c>
      <c r="D5293" t="str">
        <f>VLOOKUP(B5293,Products!$A:$E,2,FALSE)</f>
        <v>Product_166</v>
      </c>
      <c r="E5293" t="str">
        <f>VLOOKUP(B5293,Products!$A:$E,3,FALSE)</f>
        <v>Accessories</v>
      </c>
    </row>
    <row r="5294" spans="1:5" x14ac:dyDescent="0.3">
      <c r="A5294" t="s">
        <v>11306</v>
      </c>
      <c r="B5294" t="s">
        <v>136</v>
      </c>
      <c r="C5294">
        <v>4</v>
      </c>
      <c r="D5294" t="str">
        <f>VLOOKUP(B5294,Products!$A:$E,2,FALSE)</f>
        <v>Product_64</v>
      </c>
      <c r="E5294" t="str">
        <f>VLOOKUP(B5294,Products!$A:$E,3,FALSE)</f>
        <v>Storage</v>
      </c>
    </row>
    <row r="5295" spans="1:5" x14ac:dyDescent="0.3">
      <c r="A5295" t="s">
        <v>11307</v>
      </c>
      <c r="B5295" t="s">
        <v>898</v>
      </c>
      <c r="C5295">
        <v>21</v>
      </c>
      <c r="D5295" t="str">
        <f>VLOOKUP(B5295,Products!$A:$E,2,FALSE)</f>
        <v>Product_445</v>
      </c>
      <c r="E5295" t="str">
        <f>VLOOKUP(B5295,Products!$A:$E,3,FALSE)</f>
        <v>Office Supplies</v>
      </c>
    </row>
    <row r="5296" spans="1:5" x14ac:dyDescent="0.3">
      <c r="A5296" t="s">
        <v>11308</v>
      </c>
      <c r="B5296" t="s">
        <v>574</v>
      </c>
      <c r="C5296">
        <v>31</v>
      </c>
      <c r="D5296" t="str">
        <f>VLOOKUP(B5296,Products!$A:$E,2,FALSE)</f>
        <v>Product_283</v>
      </c>
      <c r="E5296" t="str">
        <f>VLOOKUP(B5296,Products!$A:$E,3,FALSE)</f>
        <v>Networking</v>
      </c>
    </row>
    <row r="5297" spans="1:5" x14ac:dyDescent="0.3">
      <c r="A5297" t="s">
        <v>11309</v>
      </c>
      <c r="B5297" t="s">
        <v>386</v>
      </c>
      <c r="C5297">
        <v>10</v>
      </c>
      <c r="D5297" t="str">
        <f>VLOOKUP(B5297,Products!$A:$E,2,FALSE)</f>
        <v>Product_189</v>
      </c>
      <c r="E5297" t="str">
        <f>VLOOKUP(B5297,Products!$A:$E,3,FALSE)</f>
        <v>Electronics</v>
      </c>
    </row>
    <row r="5298" spans="1:5" x14ac:dyDescent="0.3">
      <c r="A5298" t="s">
        <v>11310</v>
      </c>
      <c r="B5298" t="s">
        <v>332</v>
      </c>
      <c r="C5298">
        <v>47</v>
      </c>
      <c r="D5298" t="str">
        <f>VLOOKUP(B5298,Products!$A:$E,2,FALSE)</f>
        <v>Product_162</v>
      </c>
      <c r="E5298" t="str">
        <f>VLOOKUP(B5298,Products!$A:$E,3,FALSE)</f>
        <v>Accessories</v>
      </c>
    </row>
    <row r="5299" spans="1:5" x14ac:dyDescent="0.3">
      <c r="A5299" t="s">
        <v>11311</v>
      </c>
      <c r="B5299" t="s">
        <v>394</v>
      </c>
      <c r="C5299">
        <v>36</v>
      </c>
      <c r="D5299" t="str">
        <f>VLOOKUP(B5299,Products!$A:$E,2,FALSE)</f>
        <v>Product_193</v>
      </c>
      <c r="E5299" t="str">
        <f>VLOOKUP(B5299,Products!$A:$E,3,FALSE)</f>
        <v>Accessories</v>
      </c>
    </row>
    <row r="5300" spans="1:5" x14ac:dyDescent="0.3">
      <c r="A5300" t="s">
        <v>11312</v>
      </c>
      <c r="B5300" t="s">
        <v>36</v>
      </c>
      <c r="C5300">
        <v>41</v>
      </c>
      <c r="D5300" t="str">
        <f>VLOOKUP(B5300,Products!$A:$E,2,FALSE)</f>
        <v>Product_14</v>
      </c>
      <c r="E5300" t="str">
        <f>VLOOKUP(B5300,Products!$A:$E,3,FALSE)</f>
        <v>Accessories</v>
      </c>
    </row>
    <row r="5301" spans="1:5" x14ac:dyDescent="0.3">
      <c r="A5301" t="s">
        <v>11313</v>
      </c>
      <c r="B5301" t="s">
        <v>454</v>
      </c>
      <c r="C5301">
        <v>42</v>
      </c>
      <c r="D5301" t="str">
        <f>VLOOKUP(B5301,Products!$A:$E,2,FALSE)</f>
        <v>Product_223</v>
      </c>
      <c r="E5301" t="str">
        <f>VLOOKUP(B5301,Products!$A:$E,3,FALSE)</f>
        <v>Storage</v>
      </c>
    </row>
    <row r="5302" spans="1:5" x14ac:dyDescent="0.3">
      <c r="A5302" t="s">
        <v>11314</v>
      </c>
      <c r="B5302" t="s">
        <v>340</v>
      </c>
      <c r="C5302">
        <v>26</v>
      </c>
      <c r="D5302" t="str">
        <f>VLOOKUP(B5302,Products!$A:$E,2,FALSE)</f>
        <v>Product_166</v>
      </c>
      <c r="E5302" t="str">
        <f>VLOOKUP(B5302,Products!$A:$E,3,FALSE)</f>
        <v>Accessories</v>
      </c>
    </row>
    <row r="5303" spans="1:5" x14ac:dyDescent="0.3">
      <c r="A5303" t="s">
        <v>11315</v>
      </c>
      <c r="B5303" t="s">
        <v>192</v>
      </c>
      <c r="C5303">
        <v>21</v>
      </c>
      <c r="D5303" t="str">
        <f>VLOOKUP(B5303,Products!$A:$E,2,FALSE)</f>
        <v>Product_92</v>
      </c>
      <c r="E5303" t="str">
        <f>VLOOKUP(B5303,Products!$A:$E,3,FALSE)</f>
        <v>Electronics</v>
      </c>
    </row>
    <row r="5304" spans="1:5" x14ac:dyDescent="0.3">
      <c r="A5304" t="s">
        <v>11316</v>
      </c>
      <c r="B5304" t="s">
        <v>636</v>
      </c>
      <c r="C5304">
        <v>49</v>
      </c>
      <c r="D5304" t="str">
        <f>VLOOKUP(B5304,Products!$A:$E,2,FALSE)</f>
        <v>Product_314</v>
      </c>
      <c r="E5304" t="str">
        <f>VLOOKUP(B5304,Products!$A:$E,3,FALSE)</f>
        <v>Storage</v>
      </c>
    </row>
    <row r="5305" spans="1:5" x14ac:dyDescent="0.3">
      <c r="A5305" t="s">
        <v>11317</v>
      </c>
      <c r="B5305" t="s">
        <v>44</v>
      </c>
      <c r="C5305">
        <v>42</v>
      </c>
      <c r="D5305" t="str">
        <f>VLOOKUP(B5305,Products!$A:$E,2,FALSE)</f>
        <v>Product_18</v>
      </c>
      <c r="E5305" t="str">
        <f>VLOOKUP(B5305,Products!$A:$E,3,FALSE)</f>
        <v>Networking</v>
      </c>
    </row>
    <row r="5306" spans="1:5" x14ac:dyDescent="0.3">
      <c r="A5306" t="s">
        <v>11318</v>
      </c>
      <c r="B5306" t="s">
        <v>298</v>
      </c>
      <c r="C5306">
        <v>21</v>
      </c>
      <c r="D5306" t="str">
        <f>VLOOKUP(B5306,Products!$A:$E,2,FALSE)</f>
        <v>Product_145</v>
      </c>
      <c r="E5306" t="str">
        <f>VLOOKUP(B5306,Products!$A:$E,3,FALSE)</f>
        <v>Office Supplies</v>
      </c>
    </row>
    <row r="5307" spans="1:5" x14ac:dyDescent="0.3">
      <c r="A5307" t="s">
        <v>11319</v>
      </c>
      <c r="B5307" t="s">
        <v>588</v>
      </c>
      <c r="C5307">
        <v>49</v>
      </c>
      <c r="D5307" t="str">
        <f>VLOOKUP(B5307,Products!$A:$E,2,FALSE)</f>
        <v>Product_290</v>
      </c>
      <c r="E5307" t="str">
        <f>VLOOKUP(B5307,Products!$A:$E,3,FALSE)</f>
        <v>Accessories</v>
      </c>
    </row>
    <row r="5308" spans="1:5" x14ac:dyDescent="0.3">
      <c r="A5308" t="s">
        <v>11320</v>
      </c>
      <c r="B5308" t="s">
        <v>592</v>
      </c>
      <c r="C5308">
        <v>3</v>
      </c>
      <c r="D5308" t="str">
        <f>VLOOKUP(B5308,Products!$A:$E,2,FALSE)</f>
        <v>Product_292</v>
      </c>
      <c r="E5308" t="str">
        <f>VLOOKUP(B5308,Products!$A:$E,3,FALSE)</f>
        <v>Networking</v>
      </c>
    </row>
    <row r="5309" spans="1:5" x14ac:dyDescent="0.3">
      <c r="A5309" t="s">
        <v>11321</v>
      </c>
      <c r="B5309" t="s">
        <v>914</v>
      </c>
      <c r="C5309">
        <v>33</v>
      </c>
      <c r="D5309" t="str">
        <f>VLOOKUP(B5309,Products!$A:$E,2,FALSE)</f>
        <v>Product_453</v>
      </c>
      <c r="E5309" t="str">
        <f>VLOOKUP(B5309,Products!$A:$E,3,FALSE)</f>
        <v>Office Supplies</v>
      </c>
    </row>
    <row r="5310" spans="1:5" x14ac:dyDescent="0.3">
      <c r="A5310" t="s">
        <v>11322</v>
      </c>
      <c r="B5310" t="s">
        <v>66</v>
      </c>
      <c r="C5310">
        <v>47</v>
      </c>
      <c r="D5310" t="str">
        <f>VLOOKUP(B5310,Products!$A:$E,2,FALSE)</f>
        <v>Product_29</v>
      </c>
      <c r="E5310" t="str">
        <f>VLOOKUP(B5310,Products!$A:$E,3,FALSE)</f>
        <v>Electronics</v>
      </c>
    </row>
    <row r="5311" spans="1:5" x14ac:dyDescent="0.3">
      <c r="A5311" t="s">
        <v>11323</v>
      </c>
      <c r="B5311" t="s">
        <v>744</v>
      </c>
      <c r="C5311">
        <v>46</v>
      </c>
      <c r="D5311" t="str">
        <f>VLOOKUP(B5311,Products!$A:$E,2,FALSE)</f>
        <v>Product_368</v>
      </c>
      <c r="E5311" t="str">
        <f>VLOOKUP(B5311,Products!$A:$E,3,FALSE)</f>
        <v>Office Supplies</v>
      </c>
    </row>
    <row r="5312" spans="1:5" x14ac:dyDescent="0.3">
      <c r="A5312" t="s">
        <v>11324</v>
      </c>
      <c r="B5312" t="s">
        <v>144</v>
      </c>
      <c r="C5312">
        <v>32</v>
      </c>
      <c r="D5312" t="str">
        <f>VLOOKUP(B5312,Products!$A:$E,2,FALSE)</f>
        <v>Product_68</v>
      </c>
      <c r="E5312" t="str">
        <f>VLOOKUP(B5312,Products!$A:$E,3,FALSE)</f>
        <v>Accessories</v>
      </c>
    </row>
    <row r="5313" spans="1:5" x14ac:dyDescent="0.3">
      <c r="A5313" t="s">
        <v>11325</v>
      </c>
      <c r="B5313" t="s">
        <v>74</v>
      </c>
      <c r="C5313">
        <v>5</v>
      </c>
      <c r="D5313" t="str">
        <f>VLOOKUP(B5313,Products!$A:$E,2,FALSE)</f>
        <v>Product_33</v>
      </c>
      <c r="E5313" t="str">
        <f>VLOOKUP(B5313,Products!$A:$E,3,FALSE)</f>
        <v>Storage</v>
      </c>
    </row>
    <row r="5314" spans="1:5" x14ac:dyDescent="0.3">
      <c r="A5314" t="s">
        <v>11326</v>
      </c>
      <c r="B5314" t="s">
        <v>152</v>
      </c>
      <c r="C5314">
        <v>10</v>
      </c>
      <c r="D5314" t="str">
        <f>VLOOKUP(B5314,Products!$A:$E,2,FALSE)</f>
        <v>Product_72</v>
      </c>
      <c r="E5314" t="str">
        <f>VLOOKUP(B5314,Products!$A:$E,3,FALSE)</f>
        <v>Networking</v>
      </c>
    </row>
    <row r="5315" spans="1:5" x14ac:dyDescent="0.3">
      <c r="A5315" t="s">
        <v>11327</v>
      </c>
      <c r="B5315" t="s">
        <v>114</v>
      </c>
      <c r="C5315">
        <v>34</v>
      </c>
      <c r="D5315" t="str">
        <f>VLOOKUP(B5315,Products!$A:$E,2,FALSE)</f>
        <v>Product_53</v>
      </c>
      <c r="E5315" t="str">
        <f>VLOOKUP(B5315,Products!$A:$E,3,FALSE)</f>
        <v>Electronics</v>
      </c>
    </row>
    <row r="5316" spans="1:5" x14ac:dyDescent="0.3">
      <c r="A5316" t="s">
        <v>11328</v>
      </c>
      <c r="B5316" t="s">
        <v>176</v>
      </c>
      <c r="C5316">
        <v>46</v>
      </c>
      <c r="D5316" t="str">
        <f>VLOOKUP(B5316,Products!$A:$E,2,FALSE)</f>
        <v>Product_84</v>
      </c>
      <c r="E5316" t="str">
        <f>VLOOKUP(B5316,Products!$A:$E,3,FALSE)</f>
        <v>Electronics</v>
      </c>
    </row>
    <row r="5317" spans="1:5" x14ac:dyDescent="0.3">
      <c r="A5317" t="s">
        <v>11329</v>
      </c>
      <c r="B5317" t="s">
        <v>250</v>
      </c>
      <c r="C5317">
        <v>6</v>
      </c>
      <c r="D5317" t="str">
        <f>VLOOKUP(B5317,Products!$A:$E,2,FALSE)</f>
        <v>Product_121</v>
      </c>
      <c r="E5317" t="str">
        <f>VLOOKUP(B5317,Products!$A:$E,3,FALSE)</f>
        <v>Storage</v>
      </c>
    </row>
    <row r="5318" spans="1:5" x14ac:dyDescent="0.3">
      <c r="A5318" t="s">
        <v>11330</v>
      </c>
      <c r="B5318" t="s">
        <v>782</v>
      </c>
      <c r="C5318">
        <v>24</v>
      </c>
      <c r="D5318" t="str">
        <f>VLOOKUP(B5318,Products!$A:$E,2,FALSE)</f>
        <v>Product_387</v>
      </c>
      <c r="E5318" t="str">
        <f>VLOOKUP(B5318,Products!$A:$E,3,FALSE)</f>
        <v>Storage</v>
      </c>
    </row>
    <row r="5319" spans="1:5" x14ac:dyDescent="0.3">
      <c r="A5319" t="s">
        <v>11331</v>
      </c>
      <c r="B5319" t="s">
        <v>1004</v>
      </c>
      <c r="C5319">
        <v>23</v>
      </c>
      <c r="D5319" t="str">
        <f>VLOOKUP(B5319,Products!$A:$E,2,FALSE)</f>
        <v>Product_498</v>
      </c>
      <c r="E5319" t="str">
        <f>VLOOKUP(B5319,Products!$A:$E,3,FALSE)</f>
        <v>Office Supplies</v>
      </c>
    </row>
    <row r="5320" spans="1:5" x14ac:dyDescent="0.3">
      <c r="A5320" t="s">
        <v>11332</v>
      </c>
      <c r="B5320" t="s">
        <v>356</v>
      </c>
      <c r="C5320">
        <v>6</v>
      </c>
      <c r="D5320" t="str">
        <f>VLOOKUP(B5320,Products!$A:$E,2,FALSE)</f>
        <v>Product_174</v>
      </c>
      <c r="E5320" t="str">
        <f>VLOOKUP(B5320,Products!$A:$E,3,FALSE)</f>
        <v>Storage</v>
      </c>
    </row>
    <row r="5321" spans="1:5" x14ac:dyDescent="0.3">
      <c r="A5321" t="s">
        <v>11333</v>
      </c>
      <c r="B5321" t="s">
        <v>432</v>
      </c>
      <c r="C5321">
        <v>22</v>
      </c>
      <c r="D5321" t="str">
        <f>VLOOKUP(B5321,Products!$A:$E,2,FALSE)</f>
        <v>Product_212</v>
      </c>
      <c r="E5321" t="str">
        <f>VLOOKUP(B5321,Products!$A:$E,3,FALSE)</f>
        <v>Networking</v>
      </c>
    </row>
    <row r="5322" spans="1:5" x14ac:dyDescent="0.3">
      <c r="A5322" t="s">
        <v>11334</v>
      </c>
      <c r="B5322" t="s">
        <v>778</v>
      </c>
      <c r="C5322">
        <v>5</v>
      </c>
      <c r="D5322" t="str">
        <f>VLOOKUP(B5322,Products!$A:$E,2,FALSE)</f>
        <v>Product_385</v>
      </c>
      <c r="E5322" t="str">
        <f>VLOOKUP(B5322,Products!$A:$E,3,FALSE)</f>
        <v>Networking</v>
      </c>
    </row>
    <row r="5323" spans="1:5" x14ac:dyDescent="0.3">
      <c r="A5323" t="s">
        <v>11335</v>
      </c>
      <c r="B5323" t="s">
        <v>514</v>
      </c>
      <c r="C5323">
        <v>26</v>
      </c>
      <c r="D5323" t="str">
        <f>VLOOKUP(B5323,Products!$A:$E,2,FALSE)</f>
        <v>Product_253</v>
      </c>
      <c r="E5323" t="str">
        <f>VLOOKUP(B5323,Products!$A:$E,3,FALSE)</f>
        <v>Networking</v>
      </c>
    </row>
    <row r="5324" spans="1:5" x14ac:dyDescent="0.3">
      <c r="A5324" t="s">
        <v>11336</v>
      </c>
      <c r="B5324" t="s">
        <v>568</v>
      </c>
      <c r="C5324">
        <v>4</v>
      </c>
      <c r="D5324" t="str">
        <f>VLOOKUP(B5324,Products!$A:$E,2,FALSE)</f>
        <v>Product_280</v>
      </c>
      <c r="E5324" t="str">
        <f>VLOOKUP(B5324,Products!$A:$E,3,FALSE)</f>
        <v>Electronics</v>
      </c>
    </row>
    <row r="5325" spans="1:5" x14ac:dyDescent="0.3">
      <c r="A5325" t="s">
        <v>11337</v>
      </c>
      <c r="B5325" t="s">
        <v>546</v>
      </c>
      <c r="C5325">
        <v>27</v>
      </c>
      <c r="D5325" t="str">
        <f>VLOOKUP(B5325,Products!$A:$E,2,FALSE)</f>
        <v>Product_269</v>
      </c>
      <c r="E5325" t="str">
        <f>VLOOKUP(B5325,Products!$A:$E,3,FALSE)</f>
        <v>Storage</v>
      </c>
    </row>
    <row r="5326" spans="1:5" x14ac:dyDescent="0.3">
      <c r="A5326" t="s">
        <v>11338</v>
      </c>
      <c r="B5326" t="s">
        <v>666</v>
      </c>
      <c r="C5326">
        <v>26</v>
      </c>
      <c r="D5326" t="str">
        <f>VLOOKUP(B5326,Products!$A:$E,2,FALSE)</f>
        <v>Product_329</v>
      </c>
      <c r="E5326" t="str">
        <f>VLOOKUP(B5326,Products!$A:$E,3,FALSE)</f>
        <v>Office Supplies</v>
      </c>
    </row>
    <row r="5327" spans="1:5" x14ac:dyDescent="0.3">
      <c r="A5327" t="s">
        <v>11339</v>
      </c>
      <c r="B5327" t="s">
        <v>720</v>
      </c>
      <c r="C5327">
        <v>10</v>
      </c>
      <c r="D5327" t="str">
        <f>VLOOKUP(B5327,Products!$A:$E,2,FALSE)</f>
        <v>Product_356</v>
      </c>
      <c r="E5327" t="str">
        <f>VLOOKUP(B5327,Products!$A:$E,3,FALSE)</f>
        <v>Accessories</v>
      </c>
    </row>
    <row r="5328" spans="1:5" x14ac:dyDescent="0.3">
      <c r="A5328" t="s">
        <v>11340</v>
      </c>
      <c r="B5328" t="s">
        <v>570</v>
      </c>
      <c r="C5328">
        <v>6</v>
      </c>
      <c r="D5328" t="str">
        <f>VLOOKUP(B5328,Products!$A:$E,2,FALSE)</f>
        <v>Product_281</v>
      </c>
      <c r="E5328" t="str">
        <f>VLOOKUP(B5328,Products!$A:$E,3,FALSE)</f>
        <v>Office Supplies</v>
      </c>
    </row>
    <row r="5329" spans="1:5" x14ac:dyDescent="0.3">
      <c r="A5329" t="s">
        <v>11341</v>
      </c>
      <c r="B5329" t="s">
        <v>842</v>
      </c>
      <c r="C5329">
        <v>14</v>
      </c>
      <c r="D5329" t="str">
        <f>VLOOKUP(B5329,Products!$A:$E,2,FALSE)</f>
        <v>Product_417</v>
      </c>
      <c r="E5329" t="str">
        <f>VLOOKUP(B5329,Products!$A:$E,3,FALSE)</f>
        <v>Accessories</v>
      </c>
    </row>
    <row r="5330" spans="1:5" x14ac:dyDescent="0.3">
      <c r="A5330" t="s">
        <v>11342</v>
      </c>
      <c r="B5330" t="s">
        <v>468</v>
      </c>
      <c r="C5330">
        <v>11</v>
      </c>
      <c r="D5330" t="str">
        <f>VLOOKUP(B5330,Products!$A:$E,2,FALSE)</f>
        <v>Product_230</v>
      </c>
      <c r="E5330" t="str">
        <f>VLOOKUP(B5330,Products!$A:$E,3,FALSE)</f>
        <v>Electronics</v>
      </c>
    </row>
    <row r="5331" spans="1:5" x14ac:dyDescent="0.3">
      <c r="A5331" t="s">
        <v>11343</v>
      </c>
      <c r="B5331" t="s">
        <v>128</v>
      </c>
      <c r="C5331">
        <v>49</v>
      </c>
      <c r="D5331" t="str">
        <f>VLOOKUP(B5331,Products!$A:$E,2,FALSE)</f>
        <v>Product_60</v>
      </c>
      <c r="E5331" t="str">
        <f>VLOOKUP(B5331,Products!$A:$E,3,FALSE)</f>
        <v>Electronics</v>
      </c>
    </row>
    <row r="5332" spans="1:5" x14ac:dyDescent="0.3">
      <c r="A5332" t="s">
        <v>11344</v>
      </c>
      <c r="B5332" t="s">
        <v>942</v>
      </c>
      <c r="C5332">
        <v>17</v>
      </c>
      <c r="D5332" t="str">
        <f>VLOOKUP(B5332,Products!$A:$E,2,FALSE)</f>
        <v>Product_467</v>
      </c>
      <c r="E5332" t="str">
        <f>VLOOKUP(B5332,Products!$A:$E,3,FALSE)</f>
        <v>Accessories</v>
      </c>
    </row>
    <row r="5333" spans="1:5" x14ac:dyDescent="0.3">
      <c r="A5333" t="s">
        <v>11345</v>
      </c>
      <c r="B5333" t="s">
        <v>242</v>
      </c>
      <c r="C5333">
        <v>16</v>
      </c>
      <c r="D5333" t="str">
        <f>VLOOKUP(B5333,Products!$A:$E,2,FALSE)</f>
        <v>Product_117</v>
      </c>
      <c r="E5333" t="str">
        <f>VLOOKUP(B5333,Products!$A:$E,3,FALSE)</f>
        <v>Storage</v>
      </c>
    </row>
    <row r="5334" spans="1:5" x14ac:dyDescent="0.3">
      <c r="A5334" t="s">
        <v>11346</v>
      </c>
      <c r="B5334" t="s">
        <v>66</v>
      </c>
      <c r="C5334">
        <v>42</v>
      </c>
      <c r="D5334" t="str">
        <f>VLOOKUP(B5334,Products!$A:$E,2,FALSE)</f>
        <v>Product_29</v>
      </c>
      <c r="E5334" t="str">
        <f>VLOOKUP(B5334,Products!$A:$E,3,FALSE)</f>
        <v>Electronics</v>
      </c>
    </row>
    <row r="5335" spans="1:5" x14ac:dyDescent="0.3">
      <c r="A5335" t="s">
        <v>11347</v>
      </c>
      <c r="B5335" t="s">
        <v>708</v>
      </c>
      <c r="C5335">
        <v>36</v>
      </c>
      <c r="D5335" t="str">
        <f>VLOOKUP(B5335,Products!$A:$E,2,FALSE)</f>
        <v>Product_350</v>
      </c>
      <c r="E5335" t="str">
        <f>VLOOKUP(B5335,Products!$A:$E,3,FALSE)</f>
        <v>Networking</v>
      </c>
    </row>
    <row r="5336" spans="1:5" x14ac:dyDescent="0.3">
      <c r="A5336" t="s">
        <v>11348</v>
      </c>
      <c r="B5336" t="s">
        <v>34</v>
      </c>
      <c r="C5336">
        <v>4</v>
      </c>
      <c r="D5336" t="str">
        <f>VLOOKUP(B5336,Products!$A:$E,2,FALSE)</f>
        <v>Product_13</v>
      </c>
      <c r="E5336" t="str">
        <f>VLOOKUP(B5336,Products!$A:$E,3,FALSE)</f>
        <v>Office Supplies</v>
      </c>
    </row>
    <row r="5337" spans="1:5" x14ac:dyDescent="0.3">
      <c r="A5337" t="s">
        <v>11349</v>
      </c>
      <c r="B5337" t="s">
        <v>668</v>
      </c>
      <c r="C5337">
        <v>45</v>
      </c>
      <c r="D5337" t="str">
        <f>VLOOKUP(B5337,Products!$A:$E,2,FALSE)</f>
        <v>Product_330</v>
      </c>
      <c r="E5337" t="str">
        <f>VLOOKUP(B5337,Products!$A:$E,3,FALSE)</f>
        <v>Electronics</v>
      </c>
    </row>
    <row r="5338" spans="1:5" x14ac:dyDescent="0.3">
      <c r="A5338" t="s">
        <v>11350</v>
      </c>
      <c r="B5338" t="s">
        <v>240</v>
      </c>
      <c r="C5338">
        <v>31</v>
      </c>
      <c r="D5338" t="str">
        <f>VLOOKUP(B5338,Products!$A:$E,2,FALSE)</f>
        <v>Product_116</v>
      </c>
      <c r="E5338" t="str">
        <f>VLOOKUP(B5338,Products!$A:$E,3,FALSE)</f>
        <v>Storage</v>
      </c>
    </row>
    <row r="5339" spans="1:5" x14ac:dyDescent="0.3">
      <c r="A5339" t="s">
        <v>11351</v>
      </c>
      <c r="B5339" t="s">
        <v>52</v>
      </c>
      <c r="C5339">
        <v>3</v>
      </c>
      <c r="D5339" t="str">
        <f>VLOOKUP(B5339,Products!$A:$E,2,FALSE)</f>
        <v>Product_22</v>
      </c>
      <c r="E5339" t="str">
        <f>VLOOKUP(B5339,Products!$A:$E,3,FALSE)</f>
        <v>Electronics</v>
      </c>
    </row>
    <row r="5340" spans="1:5" x14ac:dyDescent="0.3">
      <c r="A5340" t="s">
        <v>11352</v>
      </c>
      <c r="B5340" t="s">
        <v>234</v>
      </c>
      <c r="C5340">
        <v>49</v>
      </c>
      <c r="D5340" t="str">
        <f>VLOOKUP(B5340,Products!$A:$E,2,FALSE)</f>
        <v>Product_113</v>
      </c>
      <c r="E5340" t="str">
        <f>VLOOKUP(B5340,Products!$A:$E,3,FALSE)</f>
        <v>Electronics</v>
      </c>
    </row>
    <row r="5341" spans="1:5" x14ac:dyDescent="0.3">
      <c r="A5341" t="s">
        <v>11353</v>
      </c>
      <c r="B5341" t="s">
        <v>248</v>
      </c>
      <c r="C5341">
        <v>10</v>
      </c>
      <c r="D5341" t="str">
        <f>VLOOKUP(B5341,Products!$A:$E,2,FALSE)</f>
        <v>Product_120</v>
      </c>
      <c r="E5341" t="str">
        <f>VLOOKUP(B5341,Products!$A:$E,3,FALSE)</f>
        <v>Accessories</v>
      </c>
    </row>
    <row r="5342" spans="1:5" x14ac:dyDescent="0.3">
      <c r="A5342" t="s">
        <v>11354</v>
      </c>
      <c r="B5342" t="s">
        <v>986</v>
      </c>
      <c r="C5342">
        <v>9</v>
      </c>
      <c r="D5342" t="str">
        <f>VLOOKUP(B5342,Products!$A:$E,2,FALSE)</f>
        <v>Product_489</v>
      </c>
      <c r="E5342" t="str">
        <f>VLOOKUP(B5342,Products!$A:$E,3,FALSE)</f>
        <v>Networking</v>
      </c>
    </row>
    <row r="5343" spans="1:5" x14ac:dyDescent="0.3">
      <c r="A5343" t="s">
        <v>11355</v>
      </c>
      <c r="B5343" t="s">
        <v>522</v>
      </c>
      <c r="C5343">
        <v>21</v>
      </c>
      <c r="D5343" t="str">
        <f>VLOOKUP(B5343,Products!$A:$E,2,FALSE)</f>
        <v>Product_257</v>
      </c>
      <c r="E5343" t="str">
        <f>VLOOKUP(B5343,Products!$A:$E,3,FALSE)</f>
        <v>Networking</v>
      </c>
    </row>
    <row r="5344" spans="1:5" x14ac:dyDescent="0.3">
      <c r="A5344" t="s">
        <v>11356</v>
      </c>
      <c r="B5344" t="s">
        <v>340</v>
      </c>
      <c r="C5344">
        <v>25</v>
      </c>
      <c r="D5344" t="str">
        <f>VLOOKUP(B5344,Products!$A:$E,2,FALSE)</f>
        <v>Product_166</v>
      </c>
      <c r="E5344" t="str">
        <f>VLOOKUP(B5344,Products!$A:$E,3,FALSE)</f>
        <v>Accessories</v>
      </c>
    </row>
    <row r="5345" spans="1:5" x14ac:dyDescent="0.3">
      <c r="A5345" t="s">
        <v>11357</v>
      </c>
      <c r="B5345" t="s">
        <v>784</v>
      </c>
      <c r="C5345">
        <v>41</v>
      </c>
      <c r="D5345" t="str">
        <f>VLOOKUP(B5345,Products!$A:$E,2,FALSE)</f>
        <v>Product_388</v>
      </c>
      <c r="E5345" t="str">
        <f>VLOOKUP(B5345,Products!$A:$E,3,FALSE)</f>
        <v>Office Supplies</v>
      </c>
    </row>
    <row r="5346" spans="1:5" x14ac:dyDescent="0.3">
      <c r="A5346" t="s">
        <v>11358</v>
      </c>
      <c r="B5346" t="s">
        <v>696</v>
      </c>
      <c r="C5346">
        <v>26</v>
      </c>
      <c r="D5346" t="str">
        <f>VLOOKUP(B5346,Products!$A:$E,2,FALSE)</f>
        <v>Product_344</v>
      </c>
      <c r="E5346" t="str">
        <f>VLOOKUP(B5346,Products!$A:$E,3,FALSE)</f>
        <v>Accessories</v>
      </c>
    </row>
    <row r="5347" spans="1:5" x14ac:dyDescent="0.3">
      <c r="A5347" t="s">
        <v>11359</v>
      </c>
      <c r="B5347" t="s">
        <v>28</v>
      </c>
      <c r="C5347">
        <v>33</v>
      </c>
      <c r="D5347" t="str">
        <f>VLOOKUP(B5347,Products!$A:$E,2,FALSE)</f>
        <v>Product_10</v>
      </c>
      <c r="E5347" t="str">
        <f>VLOOKUP(B5347,Products!$A:$E,3,FALSE)</f>
        <v>Networking</v>
      </c>
    </row>
    <row r="5348" spans="1:5" x14ac:dyDescent="0.3">
      <c r="A5348" t="s">
        <v>11360</v>
      </c>
      <c r="B5348" t="s">
        <v>792</v>
      </c>
      <c r="C5348">
        <v>19</v>
      </c>
      <c r="D5348" t="str">
        <f>VLOOKUP(B5348,Products!$A:$E,2,FALSE)</f>
        <v>Product_392</v>
      </c>
      <c r="E5348" t="str">
        <f>VLOOKUP(B5348,Products!$A:$E,3,FALSE)</f>
        <v>Electronics</v>
      </c>
    </row>
    <row r="5349" spans="1:5" x14ac:dyDescent="0.3">
      <c r="A5349" t="s">
        <v>11361</v>
      </c>
      <c r="B5349" t="s">
        <v>514</v>
      </c>
      <c r="C5349">
        <v>2</v>
      </c>
      <c r="D5349" t="str">
        <f>VLOOKUP(B5349,Products!$A:$E,2,FALSE)</f>
        <v>Product_253</v>
      </c>
      <c r="E5349" t="str">
        <f>VLOOKUP(B5349,Products!$A:$E,3,FALSE)</f>
        <v>Networking</v>
      </c>
    </row>
    <row r="5350" spans="1:5" x14ac:dyDescent="0.3">
      <c r="A5350" t="s">
        <v>11362</v>
      </c>
      <c r="B5350" t="s">
        <v>694</v>
      </c>
      <c r="C5350">
        <v>46</v>
      </c>
      <c r="D5350" t="str">
        <f>VLOOKUP(B5350,Products!$A:$E,2,FALSE)</f>
        <v>Product_343</v>
      </c>
      <c r="E5350" t="str">
        <f>VLOOKUP(B5350,Products!$A:$E,3,FALSE)</f>
        <v>Office Supplies</v>
      </c>
    </row>
    <row r="5351" spans="1:5" x14ac:dyDescent="0.3">
      <c r="A5351" t="s">
        <v>11363</v>
      </c>
      <c r="B5351" t="s">
        <v>722</v>
      </c>
      <c r="C5351">
        <v>27</v>
      </c>
      <c r="D5351" t="str">
        <f>VLOOKUP(B5351,Products!$A:$E,2,FALSE)</f>
        <v>Product_357</v>
      </c>
      <c r="E5351" t="str">
        <f>VLOOKUP(B5351,Products!$A:$E,3,FALSE)</f>
        <v>Accessories</v>
      </c>
    </row>
    <row r="5352" spans="1:5" x14ac:dyDescent="0.3">
      <c r="A5352" t="s">
        <v>11364</v>
      </c>
      <c r="B5352" t="s">
        <v>572</v>
      </c>
      <c r="C5352">
        <v>5</v>
      </c>
      <c r="D5352" t="str">
        <f>VLOOKUP(B5352,Products!$A:$E,2,FALSE)</f>
        <v>Product_282</v>
      </c>
      <c r="E5352" t="str">
        <f>VLOOKUP(B5352,Products!$A:$E,3,FALSE)</f>
        <v>Networking</v>
      </c>
    </row>
    <row r="5353" spans="1:5" x14ac:dyDescent="0.3">
      <c r="A5353" t="s">
        <v>11365</v>
      </c>
      <c r="B5353" t="s">
        <v>50</v>
      </c>
      <c r="C5353">
        <v>13</v>
      </c>
      <c r="D5353" t="str">
        <f>VLOOKUP(B5353,Products!$A:$E,2,FALSE)</f>
        <v>Product_21</v>
      </c>
      <c r="E5353" t="str">
        <f>VLOOKUP(B5353,Products!$A:$E,3,FALSE)</f>
        <v>Office Supplies</v>
      </c>
    </row>
    <row r="5354" spans="1:5" x14ac:dyDescent="0.3">
      <c r="A5354" t="s">
        <v>11366</v>
      </c>
      <c r="B5354" t="s">
        <v>612</v>
      </c>
      <c r="C5354">
        <v>3</v>
      </c>
      <c r="D5354" t="str">
        <f>VLOOKUP(B5354,Products!$A:$E,2,FALSE)</f>
        <v>Product_302</v>
      </c>
      <c r="E5354" t="str">
        <f>VLOOKUP(B5354,Products!$A:$E,3,FALSE)</f>
        <v>Accessories</v>
      </c>
    </row>
    <row r="5355" spans="1:5" x14ac:dyDescent="0.3">
      <c r="A5355" t="s">
        <v>11367</v>
      </c>
      <c r="B5355" t="s">
        <v>222</v>
      </c>
      <c r="C5355">
        <v>15</v>
      </c>
      <c r="D5355" t="str">
        <f>VLOOKUP(B5355,Products!$A:$E,2,FALSE)</f>
        <v>Product_107</v>
      </c>
      <c r="E5355" t="str">
        <f>VLOOKUP(B5355,Products!$A:$E,3,FALSE)</f>
        <v>Office Supplies</v>
      </c>
    </row>
    <row r="5356" spans="1:5" x14ac:dyDescent="0.3">
      <c r="A5356" t="s">
        <v>11368</v>
      </c>
      <c r="B5356" t="s">
        <v>606</v>
      </c>
      <c r="C5356">
        <v>32</v>
      </c>
      <c r="D5356" t="str">
        <f>VLOOKUP(B5356,Products!$A:$E,2,FALSE)</f>
        <v>Product_299</v>
      </c>
      <c r="E5356" t="str">
        <f>VLOOKUP(B5356,Products!$A:$E,3,FALSE)</f>
        <v>Storage</v>
      </c>
    </row>
    <row r="5357" spans="1:5" x14ac:dyDescent="0.3">
      <c r="A5357" t="s">
        <v>11369</v>
      </c>
      <c r="B5357" t="s">
        <v>14</v>
      </c>
      <c r="C5357">
        <v>23</v>
      </c>
      <c r="D5357" t="str">
        <f>VLOOKUP(B5357,Products!$A:$E,2,FALSE)</f>
        <v>Product_4</v>
      </c>
      <c r="E5357" t="str">
        <f>VLOOKUP(B5357,Products!$A:$E,3,FALSE)</f>
        <v>Storage</v>
      </c>
    </row>
    <row r="5358" spans="1:5" x14ac:dyDescent="0.3">
      <c r="A5358" t="s">
        <v>11370</v>
      </c>
      <c r="B5358" t="s">
        <v>728</v>
      </c>
      <c r="C5358">
        <v>6</v>
      </c>
      <c r="D5358" t="str">
        <f>VLOOKUP(B5358,Products!$A:$E,2,FALSE)</f>
        <v>Product_360</v>
      </c>
      <c r="E5358" t="str">
        <f>VLOOKUP(B5358,Products!$A:$E,3,FALSE)</f>
        <v>Office Supplies</v>
      </c>
    </row>
    <row r="5359" spans="1:5" x14ac:dyDescent="0.3">
      <c r="A5359" t="s">
        <v>11371</v>
      </c>
      <c r="B5359" t="s">
        <v>604</v>
      </c>
      <c r="C5359">
        <v>24</v>
      </c>
      <c r="D5359" t="str">
        <f>VLOOKUP(B5359,Products!$A:$E,2,FALSE)</f>
        <v>Product_298</v>
      </c>
      <c r="E5359" t="str">
        <f>VLOOKUP(B5359,Products!$A:$E,3,FALSE)</f>
        <v>Office Supplies</v>
      </c>
    </row>
    <row r="5360" spans="1:5" x14ac:dyDescent="0.3">
      <c r="A5360" t="s">
        <v>11372</v>
      </c>
      <c r="B5360" t="s">
        <v>530</v>
      </c>
      <c r="C5360">
        <v>11</v>
      </c>
      <c r="D5360" t="str">
        <f>VLOOKUP(B5360,Products!$A:$E,2,FALSE)</f>
        <v>Product_261</v>
      </c>
      <c r="E5360" t="str">
        <f>VLOOKUP(B5360,Products!$A:$E,3,FALSE)</f>
        <v>Accessories</v>
      </c>
    </row>
    <row r="5361" spans="1:5" x14ac:dyDescent="0.3">
      <c r="A5361" t="s">
        <v>11373</v>
      </c>
      <c r="B5361" t="s">
        <v>416</v>
      </c>
      <c r="C5361">
        <v>14</v>
      </c>
      <c r="D5361" t="str">
        <f>VLOOKUP(B5361,Products!$A:$E,2,FALSE)</f>
        <v>Product_204</v>
      </c>
      <c r="E5361" t="str">
        <f>VLOOKUP(B5361,Products!$A:$E,3,FALSE)</f>
        <v>Office Supplies</v>
      </c>
    </row>
    <row r="5362" spans="1:5" x14ac:dyDescent="0.3">
      <c r="A5362" t="s">
        <v>11374</v>
      </c>
      <c r="B5362" t="s">
        <v>164</v>
      </c>
      <c r="C5362">
        <v>35</v>
      </c>
      <c r="D5362" t="str">
        <f>VLOOKUP(B5362,Products!$A:$E,2,FALSE)</f>
        <v>Product_78</v>
      </c>
      <c r="E5362" t="str">
        <f>VLOOKUP(B5362,Products!$A:$E,3,FALSE)</f>
        <v>Office Supplies</v>
      </c>
    </row>
    <row r="5363" spans="1:5" x14ac:dyDescent="0.3">
      <c r="A5363" t="s">
        <v>11375</v>
      </c>
      <c r="B5363" t="s">
        <v>14</v>
      </c>
      <c r="C5363">
        <v>41</v>
      </c>
      <c r="D5363" t="str">
        <f>VLOOKUP(B5363,Products!$A:$E,2,FALSE)</f>
        <v>Product_4</v>
      </c>
      <c r="E5363" t="str">
        <f>VLOOKUP(B5363,Products!$A:$E,3,FALSE)</f>
        <v>Storage</v>
      </c>
    </row>
    <row r="5364" spans="1:5" x14ac:dyDescent="0.3">
      <c r="A5364" t="s">
        <v>11376</v>
      </c>
      <c r="B5364" t="s">
        <v>772</v>
      </c>
      <c r="C5364">
        <v>40</v>
      </c>
      <c r="D5364" t="str">
        <f>VLOOKUP(B5364,Products!$A:$E,2,FALSE)</f>
        <v>Product_382</v>
      </c>
      <c r="E5364" t="str">
        <f>VLOOKUP(B5364,Products!$A:$E,3,FALSE)</f>
        <v>Storage</v>
      </c>
    </row>
    <row r="5365" spans="1:5" x14ac:dyDescent="0.3">
      <c r="A5365" t="s">
        <v>11377</v>
      </c>
      <c r="B5365" t="s">
        <v>298</v>
      </c>
      <c r="C5365">
        <v>18</v>
      </c>
      <c r="D5365" t="str">
        <f>VLOOKUP(B5365,Products!$A:$E,2,FALSE)</f>
        <v>Product_145</v>
      </c>
      <c r="E5365" t="str">
        <f>VLOOKUP(B5365,Products!$A:$E,3,FALSE)</f>
        <v>Office Supplies</v>
      </c>
    </row>
    <row r="5366" spans="1:5" x14ac:dyDescent="0.3">
      <c r="A5366" t="s">
        <v>11378</v>
      </c>
      <c r="B5366" t="s">
        <v>578</v>
      </c>
      <c r="C5366">
        <v>24</v>
      </c>
      <c r="D5366" t="str">
        <f>VLOOKUP(B5366,Products!$A:$E,2,FALSE)</f>
        <v>Product_285</v>
      </c>
      <c r="E5366" t="str">
        <f>VLOOKUP(B5366,Products!$A:$E,3,FALSE)</f>
        <v>Networking</v>
      </c>
    </row>
    <row r="5367" spans="1:5" x14ac:dyDescent="0.3">
      <c r="A5367" t="s">
        <v>11379</v>
      </c>
      <c r="B5367" t="s">
        <v>532</v>
      </c>
      <c r="C5367">
        <v>25</v>
      </c>
      <c r="D5367" t="str">
        <f>VLOOKUP(B5367,Products!$A:$E,2,FALSE)</f>
        <v>Product_262</v>
      </c>
      <c r="E5367" t="str">
        <f>VLOOKUP(B5367,Products!$A:$E,3,FALSE)</f>
        <v>Electronics</v>
      </c>
    </row>
    <row r="5368" spans="1:5" x14ac:dyDescent="0.3">
      <c r="A5368" t="s">
        <v>11380</v>
      </c>
      <c r="B5368" t="s">
        <v>172</v>
      </c>
      <c r="C5368">
        <v>13</v>
      </c>
      <c r="D5368" t="str">
        <f>VLOOKUP(B5368,Products!$A:$E,2,FALSE)</f>
        <v>Product_82</v>
      </c>
      <c r="E5368" t="str">
        <f>VLOOKUP(B5368,Products!$A:$E,3,FALSE)</f>
        <v>Storage</v>
      </c>
    </row>
    <row r="5369" spans="1:5" x14ac:dyDescent="0.3">
      <c r="A5369" t="s">
        <v>11381</v>
      </c>
      <c r="B5369" t="s">
        <v>782</v>
      </c>
      <c r="C5369">
        <v>39</v>
      </c>
      <c r="D5369" t="str">
        <f>VLOOKUP(B5369,Products!$A:$E,2,FALSE)</f>
        <v>Product_387</v>
      </c>
      <c r="E5369" t="str">
        <f>VLOOKUP(B5369,Products!$A:$E,3,FALSE)</f>
        <v>Storage</v>
      </c>
    </row>
    <row r="5370" spans="1:5" x14ac:dyDescent="0.3">
      <c r="A5370" t="s">
        <v>11382</v>
      </c>
      <c r="B5370" t="s">
        <v>272</v>
      </c>
      <c r="C5370">
        <v>22</v>
      </c>
      <c r="D5370" t="str">
        <f>VLOOKUP(B5370,Products!$A:$E,2,FALSE)</f>
        <v>Product_132</v>
      </c>
      <c r="E5370" t="str">
        <f>VLOOKUP(B5370,Products!$A:$E,3,FALSE)</f>
        <v>Storage</v>
      </c>
    </row>
    <row r="5371" spans="1:5" x14ac:dyDescent="0.3">
      <c r="A5371" t="s">
        <v>11383</v>
      </c>
      <c r="B5371" t="s">
        <v>210</v>
      </c>
      <c r="C5371">
        <v>21</v>
      </c>
      <c r="D5371" t="str">
        <f>VLOOKUP(B5371,Products!$A:$E,2,FALSE)</f>
        <v>Product_101</v>
      </c>
      <c r="E5371" t="str">
        <f>VLOOKUP(B5371,Products!$A:$E,3,FALSE)</f>
        <v>Storage</v>
      </c>
    </row>
    <row r="5372" spans="1:5" x14ac:dyDescent="0.3">
      <c r="A5372" t="s">
        <v>11384</v>
      </c>
      <c r="B5372" t="s">
        <v>928</v>
      </c>
      <c r="C5372">
        <v>17</v>
      </c>
      <c r="D5372" t="str">
        <f>VLOOKUP(B5372,Products!$A:$E,2,FALSE)</f>
        <v>Product_460</v>
      </c>
      <c r="E5372" t="str">
        <f>VLOOKUP(B5372,Products!$A:$E,3,FALSE)</f>
        <v>Accessories</v>
      </c>
    </row>
    <row r="5373" spans="1:5" x14ac:dyDescent="0.3">
      <c r="A5373" t="s">
        <v>11385</v>
      </c>
      <c r="B5373" t="s">
        <v>412</v>
      </c>
      <c r="C5373">
        <v>8</v>
      </c>
      <c r="D5373" t="str">
        <f>VLOOKUP(B5373,Products!$A:$E,2,FALSE)</f>
        <v>Product_202</v>
      </c>
      <c r="E5373" t="str">
        <f>VLOOKUP(B5373,Products!$A:$E,3,FALSE)</f>
        <v>Storage</v>
      </c>
    </row>
    <row r="5374" spans="1:5" x14ac:dyDescent="0.3">
      <c r="A5374" t="s">
        <v>11386</v>
      </c>
      <c r="B5374" t="s">
        <v>676</v>
      </c>
      <c r="C5374">
        <v>19</v>
      </c>
      <c r="D5374" t="str">
        <f>VLOOKUP(B5374,Products!$A:$E,2,FALSE)</f>
        <v>Product_334</v>
      </c>
      <c r="E5374" t="str">
        <f>VLOOKUP(B5374,Products!$A:$E,3,FALSE)</f>
        <v>Accessories</v>
      </c>
    </row>
    <row r="5375" spans="1:5" x14ac:dyDescent="0.3">
      <c r="A5375" t="s">
        <v>11387</v>
      </c>
      <c r="B5375" t="s">
        <v>472</v>
      </c>
      <c r="C5375">
        <v>2</v>
      </c>
      <c r="D5375" t="str">
        <f>VLOOKUP(B5375,Products!$A:$E,2,FALSE)</f>
        <v>Product_232</v>
      </c>
      <c r="E5375" t="str">
        <f>VLOOKUP(B5375,Products!$A:$E,3,FALSE)</f>
        <v>Office Supplies</v>
      </c>
    </row>
    <row r="5376" spans="1:5" x14ac:dyDescent="0.3">
      <c r="A5376" t="s">
        <v>11388</v>
      </c>
      <c r="B5376" t="s">
        <v>466</v>
      </c>
      <c r="C5376">
        <v>39</v>
      </c>
      <c r="D5376" t="str">
        <f>VLOOKUP(B5376,Products!$A:$E,2,FALSE)</f>
        <v>Product_229</v>
      </c>
      <c r="E5376" t="str">
        <f>VLOOKUP(B5376,Products!$A:$E,3,FALSE)</f>
        <v>Accessories</v>
      </c>
    </row>
    <row r="5377" spans="1:5" x14ac:dyDescent="0.3">
      <c r="A5377" t="s">
        <v>11389</v>
      </c>
      <c r="B5377" t="s">
        <v>1000</v>
      </c>
      <c r="C5377">
        <v>42</v>
      </c>
      <c r="D5377" t="str">
        <f>VLOOKUP(B5377,Products!$A:$E,2,FALSE)</f>
        <v>Product_496</v>
      </c>
      <c r="E5377" t="str">
        <f>VLOOKUP(B5377,Products!$A:$E,3,FALSE)</f>
        <v>Office Supplies</v>
      </c>
    </row>
    <row r="5378" spans="1:5" x14ac:dyDescent="0.3">
      <c r="A5378" t="s">
        <v>11390</v>
      </c>
      <c r="B5378" t="s">
        <v>696</v>
      </c>
      <c r="C5378">
        <v>33</v>
      </c>
      <c r="D5378" t="str">
        <f>VLOOKUP(B5378,Products!$A:$E,2,FALSE)</f>
        <v>Product_344</v>
      </c>
      <c r="E5378" t="str">
        <f>VLOOKUP(B5378,Products!$A:$E,3,FALSE)</f>
        <v>Accessories</v>
      </c>
    </row>
    <row r="5379" spans="1:5" x14ac:dyDescent="0.3">
      <c r="A5379" t="s">
        <v>11391</v>
      </c>
      <c r="B5379" t="s">
        <v>798</v>
      </c>
      <c r="C5379">
        <v>26</v>
      </c>
      <c r="D5379" t="str">
        <f>VLOOKUP(B5379,Products!$A:$E,2,FALSE)</f>
        <v>Product_395</v>
      </c>
      <c r="E5379" t="str">
        <f>VLOOKUP(B5379,Products!$A:$E,3,FALSE)</f>
        <v>Accessories</v>
      </c>
    </row>
    <row r="5380" spans="1:5" x14ac:dyDescent="0.3">
      <c r="A5380" t="s">
        <v>11392</v>
      </c>
      <c r="B5380" t="s">
        <v>218</v>
      </c>
      <c r="C5380">
        <v>12</v>
      </c>
      <c r="D5380" t="str">
        <f>VLOOKUP(B5380,Products!$A:$E,2,FALSE)</f>
        <v>Product_105</v>
      </c>
      <c r="E5380" t="str">
        <f>VLOOKUP(B5380,Products!$A:$E,3,FALSE)</f>
        <v>Networking</v>
      </c>
    </row>
    <row r="5381" spans="1:5" x14ac:dyDescent="0.3">
      <c r="A5381" t="s">
        <v>11393</v>
      </c>
      <c r="B5381" t="s">
        <v>124</v>
      </c>
      <c r="C5381">
        <v>3</v>
      </c>
      <c r="D5381" t="str">
        <f>VLOOKUP(B5381,Products!$A:$E,2,FALSE)</f>
        <v>Product_58</v>
      </c>
      <c r="E5381" t="str">
        <f>VLOOKUP(B5381,Products!$A:$E,3,FALSE)</f>
        <v>Office Supplies</v>
      </c>
    </row>
    <row r="5382" spans="1:5" x14ac:dyDescent="0.3">
      <c r="A5382" t="s">
        <v>11394</v>
      </c>
      <c r="B5382" t="s">
        <v>406</v>
      </c>
      <c r="C5382">
        <v>7</v>
      </c>
      <c r="D5382" t="str">
        <f>VLOOKUP(B5382,Products!$A:$E,2,FALSE)</f>
        <v>Product_199</v>
      </c>
      <c r="E5382" t="str">
        <f>VLOOKUP(B5382,Products!$A:$E,3,FALSE)</f>
        <v>Storage</v>
      </c>
    </row>
    <row r="5383" spans="1:5" x14ac:dyDescent="0.3">
      <c r="A5383" t="s">
        <v>11395</v>
      </c>
      <c r="B5383" t="s">
        <v>770</v>
      </c>
      <c r="C5383">
        <v>14</v>
      </c>
      <c r="D5383" t="str">
        <f>VLOOKUP(B5383,Products!$A:$E,2,FALSE)</f>
        <v>Product_381</v>
      </c>
      <c r="E5383" t="str">
        <f>VLOOKUP(B5383,Products!$A:$E,3,FALSE)</f>
        <v>Storage</v>
      </c>
    </row>
    <row r="5384" spans="1:5" x14ac:dyDescent="0.3">
      <c r="A5384" t="s">
        <v>11396</v>
      </c>
      <c r="B5384" t="s">
        <v>214</v>
      </c>
      <c r="C5384">
        <v>49</v>
      </c>
      <c r="D5384" t="str">
        <f>VLOOKUP(B5384,Products!$A:$E,2,FALSE)</f>
        <v>Product_103</v>
      </c>
      <c r="E5384" t="str">
        <f>VLOOKUP(B5384,Products!$A:$E,3,FALSE)</f>
        <v>Accessories</v>
      </c>
    </row>
    <row r="5385" spans="1:5" x14ac:dyDescent="0.3">
      <c r="A5385" t="s">
        <v>11397</v>
      </c>
      <c r="B5385" t="s">
        <v>592</v>
      </c>
      <c r="C5385">
        <v>48</v>
      </c>
      <c r="D5385" t="str">
        <f>VLOOKUP(B5385,Products!$A:$E,2,FALSE)</f>
        <v>Product_292</v>
      </c>
      <c r="E5385" t="str">
        <f>VLOOKUP(B5385,Products!$A:$E,3,FALSE)</f>
        <v>Networking</v>
      </c>
    </row>
    <row r="5386" spans="1:5" x14ac:dyDescent="0.3">
      <c r="A5386" t="s">
        <v>11398</v>
      </c>
      <c r="B5386" t="s">
        <v>774</v>
      </c>
      <c r="C5386">
        <v>20</v>
      </c>
      <c r="D5386" t="str">
        <f>VLOOKUP(B5386,Products!$A:$E,2,FALSE)</f>
        <v>Product_383</v>
      </c>
      <c r="E5386" t="str">
        <f>VLOOKUP(B5386,Products!$A:$E,3,FALSE)</f>
        <v>Electronics</v>
      </c>
    </row>
    <row r="5387" spans="1:5" x14ac:dyDescent="0.3">
      <c r="A5387" t="s">
        <v>11399</v>
      </c>
      <c r="B5387" t="s">
        <v>862</v>
      </c>
      <c r="C5387">
        <v>45</v>
      </c>
      <c r="D5387" t="str">
        <f>VLOOKUP(B5387,Products!$A:$E,2,FALSE)</f>
        <v>Product_427</v>
      </c>
      <c r="E5387" t="str">
        <f>VLOOKUP(B5387,Products!$A:$E,3,FALSE)</f>
        <v>Networking</v>
      </c>
    </row>
    <row r="5388" spans="1:5" x14ac:dyDescent="0.3">
      <c r="A5388" t="s">
        <v>11400</v>
      </c>
      <c r="B5388" t="s">
        <v>700</v>
      </c>
      <c r="C5388">
        <v>14</v>
      </c>
      <c r="D5388" t="str">
        <f>VLOOKUP(B5388,Products!$A:$E,2,FALSE)</f>
        <v>Product_346</v>
      </c>
      <c r="E5388" t="str">
        <f>VLOOKUP(B5388,Products!$A:$E,3,FALSE)</f>
        <v>Electronics</v>
      </c>
    </row>
    <row r="5389" spans="1:5" x14ac:dyDescent="0.3">
      <c r="A5389" t="s">
        <v>11401</v>
      </c>
      <c r="B5389" t="s">
        <v>916</v>
      </c>
      <c r="C5389">
        <v>38</v>
      </c>
      <c r="D5389" t="str">
        <f>VLOOKUP(B5389,Products!$A:$E,2,FALSE)</f>
        <v>Product_454</v>
      </c>
      <c r="E5389" t="str">
        <f>VLOOKUP(B5389,Products!$A:$E,3,FALSE)</f>
        <v>Networking</v>
      </c>
    </row>
    <row r="5390" spans="1:5" x14ac:dyDescent="0.3">
      <c r="A5390" t="s">
        <v>11402</v>
      </c>
      <c r="B5390" t="s">
        <v>846</v>
      </c>
      <c r="C5390">
        <v>20</v>
      </c>
      <c r="D5390" t="str">
        <f>VLOOKUP(B5390,Products!$A:$E,2,FALSE)</f>
        <v>Product_419</v>
      </c>
      <c r="E5390" t="str">
        <f>VLOOKUP(B5390,Products!$A:$E,3,FALSE)</f>
        <v>Networking</v>
      </c>
    </row>
    <row r="5391" spans="1:5" x14ac:dyDescent="0.3">
      <c r="A5391" t="s">
        <v>11403</v>
      </c>
      <c r="B5391" t="s">
        <v>378</v>
      </c>
      <c r="C5391">
        <v>30</v>
      </c>
      <c r="D5391" t="str">
        <f>VLOOKUP(B5391,Products!$A:$E,2,FALSE)</f>
        <v>Product_185</v>
      </c>
      <c r="E5391" t="str">
        <f>VLOOKUP(B5391,Products!$A:$E,3,FALSE)</f>
        <v>Storage</v>
      </c>
    </row>
    <row r="5392" spans="1:5" x14ac:dyDescent="0.3">
      <c r="A5392" t="s">
        <v>11404</v>
      </c>
      <c r="B5392" t="s">
        <v>64</v>
      </c>
      <c r="C5392">
        <v>42</v>
      </c>
      <c r="D5392" t="str">
        <f>VLOOKUP(B5392,Products!$A:$E,2,FALSE)</f>
        <v>Product_28</v>
      </c>
      <c r="E5392" t="str">
        <f>VLOOKUP(B5392,Products!$A:$E,3,FALSE)</f>
        <v>Office Supplies</v>
      </c>
    </row>
    <row r="5393" spans="1:5" x14ac:dyDescent="0.3">
      <c r="A5393" t="s">
        <v>11405</v>
      </c>
      <c r="B5393" t="s">
        <v>650</v>
      </c>
      <c r="C5393">
        <v>15</v>
      </c>
      <c r="D5393" t="str">
        <f>VLOOKUP(B5393,Products!$A:$E,2,FALSE)</f>
        <v>Product_321</v>
      </c>
      <c r="E5393" t="str">
        <f>VLOOKUP(B5393,Products!$A:$E,3,FALSE)</f>
        <v>Electronics</v>
      </c>
    </row>
    <row r="5394" spans="1:5" x14ac:dyDescent="0.3">
      <c r="A5394" t="s">
        <v>11406</v>
      </c>
      <c r="B5394" t="s">
        <v>590</v>
      </c>
      <c r="C5394">
        <v>17</v>
      </c>
      <c r="D5394" t="str">
        <f>VLOOKUP(B5394,Products!$A:$E,2,FALSE)</f>
        <v>Product_291</v>
      </c>
      <c r="E5394" t="str">
        <f>VLOOKUP(B5394,Products!$A:$E,3,FALSE)</f>
        <v>Networking</v>
      </c>
    </row>
    <row r="5395" spans="1:5" x14ac:dyDescent="0.3">
      <c r="A5395" t="s">
        <v>11407</v>
      </c>
      <c r="B5395" t="s">
        <v>232</v>
      </c>
      <c r="C5395">
        <v>33</v>
      </c>
      <c r="D5395" t="str">
        <f>VLOOKUP(B5395,Products!$A:$E,2,FALSE)</f>
        <v>Product_112</v>
      </c>
      <c r="E5395" t="str">
        <f>VLOOKUP(B5395,Products!$A:$E,3,FALSE)</f>
        <v>Storage</v>
      </c>
    </row>
    <row r="5396" spans="1:5" x14ac:dyDescent="0.3">
      <c r="A5396" t="s">
        <v>11408</v>
      </c>
      <c r="B5396" t="s">
        <v>34</v>
      </c>
      <c r="C5396">
        <v>20</v>
      </c>
      <c r="D5396" t="str">
        <f>VLOOKUP(B5396,Products!$A:$E,2,FALSE)</f>
        <v>Product_13</v>
      </c>
      <c r="E5396" t="str">
        <f>VLOOKUP(B5396,Products!$A:$E,3,FALSE)</f>
        <v>Office Supplies</v>
      </c>
    </row>
    <row r="5397" spans="1:5" x14ac:dyDescent="0.3">
      <c r="A5397" t="s">
        <v>11409</v>
      </c>
      <c r="B5397" t="s">
        <v>22</v>
      </c>
      <c r="C5397">
        <v>14</v>
      </c>
      <c r="D5397" t="str">
        <f>VLOOKUP(B5397,Products!$A:$E,2,FALSE)</f>
        <v>Product_7</v>
      </c>
      <c r="E5397" t="str">
        <f>VLOOKUP(B5397,Products!$A:$E,3,FALSE)</f>
        <v>Storage</v>
      </c>
    </row>
    <row r="5398" spans="1:5" x14ac:dyDescent="0.3">
      <c r="A5398" t="s">
        <v>11410</v>
      </c>
      <c r="B5398" t="s">
        <v>858</v>
      </c>
      <c r="C5398">
        <v>12</v>
      </c>
      <c r="D5398" t="str">
        <f>VLOOKUP(B5398,Products!$A:$E,2,FALSE)</f>
        <v>Product_425</v>
      </c>
      <c r="E5398" t="str">
        <f>VLOOKUP(B5398,Products!$A:$E,3,FALSE)</f>
        <v>Office Supplies</v>
      </c>
    </row>
    <row r="5399" spans="1:5" x14ac:dyDescent="0.3">
      <c r="A5399" t="s">
        <v>11411</v>
      </c>
      <c r="B5399" t="s">
        <v>890</v>
      </c>
      <c r="C5399">
        <v>22</v>
      </c>
      <c r="D5399" t="str">
        <f>VLOOKUP(B5399,Products!$A:$E,2,FALSE)</f>
        <v>Product_441</v>
      </c>
      <c r="E5399" t="str">
        <f>VLOOKUP(B5399,Products!$A:$E,3,FALSE)</f>
        <v>Storage</v>
      </c>
    </row>
    <row r="5400" spans="1:5" x14ac:dyDescent="0.3">
      <c r="A5400" t="s">
        <v>11412</v>
      </c>
      <c r="B5400" t="s">
        <v>220</v>
      </c>
      <c r="C5400">
        <v>32</v>
      </c>
      <c r="D5400" t="str">
        <f>VLOOKUP(B5400,Products!$A:$E,2,FALSE)</f>
        <v>Product_106</v>
      </c>
      <c r="E5400" t="str">
        <f>VLOOKUP(B5400,Products!$A:$E,3,FALSE)</f>
        <v>Networking</v>
      </c>
    </row>
    <row r="5401" spans="1:5" x14ac:dyDescent="0.3">
      <c r="A5401" t="s">
        <v>11413</v>
      </c>
      <c r="B5401" t="s">
        <v>978</v>
      </c>
      <c r="C5401">
        <v>47</v>
      </c>
      <c r="D5401" t="str">
        <f>VLOOKUP(B5401,Products!$A:$E,2,FALSE)</f>
        <v>Product_485</v>
      </c>
      <c r="E5401" t="str">
        <f>VLOOKUP(B5401,Products!$A:$E,3,FALSE)</f>
        <v>Networking</v>
      </c>
    </row>
    <row r="5402" spans="1:5" x14ac:dyDescent="0.3">
      <c r="A5402" t="s">
        <v>11414</v>
      </c>
      <c r="B5402" t="s">
        <v>406</v>
      </c>
      <c r="C5402">
        <v>47</v>
      </c>
      <c r="D5402" t="str">
        <f>VLOOKUP(B5402,Products!$A:$E,2,FALSE)</f>
        <v>Product_199</v>
      </c>
      <c r="E5402" t="str">
        <f>VLOOKUP(B5402,Products!$A:$E,3,FALSE)</f>
        <v>Storage</v>
      </c>
    </row>
    <row r="5403" spans="1:5" x14ac:dyDescent="0.3">
      <c r="A5403" t="s">
        <v>11415</v>
      </c>
      <c r="B5403" t="s">
        <v>344</v>
      </c>
      <c r="C5403">
        <v>30</v>
      </c>
      <c r="D5403" t="str">
        <f>VLOOKUP(B5403,Products!$A:$E,2,FALSE)</f>
        <v>Product_168</v>
      </c>
      <c r="E5403" t="str">
        <f>VLOOKUP(B5403,Products!$A:$E,3,FALSE)</f>
        <v>Electronics</v>
      </c>
    </row>
    <row r="5404" spans="1:5" x14ac:dyDescent="0.3">
      <c r="A5404" t="s">
        <v>11416</v>
      </c>
      <c r="B5404" t="s">
        <v>410</v>
      </c>
      <c r="C5404">
        <v>39</v>
      </c>
      <c r="D5404" t="str">
        <f>VLOOKUP(B5404,Products!$A:$E,2,FALSE)</f>
        <v>Product_201</v>
      </c>
      <c r="E5404" t="str">
        <f>VLOOKUP(B5404,Products!$A:$E,3,FALSE)</f>
        <v>Networking</v>
      </c>
    </row>
    <row r="5405" spans="1:5" x14ac:dyDescent="0.3">
      <c r="A5405" t="s">
        <v>11417</v>
      </c>
      <c r="B5405" t="s">
        <v>780</v>
      </c>
      <c r="C5405">
        <v>11</v>
      </c>
      <c r="D5405" t="str">
        <f>VLOOKUP(B5405,Products!$A:$E,2,FALSE)</f>
        <v>Product_386</v>
      </c>
      <c r="E5405" t="str">
        <f>VLOOKUP(B5405,Products!$A:$E,3,FALSE)</f>
        <v>Electronics</v>
      </c>
    </row>
    <row r="5406" spans="1:5" x14ac:dyDescent="0.3">
      <c r="A5406" t="s">
        <v>11418</v>
      </c>
      <c r="B5406" t="s">
        <v>952</v>
      </c>
      <c r="C5406">
        <v>32</v>
      </c>
      <c r="D5406" t="str">
        <f>VLOOKUP(B5406,Products!$A:$E,2,FALSE)</f>
        <v>Product_472</v>
      </c>
      <c r="E5406" t="str">
        <f>VLOOKUP(B5406,Products!$A:$E,3,FALSE)</f>
        <v>Electronics</v>
      </c>
    </row>
    <row r="5407" spans="1:5" x14ac:dyDescent="0.3">
      <c r="A5407" t="s">
        <v>11419</v>
      </c>
      <c r="B5407" t="s">
        <v>500</v>
      </c>
      <c r="C5407">
        <v>36</v>
      </c>
      <c r="D5407" t="str">
        <f>VLOOKUP(B5407,Products!$A:$E,2,FALSE)</f>
        <v>Product_246</v>
      </c>
      <c r="E5407" t="str">
        <f>VLOOKUP(B5407,Products!$A:$E,3,FALSE)</f>
        <v>Electronics</v>
      </c>
    </row>
    <row r="5408" spans="1:5" x14ac:dyDescent="0.3">
      <c r="A5408" t="s">
        <v>11420</v>
      </c>
      <c r="B5408" t="s">
        <v>620</v>
      </c>
      <c r="C5408">
        <v>19</v>
      </c>
      <c r="D5408" t="str">
        <f>VLOOKUP(B5408,Products!$A:$E,2,FALSE)</f>
        <v>Product_306</v>
      </c>
      <c r="E5408" t="str">
        <f>VLOOKUP(B5408,Products!$A:$E,3,FALSE)</f>
        <v>Accessories</v>
      </c>
    </row>
    <row r="5409" spans="1:5" x14ac:dyDescent="0.3">
      <c r="A5409" t="s">
        <v>11421</v>
      </c>
      <c r="B5409" t="s">
        <v>824</v>
      </c>
      <c r="C5409">
        <v>43</v>
      </c>
      <c r="D5409" t="str">
        <f>VLOOKUP(B5409,Products!$A:$E,2,FALSE)</f>
        <v>Product_408</v>
      </c>
      <c r="E5409" t="str">
        <f>VLOOKUP(B5409,Products!$A:$E,3,FALSE)</f>
        <v>Storage</v>
      </c>
    </row>
    <row r="5410" spans="1:5" x14ac:dyDescent="0.3">
      <c r="A5410" t="s">
        <v>11422</v>
      </c>
      <c r="B5410" t="s">
        <v>886</v>
      </c>
      <c r="C5410">
        <v>16</v>
      </c>
      <c r="D5410" t="str">
        <f>VLOOKUP(B5410,Products!$A:$E,2,FALSE)</f>
        <v>Product_439</v>
      </c>
      <c r="E5410" t="str">
        <f>VLOOKUP(B5410,Products!$A:$E,3,FALSE)</f>
        <v>Networking</v>
      </c>
    </row>
    <row r="5411" spans="1:5" x14ac:dyDescent="0.3">
      <c r="A5411" t="s">
        <v>11423</v>
      </c>
      <c r="B5411" t="s">
        <v>88</v>
      </c>
      <c r="C5411">
        <v>40</v>
      </c>
      <c r="D5411" t="str">
        <f>VLOOKUP(B5411,Products!$A:$E,2,FALSE)</f>
        <v>Product_40</v>
      </c>
      <c r="E5411" t="str">
        <f>VLOOKUP(B5411,Products!$A:$E,3,FALSE)</f>
        <v>Accessories</v>
      </c>
    </row>
    <row r="5412" spans="1:5" x14ac:dyDescent="0.3">
      <c r="A5412" t="s">
        <v>11424</v>
      </c>
      <c r="B5412" t="s">
        <v>118</v>
      </c>
      <c r="C5412">
        <v>1</v>
      </c>
      <c r="D5412" t="str">
        <f>VLOOKUP(B5412,Products!$A:$E,2,FALSE)</f>
        <v>Product_55</v>
      </c>
      <c r="E5412" t="str">
        <f>VLOOKUP(B5412,Products!$A:$E,3,FALSE)</f>
        <v>Office Supplies</v>
      </c>
    </row>
    <row r="5413" spans="1:5" x14ac:dyDescent="0.3">
      <c r="A5413" t="s">
        <v>11425</v>
      </c>
      <c r="B5413" t="s">
        <v>882</v>
      </c>
      <c r="C5413">
        <v>2</v>
      </c>
      <c r="D5413" t="str">
        <f>VLOOKUP(B5413,Products!$A:$E,2,FALSE)</f>
        <v>Product_437</v>
      </c>
      <c r="E5413" t="str">
        <f>VLOOKUP(B5413,Products!$A:$E,3,FALSE)</f>
        <v>Accessories</v>
      </c>
    </row>
    <row r="5414" spans="1:5" x14ac:dyDescent="0.3">
      <c r="A5414" t="s">
        <v>11426</v>
      </c>
      <c r="B5414" t="s">
        <v>644</v>
      </c>
      <c r="C5414">
        <v>4</v>
      </c>
      <c r="D5414" t="str">
        <f>VLOOKUP(B5414,Products!$A:$E,2,FALSE)</f>
        <v>Product_318</v>
      </c>
      <c r="E5414" t="str">
        <f>VLOOKUP(B5414,Products!$A:$E,3,FALSE)</f>
        <v>Storage</v>
      </c>
    </row>
    <row r="5415" spans="1:5" x14ac:dyDescent="0.3">
      <c r="A5415" t="s">
        <v>11427</v>
      </c>
      <c r="B5415" t="s">
        <v>886</v>
      </c>
      <c r="C5415">
        <v>1</v>
      </c>
      <c r="D5415" t="str">
        <f>VLOOKUP(B5415,Products!$A:$E,2,FALSE)</f>
        <v>Product_439</v>
      </c>
      <c r="E5415" t="str">
        <f>VLOOKUP(B5415,Products!$A:$E,3,FALSE)</f>
        <v>Networking</v>
      </c>
    </row>
    <row r="5416" spans="1:5" x14ac:dyDescent="0.3">
      <c r="A5416" t="s">
        <v>11428</v>
      </c>
      <c r="B5416" t="s">
        <v>978</v>
      </c>
      <c r="C5416">
        <v>18</v>
      </c>
      <c r="D5416" t="str">
        <f>VLOOKUP(B5416,Products!$A:$E,2,FALSE)</f>
        <v>Product_485</v>
      </c>
      <c r="E5416" t="str">
        <f>VLOOKUP(B5416,Products!$A:$E,3,FALSE)</f>
        <v>Networking</v>
      </c>
    </row>
    <row r="5417" spans="1:5" x14ac:dyDescent="0.3">
      <c r="A5417" t="s">
        <v>11429</v>
      </c>
      <c r="B5417" t="s">
        <v>962</v>
      </c>
      <c r="C5417">
        <v>1</v>
      </c>
      <c r="D5417" t="str">
        <f>VLOOKUP(B5417,Products!$A:$E,2,FALSE)</f>
        <v>Product_477</v>
      </c>
      <c r="E5417" t="str">
        <f>VLOOKUP(B5417,Products!$A:$E,3,FALSE)</f>
        <v>Networking</v>
      </c>
    </row>
    <row r="5418" spans="1:5" x14ac:dyDescent="0.3">
      <c r="A5418" t="s">
        <v>11430</v>
      </c>
      <c r="B5418" t="s">
        <v>320</v>
      </c>
      <c r="C5418">
        <v>29</v>
      </c>
      <c r="D5418" t="str">
        <f>VLOOKUP(B5418,Products!$A:$E,2,FALSE)</f>
        <v>Product_156</v>
      </c>
      <c r="E5418" t="str">
        <f>VLOOKUP(B5418,Products!$A:$E,3,FALSE)</f>
        <v>Accessories</v>
      </c>
    </row>
    <row r="5419" spans="1:5" x14ac:dyDescent="0.3">
      <c r="A5419" t="s">
        <v>11431</v>
      </c>
      <c r="B5419" t="s">
        <v>400</v>
      </c>
      <c r="C5419">
        <v>47</v>
      </c>
      <c r="D5419" t="str">
        <f>VLOOKUP(B5419,Products!$A:$E,2,FALSE)</f>
        <v>Product_196</v>
      </c>
      <c r="E5419" t="str">
        <f>VLOOKUP(B5419,Products!$A:$E,3,FALSE)</f>
        <v>Office Supplies</v>
      </c>
    </row>
    <row r="5420" spans="1:5" x14ac:dyDescent="0.3">
      <c r="A5420" t="s">
        <v>11432</v>
      </c>
      <c r="B5420" t="s">
        <v>590</v>
      </c>
      <c r="C5420">
        <v>11</v>
      </c>
      <c r="D5420" t="str">
        <f>VLOOKUP(B5420,Products!$A:$E,2,FALSE)</f>
        <v>Product_291</v>
      </c>
      <c r="E5420" t="str">
        <f>VLOOKUP(B5420,Products!$A:$E,3,FALSE)</f>
        <v>Networking</v>
      </c>
    </row>
    <row r="5421" spans="1:5" x14ac:dyDescent="0.3">
      <c r="A5421" t="s">
        <v>11433</v>
      </c>
      <c r="B5421" t="s">
        <v>108</v>
      </c>
      <c r="C5421">
        <v>4</v>
      </c>
      <c r="D5421" t="str">
        <f>VLOOKUP(B5421,Products!$A:$E,2,FALSE)</f>
        <v>Product_50</v>
      </c>
      <c r="E5421" t="str">
        <f>VLOOKUP(B5421,Products!$A:$E,3,FALSE)</f>
        <v>Networking</v>
      </c>
    </row>
    <row r="5422" spans="1:5" x14ac:dyDescent="0.3">
      <c r="A5422" t="s">
        <v>11434</v>
      </c>
      <c r="B5422" t="s">
        <v>386</v>
      </c>
      <c r="C5422">
        <v>14</v>
      </c>
      <c r="D5422" t="str">
        <f>VLOOKUP(B5422,Products!$A:$E,2,FALSE)</f>
        <v>Product_189</v>
      </c>
      <c r="E5422" t="str">
        <f>VLOOKUP(B5422,Products!$A:$E,3,FALSE)</f>
        <v>Electronics</v>
      </c>
    </row>
    <row r="5423" spans="1:5" x14ac:dyDescent="0.3">
      <c r="A5423" t="s">
        <v>11435</v>
      </c>
      <c r="B5423" t="s">
        <v>670</v>
      </c>
      <c r="C5423">
        <v>13</v>
      </c>
      <c r="D5423" t="str">
        <f>VLOOKUP(B5423,Products!$A:$E,2,FALSE)</f>
        <v>Product_331</v>
      </c>
      <c r="E5423" t="str">
        <f>VLOOKUP(B5423,Products!$A:$E,3,FALSE)</f>
        <v>Electronics</v>
      </c>
    </row>
    <row r="5424" spans="1:5" x14ac:dyDescent="0.3">
      <c r="A5424" t="s">
        <v>11436</v>
      </c>
      <c r="B5424" t="s">
        <v>1004</v>
      </c>
      <c r="C5424">
        <v>28</v>
      </c>
      <c r="D5424" t="str">
        <f>VLOOKUP(B5424,Products!$A:$E,2,FALSE)</f>
        <v>Product_498</v>
      </c>
      <c r="E5424" t="str">
        <f>VLOOKUP(B5424,Products!$A:$E,3,FALSE)</f>
        <v>Office Supplies</v>
      </c>
    </row>
    <row r="5425" spans="1:5" x14ac:dyDescent="0.3">
      <c r="A5425" t="s">
        <v>11437</v>
      </c>
      <c r="B5425" t="s">
        <v>768</v>
      </c>
      <c r="C5425">
        <v>24</v>
      </c>
      <c r="D5425" t="str">
        <f>VLOOKUP(B5425,Products!$A:$E,2,FALSE)</f>
        <v>Product_380</v>
      </c>
      <c r="E5425" t="str">
        <f>VLOOKUP(B5425,Products!$A:$E,3,FALSE)</f>
        <v>Electronics</v>
      </c>
    </row>
    <row r="5426" spans="1:5" x14ac:dyDescent="0.3">
      <c r="A5426" t="s">
        <v>11438</v>
      </c>
      <c r="B5426" t="s">
        <v>86</v>
      </c>
      <c r="C5426">
        <v>18</v>
      </c>
      <c r="D5426" t="str">
        <f>VLOOKUP(B5426,Products!$A:$E,2,FALSE)</f>
        <v>Product_39</v>
      </c>
      <c r="E5426" t="str">
        <f>VLOOKUP(B5426,Products!$A:$E,3,FALSE)</f>
        <v>Networking</v>
      </c>
    </row>
    <row r="5427" spans="1:5" x14ac:dyDescent="0.3">
      <c r="A5427" t="s">
        <v>11439</v>
      </c>
      <c r="B5427" t="s">
        <v>436</v>
      </c>
      <c r="C5427">
        <v>42</v>
      </c>
      <c r="D5427" t="str">
        <f>VLOOKUP(B5427,Products!$A:$E,2,FALSE)</f>
        <v>Product_214</v>
      </c>
      <c r="E5427" t="str">
        <f>VLOOKUP(B5427,Products!$A:$E,3,FALSE)</f>
        <v>Electronics</v>
      </c>
    </row>
    <row r="5428" spans="1:5" x14ac:dyDescent="0.3">
      <c r="A5428" t="s">
        <v>11440</v>
      </c>
      <c r="B5428" t="s">
        <v>32</v>
      </c>
      <c r="C5428">
        <v>20</v>
      </c>
      <c r="D5428" t="str">
        <f>VLOOKUP(B5428,Products!$A:$E,2,FALSE)</f>
        <v>Product_12</v>
      </c>
      <c r="E5428" t="str">
        <f>VLOOKUP(B5428,Products!$A:$E,3,FALSE)</f>
        <v>Accessories</v>
      </c>
    </row>
    <row r="5429" spans="1:5" x14ac:dyDescent="0.3">
      <c r="A5429" t="s">
        <v>11441</v>
      </c>
      <c r="B5429" t="s">
        <v>798</v>
      </c>
      <c r="C5429">
        <v>3</v>
      </c>
      <c r="D5429" t="str">
        <f>VLOOKUP(B5429,Products!$A:$E,2,FALSE)</f>
        <v>Product_395</v>
      </c>
      <c r="E5429" t="str">
        <f>VLOOKUP(B5429,Products!$A:$E,3,FALSE)</f>
        <v>Accessories</v>
      </c>
    </row>
    <row r="5430" spans="1:5" x14ac:dyDescent="0.3">
      <c r="A5430" t="s">
        <v>11442</v>
      </c>
      <c r="B5430" t="s">
        <v>930</v>
      </c>
      <c r="C5430">
        <v>8</v>
      </c>
      <c r="D5430" t="str">
        <f>VLOOKUP(B5430,Products!$A:$E,2,FALSE)</f>
        <v>Product_461</v>
      </c>
      <c r="E5430" t="str">
        <f>VLOOKUP(B5430,Products!$A:$E,3,FALSE)</f>
        <v>Accessories</v>
      </c>
    </row>
    <row r="5431" spans="1:5" x14ac:dyDescent="0.3">
      <c r="A5431" t="s">
        <v>11443</v>
      </c>
      <c r="B5431" t="s">
        <v>318</v>
      </c>
      <c r="C5431">
        <v>10</v>
      </c>
      <c r="D5431" t="str">
        <f>VLOOKUP(B5431,Products!$A:$E,2,FALSE)</f>
        <v>Product_155</v>
      </c>
      <c r="E5431" t="str">
        <f>VLOOKUP(B5431,Products!$A:$E,3,FALSE)</f>
        <v>Office Supplies</v>
      </c>
    </row>
    <row r="5432" spans="1:5" x14ac:dyDescent="0.3">
      <c r="A5432" t="s">
        <v>11444</v>
      </c>
      <c r="B5432" t="s">
        <v>278</v>
      </c>
      <c r="C5432">
        <v>30</v>
      </c>
      <c r="D5432" t="str">
        <f>VLOOKUP(B5432,Products!$A:$E,2,FALSE)</f>
        <v>Product_135</v>
      </c>
      <c r="E5432" t="str">
        <f>VLOOKUP(B5432,Products!$A:$E,3,FALSE)</f>
        <v>Accessories</v>
      </c>
    </row>
    <row r="5433" spans="1:5" x14ac:dyDescent="0.3">
      <c r="A5433" t="s">
        <v>11445</v>
      </c>
      <c r="B5433" t="s">
        <v>962</v>
      </c>
      <c r="C5433">
        <v>14</v>
      </c>
      <c r="D5433" t="str">
        <f>VLOOKUP(B5433,Products!$A:$E,2,FALSE)</f>
        <v>Product_477</v>
      </c>
      <c r="E5433" t="str">
        <f>VLOOKUP(B5433,Products!$A:$E,3,FALSE)</f>
        <v>Networking</v>
      </c>
    </row>
    <row r="5434" spans="1:5" x14ac:dyDescent="0.3">
      <c r="A5434" t="s">
        <v>11446</v>
      </c>
      <c r="B5434" t="s">
        <v>132</v>
      </c>
      <c r="C5434">
        <v>41</v>
      </c>
      <c r="D5434" t="str">
        <f>VLOOKUP(B5434,Products!$A:$E,2,FALSE)</f>
        <v>Product_62</v>
      </c>
      <c r="E5434" t="str">
        <f>VLOOKUP(B5434,Products!$A:$E,3,FALSE)</f>
        <v>Accessories</v>
      </c>
    </row>
    <row r="5435" spans="1:5" x14ac:dyDescent="0.3">
      <c r="A5435" t="s">
        <v>11447</v>
      </c>
      <c r="B5435" t="s">
        <v>772</v>
      </c>
      <c r="C5435">
        <v>44</v>
      </c>
      <c r="D5435" t="str">
        <f>VLOOKUP(B5435,Products!$A:$E,2,FALSE)</f>
        <v>Product_382</v>
      </c>
      <c r="E5435" t="str">
        <f>VLOOKUP(B5435,Products!$A:$E,3,FALSE)</f>
        <v>Storage</v>
      </c>
    </row>
    <row r="5436" spans="1:5" x14ac:dyDescent="0.3">
      <c r="A5436" t="s">
        <v>11448</v>
      </c>
      <c r="B5436" t="s">
        <v>820</v>
      </c>
      <c r="C5436">
        <v>2</v>
      </c>
      <c r="D5436" t="str">
        <f>VLOOKUP(B5436,Products!$A:$E,2,FALSE)</f>
        <v>Product_406</v>
      </c>
      <c r="E5436" t="str">
        <f>VLOOKUP(B5436,Products!$A:$E,3,FALSE)</f>
        <v>Office Supplies</v>
      </c>
    </row>
    <row r="5437" spans="1:5" x14ac:dyDescent="0.3">
      <c r="A5437" t="s">
        <v>11449</v>
      </c>
      <c r="B5437" t="s">
        <v>910</v>
      </c>
      <c r="C5437">
        <v>31</v>
      </c>
      <c r="D5437" t="str">
        <f>VLOOKUP(B5437,Products!$A:$E,2,FALSE)</f>
        <v>Product_451</v>
      </c>
      <c r="E5437" t="str">
        <f>VLOOKUP(B5437,Products!$A:$E,3,FALSE)</f>
        <v>Accessories</v>
      </c>
    </row>
    <row r="5438" spans="1:5" x14ac:dyDescent="0.3">
      <c r="A5438" t="s">
        <v>11450</v>
      </c>
      <c r="B5438" t="s">
        <v>188</v>
      </c>
      <c r="C5438">
        <v>1</v>
      </c>
      <c r="D5438" t="str">
        <f>VLOOKUP(B5438,Products!$A:$E,2,FALSE)</f>
        <v>Product_90</v>
      </c>
      <c r="E5438" t="str">
        <f>VLOOKUP(B5438,Products!$A:$E,3,FALSE)</f>
        <v>Accessories</v>
      </c>
    </row>
    <row r="5439" spans="1:5" x14ac:dyDescent="0.3">
      <c r="A5439" t="s">
        <v>11451</v>
      </c>
      <c r="B5439" t="s">
        <v>124</v>
      </c>
      <c r="C5439">
        <v>6</v>
      </c>
      <c r="D5439" t="str">
        <f>VLOOKUP(B5439,Products!$A:$E,2,FALSE)</f>
        <v>Product_58</v>
      </c>
      <c r="E5439" t="str">
        <f>VLOOKUP(B5439,Products!$A:$E,3,FALSE)</f>
        <v>Office Supplies</v>
      </c>
    </row>
    <row r="5440" spans="1:5" x14ac:dyDescent="0.3">
      <c r="A5440" t="s">
        <v>11452</v>
      </c>
      <c r="B5440" t="s">
        <v>752</v>
      </c>
      <c r="C5440">
        <v>16</v>
      </c>
      <c r="D5440" t="str">
        <f>VLOOKUP(B5440,Products!$A:$E,2,FALSE)</f>
        <v>Product_372</v>
      </c>
      <c r="E5440" t="str">
        <f>VLOOKUP(B5440,Products!$A:$E,3,FALSE)</f>
        <v>Networking</v>
      </c>
    </row>
    <row r="5441" spans="1:5" x14ac:dyDescent="0.3">
      <c r="A5441" t="s">
        <v>11453</v>
      </c>
      <c r="B5441" t="s">
        <v>476</v>
      </c>
      <c r="C5441">
        <v>38</v>
      </c>
      <c r="D5441" t="str">
        <f>VLOOKUP(B5441,Products!$A:$E,2,FALSE)</f>
        <v>Product_234</v>
      </c>
      <c r="E5441" t="str">
        <f>VLOOKUP(B5441,Products!$A:$E,3,FALSE)</f>
        <v>Networking</v>
      </c>
    </row>
    <row r="5442" spans="1:5" x14ac:dyDescent="0.3">
      <c r="A5442" t="s">
        <v>11454</v>
      </c>
      <c r="B5442" t="s">
        <v>720</v>
      </c>
      <c r="C5442">
        <v>36</v>
      </c>
      <c r="D5442" t="str">
        <f>VLOOKUP(B5442,Products!$A:$E,2,FALSE)</f>
        <v>Product_356</v>
      </c>
      <c r="E5442" t="str">
        <f>VLOOKUP(B5442,Products!$A:$E,3,FALSE)</f>
        <v>Accessories</v>
      </c>
    </row>
    <row r="5443" spans="1:5" x14ac:dyDescent="0.3">
      <c r="A5443" t="s">
        <v>11455</v>
      </c>
      <c r="B5443" t="s">
        <v>288</v>
      </c>
      <c r="C5443">
        <v>18</v>
      </c>
      <c r="D5443" t="str">
        <f>VLOOKUP(B5443,Products!$A:$E,2,FALSE)</f>
        <v>Product_140</v>
      </c>
      <c r="E5443" t="str">
        <f>VLOOKUP(B5443,Products!$A:$E,3,FALSE)</f>
        <v>Electronics</v>
      </c>
    </row>
    <row r="5444" spans="1:5" x14ac:dyDescent="0.3">
      <c r="A5444" t="s">
        <v>11456</v>
      </c>
      <c r="B5444" t="s">
        <v>32</v>
      </c>
      <c r="C5444">
        <v>45</v>
      </c>
      <c r="D5444" t="str">
        <f>VLOOKUP(B5444,Products!$A:$E,2,FALSE)</f>
        <v>Product_12</v>
      </c>
      <c r="E5444" t="str">
        <f>VLOOKUP(B5444,Products!$A:$E,3,FALSE)</f>
        <v>Accessories</v>
      </c>
    </row>
    <row r="5445" spans="1:5" x14ac:dyDescent="0.3">
      <c r="A5445" t="s">
        <v>11457</v>
      </c>
      <c r="B5445" t="s">
        <v>586</v>
      </c>
      <c r="C5445">
        <v>31</v>
      </c>
      <c r="D5445" t="str">
        <f>VLOOKUP(B5445,Products!$A:$E,2,FALSE)</f>
        <v>Product_289</v>
      </c>
      <c r="E5445" t="str">
        <f>VLOOKUP(B5445,Products!$A:$E,3,FALSE)</f>
        <v>Storage</v>
      </c>
    </row>
    <row r="5446" spans="1:5" x14ac:dyDescent="0.3">
      <c r="A5446" t="s">
        <v>11458</v>
      </c>
      <c r="B5446" t="s">
        <v>74</v>
      </c>
      <c r="C5446">
        <v>47</v>
      </c>
      <c r="D5446" t="str">
        <f>VLOOKUP(B5446,Products!$A:$E,2,FALSE)</f>
        <v>Product_33</v>
      </c>
      <c r="E5446" t="str">
        <f>VLOOKUP(B5446,Products!$A:$E,3,FALSE)</f>
        <v>Storage</v>
      </c>
    </row>
    <row r="5447" spans="1:5" x14ac:dyDescent="0.3">
      <c r="A5447" t="s">
        <v>11459</v>
      </c>
      <c r="B5447" t="s">
        <v>718</v>
      </c>
      <c r="C5447">
        <v>10</v>
      </c>
      <c r="D5447" t="str">
        <f>VLOOKUP(B5447,Products!$A:$E,2,FALSE)</f>
        <v>Product_355</v>
      </c>
      <c r="E5447" t="str">
        <f>VLOOKUP(B5447,Products!$A:$E,3,FALSE)</f>
        <v>Accessories</v>
      </c>
    </row>
    <row r="5448" spans="1:5" x14ac:dyDescent="0.3">
      <c r="A5448" t="s">
        <v>11460</v>
      </c>
      <c r="B5448" t="s">
        <v>230</v>
      </c>
      <c r="C5448">
        <v>5</v>
      </c>
      <c r="D5448" t="str">
        <f>VLOOKUP(B5448,Products!$A:$E,2,FALSE)</f>
        <v>Product_111</v>
      </c>
      <c r="E5448" t="str">
        <f>VLOOKUP(B5448,Products!$A:$E,3,FALSE)</f>
        <v>Office Supplies</v>
      </c>
    </row>
    <row r="5449" spans="1:5" x14ac:dyDescent="0.3">
      <c r="A5449" t="s">
        <v>11461</v>
      </c>
      <c r="B5449" t="s">
        <v>416</v>
      </c>
      <c r="C5449">
        <v>44</v>
      </c>
      <c r="D5449" t="str">
        <f>VLOOKUP(B5449,Products!$A:$E,2,FALSE)</f>
        <v>Product_204</v>
      </c>
      <c r="E5449" t="str">
        <f>VLOOKUP(B5449,Products!$A:$E,3,FALSE)</f>
        <v>Office Supplies</v>
      </c>
    </row>
    <row r="5450" spans="1:5" x14ac:dyDescent="0.3">
      <c r="A5450" t="s">
        <v>11462</v>
      </c>
      <c r="B5450" t="s">
        <v>396</v>
      </c>
      <c r="C5450">
        <v>2</v>
      </c>
      <c r="D5450" t="str">
        <f>VLOOKUP(B5450,Products!$A:$E,2,FALSE)</f>
        <v>Product_194</v>
      </c>
      <c r="E5450" t="str">
        <f>VLOOKUP(B5450,Products!$A:$E,3,FALSE)</f>
        <v>Networking</v>
      </c>
    </row>
    <row r="5451" spans="1:5" x14ac:dyDescent="0.3">
      <c r="A5451" t="s">
        <v>11463</v>
      </c>
      <c r="B5451" t="s">
        <v>48</v>
      </c>
      <c r="C5451">
        <v>32</v>
      </c>
      <c r="D5451" t="str">
        <f>VLOOKUP(B5451,Products!$A:$E,2,FALSE)</f>
        <v>Product_20</v>
      </c>
      <c r="E5451" t="str">
        <f>VLOOKUP(B5451,Products!$A:$E,3,FALSE)</f>
        <v>Office Supplies</v>
      </c>
    </row>
    <row r="5452" spans="1:5" x14ac:dyDescent="0.3">
      <c r="A5452" t="s">
        <v>11464</v>
      </c>
      <c r="B5452" t="s">
        <v>452</v>
      </c>
      <c r="C5452">
        <v>30</v>
      </c>
      <c r="D5452" t="str">
        <f>VLOOKUP(B5452,Products!$A:$E,2,FALSE)</f>
        <v>Product_222</v>
      </c>
      <c r="E5452" t="str">
        <f>VLOOKUP(B5452,Products!$A:$E,3,FALSE)</f>
        <v>Networking</v>
      </c>
    </row>
    <row r="5453" spans="1:5" x14ac:dyDescent="0.3">
      <c r="A5453" t="s">
        <v>11465</v>
      </c>
      <c r="B5453" t="s">
        <v>432</v>
      </c>
      <c r="C5453">
        <v>12</v>
      </c>
      <c r="D5453" t="str">
        <f>VLOOKUP(B5453,Products!$A:$E,2,FALSE)</f>
        <v>Product_212</v>
      </c>
      <c r="E5453" t="str">
        <f>VLOOKUP(B5453,Products!$A:$E,3,FALSE)</f>
        <v>Networking</v>
      </c>
    </row>
    <row r="5454" spans="1:5" x14ac:dyDescent="0.3">
      <c r="A5454" t="s">
        <v>11466</v>
      </c>
      <c r="B5454" t="s">
        <v>1006</v>
      </c>
      <c r="C5454">
        <v>1</v>
      </c>
      <c r="D5454" t="str">
        <f>VLOOKUP(B5454,Products!$A:$E,2,FALSE)</f>
        <v>Product_499</v>
      </c>
      <c r="E5454" t="str">
        <f>VLOOKUP(B5454,Products!$A:$E,3,FALSE)</f>
        <v>Office Supplies</v>
      </c>
    </row>
    <row r="5455" spans="1:5" x14ac:dyDescent="0.3">
      <c r="A5455" t="s">
        <v>11467</v>
      </c>
      <c r="B5455" t="s">
        <v>600</v>
      </c>
      <c r="C5455">
        <v>3</v>
      </c>
      <c r="D5455" t="str">
        <f>VLOOKUP(B5455,Products!$A:$E,2,FALSE)</f>
        <v>Product_296</v>
      </c>
      <c r="E5455" t="str">
        <f>VLOOKUP(B5455,Products!$A:$E,3,FALSE)</f>
        <v>Office Supplies</v>
      </c>
    </row>
    <row r="5456" spans="1:5" x14ac:dyDescent="0.3">
      <c r="A5456" t="s">
        <v>11468</v>
      </c>
      <c r="B5456" t="s">
        <v>682</v>
      </c>
      <c r="C5456">
        <v>5</v>
      </c>
      <c r="D5456" t="str">
        <f>VLOOKUP(B5456,Products!$A:$E,2,FALSE)</f>
        <v>Product_337</v>
      </c>
      <c r="E5456" t="str">
        <f>VLOOKUP(B5456,Products!$A:$E,3,FALSE)</f>
        <v>Storage</v>
      </c>
    </row>
    <row r="5457" spans="1:5" x14ac:dyDescent="0.3">
      <c r="A5457" t="s">
        <v>11469</v>
      </c>
      <c r="B5457" t="s">
        <v>992</v>
      </c>
      <c r="C5457">
        <v>50</v>
      </c>
      <c r="D5457" t="str">
        <f>VLOOKUP(B5457,Products!$A:$E,2,FALSE)</f>
        <v>Product_492</v>
      </c>
      <c r="E5457" t="str">
        <f>VLOOKUP(B5457,Products!$A:$E,3,FALSE)</f>
        <v>Electronics</v>
      </c>
    </row>
    <row r="5458" spans="1:5" x14ac:dyDescent="0.3">
      <c r="A5458" t="s">
        <v>11470</v>
      </c>
      <c r="B5458" t="s">
        <v>906</v>
      </c>
      <c r="C5458">
        <v>18</v>
      </c>
      <c r="D5458" t="str">
        <f>VLOOKUP(B5458,Products!$A:$E,2,FALSE)</f>
        <v>Product_449</v>
      </c>
      <c r="E5458" t="str">
        <f>VLOOKUP(B5458,Products!$A:$E,3,FALSE)</f>
        <v>Networking</v>
      </c>
    </row>
    <row r="5459" spans="1:5" x14ac:dyDescent="0.3">
      <c r="A5459" t="s">
        <v>11471</v>
      </c>
      <c r="B5459" t="s">
        <v>736</v>
      </c>
      <c r="C5459">
        <v>19</v>
      </c>
      <c r="D5459" t="str">
        <f>VLOOKUP(B5459,Products!$A:$E,2,FALSE)</f>
        <v>Product_364</v>
      </c>
      <c r="E5459" t="str">
        <f>VLOOKUP(B5459,Products!$A:$E,3,FALSE)</f>
        <v>Networking</v>
      </c>
    </row>
    <row r="5460" spans="1:5" x14ac:dyDescent="0.3">
      <c r="A5460" t="s">
        <v>11472</v>
      </c>
      <c r="B5460" t="s">
        <v>746</v>
      </c>
      <c r="C5460">
        <v>31</v>
      </c>
      <c r="D5460" t="str">
        <f>VLOOKUP(B5460,Products!$A:$E,2,FALSE)</f>
        <v>Product_369</v>
      </c>
      <c r="E5460" t="str">
        <f>VLOOKUP(B5460,Products!$A:$E,3,FALSE)</f>
        <v>Accessories</v>
      </c>
    </row>
    <row r="5461" spans="1:5" x14ac:dyDescent="0.3">
      <c r="A5461" t="s">
        <v>11473</v>
      </c>
      <c r="B5461" t="s">
        <v>216</v>
      </c>
      <c r="C5461">
        <v>18</v>
      </c>
      <c r="D5461" t="str">
        <f>VLOOKUP(B5461,Products!$A:$E,2,FALSE)</f>
        <v>Product_104</v>
      </c>
      <c r="E5461" t="str">
        <f>VLOOKUP(B5461,Products!$A:$E,3,FALSE)</f>
        <v>Networking</v>
      </c>
    </row>
    <row r="5462" spans="1:5" x14ac:dyDescent="0.3">
      <c r="A5462" t="s">
        <v>11474</v>
      </c>
      <c r="B5462" t="s">
        <v>34</v>
      </c>
      <c r="C5462">
        <v>43</v>
      </c>
      <c r="D5462" t="str">
        <f>VLOOKUP(B5462,Products!$A:$E,2,FALSE)</f>
        <v>Product_13</v>
      </c>
      <c r="E5462" t="str">
        <f>VLOOKUP(B5462,Products!$A:$E,3,FALSE)</f>
        <v>Office Supplies</v>
      </c>
    </row>
    <row r="5463" spans="1:5" x14ac:dyDescent="0.3">
      <c r="A5463" t="s">
        <v>11475</v>
      </c>
      <c r="B5463" t="s">
        <v>288</v>
      </c>
      <c r="C5463">
        <v>13</v>
      </c>
      <c r="D5463" t="str">
        <f>VLOOKUP(B5463,Products!$A:$E,2,FALSE)</f>
        <v>Product_140</v>
      </c>
      <c r="E5463" t="str">
        <f>VLOOKUP(B5463,Products!$A:$E,3,FALSE)</f>
        <v>Electronics</v>
      </c>
    </row>
    <row r="5464" spans="1:5" x14ac:dyDescent="0.3">
      <c r="A5464" t="s">
        <v>11476</v>
      </c>
      <c r="B5464" t="s">
        <v>250</v>
      </c>
      <c r="C5464">
        <v>45</v>
      </c>
      <c r="D5464" t="str">
        <f>VLOOKUP(B5464,Products!$A:$E,2,FALSE)</f>
        <v>Product_121</v>
      </c>
      <c r="E5464" t="str">
        <f>VLOOKUP(B5464,Products!$A:$E,3,FALSE)</f>
        <v>Storage</v>
      </c>
    </row>
    <row r="5465" spans="1:5" x14ac:dyDescent="0.3">
      <c r="A5465" t="s">
        <v>11477</v>
      </c>
      <c r="B5465" t="s">
        <v>468</v>
      </c>
      <c r="C5465">
        <v>1</v>
      </c>
      <c r="D5465" t="str">
        <f>VLOOKUP(B5465,Products!$A:$E,2,FALSE)</f>
        <v>Product_230</v>
      </c>
      <c r="E5465" t="str">
        <f>VLOOKUP(B5465,Products!$A:$E,3,FALSE)</f>
        <v>Electronics</v>
      </c>
    </row>
    <row r="5466" spans="1:5" x14ac:dyDescent="0.3">
      <c r="A5466" t="s">
        <v>11478</v>
      </c>
      <c r="B5466" t="s">
        <v>674</v>
      </c>
      <c r="C5466">
        <v>3</v>
      </c>
      <c r="D5466" t="str">
        <f>VLOOKUP(B5466,Products!$A:$E,2,FALSE)</f>
        <v>Product_333</v>
      </c>
      <c r="E5466" t="str">
        <f>VLOOKUP(B5466,Products!$A:$E,3,FALSE)</f>
        <v>Storage</v>
      </c>
    </row>
    <row r="5467" spans="1:5" x14ac:dyDescent="0.3">
      <c r="A5467" t="s">
        <v>11479</v>
      </c>
      <c r="B5467" t="s">
        <v>904</v>
      </c>
      <c r="C5467">
        <v>37</v>
      </c>
      <c r="D5467" t="str">
        <f>VLOOKUP(B5467,Products!$A:$E,2,FALSE)</f>
        <v>Product_448</v>
      </c>
      <c r="E5467" t="str">
        <f>VLOOKUP(B5467,Products!$A:$E,3,FALSE)</f>
        <v>Networking</v>
      </c>
    </row>
    <row r="5468" spans="1:5" x14ac:dyDescent="0.3">
      <c r="A5468" t="s">
        <v>11480</v>
      </c>
      <c r="B5468" t="s">
        <v>864</v>
      </c>
      <c r="C5468">
        <v>28</v>
      </c>
      <c r="D5468" t="str">
        <f>VLOOKUP(B5468,Products!$A:$E,2,FALSE)</f>
        <v>Product_428</v>
      </c>
      <c r="E5468" t="str">
        <f>VLOOKUP(B5468,Products!$A:$E,3,FALSE)</f>
        <v>Storage</v>
      </c>
    </row>
    <row r="5469" spans="1:5" x14ac:dyDescent="0.3">
      <c r="A5469" t="s">
        <v>11481</v>
      </c>
      <c r="B5469" t="s">
        <v>582</v>
      </c>
      <c r="C5469">
        <v>45</v>
      </c>
      <c r="D5469" t="str">
        <f>VLOOKUP(B5469,Products!$A:$E,2,FALSE)</f>
        <v>Product_287</v>
      </c>
      <c r="E5469" t="str">
        <f>VLOOKUP(B5469,Products!$A:$E,3,FALSE)</f>
        <v>Storage</v>
      </c>
    </row>
    <row r="5470" spans="1:5" x14ac:dyDescent="0.3">
      <c r="A5470" t="s">
        <v>11482</v>
      </c>
      <c r="B5470" t="s">
        <v>510</v>
      </c>
      <c r="C5470">
        <v>15</v>
      </c>
      <c r="D5470" t="str">
        <f>VLOOKUP(B5470,Products!$A:$E,2,FALSE)</f>
        <v>Product_251</v>
      </c>
      <c r="E5470" t="str">
        <f>VLOOKUP(B5470,Products!$A:$E,3,FALSE)</f>
        <v>Electronics</v>
      </c>
    </row>
    <row r="5471" spans="1:5" x14ac:dyDescent="0.3">
      <c r="A5471" t="s">
        <v>11483</v>
      </c>
      <c r="B5471" t="s">
        <v>742</v>
      </c>
      <c r="C5471">
        <v>48</v>
      </c>
      <c r="D5471" t="str">
        <f>VLOOKUP(B5471,Products!$A:$E,2,FALSE)</f>
        <v>Product_367</v>
      </c>
      <c r="E5471" t="str">
        <f>VLOOKUP(B5471,Products!$A:$E,3,FALSE)</f>
        <v>Storage</v>
      </c>
    </row>
    <row r="5472" spans="1:5" x14ac:dyDescent="0.3">
      <c r="A5472" t="s">
        <v>11484</v>
      </c>
      <c r="B5472" t="s">
        <v>58</v>
      </c>
      <c r="C5472">
        <v>19</v>
      </c>
      <c r="D5472" t="str">
        <f>VLOOKUP(B5472,Products!$A:$E,2,FALSE)</f>
        <v>Product_25</v>
      </c>
      <c r="E5472" t="str">
        <f>VLOOKUP(B5472,Products!$A:$E,3,FALSE)</f>
        <v>Office Supplies</v>
      </c>
    </row>
    <row r="5473" spans="1:5" x14ac:dyDescent="0.3">
      <c r="A5473" t="s">
        <v>11485</v>
      </c>
      <c r="B5473" t="s">
        <v>382</v>
      </c>
      <c r="C5473">
        <v>6</v>
      </c>
      <c r="D5473" t="str">
        <f>VLOOKUP(B5473,Products!$A:$E,2,FALSE)</f>
        <v>Product_187</v>
      </c>
      <c r="E5473" t="str">
        <f>VLOOKUP(B5473,Products!$A:$E,3,FALSE)</f>
        <v>Electronics</v>
      </c>
    </row>
    <row r="5474" spans="1:5" x14ac:dyDescent="0.3">
      <c r="A5474" t="s">
        <v>11486</v>
      </c>
      <c r="B5474" t="s">
        <v>622</v>
      </c>
      <c r="C5474">
        <v>24</v>
      </c>
      <c r="D5474" t="str">
        <f>VLOOKUP(B5474,Products!$A:$E,2,FALSE)</f>
        <v>Product_307</v>
      </c>
      <c r="E5474" t="str">
        <f>VLOOKUP(B5474,Products!$A:$E,3,FALSE)</f>
        <v>Storage</v>
      </c>
    </row>
    <row r="5475" spans="1:5" x14ac:dyDescent="0.3">
      <c r="A5475" t="s">
        <v>11487</v>
      </c>
      <c r="B5475" t="s">
        <v>476</v>
      </c>
      <c r="C5475">
        <v>31</v>
      </c>
      <c r="D5475" t="str">
        <f>VLOOKUP(B5475,Products!$A:$E,2,FALSE)</f>
        <v>Product_234</v>
      </c>
      <c r="E5475" t="str">
        <f>VLOOKUP(B5475,Products!$A:$E,3,FALSE)</f>
        <v>Networking</v>
      </c>
    </row>
    <row r="5476" spans="1:5" x14ac:dyDescent="0.3">
      <c r="A5476" t="s">
        <v>11488</v>
      </c>
      <c r="B5476" t="s">
        <v>566</v>
      </c>
      <c r="C5476">
        <v>11</v>
      </c>
      <c r="D5476" t="str">
        <f>VLOOKUP(B5476,Products!$A:$E,2,FALSE)</f>
        <v>Product_279</v>
      </c>
      <c r="E5476" t="str">
        <f>VLOOKUP(B5476,Products!$A:$E,3,FALSE)</f>
        <v>Networking</v>
      </c>
    </row>
    <row r="5477" spans="1:5" x14ac:dyDescent="0.3">
      <c r="A5477" t="s">
        <v>11489</v>
      </c>
      <c r="B5477" t="s">
        <v>392</v>
      </c>
      <c r="C5477">
        <v>43</v>
      </c>
      <c r="D5477" t="str">
        <f>VLOOKUP(B5477,Products!$A:$E,2,FALSE)</f>
        <v>Product_192</v>
      </c>
      <c r="E5477" t="str">
        <f>VLOOKUP(B5477,Products!$A:$E,3,FALSE)</f>
        <v>Office Supplies</v>
      </c>
    </row>
    <row r="5478" spans="1:5" x14ac:dyDescent="0.3">
      <c r="A5478" t="s">
        <v>11490</v>
      </c>
      <c r="B5478" t="s">
        <v>932</v>
      </c>
      <c r="C5478">
        <v>24</v>
      </c>
      <c r="D5478" t="str">
        <f>VLOOKUP(B5478,Products!$A:$E,2,FALSE)</f>
        <v>Product_462</v>
      </c>
      <c r="E5478" t="str">
        <f>VLOOKUP(B5478,Products!$A:$E,3,FALSE)</f>
        <v>Electronics</v>
      </c>
    </row>
    <row r="5479" spans="1:5" x14ac:dyDescent="0.3">
      <c r="A5479" t="s">
        <v>11491</v>
      </c>
      <c r="B5479" t="s">
        <v>752</v>
      </c>
      <c r="C5479">
        <v>36</v>
      </c>
      <c r="D5479" t="str">
        <f>VLOOKUP(B5479,Products!$A:$E,2,FALSE)</f>
        <v>Product_372</v>
      </c>
      <c r="E5479" t="str">
        <f>VLOOKUP(B5479,Products!$A:$E,3,FALSE)</f>
        <v>Networking</v>
      </c>
    </row>
    <row r="5480" spans="1:5" x14ac:dyDescent="0.3">
      <c r="A5480" t="s">
        <v>11492</v>
      </c>
      <c r="B5480" t="s">
        <v>562</v>
      </c>
      <c r="C5480">
        <v>10</v>
      </c>
      <c r="D5480" t="str">
        <f>VLOOKUP(B5480,Products!$A:$E,2,FALSE)</f>
        <v>Product_277</v>
      </c>
      <c r="E5480" t="str">
        <f>VLOOKUP(B5480,Products!$A:$E,3,FALSE)</f>
        <v>Electronics</v>
      </c>
    </row>
    <row r="5481" spans="1:5" x14ac:dyDescent="0.3">
      <c r="A5481" t="s">
        <v>11493</v>
      </c>
      <c r="B5481" t="s">
        <v>338</v>
      </c>
      <c r="C5481">
        <v>48</v>
      </c>
      <c r="D5481" t="str">
        <f>VLOOKUP(B5481,Products!$A:$E,2,FALSE)</f>
        <v>Product_165</v>
      </c>
      <c r="E5481" t="str">
        <f>VLOOKUP(B5481,Products!$A:$E,3,FALSE)</f>
        <v>Office Supplies</v>
      </c>
    </row>
    <row r="5482" spans="1:5" x14ac:dyDescent="0.3">
      <c r="A5482" t="s">
        <v>11494</v>
      </c>
      <c r="B5482" t="s">
        <v>664</v>
      </c>
      <c r="C5482">
        <v>23</v>
      </c>
      <c r="D5482" t="str">
        <f>VLOOKUP(B5482,Products!$A:$E,2,FALSE)</f>
        <v>Product_328</v>
      </c>
      <c r="E5482" t="str">
        <f>VLOOKUP(B5482,Products!$A:$E,3,FALSE)</f>
        <v>Office Supplies</v>
      </c>
    </row>
    <row r="5483" spans="1:5" x14ac:dyDescent="0.3">
      <c r="A5483" t="s">
        <v>11495</v>
      </c>
      <c r="B5483" t="s">
        <v>426</v>
      </c>
      <c r="C5483">
        <v>12</v>
      </c>
      <c r="D5483" t="str">
        <f>VLOOKUP(B5483,Products!$A:$E,2,FALSE)</f>
        <v>Product_209</v>
      </c>
      <c r="E5483" t="str">
        <f>VLOOKUP(B5483,Products!$A:$E,3,FALSE)</f>
        <v>Networking</v>
      </c>
    </row>
    <row r="5484" spans="1:5" x14ac:dyDescent="0.3">
      <c r="A5484" t="s">
        <v>11496</v>
      </c>
      <c r="B5484" t="s">
        <v>604</v>
      </c>
      <c r="C5484">
        <v>26</v>
      </c>
      <c r="D5484" t="str">
        <f>VLOOKUP(B5484,Products!$A:$E,2,FALSE)</f>
        <v>Product_298</v>
      </c>
      <c r="E5484" t="str">
        <f>VLOOKUP(B5484,Products!$A:$E,3,FALSE)</f>
        <v>Office Supplies</v>
      </c>
    </row>
    <row r="5485" spans="1:5" x14ac:dyDescent="0.3">
      <c r="A5485" t="s">
        <v>11497</v>
      </c>
      <c r="B5485" t="s">
        <v>390</v>
      </c>
      <c r="C5485">
        <v>30</v>
      </c>
      <c r="D5485" t="str">
        <f>VLOOKUP(B5485,Products!$A:$E,2,FALSE)</f>
        <v>Product_191</v>
      </c>
      <c r="E5485" t="str">
        <f>VLOOKUP(B5485,Products!$A:$E,3,FALSE)</f>
        <v>Networking</v>
      </c>
    </row>
    <row r="5486" spans="1:5" x14ac:dyDescent="0.3">
      <c r="A5486" t="s">
        <v>11498</v>
      </c>
      <c r="B5486" t="s">
        <v>364</v>
      </c>
      <c r="C5486">
        <v>50</v>
      </c>
      <c r="D5486" t="str">
        <f>VLOOKUP(B5486,Products!$A:$E,2,FALSE)</f>
        <v>Product_178</v>
      </c>
      <c r="E5486" t="str">
        <f>VLOOKUP(B5486,Products!$A:$E,3,FALSE)</f>
        <v>Office Supplies</v>
      </c>
    </row>
    <row r="5487" spans="1:5" x14ac:dyDescent="0.3">
      <c r="A5487" t="s">
        <v>11499</v>
      </c>
      <c r="B5487" t="s">
        <v>308</v>
      </c>
      <c r="C5487">
        <v>10</v>
      </c>
      <c r="D5487" t="str">
        <f>VLOOKUP(B5487,Products!$A:$E,2,FALSE)</f>
        <v>Product_150</v>
      </c>
      <c r="E5487" t="str">
        <f>VLOOKUP(B5487,Products!$A:$E,3,FALSE)</f>
        <v>Accessories</v>
      </c>
    </row>
    <row r="5488" spans="1:5" x14ac:dyDescent="0.3">
      <c r="A5488" t="s">
        <v>11500</v>
      </c>
      <c r="B5488" t="s">
        <v>842</v>
      </c>
      <c r="C5488">
        <v>44</v>
      </c>
      <c r="D5488" t="str">
        <f>VLOOKUP(B5488,Products!$A:$E,2,FALSE)</f>
        <v>Product_417</v>
      </c>
      <c r="E5488" t="str">
        <f>VLOOKUP(B5488,Products!$A:$E,3,FALSE)</f>
        <v>Accessories</v>
      </c>
    </row>
    <row r="5489" spans="1:5" x14ac:dyDescent="0.3">
      <c r="A5489" t="s">
        <v>11501</v>
      </c>
      <c r="B5489" t="s">
        <v>778</v>
      </c>
      <c r="C5489">
        <v>32</v>
      </c>
      <c r="D5489" t="str">
        <f>VLOOKUP(B5489,Products!$A:$E,2,FALSE)</f>
        <v>Product_385</v>
      </c>
      <c r="E5489" t="str">
        <f>VLOOKUP(B5489,Products!$A:$E,3,FALSE)</f>
        <v>Networking</v>
      </c>
    </row>
    <row r="5490" spans="1:5" x14ac:dyDescent="0.3">
      <c r="A5490" t="s">
        <v>11502</v>
      </c>
      <c r="B5490" t="s">
        <v>700</v>
      </c>
      <c r="C5490">
        <v>35</v>
      </c>
      <c r="D5490" t="str">
        <f>VLOOKUP(B5490,Products!$A:$E,2,FALSE)</f>
        <v>Product_346</v>
      </c>
      <c r="E5490" t="str">
        <f>VLOOKUP(B5490,Products!$A:$E,3,FALSE)</f>
        <v>Electronics</v>
      </c>
    </row>
    <row r="5491" spans="1:5" x14ac:dyDescent="0.3">
      <c r="A5491" t="s">
        <v>11503</v>
      </c>
      <c r="B5491" t="s">
        <v>426</v>
      </c>
      <c r="C5491">
        <v>24</v>
      </c>
      <c r="D5491" t="str">
        <f>VLOOKUP(B5491,Products!$A:$E,2,FALSE)</f>
        <v>Product_209</v>
      </c>
      <c r="E5491" t="str">
        <f>VLOOKUP(B5491,Products!$A:$E,3,FALSE)</f>
        <v>Networking</v>
      </c>
    </row>
    <row r="5492" spans="1:5" x14ac:dyDescent="0.3">
      <c r="A5492" t="s">
        <v>11504</v>
      </c>
      <c r="B5492" t="s">
        <v>994</v>
      </c>
      <c r="C5492">
        <v>28</v>
      </c>
      <c r="D5492" t="str">
        <f>VLOOKUP(B5492,Products!$A:$E,2,FALSE)</f>
        <v>Product_493</v>
      </c>
      <c r="E5492" t="str">
        <f>VLOOKUP(B5492,Products!$A:$E,3,FALSE)</f>
        <v>Networking</v>
      </c>
    </row>
    <row r="5493" spans="1:5" x14ac:dyDescent="0.3">
      <c r="A5493" t="s">
        <v>11505</v>
      </c>
      <c r="B5493" t="s">
        <v>98</v>
      </c>
      <c r="C5493">
        <v>39</v>
      </c>
      <c r="D5493" t="str">
        <f>VLOOKUP(B5493,Products!$A:$E,2,FALSE)</f>
        <v>Product_45</v>
      </c>
      <c r="E5493" t="str">
        <f>VLOOKUP(B5493,Products!$A:$E,3,FALSE)</f>
        <v>Accessories</v>
      </c>
    </row>
    <row r="5494" spans="1:5" x14ac:dyDescent="0.3">
      <c r="A5494" t="s">
        <v>11506</v>
      </c>
      <c r="B5494" t="s">
        <v>268</v>
      </c>
      <c r="C5494">
        <v>9</v>
      </c>
      <c r="D5494" t="str">
        <f>VLOOKUP(B5494,Products!$A:$E,2,FALSE)</f>
        <v>Product_130</v>
      </c>
      <c r="E5494" t="str">
        <f>VLOOKUP(B5494,Products!$A:$E,3,FALSE)</f>
        <v>Storage</v>
      </c>
    </row>
    <row r="5495" spans="1:5" x14ac:dyDescent="0.3">
      <c r="A5495" t="s">
        <v>11507</v>
      </c>
      <c r="B5495" t="s">
        <v>350</v>
      </c>
      <c r="C5495">
        <v>23</v>
      </c>
      <c r="D5495" t="str">
        <f>VLOOKUP(B5495,Products!$A:$E,2,FALSE)</f>
        <v>Product_171</v>
      </c>
      <c r="E5495" t="str">
        <f>VLOOKUP(B5495,Products!$A:$E,3,FALSE)</f>
        <v>Electronics</v>
      </c>
    </row>
    <row r="5496" spans="1:5" x14ac:dyDescent="0.3">
      <c r="A5496" t="s">
        <v>11508</v>
      </c>
      <c r="B5496" t="s">
        <v>670</v>
      </c>
      <c r="C5496">
        <v>30</v>
      </c>
      <c r="D5496" t="str">
        <f>VLOOKUP(B5496,Products!$A:$E,2,FALSE)</f>
        <v>Product_331</v>
      </c>
      <c r="E5496" t="str">
        <f>VLOOKUP(B5496,Products!$A:$E,3,FALSE)</f>
        <v>Electronics</v>
      </c>
    </row>
    <row r="5497" spans="1:5" x14ac:dyDescent="0.3">
      <c r="A5497" t="s">
        <v>11509</v>
      </c>
      <c r="B5497" t="s">
        <v>470</v>
      </c>
      <c r="C5497">
        <v>49</v>
      </c>
      <c r="D5497" t="str">
        <f>VLOOKUP(B5497,Products!$A:$E,2,FALSE)</f>
        <v>Product_231</v>
      </c>
      <c r="E5497" t="str">
        <f>VLOOKUP(B5497,Products!$A:$E,3,FALSE)</f>
        <v>Accessories</v>
      </c>
    </row>
    <row r="5498" spans="1:5" x14ac:dyDescent="0.3">
      <c r="A5498" t="s">
        <v>11510</v>
      </c>
      <c r="B5498" t="s">
        <v>562</v>
      </c>
      <c r="C5498">
        <v>44</v>
      </c>
      <c r="D5498" t="str">
        <f>VLOOKUP(B5498,Products!$A:$E,2,FALSE)</f>
        <v>Product_277</v>
      </c>
      <c r="E5498" t="str">
        <f>VLOOKUP(B5498,Products!$A:$E,3,FALSE)</f>
        <v>Electronics</v>
      </c>
    </row>
    <row r="5499" spans="1:5" x14ac:dyDescent="0.3">
      <c r="A5499" t="s">
        <v>11511</v>
      </c>
      <c r="B5499" t="s">
        <v>178</v>
      </c>
      <c r="C5499">
        <v>3</v>
      </c>
      <c r="D5499" t="str">
        <f>VLOOKUP(B5499,Products!$A:$E,2,FALSE)</f>
        <v>Product_85</v>
      </c>
      <c r="E5499" t="str">
        <f>VLOOKUP(B5499,Products!$A:$E,3,FALSE)</f>
        <v>Electronics</v>
      </c>
    </row>
    <row r="5500" spans="1:5" x14ac:dyDescent="0.3">
      <c r="A5500" t="s">
        <v>11512</v>
      </c>
      <c r="B5500" t="s">
        <v>360</v>
      </c>
      <c r="C5500">
        <v>33</v>
      </c>
      <c r="D5500" t="str">
        <f>VLOOKUP(B5500,Products!$A:$E,2,FALSE)</f>
        <v>Product_176</v>
      </c>
      <c r="E5500" t="str">
        <f>VLOOKUP(B5500,Products!$A:$E,3,FALSE)</f>
        <v>Electronics</v>
      </c>
    </row>
    <row r="5501" spans="1:5" x14ac:dyDescent="0.3">
      <c r="A5501" t="s">
        <v>11513</v>
      </c>
      <c r="B5501" t="s">
        <v>950</v>
      </c>
      <c r="C5501">
        <v>41</v>
      </c>
      <c r="D5501" t="str">
        <f>VLOOKUP(B5501,Products!$A:$E,2,FALSE)</f>
        <v>Product_471</v>
      </c>
      <c r="E5501" t="str">
        <f>VLOOKUP(B5501,Products!$A:$E,3,FALSE)</f>
        <v>Office Supplies</v>
      </c>
    </row>
    <row r="5502" spans="1:5" x14ac:dyDescent="0.3">
      <c r="A5502" t="s">
        <v>11514</v>
      </c>
      <c r="B5502" t="s">
        <v>158</v>
      </c>
      <c r="C5502">
        <v>39</v>
      </c>
      <c r="D5502" t="str">
        <f>VLOOKUP(B5502,Products!$A:$E,2,FALSE)</f>
        <v>Product_75</v>
      </c>
      <c r="E5502" t="str">
        <f>VLOOKUP(B5502,Products!$A:$E,3,FALSE)</f>
        <v>Storage</v>
      </c>
    </row>
    <row r="5503" spans="1:5" x14ac:dyDescent="0.3">
      <c r="A5503" t="s">
        <v>11515</v>
      </c>
      <c r="B5503" t="s">
        <v>358</v>
      </c>
      <c r="C5503">
        <v>35</v>
      </c>
      <c r="D5503" t="str">
        <f>VLOOKUP(B5503,Products!$A:$E,2,FALSE)</f>
        <v>Product_175</v>
      </c>
      <c r="E5503" t="str">
        <f>VLOOKUP(B5503,Products!$A:$E,3,FALSE)</f>
        <v>Storage</v>
      </c>
    </row>
    <row r="5504" spans="1:5" x14ac:dyDescent="0.3">
      <c r="A5504" t="s">
        <v>11516</v>
      </c>
      <c r="B5504" t="s">
        <v>656</v>
      </c>
      <c r="C5504">
        <v>48</v>
      </c>
      <c r="D5504" t="str">
        <f>VLOOKUP(B5504,Products!$A:$E,2,FALSE)</f>
        <v>Product_324</v>
      </c>
      <c r="E5504" t="str">
        <f>VLOOKUP(B5504,Products!$A:$E,3,FALSE)</f>
        <v>Accessories</v>
      </c>
    </row>
    <row r="5505" spans="1:5" x14ac:dyDescent="0.3">
      <c r="A5505" t="s">
        <v>11517</v>
      </c>
      <c r="B5505" t="s">
        <v>172</v>
      </c>
      <c r="C5505">
        <v>37</v>
      </c>
      <c r="D5505" t="str">
        <f>VLOOKUP(B5505,Products!$A:$E,2,FALSE)</f>
        <v>Product_82</v>
      </c>
      <c r="E5505" t="str">
        <f>VLOOKUP(B5505,Products!$A:$E,3,FALSE)</f>
        <v>Storage</v>
      </c>
    </row>
    <row r="5506" spans="1:5" x14ac:dyDescent="0.3">
      <c r="A5506" t="s">
        <v>11518</v>
      </c>
      <c r="B5506" t="s">
        <v>152</v>
      </c>
      <c r="C5506">
        <v>14</v>
      </c>
      <c r="D5506" t="str">
        <f>VLOOKUP(B5506,Products!$A:$E,2,FALSE)</f>
        <v>Product_72</v>
      </c>
      <c r="E5506" t="str">
        <f>VLOOKUP(B5506,Products!$A:$E,3,FALSE)</f>
        <v>Networking</v>
      </c>
    </row>
    <row r="5507" spans="1:5" x14ac:dyDescent="0.3">
      <c r="A5507" t="s">
        <v>11519</v>
      </c>
      <c r="B5507" t="s">
        <v>854</v>
      </c>
      <c r="C5507">
        <v>45</v>
      </c>
      <c r="D5507" t="str">
        <f>VLOOKUP(B5507,Products!$A:$E,2,FALSE)</f>
        <v>Product_423</v>
      </c>
      <c r="E5507" t="str">
        <f>VLOOKUP(B5507,Products!$A:$E,3,FALSE)</f>
        <v>Office Supplies</v>
      </c>
    </row>
    <row r="5508" spans="1:5" x14ac:dyDescent="0.3">
      <c r="A5508" t="s">
        <v>11520</v>
      </c>
      <c r="B5508" t="s">
        <v>414</v>
      </c>
      <c r="C5508">
        <v>6</v>
      </c>
      <c r="D5508" t="str">
        <f>VLOOKUP(B5508,Products!$A:$E,2,FALSE)</f>
        <v>Product_203</v>
      </c>
      <c r="E5508" t="str">
        <f>VLOOKUP(B5508,Products!$A:$E,3,FALSE)</f>
        <v>Accessories</v>
      </c>
    </row>
    <row r="5509" spans="1:5" x14ac:dyDescent="0.3">
      <c r="A5509" t="s">
        <v>11521</v>
      </c>
      <c r="B5509" t="s">
        <v>852</v>
      </c>
      <c r="C5509">
        <v>27</v>
      </c>
      <c r="D5509" t="str">
        <f>VLOOKUP(B5509,Products!$A:$E,2,FALSE)</f>
        <v>Product_422</v>
      </c>
      <c r="E5509" t="str">
        <f>VLOOKUP(B5509,Products!$A:$E,3,FALSE)</f>
        <v>Accessories</v>
      </c>
    </row>
    <row r="5510" spans="1:5" x14ac:dyDescent="0.3">
      <c r="A5510" t="s">
        <v>11522</v>
      </c>
      <c r="B5510" t="s">
        <v>910</v>
      </c>
      <c r="C5510">
        <v>8</v>
      </c>
      <c r="D5510" t="str">
        <f>VLOOKUP(B5510,Products!$A:$E,2,FALSE)</f>
        <v>Product_451</v>
      </c>
      <c r="E5510" t="str">
        <f>VLOOKUP(B5510,Products!$A:$E,3,FALSE)</f>
        <v>Accessories</v>
      </c>
    </row>
    <row r="5511" spans="1:5" x14ac:dyDescent="0.3">
      <c r="A5511" t="s">
        <v>11523</v>
      </c>
      <c r="B5511" t="s">
        <v>522</v>
      </c>
      <c r="C5511">
        <v>35</v>
      </c>
      <c r="D5511" t="str">
        <f>VLOOKUP(B5511,Products!$A:$E,2,FALSE)</f>
        <v>Product_257</v>
      </c>
      <c r="E5511" t="str">
        <f>VLOOKUP(B5511,Products!$A:$E,3,FALSE)</f>
        <v>Networking</v>
      </c>
    </row>
    <row r="5512" spans="1:5" x14ac:dyDescent="0.3">
      <c r="A5512" t="s">
        <v>11524</v>
      </c>
      <c r="B5512" t="s">
        <v>52</v>
      </c>
      <c r="C5512">
        <v>34</v>
      </c>
      <c r="D5512" t="str">
        <f>VLOOKUP(B5512,Products!$A:$E,2,FALSE)</f>
        <v>Product_22</v>
      </c>
      <c r="E5512" t="str">
        <f>VLOOKUP(B5512,Products!$A:$E,3,FALSE)</f>
        <v>Electronics</v>
      </c>
    </row>
    <row r="5513" spans="1:5" x14ac:dyDescent="0.3">
      <c r="A5513" t="s">
        <v>11525</v>
      </c>
      <c r="B5513" t="s">
        <v>116</v>
      </c>
      <c r="C5513">
        <v>37</v>
      </c>
      <c r="D5513" t="str">
        <f>VLOOKUP(B5513,Products!$A:$E,2,FALSE)</f>
        <v>Product_54</v>
      </c>
      <c r="E5513" t="str">
        <f>VLOOKUP(B5513,Products!$A:$E,3,FALSE)</f>
        <v>Storage</v>
      </c>
    </row>
    <row r="5514" spans="1:5" x14ac:dyDescent="0.3">
      <c r="A5514" t="s">
        <v>11526</v>
      </c>
      <c r="B5514" t="s">
        <v>11</v>
      </c>
      <c r="C5514">
        <v>17</v>
      </c>
      <c r="D5514" t="str">
        <f>VLOOKUP(B5514,Products!$A:$E,2,FALSE)</f>
        <v>Product_3</v>
      </c>
      <c r="E5514" t="str">
        <f>VLOOKUP(B5514,Products!$A:$E,3,FALSE)</f>
        <v>Accessories</v>
      </c>
    </row>
    <row r="5515" spans="1:5" x14ac:dyDescent="0.3">
      <c r="A5515" t="s">
        <v>11527</v>
      </c>
      <c r="B5515" t="s">
        <v>966</v>
      </c>
      <c r="C5515">
        <v>36</v>
      </c>
      <c r="D5515" t="str">
        <f>VLOOKUP(B5515,Products!$A:$E,2,FALSE)</f>
        <v>Product_479</v>
      </c>
      <c r="E5515" t="str">
        <f>VLOOKUP(B5515,Products!$A:$E,3,FALSE)</f>
        <v>Office Supplies</v>
      </c>
    </row>
    <row r="5516" spans="1:5" x14ac:dyDescent="0.3">
      <c r="A5516" t="s">
        <v>11528</v>
      </c>
      <c r="B5516" t="s">
        <v>690</v>
      </c>
      <c r="C5516">
        <v>11</v>
      </c>
      <c r="D5516" t="str">
        <f>VLOOKUP(B5516,Products!$A:$E,2,FALSE)</f>
        <v>Product_341</v>
      </c>
      <c r="E5516" t="str">
        <f>VLOOKUP(B5516,Products!$A:$E,3,FALSE)</f>
        <v>Storage</v>
      </c>
    </row>
    <row r="5517" spans="1:5" x14ac:dyDescent="0.3">
      <c r="A5517" t="s">
        <v>11529</v>
      </c>
      <c r="B5517" t="s">
        <v>766</v>
      </c>
      <c r="C5517">
        <v>15</v>
      </c>
      <c r="D5517" t="str">
        <f>VLOOKUP(B5517,Products!$A:$E,2,FALSE)</f>
        <v>Product_379</v>
      </c>
      <c r="E5517" t="str">
        <f>VLOOKUP(B5517,Products!$A:$E,3,FALSE)</f>
        <v>Office Supplies</v>
      </c>
    </row>
    <row r="5518" spans="1:5" x14ac:dyDescent="0.3">
      <c r="A5518" t="s">
        <v>11530</v>
      </c>
      <c r="B5518" t="s">
        <v>710</v>
      </c>
      <c r="C5518">
        <v>46</v>
      </c>
      <c r="D5518" t="str">
        <f>VLOOKUP(B5518,Products!$A:$E,2,FALSE)</f>
        <v>Product_351</v>
      </c>
      <c r="E5518" t="str">
        <f>VLOOKUP(B5518,Products!$A:$E,3,FALSE)</f>
        <v>Accessories</v>
      </c>
    </row>
    <row r="5519" spans="1:5" x14ac:dyDescent="0.3">
      <c r="A5519" t="s">
        <v>11531</v>
      </c>
      <c r="B5519" t="s">
        <v>816</v>
      </c>
      <c r="C5519">
        <v>22</v>
      </c>
      <c r="D5519" t="str">
        <f>VLOOKUP(B5519,Products!$A:$E,2,FALSE)</f>
        <v>Product_404</v>
      </c>
      <c r="E5519" t="str">
        <f>VLOOKUP(B5519,Products!$A:$E,3,FALSE)</f>
        <v>Storage</v>
      </c>
    </row>
    <row r="5520" spans="1:5" x14ac:dyDescent="0.3">
      <c r="A5520" t="s">
        <v>11532</v>
      </c>
      <c r="B5520" t="s">
        <v>510</v>
      </c>
      <c r="C5520">
        <v>8</v>
      </c>
      <c r="D5520" t="str">
        <f>VLOOKUP(B5520,Products!$A:$E,2,FALSE)</f>
        <v>Product_251</v>
      </c>
      <c r="E5520" t="str">
        <f>VLOOKUP(B5520,Products!$A:$E,3,FALSE)</f>
        <v>Electronics</v>
      </c>
    </row>
    <row r="5521" spans="1:5" x14ac:dyDescent="0.3">
      <c r="A5521" t="s">
        <v>11533</v>
      </c>
      <c r="B5521" t="s">
        <v>342</v>
      </c>
      <c r="C5521">
        <v>47</v>
      </c>
      <c r="D5521" t="str">
        <f>VLOOKUP(B5521,Products!$A:$E,2,FALSE)</f>
        <v>Product_167</v>
      </c>
      <c r="E5521" t="str">
        <f>VLOOKUP(B5521,Products!$A:$E,3,FALSE)</f>
        <v>Electronics</v>
      </c>
    </row>
    <row r="5522" spans="1:5" x14ac:dyDescent="0.3">
      <c r="A5522" t="s">
        <v>11534</v>
      </c>
      <c r="B5522" t="s">
        <v>866</v>
      </c>
      <c r="C5522">
        <v>24</v>
      </c>
      <c r="D5522" t="str">
        <f>VLOOKUP(B5522,Products!$A:$E,2,FALSE)</f>
        <v>Product_429</v>
      </c>
      <c r="E5522" t="str">
        <f>VLOOKUP(B5522,Products!$A:$E,3,FALSE)</f>
        <v>Office Supplies</v>
      </c>
    </row>
    <row r="5523" spans="1:5" x14ac:dyDescent="0.3">
      <c r="A5523" t="s">
        <v>11535</v>
      </c>
      <c r="B5523" t="s">
        <v>570</v>
      </c>
      <c r="C5523">
        <v>26</v>
      </c>
      <c r="D5523" t="str">
        <f>VLOOKUP(B5523,Products!$A:$E,2,FALSE)</f>
        <v>Product_281</v>
      </c>
      <c r="E5523" t="str">
        <f>VLOOKUP(B5523,Products!$A:$E,3,FALSE)</f>
        <v>Office Supplies</v>
      </c>
    </row>
    <row r="5524" spans="1:5" x14ac:dyDescent="0.3">
      <c r="A5524" t="s">
        <v>11536</v>
      </c>
      <c r="B5524" t="s">
        <v>544</v>
      </c>
      <c r="C5524">
        <v>43</v>
      </c>
      <c r="D5524" t="str">
        <f>VLOOKUP(B5524,Products!$A:$E,2,FALSE)</f>
        <v>Product_268</v>
      </c>
      <c r="E5524" t="str">
        <f>VLOOKUP(B5524,Products!$A:$E,3,FALSE)</f>
        <v>Office Supplies</v>
      </c>
    </row>
    <row r="5525" spans="1:5" x14ac:dyDescent="0.3">
      <c r="A5525" t="s">
        <v>11537</v>
      </c>
      <c r="B5525" t="s">
        <v>848</v>
      </c>
      <c r="C5525">
        <v>26</v>
      </c>
      <c r="D5525" t="str">
        <f>VLOOKUP(B5525,Products!$A:$E,2,FALSE)</f>
        <v>Product_420</v>
      </c>
      <c r="E5525" t="str">
        <f>VLOOKUP(B5525,Products!$A:$E,3,FALSE)</f>
        <v>Networking</v>
      </c>
    </row>
    <row r="5526" spans="1:5" x14ac:dyDescent="0.3">
      <c r="A5526" t="s">
        <v>11538</v>
      </c>
      <c r="B5526" t="s">
        <v>234</v>
      </c>
      <c r="C5526">
        <v>37</v>
      </c>
      <c r="D5526" t="str">
        <f>VLOOKUP(B5526,Products!$A:$E,2,FALSE)</f>
        <v>Product_113</v>
      </c>
      <c r="E5526" t="str">
        <f>VLOOKUP(B5526,Products!$A:$E,3,FALSE)</f>
        <v>Electronics</v>
      </c>
    </row>
    <row r="5527" spans="1:5" x14ac:dyDescent="0.3">
      <c r="A5527" t="s">
        <v>11539</v>
      </c>
      <c r="B5527" t="s">
        <v>368</v>
      </c>
      <c r="C5527">
        <v>48</v>
      </c>
      <c r="D5527" t="str">
        <f>VLOOKUP(B5527,Products!$A:$E,2,FALSE)</f>
        <v>Product_180</v>
      </c>
      <c r="E5527" t="str">
        <f>VLOOKUP(B5527,Products!$A:$E,3,FALSE)</f>
        <v>Office Supplies</v>
      </c>
    </row>
    <row r="5528" spans="1:5" x14ac:dyDescent="0.3">
      <c r="A5528" t="s">
        <v>11540</v>
      </c>
      <c r="B5528" t="s">
        <v>426</v>
      </c>
      <c r="C5528">
        <v>45</v>
      </c>
      <c r="D5528" t="str">
        <f>VLOOKUP(B5528,Products!$A:$E,2,FALSE)</f>
        <v>Product_209</v>
      </c>
      <c r="E5528" t="str">
        <f>VLOOKUP(B5528,Products!$A:$E,3,FALSE)</f>
        <v>Networking</v>
      </c>
    </row>
    <row r="5529" spans="1:5" x14ac:dyDescent="0.3">
      <c r="A5529" t="s">
        <v>11541</v>
      </c>
      <c r="B5529" t="s">
        <v>778</v>
      </c>
      <c r="C5529">
        <v>7</v>
      </c>
      <c r="D5529" t="str">
        <f>VLOOKUP(B5529,Products!$A:$E,2,FALSE)</f>
        <v>Product_385</v>
      </c>
      <c r="E5529" t="str">
        <f>VLOOKUP(B5529,Products!$A:$E,3,FALSE)</f>
        <v>Networking</v>
      </c>
    </row>
    <row r="5530" spans="1:5" x14ac:dyDescent="0.3">
      <c r="A5530" t="s">
        <v>11542</v>
      </c>
      <c r="B5530" t="s">
        <v>240</v>
      </c>
      <c r="C5530">
        <v>41</v>
      </c>
      <c r="D5530" t="str">
        <f>VLOOKUP(B5530,Products!$A:$E,2,FALSE)</f>
        <v>Product_116</v>
      </c>
      <c r="E5530" t="str">
        <f>VLOOKUP(B5530,Products!$A:$E,3,FALSE)</f>
        <v>Storage</v>
      </c>
    </row>
    <row r="5531" spans="1:5" x14ac:dyDescent="0.3">
      <c r="A5531" t="s">
        <v>11543</v>
      </c>
      <c r="B5531" t="s">
        <v>668</v>
      </c>
      <c r="C5531">
        <v>30</v>
      </c>
      <c r="D5531" t="str">
        <f>VLOOKUP(B5531,Products!$A:$E,2,FALSE)</f>
        <v>Product_330</v>
      </c>
      <c r="E5531" t="str">
        <f>VLOOKUP(B5531,Products!$A:$E,3,FALSE)</f>
        <v>Electronics</v>
      </c>
    </row>
    <row r="5532" spans="1:5" x14ac:dyDescent="0.3">
      <c r="A5532" t="s">
        <v>11544</v>
      </c>
      <c r="B5532" t="s">
        <v>168</v>
      </c>
      <c r="C5532">
        <v>45</v>
      </c>
      <c r="D5532" t="str">
        <f>VLOOKUP(B5532,Products!$A:$E,2,FALSE)</f>
        <v>Product_80</v>
      </c>
      <c r="E5532" t="str">
        <f>VLOOKUP(B5532,Products!$A:$E,3,FALSE)</f>
        <v>Accessories</v>
      </c>
    </row>
    <row r="5533" spans="1:5" x14ac:dyDescent="0.3">
      <c r="A5533" t="s">
        <v>11545</v>
      </c>
      <c r="B5533" t="s">
        <v>926</v>
      </c>
      <c r="C5533">
        <v>49</v>
      </c>
      <c r="D5533" t="str">
        <f>VLOOKUP(B5533,Products!$A:$E,2,FALSE)</f>
        <v>Product_459</v>
      </c>
      <c r="E5533" t="str">
        <f>VLOOKUP(B5533,Products!$A:$E,3,FALSE)</f>
        <v>Office Supplies</v>
      </c>
    </row>
    <row r="5534" spans="1:5" x14ac:dyDescent="0.3">
      <c r="A5534" t="s">
        <v>11546</v>
      </c>
      <c r="B5534" t="s">
        <v>202</v>
      </c>
      <c r="C5534">
        <v>46</v>
      </c>
      <c r="D5534" t="str">
        <f>VLOOKUP(B5534,Products!$A:$E,2,FALSE)</f>
        <v>Product_97</v>
      </c>
      <c r="E5534" t="str">
        <f>VLOOKUP(B5534,Products!$A:$E,3,FALSE)</f>
        <v>Accessories</v>
      </c>
    </row>
    <row r="5535" spans="1:5" x14ac:dyDescent="0.3">
      <c r="A5535" t="s">
        <v>11547</v>
      </c>
      <c r="B5535" t="s">
        <v>5</v>
      </c>
      <c r="C5535">
        <v>33</v>
      </c>
      <c r="D5535" t="str">
        <f>VLOOKUP(B5535,Products!$A:$E,2,FALSE)</f>
        <v>Product_1</v>
      </c>
      <c r="E5535" t="str">
        <f>VLOOKUP(B5535,Products!$A:$E,3,FALSE)</f>
        <v>Electronics</v>
      </c>
    </row>
    <row r="5536" spans="1:5" x14ac:dyDescent="0.3">
      <c r="A5536" t="s">
        <v>11548</v>
      </c>
      <c r="B5536" t="s">
        <v>828</v>
      </c>
      <c r="C5536">
        <v>7</v>
      </c>
      <c r="D5536" t="str">
        <f>VLOOKUP(B5536,Products!$A:$E,2,FALSE)</f>
        <v>Product_410</v>
      </c>
      <c r="E5536" t="str">
        <f>VLOOKUP(B5536,Products!$A:$E,3,FALSE)</f>
        <v>Storage</v>
      </c>
    </row>
    <row r="5537" spans="1:5" x14ac:dyDescent="0.3">
      <c r="A5537" t="s">
        <v>11549</v>
      </c>
      <c r="B5537" t="s">
        <v>516</v>
      </c>
      <c r="C5537">
        <v>10</v>
      </c>
      <c r="D5537" t="str">
        <f>VLOOKUP(B5537,Products!$A:$E,2,FALSE)</f>
        <v>Product_254</v>
      </c>
      <c r="E5537" t="str">
        <f>VLOOKUP(B5537,Products!$A:$E,3,FALSE)</f>
        <v>Office Supplies</v>
      </c>
    </row>
    <row r="5538" spans="1:5" x14ac:dyDescent="0.3">
      <c r="A5538" t="s">
        <v>11550</v>
      </c>
      <c r="B5538" t="s">
        <v>946</v>
      </c>
      <c r="C5538">
        <v>5</v>
      </c>
      <c r="D5538" t="str">
        <f>VLOOKUP(B5538,Products!$A:$E,2,FALSE)</f>
        <v>Product_469</v>
      </c>
      <c r="E5538" t="str">
        <f>VLOOKUP(B5538,Products!$A:$E,3,FALSE)</f>
        <v>Office Supplies</v>
      </c>
    </row>
    <row r="5539" spans="1:5" x14ac:dyDescent="0.3">
      <c r="A5539" t="s">
        <v>11551</v>
      </c>
      <c r="B5539" t="s">
        <v>720</v>
      </c>
      <c r="C5539">
        <v>20</v>
      </c>
      <c r="D5539" t="str">
        <f>VLOOKUP(B5539,Products!$A:$E,2,FALSE)</f>
        <v>Product_356</v>
      </c>
      <c r="E5539" t="str">
        <f>VLOOKUP(B5539,Products!$A:$E,3,FALSE)</f>
        <v>Accessories</v>
      </c>
    </row>
    <row r="5540" spans="1:5" x14ac:dyDescent="0.3">
      <c r="A5540" t="s">
        <v>11552</v>
      </c>
      <c r="B5540" t="s">
        <v>256</v>
      </c>
      <c r="C5540">
        <v>49</v>
      </c>
      <c r="D5540" t="str">
        <f>VLOOKUP(B5540,Products!$A:$E,2,FALSE)</f>
        <v>Product_124</v>
      </c>
      <c r="E5540" t="str">
        <f>VLOOKUP(B5540,Products!$A:$E,3,FALSE)</f>
        <v>Storage</v>
      </c>
    </row>
    <row r="5541" spans="1:5" x14ac:dyDescent="0.3">
      <c r="A5541" t="s">
        <v>11553</v>
      </c>
      <c r="B5541" t="s">
        <v>424</v>
      </c>
      <c r="C5541">
        <v>20</v>
      </c>
      <c r="D5541" t="str">
        <f>VLOOKUP(B5541,Products!$A:$E,2,FALSE)</f>
        <v>Product_208</v>
      </c>
      <c r="E5541" t="str">
        <f>VLOOKUP(B5541,Products!$A:$E,3,FALSE)</f>
        <v>Electronics</v>
      </c>
    </row>
    <row r="5542" spans="1:5" x14ac:dyDescent="0.3">
      <c r="A5542" t="s">
        <v>11554</v>
      </c>
      <c r="B5542" t="s">
        <v>854</v>
      </c>
      <c r="C5542">
        <v>14</v>
      </c>
      <c r="D5542" t="str">
        <f>VLOOKUP(B5542,Products!$A:$E,2,FALSE)</f>
        <v>Product_423</v>
      </c>
      <c r="E5542" t="str">
        <f>VLOOKUP(B5542,Products!$A:$E,3,FALSE)</f>
        <v>Office Supplies</v>
      </c>
    </row>
    <row r="5543" spans="1:5" x14ac:dyDescent="0.3">
      <c r="A5543" t="s">
        <v>11555</v>
      </c>
      <c r="B5543" t="s">
        <v>564</v>
      </c>
      <c r="C5543">
        <v>41</v>
      </c>
      <c r="D5543" t="str">
        <f>VLOOKUP(B5543,Products!$A:$E,2,FALSE)</f>
        <v>Product_278</v>
      </c>
      <c r="E5543" t="str">
        <f>VLOOKUP(B5543,Products!$A:$E,3,FALSE)</f>
        <v>Electronics</v>
      </c>
    </row>
    <row r="5544" spans="1:5" x14ac:dyDescent="0.3">
      <c r="A5544" t="s">
        <v>11556</v>
      </c>
      <c r="B5544" t="s">
        <v>108</v>
      </c>
      <c r="C5544">
        <v>13</v>
      </c>
      <c r="D5544" t="str">
        <f>VLOOKUP(B5544,Products!$A:$E,2,FALSE)</f>
        <v>Product_50</v>
      </c>
      <c r="E5544" t="str">
        <f>VLOOKUP(B5544,Products!$A:$E,3,FALSE)</f>
        <v>Networking</v>
      </c>
    </row>
    <row r="5545" spans="1:5" x14ac:dyDescent="0.3">
      <c r="A5545" t="s">
        <v>11557</v>
      </c>
      <c r="B5545" t="s">
        <v>34</v>
      </c>
      <c r="C5545">
        <v>2</v>
      </c>
      <c r="D5545" t="str">
        <f>VLOOKUP(B5545,Products!$A:$E,2,FALSE)</f>
        <v>Product_13</v>
      </c>
      <c r="E5545" t="str">
        <f>VLOOKUP(B5545,Products!$A:$E,3,FALSE)</f>
        <v>Office Supplies</v>
      </c>
    </row>
    <row r="5546" spans="1:5" x14ac:dyDescent="0.3">
      <c r="A5546" t="s">
        <v>11558</v>
      </c>
      <c r="B5546" t="s">
        <v>40</v>
      </c>
      <c r="C5546">
        <v>19</v>
      </c>
      <c r="D5546" t="str">
        <f>VLOOKUP(B5546,Products!$A:$E,2,FALSE)</f>
        <v>Product_16</v>
      </c>
      <c r="E5546" t="str">
        <f>VLOOKUP(B5546,Products!$A:$E,3,FALSE)</f>
        <v>Office Supplies</v>
      </c>
    </row>
    <row r="5547" spans="1:5" x14ac:dyDescent="0.3">
      <c r="A5547" t="s">
        <v>11559</v>
      </c>
      <c r="B5547" t="s">
        <v>132</v>
      </c>
      <c r="C5547">
        <v>14</v>
      </c>
      <c r="D5547" t="str">
        <f>VLOOKUP(B5547,Products!$A:$E,2,FALSE)</f>
        <v>Product_62</v>
      </c>
      <c r="E5547" t="str">
        <f>VLOOKUP(B5547,Products!$A:$E,3,FALSE)</f>
        <v>Accessories</v>
      </c>
    </row>
    <row r="5548" spans="1:5" x14ac:dyDescent="0.3">
      <c r="A5548" t="s">
        <v>11560</v>
      </c>
      <c r="B5548" t="s">
        <v>200</v>
      </c>
      <c r="C5548">
        <v>50</v>
      </c>
      <c r="D5548" t="str">
        <f>VLOOKUP(B5548,Products!$A:$E,2,FALSE)</f>
        <v>Product_96</v>
      </c>
      <c r="E5548" t="str">
        <f>VLOOKUP(B5548,Products!$A:$E,3,FALSE)</f>
        <v>Office Supplies</v>
      </c>
    </row>
    <row r="5549" spans="1:5" x14ac:dyDescent="0.3">
      <c r="A5549" t="s">
        <v>11561</v>
      </c>
      <c r="B5549" t="s">
        <v>706</v>
      </c>
      <c r="C5549">
        <v>5</v>
      </c>
      <c r="D5549" t="str">
        <f>VLOOKUP(B5549,Products!$A:$E,2,FALSE)</f>
        <v>Product_349</v>
      </c>
      <c r="E5549" t="str">
        <f>VLOOKUP(B5549,Products!$A:$E,3,FALSE)</f>
        <v>Office Supplies</v>
      </c>
    </row>
    <row r="5550" spans="1:5" x14ac:dyDescent="0.3">
      <c r="A5550" t="s">
        <v>11562</v>
      </c>
      <c r="B5550" t="s">
        <v>78</v>
      </c>
      <c r="C5550">
        <v>17</v>
      </c>
      <c r="D5550" t="str">
        <f>VLOOKUP(B5550,Products!$A:$E,2,FALSE)</f>
        <v>Product_35</v>
      </c>
      <c r="E5550" t="str">
        <f>VLOOKUP(B5550,Products!$A:$E,3,FALSE)</f>
        <v>Electronics</v>
      </c>
    </row>
    <row r="5551" spans="1:5" x14ac:dyDescent="0.3">
      <c r="A5551" t="s">
        <v>11563</v>
      </c>
      <c r="B5551" t="s">
        <v>472</v>
      </c>
      <c r="C5551">
        <v>8</v>
      </c>
      <c r="D5551" t="str">
        <f>VLOOKUP(B5551,Products!$A:$E,2,FALSE)</f>
        <v>Product_232</v>
      </c>
      <c r="E5551" t="str">
        <f>VLOOKUP(B5551,Products!$A:$E,3,FALSE)</f>
        <v>Office Supplies</v>
      </c>
    </row>
    <row r="5552" spans="1:5" x14ac:dyDescent="0.3">
      <c r="A5552" t="s">
        <v>11564</v>
      </c>
      <c r="B5552" t="s">
        <v>442</v>
      </c>
      <c r="C5552">
        <v>23</v>
      </c>
      <c r="D5552" t="str">
        <f>VLOOKUP(B5552,Products!$A:$E,2,FALSE)</f>
        <v>Product_217</v>
      </c>
      <c r="E5552" t="str">
        <f>VLOOKUP(B5552,Products!$A:$E,3,FALSE)</f>
        <v>Networking</v>
      </c>
    </row>
    <row r="5553" spans="1:5" x14ac:dyDescent="0.3">
      <c r="A5553" t="s">
        <v>11565</v>
      </c>
      <c r="B5553" t="s">
        <v>686</v>
      </c>
      <c r="C5553">
        <v>26</v>
      </c>
      <c r="D5553" t="str">
        <f>VLOOKUP(B5553,Products!$A:$E,2,FALSE)</f>
        <v>Product_339</v>
      </c>
      <c r="E5553" t="str">
        <f>VLOOKUP(B5553,Products!$A:$E,3,FALSE)</f>
        <v>Storage</v>
      </c>
    </row>
    <row r="5554" spans="1:5" x14ac:dyDescent="0.3">
      <c r="A5554" t="s">
        <v>11566</v>
      </c>
      <c r="B5554" t="s">
        <v>20</v>
      </c>
      <c r="C5554">
        <v>45</v>
      </c>
      <c r="D5554" t="str">
        <f>VLOOKUP(B5554,Products!$A:$E,2,FALSE)</f>
        <v>Product_6</v>
      </c>
      <c r="E5554" t="str">
        <f>VLOOKUP(B5554,Products!$A:$E,3,FALSE)</f>
        <v>Electronics</v>
      </c>
    </row>
    <row r="5555" spans="1:5" x14ac:dyDescent="0.3">
      <c r="A5555" t="s">
        <v>11567</v>
      </c>
      <c r="B5555" t="s">
        <v>620</v>
      </c>
      <c r="C5555">
        <v>20</v>
      </c>
      <c r="D5555" t="str">
        <f>VLOOKUP(B5555,Products!$A:$E,2,FALSE)</f>
        <v>Product_306</v>
      </c>
      <c r="E5555" t="str">
        <f>VLOOKUP(B5555,Products!$A:$E,3,FALSE)</f>
        <v>Accessories</v>
      </c>
    </row>
    <row r="5556" spans="1:5" x14ac:dyDescent="0.3">
      <c r="A5556" t="s">
        <v>11568</v>
      </c>
      <c r="B5556" t="s">
        <v>360</v>
      </c>
      <c r="C5556">
        <v>25</v>
      </c>
      <c r="D5556" t="str">
        <f>VLOOKUP(B5556,Products!$A:$E,2,FALSE)</f>
        <v>Product_176</v>
      </c>
      <c r="E5556" t="str">
        <f>VLOOKUP(B5556,Products!$A:$E,3,FALSE)</f>
        <v>Electronics</v>
      </c>
    </row>
    <row r="5557" spans="1:5" x14ac:dyDescent="0.3">
      <c r="A5557" t="s">
        <v>11569</v>
      </c>
      <c r="B5557" t="s">
        <v>392</v>
      </c>
      <c r="C5557">
        <v>14</v>
      </c>
      <c r="D5557" t="str">
        <f>VLOOKUP(B5557,Products!$A:$E,2,FALSE)</f>
        <v>Product_192</v>
      </c>
      <c r="E5557" t="str">
        <f>VLOOKUP(B5557,Products!$A:$E,3,FALSE)</f>
        <v>Office Supplies</v>
      </c>
    </row>
    <row r="5558" spans="1:5" x14ac:dyDescent="0.3">
      <c r="A5558" t="s">
        <v>11570</v>
      </c>
      <c r="B5558" t="s">
        <v>320</v>
      </c>
      <c r="C5558">
        <v>28</v>
      </c>
      <c r="D5558" t="str">
        <f>VLOOKUP(B5558,Products!$A:$E,2,FALSE)</f>
        <v>Product_156</v>
      </c>
      <c r="E5558" t="str">
        <f>VLOOKUP(B5558,Products!$A:$E,3,FALSE)</f>
        <v>Accessories</v>
      </c>
    </row>
    <row r="5559" spans="1:5" x14ac:dyDescent="0.3">
      <c r="A5559" t="s">
        <v>11571</v>
      </c>
      <c r="B5559" t="s">
        <v>644</v>
      </c>
      <c r="C5559">
        <v>38</v>
      </c>
      <c r="D5559" t="str">
        <f>VLOOKUP(B5559,Products!$A:$E,2,FALSE)</f>
        <v>Product_318</v>
      </c>
      <c r="E5559" t="str">
        <f>VLOOKUP(B5559,Products!$A:$E,3,FALSE)</f>
        <v>Storage</v>
      </c>
    </row>
    <row r="5560" spans="1:5" x14ac:dyDescent="0.3">
      <c r="A5560" t="s">
        <v>11572</v>
      </c>
      <c r="B5560" t="s">
        <v>950</v>
      </c>
      <c r="C5560">
        <v>31</v>
      </c>
      <c r="D5560" t="str">
        <f>VLOOKUP(B5560,Products!$A:$E,2,FALSE)</f>
        <v>Product_471</v>
      </c>
      <c r="E5560" t="str">
        <f>VLOOKUP(B5560,Products!$A:$E,3,FALSE)</f>
        <v>Office Supplies</v>
      </c>
    </row>
    <row r="5561" spans="1:5" x14ac:dyDescent="0.3">
      <c r="A5561" t="s">
        <v>11573</v>
      </c>
      <c r="B5561" t="s">
        <v>660</v>
      </c>
      <c r="C5561">
        <v>40</v>
      </c>
      <c r="D5561" t="str">
        <f>VLOOKUP(B5561,Products!$A:$E,2,FALSE)</f>
        <v>Product_326</v>
      </c>
      <c r="E5561" t="str">
        <f>VLOOKUP(B5561,Products!$A:$E,3,FALSE)</f>
        <v>Electronics</v>
      </c>
    </row>
    <row r="5562" spans="1:5" x14ac:dyDescent="0.3">
      <c r="A5562" t="s">
        <v>11574</v>
      </c>
      <c r="B5562" t="s">
        <v>616</v>
      </c>
      <c r="C5562">
        <v>3</v>
      </c>
      <c r="D5562" t="str">
        <f>VLOOKUP(B5562,Products!$A:$E,2,FALSE)</f>
        <v>Product_304</v>
      </c>
      <c r="E5562" t="str">
        <f>VLOOKUP(B5562,Products!$A:$E,3,FALSE)</f>
        <v>Electronics</v>
      </c>
    </row>
    <row r="5563" spans="1:5" x14ac:dyDescent="0.3">
      <c r="A5563" t="s">
        <v>11575</v>
      </c>
      <c r="B5563" t="s">
        <v>704</v>
      </c>
      <c r="C5563">
        <v>32</v>
      </c>
      <c r="D5563" t="str">
        <f>VLOOKUP(B5563,Products!$A:$E,2,FALSE)</f>
        <v>Product_348</v>
      </c>
      <c r="E5563" t="str">
        <f>VLOOKUP(B5563,Products!$A:$E,3,FALSE)</f>
        <v>Electronics</v>
      </c>
    </row>
    <row r="5564" spans="1:5" x14ac:dyDescent="0.3">
      <c r="A5564" t="s">
        <v>11576</v>
      </c>
      <c r="B5564" t="s">
        <v>42</v>
      </c>
      <c r="C5564">
        <v>32</v>
      </c>
      <c r="D5564" t="str">
        <f>VLOOKUP(B5564,Products!$A:$E,2,FALSE)</f>
        <v>Product_17</v>
      </c>
      <c r="E5564" t="str">
        <f>VLOOKUP(B5564,Products!$A:$E,3,FALSE)</f>
        <v>Office Supplies</v>
      </c>
    </row>
    <row r="5565" spans="1:5" x14ac:dyDescent="0.3">
      <c r="A5565" t="s">
        <v>11577</v>
      </c>
      <c r="B5565" t="s">
        <v>336</v>
      </c>
      <c r="C5565">
        <v>23</v>
      </c>
      <c r="D5565" t="str">
        <f>VLOOKUP(B5565,Products!$A:$E,2,FALSE)</f>
        <v>Product_164</v>
      </c>
      <c r="E5565" t="str">
        <f>VLOOKUP(B5565,Products!$A:$E,3,FALSE)</f>
        <v>Networking</v>
      </c>
    </row>
    <row r="5566" spans="1:5" x14ac:dyDescent="0.3">
      <c r="A5566" t="s">
        <v>11578</v>
      </c>
      <c r="B5566" t="s">
        <v>40</v>
      </c>
      <c r="C5566">
        <v>17</v>
      </c>
      <c r="D5566" t="str">
        <f>VLOOKUP(B5566,Products!$A:$E,2,FALSE)</f>
        <v>Product_16</v>
      </c>
      <c r="E5566" t="str">
        <f>VLOOKUP(B5566,Products!$A:$E,3,FALSE)</f>
        <v>Office Supplies</v>
      </c>
    </row>
    <row r="5567" spans="1:5" x14ac:dyDescent="0.3">
      <c r="A5567" t="s">
        <v>11579</v>
      </c>
      <c r="B5567" t="s">
        <v>726</v>
      </c>
      <c r="C5567">
        <v>31</v>
      </c>
      <c r="D5567" t="str">
        <f>VLOOKUP(B5567,Products!$A:$E,2,FALSE)</f>
        <v>Product_359</v>
      </c>
      <c r="E5567" t="str">
        <f>VLOOKUP(B5567,Products!$A:$E,3,FALSE)</f>
        <v>Electronics</v>
      </c>
    </row>
    <row r="5568" spans="1:5" x14ac:dyDescent="0.3">
      <c r="A5568" t="s">
        <v>11580</v>
      </c>
      <c r="B5568" t="s">
        <v>890</v>
      </c>
      <c r="C5568">
        <v>25</v>
      </c>
      <c r="D5568" t="str">
        <f>VLOOKUP(B5568,Products!$A:$E,2,FALSE)</f>
        <v>Product_441</v>
      </c>
      <c r="E5568" t="str">
        <f>VLOOKUP(B5568,Products!$A:$E,3,FALSE)</f>
        <v>Storage</v>
      </c>
    </row>
    <row r="5569" spans="1:5" x14ac:dyDescent="0.3">
      <c r="A5569" t="s">
        <v>11581</v>
      </c>
      <c r="B5569" t="s">
        <v>780</v>
      </c>
      <c r="C5569">
        <v>35</v>
      </c>
      <c r="D5569" t="str">
        <f>VLOOKUP(B5569,Products!$A:$E,2,FALSE)</f>
        <v>Product_386</v>
      </c>
      <c r="E5569" t="str">
        <f>VLOOKUP(B5569,Products!$A:$E,3,FALSE)</f>
        <v>Electronics</v>
      </c>
    </row>
    <row r="5570" spans="1:5" x14ac:dyDescent="0.3">
      <c r="A5570" t="s">
        <v>11582</v>
      </c>
      <c r="B5570" t="s">
        <v>798</v>
      </c>
      <c r="C5570">
        <v>7</v>
      </c>
      <c r="D5570" t="str">
        <f>VLOOKUP(B5570,Products!$A:$E,2,FALSE)</f>
        <v>Product_395</v>
      </c>
      <c r="E5570" t="str">
        <f>VLOOKUP(B5570,Products!$A:$E,3,FALSE)</f>
        <v>Accessories</v>
      </c>
    </row>
    <row r="5571" spans="1:5" x14ac:dyDescent="0.3">
      <c r="A5571" t="s">
        <v>11583</v>
      </c>
      <c r="B5571" t="s">
        <v>442</v>
      </c>
      <c r="C5571">
        <v>45</v>
      </c>
      <c r="D5571" t="str">
        <f>VLOOKUP(B5571,Products!$A:$E,2,FALSE)</f>
        <v>Product_217</v>
      </c>
      <c r="E5571" t="str">
        <f>VLOOKUP(B5571,Products!$A:$E,3,FALSE)</f>
        <v>Networking</v>
      </c>
    </row>
    <row r="5572" spans="1:5" x14ac:dyDescent="0.3">
      <c r="A5572" t="s">
        <v>11584</v>
      </c>
      <c r="B5572" t="s">
        <v>610</v>
      </c>
      <c r="C5572">
        <v>40</v>
      </c>
      <c r="D5572" t="str">
        <f>VLOOKUP(B5572,Products!$A:$E,2,FALSE)</f>
        <v>Product_301</v>
      </c>
      <c r="E5572" t="str">
        <f>VLOOKUP(B5572,Products!$A:$E,3,FALSE)</f>
        <v>Networking</v>
      </c>
    </row>
    <row r="5573" spans="1:5" x14ac:dyDescent="0.3">
      <c r="A5573" t="s">
        <v>11585</v>
      </c>
      <c r="B5573" t="s">
        <v>910</v>
      </c>
      <c r="C5573">
        <v>23</v>
      </c>
      <c r="D5573" t="str">
        <f>VLOOKUP(B5573,Products!$A:$E,2,FALSE)</f>
        <v>Product_451</v>
      </c>
      <c r="E5573" t="str">
        <f>VLOOKUP(B5573,Products!$A:$E,3,FALSE)</f>
        <v>Accessories</v>
      </c>
    </row>
    <row r="5574" spans="1:5" x14ac:dyDescent="0.3">
      <c r="A5574" t="s">
        <v>11586</v>
      </c>
      <c r="B5574" t="s">
        <v>980</v>
      </c>
      <c r="C5574">
        <v>44</v>
      </c>
      <c r="D5574" t="str">
        <f>VLOOKUP(B5574,Products!$A:$E,2,FALSE)</f>
        <v>Product_486</v>
      </c>
      <c r="E5574" t="str">
        <f>VLOOKUP(B5574,Products!$A:$E,3,FALSE)</f>
        <v>Electronics</v>
      </c>
    </row>
    <row r="5575" spans="1:5" x14ac:dyDescent="0.3">
      <c r="A5575" t="s">
        <v>11587</v>
      </c>
      <c r="B5575" t="s">
        <v>512</v>
      </c>
      <c r="C5575">
        <v>2</v>
      </c>
      <c r="D5575" t="str">
        <f>VLOOKUP(B5575,Products!$A:$E,2,FALSE)</f>
        <v>Product_252</v>
      </c>
      <c r="E5575" t="str">
        <f>VLOOKUP(B5575,Products!$A:$E,3,FALSE)</f>
        <v>Networking</v>
      </c>
    </row>
    <row r="5576" spans="1:5" x14ac:dyDescent="0.3">
      <c r="A5576" t="s">
        <v>11588</v>
      </c>
      <c r="B5576" t="s">
        <v>398</v>
      </c>
      <c r="C5576">
        <v>3</v>
      </c>
      <c r="D5576" t="str">
        <f>VLOOKUP(B5576,Products!$A:$E,2,FALSE)</f>
        <v>Product_195</v>
      </c>
      <c r="E5576" t="str">
        <f>VLOOKUP(B5576,Products!$A:$E,3,FALSE)</f>
        <v>Accessories</v>
      </c>
    </row>
    <row r="5577" spans="1:5" x14ac:dyDescent="0.3">
      <c r="A5577" t="s">
        <v>11589</v>
      </c>
      <c r="B5577" t="s">
        <v>994</v>
      </c>
      <c r="C5577">
        <v>32</v>
      </c>
      <c r="D5577" t="str">
        <f>VLOOKUP(B5577,Products!$A:$E,2,FALSE)</f>
        <v>Product_493</v>
      </c>
      <c r="E5577" t="str">
        <f>VLOOKUP(B5577,Products!$A:$E,3,FALSE)</f>
        <v>Networking</v>
      </c>
    </row>
    <row r="5578" spans="1:5" x14ac:dyDescent="0.3">
      <c r="A5578" t="s">
        <v>11590</v>
      </c>
      <c r="B5578" t="s">
        <v>786</v>
      </c>
      <c r="C5578">
        <v>6</v>
      </c>
      <c r="D5578" t="str">
        <f>VLOOKUP(B5578,Products!$A:$E,2,FALSE)</f>
        <v>Product_389</v>
      </c>
      <c r="E5578" t="str">
        <f>VLOOKUP(B5578,Products!$A:$E,3,FALSE)</f>
        <v>Networking</v>
      </c>
    </row>
    <row r="5579" spans="1:5" x14ac:dyDescent="0.3">
      <c r="A5579" t="s">
        <v>11591</v>
      </c>
      <c r="B5579" t="s">
        <v>496</v>
      </c>
      <c r="C5579">
        <v>17</v>
      </c>
      <c r="D5579" t="str">
        <f>VLOOKUP(B5579,Products!$A:$E,2,FALSE)</f>
        <v>Product_244</v>
      </c>
      <c r="E5579" t="str">
        <f>VLOOKUP(B5579,Products!$A:$E,3,FALSE)</f>
        <v>Accessories</v>
      </c>
    </row>
    <row r="5580" spans="1:5" x14ac:dyDescent="0.3">
      <c r="A5580" t="s">
        <v>11592</v>
      </c>
      <c r="B5580" t="s">
        <v>566</v>
      </c>
      <c r="C5580">
        <v>6</v>
      </c>
      <c r="D5580" t="str">
        <f>VLOOKUP(B5580,Products!$A:$E,2,FALSE)</f>
        <v>Product_279</v>
      </c>
      <c r="E5580" t="str">
        <f>VLOOKUP(B5580,Products!$A:$E,3,FALSE)</f>
        <v>Networking</v>
      </c>
    </row>
    <row r="5581" spans="1:5" x14ac:dyDescent="0.3">
      <c r="A5581" t="s">
        <v>11593</v>
      </c>
      <c r="B5581" t="s">
        <v>94</v>
      </c>
      <c r="C5581">
        <v>16</v>
      </c>
      <c r="D5581" t="str">
        <f>VLOOKUP(B5581,Products!$A:$E,2,FALSE)</f>
        <v>Product_43</v>
      </c>
      <c r="E5581" t="str">
        <f>VLOOKUP(B5581,Products!$A:$E,3,FALSE)</f>
        <v>Storage</v>
      </c>
    </row>
    <row r="5582" spans="1:5" x14ac:dyDescent="0.3">
      <c r="A5582" t="s">
        <v>11594</v>
      </c>
      <c r="B5582" t="s">
        <v>750</v>
      </c>
      <c r="C5582">
        <v>46</v>
      </c>
      <c r="D5582" t="str">
        <f>VLOOKUP(B5582,Products!$A:$E,2,FALSE)</f>
        <v>Product_371</v>
      </c>
      <c r="E5582" t="str">
        <f>VLOOKUP(B5582,Products!$A:$E,3,FALSE)</f>
        <v>Storage</v>
      </c>
    </row>
    <row r="5583" spans="1:5" x14ac:dyDescent="0.3">
      <c r="A5583" t="s">
        <v>11595</v>
      </c>
      <c r="B5583" t="s">
        <v>656</v>
      </c>
      <c r="C5583">
        <v>7</v>
      </c>
      <c r="D5583" t="str">
        <f>VLOOKUP(B5583,Products!$A:$E,2,FALSE)</f>
        <v>Product_324</v>
      </c>
      <c r="E5583" t="str">
        <f>VLOOKUP(B5583,Products!$A:$E,3,FALSE)</f>
        <v>Accessories</v>
      </c>
    </row>
    <row r="5584" spans="1:5" x14ac:dyDescent="0.3">
      <c r="A5584" t="s">
        <v>11596</v>
      </c>
      <c r="B5584" t="s">
        <v>474</v>
      </c>
      <c r="C5584">
        <v>25</v>
      </c>
      <c r="D5584" t="str">
        <f>VLOOKUP(B5584,Products!$A:$E,2,FALSE)</f>
        <v>Product_233</v>
      </c>
      <c r="E5584" t="str">
        <f>VLOOKUP(B5584,Products!$A:$E,3,FALSE)</f>
        <v>Accessories</v>
      </c>
    </row>
    <row r="5585" spans="1:5" x14ac:dyDescent="0.3">
      <c r="A5585" t="s">
        <v>11597</v>
      </c>
      <c r="B5585" t="s">
        <v>776</v>
      </c>
      <c r="C5585">
        <v>22</v>
      </c>
      <c r="D5585" t="str">
        <f>VLOOKUP(B5585,Products!$A:$E,2,FALSE)</f>
        <v>Product_384</v>
      </c>
      <c r="E5585" t="str">
        <f>VLOOKUP(B5585,Products!$A:$E,3,FALSE)</f>
        <v>Office Supplies</v>
      </c>
    </row>
    <row r="5586" spans="1:5" x14ac:dyDescent="0.3">
      <c r="A5586" t="s">
        <v>11598</v>
      </c>
      <c r="B5586" t="s">
        <v>256</v>
      </c>
      <c r="C5586">
        <v>39</v>
      </c>
      <c r="D5586" t="str">
        <f>VLOOKUP(B5586,Products!$A:$E,2,FALSE)</f>
        <v>Product_124</v>
      </c>
      <c r="E5586" t="str">
        <f>VLOOKUP(B5586,Products!$A:$E,3,FALSE)</f>
        <v>Storage</v>
      </c>
    </row>
    <row r="5587" spans="1:5" x14ac:dyDescent="0.3">
      <c r="A5587" t="s">
        <v>11599</v>
      </c>
      <c r="B5587" t="s">
        <v>490</v>
      </c>
      <c r="C5587">
        <v>3</v>
      </c>
      <c r="D5587" t="str">
        <f>VLOOKUP(B5587,Products!$A:$E,2,FALSE)</f>
        <v>Product_241</v>
      </c>
      <c r="E5587" t="str">
        <f>VLOOKUP(B5587,Products!$A:$E,3,FALSE)</f>
        <v>Electronics</v>
      </c>
    </row>
    <row r="5588" spans="1:5" x14ac:dyDescent="0.3">
      <c r="A5588" t="s">
        <v>11600</v>
      </c>
      <c r="B5588" t="s">
        <v>340</v>
      </c>
      <c r="C5588">
        <v>20</v>
      </c>
      <c r="D5588" t="str">
        <f>VLOOKUP(B5588,Products!$A:$E,2,FALSE)</f>
        <v>Product_166</v>
      </c>
      <c r="E5588" t="str">
        <f>VLOOKUP(B5588,Products!$A:$E,3,FALSE)</f>
        <v>Accessories</v>
      </c>
    </row>
    <row r="5589" spans="1:5" x14ac:dyDescent="0.3">
      <c r="A5589" t="s">
        <v>11601</v>
      </c>
      <c r="B5589" t="s">
        <v>574</v>
      </c>
      <c r="C5589">
        <v>50</v>
      </c>
      <c r="D5589" t="str">
        <f>VLOOKUP(B5589,Products!$A:$E,2,FALSE)</f>
        <v>Product_283</v>
      </c>
      <c r="E5589" t="str">
        <f>VLOOKUP(B5589,Products!$A:$E,3,FALSE)</f>
        <v>Networking</v>
      </c>
    </row>
    <row r="5590" spans="1:5" x14ac:dyDescent="0.3">
      <c r="A5590" t="s">
        <v>11602</v>
      </c>
      <c r="B5590" t="s">
        <v>730</v>
      </c>
      <c r="C5590">
        <v>29</v>
      </c>
      <c r="D5590" t="str">
        <f>VLOOKUP(B5590,Products!$A:$E,2,FALSE)</f>
        <v>Product_361</v>
      </c>
      <c r="E5590" t="str">
        <f>VLOOKUP(B5590,Products!$A:$E,3,FALSE)</f>
        <v>Office Supplies</v>
      </c>
    </row>
    <row r="5591" spans="1:5" x14ac:dyDescent="0.3">
      <c r="A5591" t="s">
        <v>11603</v>
      </c>
      <c r="B5591" t="s">
        <v>230</v>
      </c>
      <c r="C5591">
        <v>40</v>
      </c>
      <c r="D5591" t="str">
        <f>VLOOKUP(B5591,Products!$A:$E,2,FALSE)</f>
        <v>Product_111</v>
      </c>
      <c r="E5591" t="str">
        <f>VLOOKUP(B5591,Products!$A:$E,3,FALSE)</f>
        <v>Office Supplies</v>
      </c>
    </row>
    <row r="5592" spans="1:5" x14ac:dyDescent="0.3">
      <c r="A5592" t="s">
        <v>11604</v>
      </c>
      <c r="B5592" t="s">
        <v>430</v>
      </c>
      <c r="C5592">
        <v>7</v>
      </c>
      <c r="D5592" t="str">
        <f>VLOOKUP(B5592,Products!$A:$E,2,FALSE)</f>
        <v>Product_211</v>
      </c>
      <c r="E5592" t="str">
        <f>VLOOKUP(B5592,Products!$A:$E,3,FALSE)</f>
        <v>Storage</v>
      </c>
    </row>
    <row r="5593" spans="1:5" x14ac:dyDescent="0.3">
      <c r="A5593" t="s">
        <v>11605</v>
      </c>
      <c r="B5593" t="s">
        <v>20</v>
      </c>
      <c r="C5593">
        <v>44</v>
      </c>
      <c r="D5593" t="str">
        <f>VLOOKUP(B5593,Products!$A:$E,2,FALSE)</f>
        <v>Product_6</v>
      </c>
      <c r="E5593" t="str">
        <f>VLOOKUP(B5593,Products!$A:$E,3,FALSE)</f>
        <v>Electronics</v>
      </c>
    </row>
    <row r="5594" spans="1:5" x14ac:dyDescent="0.3">
      <c r="A5594" t="s">
        <v>11606</v>
      </c>
      <c r="B5594" t="s">
        <v>140</v>
      </c>
      <c r="C5594">
        <v>38</v>
      </c>
      <c r="D5594" t="str">
        <f>VLOOKUP(B5594,Products!$A:$E,2,FALSE)</f>
        <v>Product_66</v>
      </c>
      <c r="E5594" t="str">
        <f>VLOOKUP(B5594,Products!$A:$E,3,FALSE)</f>
        <v>Electronics</v>
      </c>
    </row>
    <row r="5595" spans="1:5" x14ac:dyDescent="0.3">
      <c r="A5595" t="s">
        <v>11607</v>
      </c>
      <c r="B5595" t="s">
        <v>892</v>
      </c>
      <c r="C5595">
        <v>44</v>
      </c>
      <c r="D5595" t="str">
        <f>VLOOKUP(B5595,Products!$A:$E,2,FALSE)</f>
        <v>Product_442</v>
      </c>
      <c r="E5595" t="str">
        <f>VLOOKUP(B5595,Products!$A:$E,3,FALSE)</f>
        <v>Networking</v>
      </c>
    </row>
    <row r="5596" spans="1:5" x14ac:dyDescent="0.3">
      <c r="A5596" t="s">
        <v>11608</v>
      </c>
      <c r="B5596" t="s">
        <v>808</v>
      </c>
      <c r="C5596">
        <v>2</v>
      </c>
      <c r="D5596" t="str">
        <f>VLOOKUP(B5596,Products!$A:$E,2,FALSE)</f>
        <v>Product_400</v>
      </c>
      <c r="E5596" t="str">
        <f>VLOOKUP(B5596,Products!$A:$E,3,FALSE)</f>
        <v>Networking</v>
      </c>
    </row>
    <row r="5597" spans="1:5" x14ac:dyDescent="0.3">
      <c r="A5597" t="s">
        <v>11609</v>
      </c>
      <c r="B5597" t="s">
        <v>966</v>
      </c>
      <c r="C5597">
        <v>33</v>
      </c>
      <c r="D5597" t="str">
        <f>VLOOKUP(B5597,Products!$A:$E,2,FALSE)</f>
        <v>Product_479</v>
      </c>
      <c r="E5597" t="str">
        <f>VLOOKUP(B5597,Products!$A:$E,3,FALSE)</f>
        <v>Office Supplies</v>
      </c>
    </row>
    <row r="5598" spans="1:5" x14ac:dyDescent="0.3">
      <c r="A5598" t="s">
        <v>11610</v>
      </c>
      <c r="B5598" t="s">
        <v>464</v>
      </c>
      <c r="C5598">
        <v>5</v>
      </c>
      <c r="D5598" t="str">
        <f>VLOOKUP(B5598,Products!$A:$E,2,FALSE)</f>
        <v>Product_228</v>
      </c>
      <c r="E5598" t="str">
        <f>VLOOKUP(B5598,Products!$A:$E,3,FALSE)</f>
        <v>Storage</v>
      </c>
    </row>
    <row r="5599" spans="1:5" x14ac:dyDescent="0.3">
      <c r="A5599" t="s">
        <v>11611</v>
      </c>
      <c r="B5599" t="s">
        <v>524</v>
      </c>
      <c r="C5599">
        <v>12</v>
      </c>
      <c r="D5599" t="str">
        <f>VLOOKUP(B5599,Products!$A:$E,2,FALSE)</f>
        <v>Product_258</v>
      </c>
      <c r="E5599" t="str">
        <f>VLOOKUP(B5599,Products!$A:$E,3,FALSE)</f>
        <v>Networking</v>
      </c>
    </row>
    <row r="5600" spans="1:5" x14ac:dyDescent="0.3">
      <c r="A5600" t="s">
        <v>11612</v>
      </c>
      <c r="B5600" t="s">
        <v>484</v>
      </c>
      <c r="C5600">
        <v>18</v>
      </c>
      <c r="D5600" t="str">
        <f>VLOOKUP(B5600,Products!$A:$E,2,FALSE)</f>
        <v>Product_238</v>
      </c>
      <c r="E5600" t="str">
        <f>VLOOKUP(B5600,Products!$A:$E,3,FALSE)</f>
        <v>Accessories</v>
      </c>
    </row>
    <row r="5601" spans="1:5" x14ac:dyDescent="0.3">
      <c r="A5601" t="s">
        <v>11613</v>
      </c>
      <c r="B5601" t="s">
        <v>722</v>
      </c>
      <c r="C5601">
        <v>37</v>
      </c>
      <c r="D5601" t="str">
        <f>VLOOKUP(B5601,Products!$A:$E,2,FALSE)</f>
        <v>Product_357</v>
      </c>
      <c r="E5601" t="str">
        <f>VLOOKUP(B5601,Products!$A:$E,3,FALSE)</f>
        <v>Accessories</v>
      </c>
    </row>
    <row r="5602" spans="1:5" x14ac:dyDescent="0.3">
      <c r="A5602" t="s">
        <v>11614</v>
      </c>
      <c r="B5602" t="s">
        <v>406</v>
      </c>
      <c r="C5602">
        <v>35</v>
      </c>
      <c r="D5602" t="str">
        <f>VLOOKUP(B5602,Products!$A:$E,2,FALSE)</f>
        <v>Product_199</v>
      </c>
      <c r="E5602" t="str">
        <f>VLOOKUP(B5602,Products!$A:$E,3,FALSE)</f>
        <v>Storage</v>
      </c>
    </row>
    <row r="5603" spans="1:5" x14ac:dyDescent="0.3">
      <c r="A5603" t="s">
        <v>11615</v>
      </c>
      <c r="B5603" t="s">
        <v>678</v>
      </c>
      <c r="C5603">
        <v>47</v>
      </c>
      <c r="D5603" t="str">
        <f>VLOOKUP(B5603,Products!$A:$E,2,FALSE)</f>
        <v>Product_335</v>
      </c>
      <c r="E5603" t="str">
        <f>VLOOKUP(B5603,Products!$A:$E,3,FALSE)</f>
        <v>Networking</v>
      </c>
    </row>
    <row r="5604" spans="1:5" x14ac:dyDescent="0.3">
      <c r="A5604" t="s">
        <v>11616</v>
      </c>
      <c r="B5604" t="s">
        <v>58</v>
      </c>
      <c r="C5604">
        <v>17</v>
      </c>
      <c r="D5604" t="str">
        <f>VLOOKUP(B5604,Products!$A:$E,2,FALSE)</f>
        <v>Product_25</v>
      </c>
      <c r="E5604" t="str">
        <f>VLOOKUP(B5604,Products!$A:$E,3,FALSE)</f>
        <v>Office Supplies</v>
      </c>
    </row>
    <row r="5605" spans="1:5" x14ac:dyDescent="0.3">
      <c r="A5605" t="s">
        <v>11617</v>
      </c>
      <c r="B5605" t="s">
        <v>608</v>
      </c>
      <c r="C5605">
        <v>8</v>
      </c>
      <c r="D5605" t="str">
        <f>VLOOKUP(B5605,Products!$A:$E,2,FALSE)</f>
        <v>Product_300</v>
      </c>
      <c r="E5605" t="str">
        <f>VLOOKUP(B5605,Products!$A:$E,3,FALSE)</f>
        <v>Accessories</v>
      </c>
    </row>
    <row r="5606" spans="1:5" x14ac:dyDescent="0.3">
      <c r="A5606" t="s">
        <v>11618</v>
      </c>
      <c r="B5606" t="s">
        <v>724</v>
      </c>
      <c r="C5606">
        <v>34</v>
      </c>
      <c r="D5606" t="str">
        <f>VLOOKUP(B5606,Products!$A:$E,2,FALSE)</f>
        <v>Product_358</v>
      </c>
      <c r="E5606" t="str">
        <f>VLOOKUP(B5606,Products!$A:$E,3,FALSE)</f>
        <v>Storage</v>
      </c>
    </row>
    <row r="5607" spans="1:5" x14ac:dyDescent="0.3">
      <c r="A5607" t="s">
        <v>11619</v>
      </c>
      <c r="B5607" t="s">
        <v>512</v>
      </c>
      <c r="C5607">
        <v>12</v>
      </c>
      <c r="D5607" t="str">
        <f>VLOOKUP(B5607,Products!$A:$E,2,FALSE)</f>
        <v>Product_252</v>
      </c>
      <c r="E5607" t="str">
        <f>VLOOKUP(B5607,Products!$A:$E,3,FALSE)</f>
        <v>Networking</v>
      </c>
    </row>
    <row r="5608" spans="1:5" x14ac:dyDescent="0.3">
      <c r="A5608" t="s">
        <v>11620</v>
      </c>
      <c r="B5608" t="s">
        <v>932</v>
      </c>
      <c r="C5608">
        <v>29</v>
      </c>
      <c r="D5608" t="str">
        <f>VLOOKUP(B5608,Products!$A:$E,2,FALSE)</f>
        <v>Product_462</v>
      </c>
      <c r="E5608" t="str">
        <f>VLOOKUP(B5608,Products!$A:$E,3,FALSE)</f>
        <v>Electronics</v>
      </c>
    </row>
    <row r="5609" spans="1:5" x14ac:dyDescent="0.3">
      <c r="A5609" t="s">
        <v>11621</v>
      </c>
      <c r="B5609" t="s">
        <v>310</v>
      </c>
      <c r="C5609">
        <v>11</v>
      </c>
      <c r="D5609" t="str">
        <f>VLOOKUP(B5609,Products!$A:$E,2,FALSE)</f>
        <v>Product_151</v>
      </c>
      <c r="E5609" t="str">
        <f>VLOOKUP(B5609,Products!$A:$E,3,FALSE)</f>
        <v>Storage</v>
      </c>
    </row>
    <row r="5610" spans="1:5" x14ac:dyDescent="0.3">
      <c r="A5610" t="s">
        <v>11622</v>
      </c>
      <c r="B5610" t="s">
        <v>50</v>
      </c>
      <c r="C5610">
        <v>19</v>
      </c>
      <c r="D5610" t="str">
        <f>VLOOKUP(B5610,Products!$A:$E,2,FALSE)</f>
        <v>Product_21</v>
      </c>
      <c r="E5610" t="str">
        <f>VLOOKUP(B5610,Products!$A:$E,3,FALSE)</f>
        <v>Office Supplies</v>
      </c>
    </row>
    <row r="5611" spans="1:5" x14ac:dyDescent="0.3">
      <c r="A5611" t="s">
        <v>11623</v>
      </c>
      <c r="B5611" t="s">
        <v>624</v>
      </c>
      <c r="C5611">
        <v>22</v>
      </c>
      <c r="D5611" t="str">
        <f>VLOOKUP(B5611,Products!$A:$E,2,FALSE)</f>
        <v>Product_308</v>
      </c>
      <c r="E5611" t="str">
        <f>VLOOKUP(B5611,Products!$A:$E,3,FALSE)</f>
        <v>Storage</v>
      </c>
    </row>
    <row r="5612" spans="1:5" x14ac:dyDescent="0.3">
      <c r="A5612" t="s">
        <v>11624</v>
      </c>
      <c r="B5612" t="s">
        <v>446</v>
      </c>
      <c r="C5612">
        <v>8</v>
      </c>
      <c r="D5612" t="str">
        <f>VLOOKUP(B5612,Products!$A:$E,2,FALSE)</f>
        <v>Product_219</v>
      </c>
      <c r="E5612" t="str">
        <f>VLOOKUP(B5612,Products!$A:$E,3,FALSE)</f>
        <v>Accessories</v>
      </c>
    </row>
    <row r="5613" spans="1:5" x14ac:dyDescent="0.3">
      <c r="A5613" t="s">
        <v>11625</v>
      </c>
      <c r="B5613" t="s">
        <v>712</v>
      </c>
      <c r="C5613">
        <v>10</v>
      </c>
      <c r="D5613" t="str">
        <f>VLOOKUP(B5613,Products!$A:$E,2,FALSE)</f>
        <v>Product_352</v>
      </c>
      <c r="E5613" t="str">
        <f>VLOOKUP(B5613,Products!$A:$E,3,FALSE)</f>
        <v>Storage</v>
      </c>
    </row>
    <row r="5614" spans="1:5" x14ac:dyDescent="0.3">
      <c r="A5614" t="s">
        <v>11626</v>
      </c>
      <c r="B5614" t="s">
        <v>1000</v>
      </c>
      <c r="C5614">
        <v>5</v>
      </c>
      <c r="D5614" t="str">
        <f>VLOOKUP(B5614,Products!$A:$E,2,FALSE)</f>
        <v>Product_496</v>
      </c>
      <c r="E5614" t="str">
        <f>VLOOKUP(B5614,Products!$A:$E,3,FALSE)</f>
        <v>Office Supplies</v>
      </c>
    </row>
    <row r="5615" spans="1:5" x14ac:dyDescent="0.3">
      <c r="A5615" t="s">
        <v>11627</v>
      </c>
      <c r="B5615" t="s">
        <v>212</v>
      </c>
      <c r="C5615">
        <v>31</v>
      </c>
      <c r="D5615" t="str">
        <f>VLOOKUP(B5615,Products!$A:$E,2,FALSE)</f>
        <v>Product_102</v>
      </c>
      <c r="E5615" t="str">
        <f>VLOOKUP(B5615,Products!$A:$E,3,FALSE)</f>
        <v>Storage</v>
      </c>
    </row>
    <row r="5616" spans="1:5" x14ac:dyDescent="0.3">
      <c r="A5616" t="s">
        <v>11628</v>
      </c>
      <c r="B5616" t="s">
        <v>506</v>
      </c>
      <c r="C5616">
        <v>16</v>
      </c>
      <c r="D5616" t="str">
        <f>VLOOKUP(B5616,Products!$A:$E,2,FALSE)</f>
        <v>Product_249</v>
      </c>
      <c r="E5616" t="str">
        <f>VLOOKUP(B5616,Products!$A:$E,3,FALSE)</f>
        <v>Storage</v>
      </c>
    </row>
    <row r="5617" spans="1:5" x14ac:dyDescent="0.3">
      <c r="A5617" t="s">
        <v>11629</v>
      </c>
      <c r="B5617" t="s">
        <v>11</v>
      </c>
      <c r="C5617">
        <v>25</v>
      </c>
      <c r="D5617" t="str">
        <f>VLOOKUP(B5617,Products!$A:$E,2,FALSE)</f>
        <v>Product_3</v>
      </c>
      <c r="E5617" t="str">
        <f>VLOOKUP(B5617,Products!$A:$E,3,FALSE)</f>
        <v>Accessories</v>
      </c>
    </row>
    <row r="5618" spans="1:5" x14ac:dyDescent="0.3">
      <c r="A5618" t="s">
        <v>11630</v>
      </c>
      <c r="B5618" t="s">
        <v>804</v>
      </c>
      <c r="C5618">
        <v>48</v>
      </c>
      <c r="D5618" t="str">
        <f>VLOOKUP(B5618,Products!$A:$E,2,FALSE)</f>
        <v>Product_398</v>
      </c>
      <c r="E5618" t="str">
        <f>VLOOKUP(B5618,Products!$A:$E,3,FALSE)</f>
        <v>Networking</v>
      </c>
    </row>
    <row r="5619" spans="1:5" x14ac:dyDescent="0.3">
      <c r="A5619" t="s">
        <v>11631</v>
      </c>
      <c r="B5619" t="s">
        <v>836</v>
      </c>
      <c r="C5619">
        <v>42</v>
      </c>
      <c r="D5619" t="str">
        <f>VLOOKUP(B5619,Products!$A:$E,2,FALSE)</f>
        <v>Product_414</v>
      </c>
      <c r="E5619" t="str">
        <f>VLOOKUP(B5619,Products!$A:$E,3,FALSE)</f>
        <v>Office Supplies</v>
      </c>
    </row>
    <row r="5620" spans="1:5" x14ac:dyDescent="0.3">
      <c r="A5620" t="s">
        <v>11632</v>
      </c>
      <c r="B5620" t="s">
        <v>936</v>
      </c>
      <c r="C5620">
        <v>12</v>
      </c>
      <c r="D5620" t="str">
        <f>VLOOKUP(B5620,Products!$A:$E,2,FALSE)</f>
        <v>Product_464</v>
      </c>
      <c r="E5620" t="str">
        <f>VLOOKUP(B5620,Products!$A:$E,3,FALSE)</f>
        <v>Office Supplies</v>
      </c>
    </row>
    <row r="5621" spans="1:5" x14ac:dyDescent="0.3">
      <c r="A5621" t="s">
        <v>11633</v>
      </c>
      <c r="B5621" t="s">
        <v>800</v>
      </c>
      <c r="C5621">
        <v>25</v>
      </c>
      <c r="D5621" t="str">
        <f>VLOOKUP(B5621,Products!$A:$E,2,FALSE)</f>
        <v>Product_396</v>
      </c>
      <c r="E5621" t="str">
        <f>VLOOKUP(B5621,Products!$A:$E,3,FALSE)</f>
        <v>Office Supplies</v>
      </c>
    </row>
    <row r="5622" spans="1:5" x14ac:dyDescent="0.3">
      <c r="A5622" t="s">
        <v>11634</v>
      </c>
      <c r="B5622" t="s">
        <v>54</v>
      </c>
      <c r="C5622">
        <v>20</v>
      </c>
      <c r="D5622" t="str">
        <f>VLOOKUP(B5622,Products!$A:$E,2,FALSE)</f>
        <v>Product_23</v>
      </c>
      <c r="E5622" t="str">
        <f>VLOOKUP(B5622,Products!$A:$E,3,FALSE)</f>
        <v>Accessories</v>
      </c>
    </row>
    <row r="5623" spans="1:5" x14ac:dyDescent="0.3">
      <c r="A5623" t="s">
        <v>11635</v>
      </c>
      <c r="B5623" t="s">
        <v>196</v>
      </c>
      <c r="C5623">
        <v>15</v>
      </c>
      <c r="D5623" t="str">
        <f>VLOOKUP(B5623,Products!$A:$E,2,FALSE)</f>
        <v>Product_94</v>
      </c>
      <c r="E5623" t="str">
        <f>VLOOKUP(B5623,Products!$A:$E,3,FALSE)</f>
        <v>Networking</v>
      </c>
    </row>
    <row r="5624" spans="1:5" x14ac:dyDescent="0.3">
      <c r="A5624" t="s">
        <v>11636</v>
      </c>
      <c r="B5624" t="s">
        <v>358</v>
      </c>
      <c r="C5624">
        <v>44</v>
      </c>
      <c r="D5624" t="str">
        <f>VLOOKUP(B5624,Products!$A:$E,2,FALSE)</f>
        <v>Product_175</v>
      </c>
      <c r="E5624" t="str">
        <f>VLOOKUP(B5624,Products!$A:$E,3,FALSE)</f>
        <v>Storage</v>
      </c>
    </row>
    <row r="5625" spans="1:5" x14ac:dyDescent="0.3">
      <c r="A5625" t="s">
        <v>11637</v>
      </c>
      <c r="B5625" t="s">
        <v>606</v>
      </c>
      <c r="C5625">
        <v>32</v>
      </c>
      <c r="D5625" t="str">
        <f>VLOOKUP(B5625,Products!$A:$E,2,FALSE)</f>
        <v>Product_299</v>
      </c>
      <c r="E5625" t="str">
        <f>VLOOKUP(B5625,Products!$A:$E,3,FALSE)</f>
        <v>Storage</v>
      </c>
    </row>
    <row r="5626" spans="1:5" x14ac:dyDescent="0.3">
      <c r="A5626" t="s">
        <v>11638</v>
      </c>
      <c r="B5626" t="s">
        <v>244</v>
      </c>
      <c r="C5626">
        <v>46</v>
      </c>
      <c r="D5626" t="str">
        <f>VLOOKUP(B5626,Products!$A:$E,2,FALSE)</f>
        <v>Product_118</v>
      </c>
      <c r="E5626" t="str">
        <f>VLOOKUP(B5626,Products!$A:$E,3,FALSE)</f>
        <v>Accessories</v>
      </c>
    </row>
    <row r="5627" spans="1:5" x14ac:dyDescent="0.3">
      <c r="A5627" t="s">
        <v>11639</v>
      </c>
      <c r="B5627" t="s">
        <v>464</v>
      </c>
      <c r="C5627">
        <v>45</v>
      </c>
      <c r="D5627" t="str">
        <f>VLOOKUP(B5627,Products!$A:$E,2,FALSE)</f>
        <v>Product_228</v>
      </c>
      <c r="E5627" t="str">
        <f>VLOOKUP(B5627,Products!$A:$E,3,FALSE)</f>
        <v>Storage</v>
      </c>
    </row>
    <row r="5628" spans="1:5" x14ac:dyDescent="0.3">
      <c r="A5628" t="s">
        <v>11640</v>
      </c>
      <c r="B5628" t="s">
        <v>980</v>
      </c>
      <c r="C5628">
        <v>8</v>
      </c>
      <c r="D5628" t="str">
        <f>VLOOKUP(B5628,Products!$A:$E,2,FALSE)</f>
        <v>Product_486</v>
      </c>
      <c r="E5628" t="str">
        <f>VLOOKUP(B5628,Products!$A:$E,3,FALSE)</f>
        <v>Electronics</v>
      </c>
    </row>
    <row r="5629" spans="1:5" x14ac:dyDescent="0.3">
      <c r="A5629" t="s">
        <v>11641</v>
      </c>
      <c r="B5629" t="s">
        <v>112</v>
      </c>
      <c r="C5629">
        <v>11</v>
      </c>
      <c r="D5629" t="str">
        <f>VLOOKUP(B5629,Products!$A:$E,2,FALSE)</f>
        <v>Product_52</v>
      </c>
      <c r="E5629" t="str">
        <f>VLOOKUP(B5629,Products!$A:$E,3,FALSE)</f>
        <v>Electronics</v>
      </c>
    </row>
    <row r="5630" spans="1:5" x14ac:dyDescent="0.3">
      <c r="A5630" t="s">
        <v>11642</v>
      </c>
      <c r="B5630" t="s">
        <v>152</v>
      </c>
      <c r="C5630">
        <v>9</v>
      </c>
      <c r="D5630" t="str">
        <f>VLOOKUP(B5630,Products!$A:$E,2,FALSE)</f>
        <v>Product_72</v>
      </c>
      <c r="E5630" t="str">
        <f>VLOOKUP(B5630,Products!$A:$E,3,FALSE)</f>
        <v>Networking</v>
      </c>
    </row>
    <row r="5631" spans="1:5" x14ac:dyDescent="0.3">
      <c r="A5631" t="s">
        <v>11643</v>
      </c>
      <c r="B5631" t="s">
        <v>768</v>
      </c>
      <c r="C5631">
        <v>39</v>
      </c>
      <c r="D5631" t="str">
        <f>VLOOKUP(B5631,Products!$A:$E,2,FALSE)</f>
        <v>Product_380</v>
      </c>
      <c r="E5631" t="str">
        <f>VLOOKUP(B5631,Products!$A:$E,3,FALSE)</f>
        <v>Electronics</v>
      </c>
    </row>
    <row r="5632" spans="1:5" x14ac:dyDescent="0.3">
      <c r="A5632" t="s">
        <v>11644</v>
      </c>
      <c r="B5632" t="s">
        <v>586</v>
      </c>
      <c r="C5632">
        <v>2</v>
      </c>
      <c r="D5632" t="str">
        <f>VLOOKUP(B5632,Products!$A:$E,2,FALSE)</f>
        <v>Product_289</v>
      </c>
      <c r="E5632" t="str">
        <f>VLOOKUP(B5632,Products!$A:$E,3,FALSE)</f>
        <v>Storage</v>
      </c>
    </row>
    <row r="5633" spans="1:5" x14ac:dyDescent="0.3">
      <c r="A5633" t="s">
        <v>11645</v>
      </c>
      <c r="B5633" t="s">
        <v>458</v>
      </c>
      <c r="C5633">
        <v>32</v>
      </c>
      <c r="D5633" t="str">
        <f>VLOOKUP(B5633,Products!$A:$E,2,FALSE)</f>
        <v>Product_225</v>
      </c>
      <c r="E5633" t="str">
        <f>VLOOKUP(B5633,Products!$A:$E,3,FALSE)</f>
        <v>Accessories</v>
      </c>
    </row>
    <row r="5634" spans="1:5" x14ac:dyDescent="0.3">
      <c r="A5634" t="s">
        <v>11646</v>
      </c>
      <c r="B5634" t="s">
        <v>384</v>
      </c>
      <c r="C5634">
        <v>45</v>
      </c>
      <c r="D5634" t="str">
        <f>VLOOKUP(B5634,Products!$A:$E,2,FALSE)</f>
        <v>Product_188</v>
      </c>
      <c r="E5634" t="str">
        <f>VLOOKUP(B5634,Products!$A:$E,3,FALSE)</f>
        <v>Office Supplies</v>
      </c>
    </row>
    <row r="5635" spans="1:5" x14ac:dyDescent="0.3">
      <c r="A5635" t="s">
        <v>11647</v>
      </c>
      <c r="B5635" t="s">
        <v>450</v>
      </c>
      <c r="C5635">
        <v>2</v>
      </c>
      <c r="D5635" t="str">
        <f>VLOOKUP(B5635,Products!$A:$E,2,FALSE)</f>
        <v>Product_221</v>
      </c>
      <c r="E5635" t="str">
        <f>VLOOKUP(B5635,Products!$A:$E,3,FALSE)</f>
        <v>Office Supplies</v>
      </c>
    </row>
    <row r="5636" spans="1:5" x14ac:dyDescent="0.3">
      <c r="A5636" t="s">
        <v>11648</v>
      </c>
      <c r="B5636" t="s">
        <v>734</v>
      </c>
      <c r="C5636">
        <v>34</v>
      </c>
      <c r="D5636" t="str">
        <f>VLOOKUP(B5636,Products!$A:$E,2,FALSE)</f>
        <v>Product_363</v>
      </c>
      <c r="E5636" t="str">
        <f>VLOOKUP(B5636,Products!$A:$E,3,FALSE)</f>
        <v>Storage</v>
      </c>
    </row>
    <row r="5637" spans="1:5" x14ac:dyDescent="0.3">
      <c r="A5637" t="s">
        <v>11649</v>
      </c>
      <c r="B5637" t="s">
        <v>928</v>
      </c>
      <c r="C5637">
        <v>45</v>
      </c>
      <c r="D5637" t="str">
        <f>VLOOKUP(B5637,Products!$A:$E,2,FALSE)</f>
        <v>Product_460</v>
      </c>
      <c r="E5637" t="str">
        <f>VLOOKUP(B5637,Products!$A:$E,3,FALSE)</f>
        <v>Accessories</v>
      </c>
    </row>
    <row r="5638" spans="1:5" x14ac:dyDescent="0.3">
      <c r="A5638" t="s">
        <v>11650</v>
      </c>
      <c r="B5638" t="s">
        <v>386</v>
      </c>
      <c r="C5638">
        <v>41</v>
      </c>
      <c r="D5638" t="str">
        <f>VLOOKUP(B5638,Products!$A:$E,2,FALSE)</f>
        <v>Product_189</v>
      </c>
      <c r="E5638" t="str">
        <f>VLOOKUP(B5638,Products!$A:$E,3,FALSE)</f>
        <v>Electronics</v>
      </c>
    </row>
    <row r="5639" spans="1:5" x14ac:dyDescent="0.3">
      <c r="A5639" t="s">
        <v>11651</v>
      </c>
      <c r="B5639" t="s">
        <v>566</v>
      </c>
      <c r="C5639">
        <v>7</v>
      </c>
      <c r="D5639" t="str">
        <f>VLOOKUP(B5639,Products!$A:$E,2,FALSE)</f>
        <v>Product_279</v>
      </c>
      <c r="E5639" t="str">
        <f>VLOOKUP(B5639,Products!$A:$E,3,FALSE)</f>
        <v>Networking</v>
      </c>
    </row>
    <row r="5640" spans="1:5" x14ac:dyDescent="0.3">
      <c r="A5640" t="s">
        <v>11652</v>
      </c>
      <c r="B5640" t="s">
        <v>438</v>
      </c>
      <c r="C5640">
        <v>31</v>
      </c>
      <c r="D5640" t="str">
        <f>VLOOKUP(B5640,Products!$A:$E,2,FALSE)</f>
        <v>Product_215</v>
      </c>
      <c r="E5640" t="str">
        <f>VLOOKUP(B5640,Products!$A:$E,3,FALSE)</f>
        <v>Electronics</v>
      </c>
    </row>
    <row r="5641" spans="1:5" x14ac:dyDescent="0.3">
      <c r="A5641" t="s">
        <v>11653</v>
      </c>
      <c r="B5641" t="s">
        <v>44</v>
      </c>
      <c r="C5641">
        <v>18</v>
      </c>
      <c r="D5641" t="str">
        <f>VLOOKUP(B5641,Products!$A:$E,2,FALSE)</f>
        <v>Product_18</v>
      </c>
      <c r="E5641" t="str">
        <f>VLOOKUP(B5641,Products!$A:$E,3,FALSE)</f>
        <v>Networking</v>
      </c>
    </row>
    <row r="5642" spans="1:5" x14ac:dyDescent="0.3">
      <c r="A5642" t="s">
        <v>11654</v>
      </c>
      <c r="B5642" t="s">
        <v>456</v>
      </c>
      <c r="C5642">
        <v>36</v>
      </c>
      <c r="D5642" t="str">
        <f>VLOOKUP(B5642,Products!$A:$E,2,FALSE)</f>
        <v>Product_224</v>
      </c>
      <c r="E5642" t="str">
        <f>VLOOKUP(B5642,Products!$A:$E,3,FALSE)</f>
        <v>Storage</v>
      </c>
    </row>
    <row r="5643" spans="1:5" x14ac:dyDescent="0.3">
      <c r="A5643" t="s">
        <v>11655</v>
      </c>
      <c r="B5643" t="s">
        <v>728</v>
      </c>
      <c r="C5643">
        <v>28</v>
      </c>
      <c r="D5643" t="str">
        <f>VLOOKUP(B5643,Products!$A:$E,2,FALSE)</f>
        <v>Product_360</v>
      </c>
      <c r="E5643" t="str">
        <f>VLOOKUP(B5643,Products!$A:$E,3,FALSE)</f>
        <v>Office Supplies</v>
      </c>
    </row>
    <row r="5644" spans="1:5" x14ac:dyDescent="0.3">
      <c r="A5644" t="s">
        <v>11656</v>
      </c>
      <c r="B5644" t="s">
        <v>78</v>
      </c>
      <c r="C5644">
        <v>5</v>
      </c>
      <c r="D5644" t="str">
        <f>VLOOKUP(B5644,Products!$A:$E,2,FALSE)</f>
        <v>Product_35</v>
      </c>
      <c r="E5644" t="str">
        <f>VLOOKUP(B5644,Products!$A:$E,3,FALSE)</f>
        <v>Electronics</v>
      </c>
    </row>
    <row r="5645" spans="1:5" x14ac:dyDescent="0.3">
      <c r="A5645" t="s">
        <v>11657</v>
      </c>
      <c r="B5645" t="s">
        <v>98</v>
      </c>
      <c r="C5645">
        <v>17</v>
      </c>
      <c r="D5645" t="str">
        <f>VLOOKUP(B5645,Products!$A:$E,2,FALSE)</f>
        <v>Product_45</v>
      </c>
      <c r="E5645" t="str">
        <f>VLOOKUP(B5645,Products!$A:$E,3,FALSE)</f>
        <v>Accessories</v>
      </c>
    </row>
    <row r="5646" spans="1:5" x14ac:dyDescent="0.3">
      <c r="A5646" t="s">
        <v>11658</v>
      </c>
      <c r="B5646" t="s">
        <v>908</v>
      </c>
      <c r="C5646">
        <v>43</v>
      </c>
      <c r="D5646" t="str">
        <f>VLOOKUP(B5646,Products!$A:$E,2,FALSE)</f>
        <v>Product_450</v>
      </c>
      <c r="E5646" t="str">
        <f>VLOOKUP(B5646,Products!$A:$E,3,FALSE)</f>
        <v>Networking</v>
      </c>
    </row>
    <row r="5647" spans="1:5" x14ac:dyDescent="0.3">
      <c r="A5647" t="s">
        <v>11659</v>
      </c>
      <c r="B5647" t="s">
        <v>376</v>
      </c>
      <c r="C5647">
        <v>31</v>
      </c>
      <c r="D5647" t="str">
        <f>VLOOKUP(B5647,Products!$A:$E,2,FALSE)</f>
        <v>Product_184</v>
      </c>
      <c r="E5647" t="str">
        <f>VLOOKUP(B5647,Products!$A:$E,3,FALSE)</f>
        <v>Electronics</v>
      </c>
    </row>
    <row r="5648" spans="1:5" x14ac:dyDescent="0.3">
      <c r="A5648" t="s">
        <v>11660</v>
      </c>
      <c r="B5648" t="s">
        <v>420</v>
      </c>
      <c r="C5648">
        <v>33</v>
      </c>
      <c r="D5648" t="str">
        <f>VLOOKUP(B5648,Products!$A:$E,2,FALSE)</f>
        <v>Product_206</v>
      </c>
      <c r="E5648" t="str">
        <f>VLOOKUP(B5648,Products!$A:$E,3,FALSE)</f>
        <v>Accessories</v>
      </c>
    </row>
    <row r="5649" spans="1:5" x14ac:dyDescent="0.3">
      <c r="A5649" t="s">
        <v>11661</v>
      </c>
      <c r="B5649" t="s">
        <v>950</v>
      </c>
      <c r="C5649">
        <v>16</v>
      </c>
      <c r="D5649" t="str">
        <f>VLOOKUP(B5649,Products!$A:$E,2,FALSE)</f>
        <v>Product_471</v>
      </c>
      <c r="E5649" t="str">
        <f>VLOOKUP(B5649,Products!$A:$E,3,FALSE)</f>
        <v>Office Supplies</v>
      </c>
    </row>
    <row r="5650" spans="1:5" x14ac:dyDescent="0.3">
      <c r="A5650" t="s">
        <v>11662</v>
      </c>
      <c r="B5650" t="s">
        <v>938</v>
      </c>
      <c r="C5650">
        <v>9</v>
      </c>
      <c r="D5650" t="str">
        <f>VLOOKUP(B5650,Products!$A:$E,2,FALSE)</f>
        <v>Product_465</v>
      </c>
      <c r="E5650" t="str">
        <f>VLOOKUP(B5650,Products!$A:$E,3,FALSE)</f>
        <v>Electronics</v>
      </c>
    </row>
    <row r="5651" spans="1:5" x14ac:dyDescent="0.3">
      <c r="A5651" t="s">
        <v>11663</v>
      </c>
      <c r="B5651" t="s">
        <v>132</v>
      </c>
      <c r="C5651">
        <v>2</v>
      </c>
      <c r="D5651" t="str">
        <f>VLOOKUP(B5651,Products!$A:$E,2,FALSE)</f>
        <v>Product_62</v>
      </c>
      <c r="E5651" t="str">
        <f>VLOOKUP(B5651,Products!$A:$E,3,FALSE)</f>
        <v>Accessories</v>
      </c>
    </row>
    <row r="5652" spans="1:5" x14ac:dyDescent="0.3">
      <c r="A5652" t="s">
        <v>11664</v>
      </c>
      <c r="B5652" t="s">
        <v>174</v>
      </c>
      <c r="C5652">
        <v>6</v>
      </c>
      <c r="D5652" t="str">
        <f>VLOOKUP(B5652,Products!$A:$E,2,FALSE)</f>
        <v>Product_83</v>
      </c>
      <c r="E5652" t="str">
        <f>VLOOKUP(B5652,Products!$A:$E,3,FALSE)</f>
        <v>Accessories</v>
      </c>
    </row>
    <row r="5653" spans="1:5" x14ac:dyDescent="0.3">
      <c r="A5653" t="s">
        <v>11665</v>
      </c>
      <c r="B5653" t="s">
        <v>594</v>
      </c>
      <c r="C5653">
        <v>12</v>
      </c>
      <c r="D5653" t="str">
        <f>VLOOKUP(B5653,Products!$A:$E,2,FALSE)</f>
        <v>Product_293</v>
      </c>
      <c r="E5653" t="str">
        <f>VLOOKUP(B5653,Products!$A:$E,3,FALSE)</f>
        <v>Networking</v>
      </c>
    </row>
    <row r="5654" spans="1:5" x14ac:dyDescent="0.3">
      <c r="A5654" t="s">
        <v>11666</v>
      </c>
      <c r="B5654" t="s">
        <v>690</v>
      </c>
      <c r="C5654">
        <v>13</v>
      </c>
      <c r="D5654" t="str">
        <f>VLOOKUP(B5654,Products!$A:$E,2,FALSE)</f>
        <v>Product_341</v>
      </c>
      <c r="E5654" t="str">
        <f>VLOOKUP(B5654,Products!$A:$E,3,FALSE)</f>
        <v>Storage</v>
      </c>
    </row>
    <row r="5655" spans="1:5" x14ac:dyDescent="0.3">
      <c r="A5655" t="s">
        <v>11667</v>
      </c>
      <c r="B5655" t="s">
        <v>466</v>
      </c>
      <c r="C5655">
        <v>43</v>
      </c>
      <c r="D5655" t="str">
        <f>VLOOKUP(B5655,Products!$A:$E,2,FALSE)</f>
        <v>Product_229</v>
      </c>
      <c r="E5655" t="str">
        <f>VLOOKUP(B5655,Products!$A:$E,3,FALSE)</f>
        <v>Accessories</v>
      </c>
    </row>
    <row r="5656" spans="1:5" x14ac:dyDescent="0.3">
      <c r="A5656" t="s">
        <v>11668</v>
      </c>
      <c r="B5656" t="s">
        <v>568</v>
      </c>
      <c r="C5656">
        <v>24</v>
      </c>
      <c r="D5656" t="str">
        <f>VLOOKUP(B5656,Products!$A:$E,2,FALSE)</f>
        <v>Product_280</v>
      </c>
      <c r="E5656" t="str">
        <f>VLOOKUP(B5656,Products!$A:$E,3,FALSE)</f>
        <v>Electronics</v>
      </c>
    </row>
    <row r="5657" spans="1:5" x14ac:dyDescent="0.3">
      <c r="A5657" t="s">
        <v>11669</v>
      </c>
      <c r="B5657" t="s">
        <v>580</v>
      </c>
      <c r="C5657">
        <v>17</v>
      </c>
      <c r="D5657" t="str">
        <f>VLOOKUP(B5657,Products!$A:$E,2,FALSE)</f>
        <v>Product_286</v>
      </c>
      <c r="E5657" t="str">
        <f>VLOOKUP(B5657,Products!$A:$E,3,FALSE)</f>
        <v>Storage</v>
      </c>
    </row>
    <row r="5658" spans="1:5" x14ac:dyDescent="0.3">
      <c r="A5658" t="s">
        <v>11670</v>
      </c>
      <c r="B5658" t="s">
        <v>498</v>
      </c>
      <c r="C5658">
        <v>5</v>
      </c>
      <c r="D5658" t="str">
        <f>VLOOKUP(B5658,Products!$A:$E,2,FALSE)</f>
        <v>Product_245</v>
      </c>
      <c r="E5658" t="str">
        <f>VLOOKUP(B5658,Products!$A:$E,3,FALSE)</f>
        <v>Office Supplies</v>
      </c>
    </row>
    <row r="5659" spans="1:5" x14ac:dyDescent="0.3">
      <c r="A5659" t="s">
        <v>11671</v>
      </c>
      <c r="B5659" t="s">
        <v>1004</v>
      </c>
      <c r="C5659">
        <v>43</v>
      </c>
      <c r="D5659" t="str">
        <f>VLOOKUP(B5659,Products!$A:$E,2,FALSE)</f>
        <v>Product_498</v>
      </c>
      <c r="E5659" t="str">
        <f>VLOOKUP(B5659,Products!$A:$E,3,FALSE)</f>
        <v>Office Supplies</v>
      </c>
    </row>
    <row r="5660" spans="1:5" x14ac:dyDescent="0.3">
      <c r="A5660" t="s">
        <v>11672</v>
      </c>
      <c r="B5660" t="s">
        <v>198</v>
      </c>
      <c r="C5660">
        <v>38</v>
      </c>
      <c r="D5660" t="str">
        <f>VLOOKUP(B5660,Products!$A:$E,2,FALSE)</f>
        <v>Product_95</v>
      </c>
      <c r="E5660" t="str">
        <f>VLOOKUP(B5660,Products!$A:$E,3,FALSE)</f>
        <v>Electronics</v>
      </c>
    </row>
    <row r="5661" spans="1:5" x14ac:dyDescent="0.3">
      <c r="A5661" t="s">
        <v>11673</v>
      </c>
      <c r="B5661" t="s">
        <v>432</v>
      </c>
      <c r="C5661">
        <v>8</v>
      </c>
      <c r="D5661" t="str">
        <f>VLOOKUP(B5661,Products!$A:$E,2,FALSE)</f>
        <v>Product_212</v>
      </c>
      <c r="E5661" t="str">
        <f>VLOOKUP(B5661,Products!$A:$E,3,FALSE)</f>
        <v>Networking</v>
      </c>
    </row>
    <row r="5662" spans="1:5" x14ac:dyDescent="0.3">
      <c r="A5662" t="s">
        <v>11674</v>
      </c>
      <c r="B5662" t="s">
        <v>582</v>
      </c>
      <c r="C5662">
        <v>3</v>
      </c>
      <c r="D5662" t="str">
        <f>VLOOKUP(B5662,Products!$A:$E,2,FALSE)</f>
        <v>Product_287</v>
      </c>
      <c r="E5662" t="str">
        <f>VLOOKUP(B5662,Products!$A:$E,3,FALSE)</f>
        <v>Storage</v>
      </c>
    </row>
    <row r="5663" spans="1:5" x14ac:dyDescent="0.3">
      <c r="A5663" t="s">
        <v>11675</v>
      </c>
      <c r="B5663" t="s">
        <v>246</v>
      </c>
      <c r="C5663">
        <v>13</v>
      </c>
      <c r="D5663" t="str">
        <f>VLOOKUP(B5663,Products!$A:$E,2,FALSE)</f>
        <v>Product_119</v>
      </c>
      <c r="E5663" t="str">
        <f>VLOOKUP(B5663,Products!$A:$E,3,FALSE)</f>
        <v>Electronics</v>
      </c>
    </row>
    <row r="5664" spans="1:5" x14ac:dyDescent="0.3">
      <c r="A5664" t="s">
        <v>11676</v>
      </c>
      <c r="B5664" t="s">
        <v>160</v>
      </c>
      <c r="C5664">
        <v>20</v>
      </c>
      <c r="D5664" t="str">
        <f>VLOOKUP(B5664,Products!$A:$E,2,FALSE)</f>
        <v>Product_76</v>
      </c>
      <c r="E5664" t="str">
        <f>VLOOKUP(B5664,Products!$A:$E,3,FALSE)</f>
        <v>Accessories</v>
      </c>
    </row>
    <row r="5665" spans="1:5" x14ac:dyDescent="0.3">
      <c r="A5665" t="s">
        <v>11677</v>
      </c>
      <c r="B5665" t="s">
        <v>146</v>
      </c>
      <c r="C5665">
        <v>48</v>
      </c>
      <c r="D5665" t="str">
        <f>VLOOKUP(B5665,Products!$A:$E,2,FALSE)</f>
        <v>Product_69</v>
      </c>
      <c r="E5665" t="str">
        <f>VLOOKUP(B5665,Products!$A:$E,3,FALSE)</f>
        <v>Electronics</v>
      </c>
    </row>
    <row r="5666" spans="1:5" x14ac:dyDescent="0.3">
      <c r="A5666" t="s">
        <v>11678</v>
      </c>
      <c r="B5666" t="s">
        <v>728</v>
      </c>
      <c r="C5666">
        <v>26</v>
      </c>
      <c r="D5666" t="str">
        <f>VLOOKUP(B5666,Products!$A:$E,2,FALSE)</f>
        <v>Product_360</v>
      </c>
      <c r="E5666" t="str">
        <f>VLOOKUP(B5666,Products!$A:$E,3,FALSE)</f>
        <v>Office Supplies</v>
      </c>
    </row>
    <row r="5667" spans="1:5" x14ac:dyDescent="0.3">
      <c r="A5667" t="s">
        <v>11679</v>
      </c>
      <c r="B5667" t="s">
        <v>20</v>
      </c>
      <c r="C5667">
        <v>24</v>
      </c>
      <c r="D5667" t="str">
        <f>VLOOKUP(B5667,Products!$A:$E,2,FALSE)</f>
        <v>Product_6</v>
      </c>
      <c r="E5667" t="str">
        <f>VLOOKUP(B5667,Products!$A:$E,3,FALSE)</f>
        <v>Electronics</v>
      </c>
    </row>
    <row r="5668" spans="1:5" x14ac:dyDescent="0.3">
      <c r="A5668" t="s">
        <v>11680</v>
      </c>
      <c r="B5668" t="s">
        <v>70</v>
      </c>
      <c r="C5668">
        <v>33</v>
      </c>
      <c r="D5668" t="str">
        <f>VLOOKUP(B5668,Products!$A:$E,2,FALSE)</f>
        <v>Product_31</v>
      </c>
      <c r="E5668" t="str">
        <f>VLOOKUP(B5668,Products!$A:$E,3,FALSE)</f>
        <v>Accessories</v>
      </c>
    </row>
    <row r="5669" spans="1:5" x14ac:dyDescent="0.3">
      <c r="A5669" t="s">
        <v>11681</v>
      </c>
      <c r="B5669" t="s">
        <v>816</v>
      </c>
      <c r="C5669">
        <v>1</v>
      </c>
      <c r="D5669" t="str">
        <f>VLOOKUP(B5669,Products!$A:$E,2,FALSE)</f>
        <v>Product_404</v>
      </c>
      <c r="E5669" t="str">
        <f>VLOOKUP(B5669,Products!$A:$E,3,FALSE)</f>
        <v>Storage</v>
      </c>
    </row>
    <row r="5670" spans="1:5" x14ac:dyDescent="0.3">
      <c r="A5670" t="s">
        <v>11682</v>
      </c>
      <c r="B5670" t="s">
        <v>124</v>
      </c>
      <c r="C5670">
        <v>34</v>
      </c>
      <c r="D5670" t="str">
        <f>VLOOKUP(B5670,Products!$A:$E,2,FALSE)</f>
        <v>Product_58</v>
      </c>
      <c r="E5670" t="str">
        <f>VLOOKUP(B5670,Products!$A:$E,3,FALSE)</f>
        <v>Office Supplies</v>
      </c>
    </row>
    <row r="5671" spans="1:5" x14ac:dyDescent="0.3">
      <c r="A5671" t="s">
        <v>11683</v>
      </c>
      <c r="B5671" t="s">
        <v>690</v>
      </c>
      <c r="C5671">
        <v>18</v>
      </c>
      <c r="D5671" t="str">
        <f>VLOOKUP(B5671,Products!$A:$E,2,FALSE)</f>
        <v>Product_341</v>
      </c>
      <c r="E5671" t="str">
        <f>VLOOKUP(B5671,Products!$A:$E,3,FALSE)</f>
        <v>Storage</v>
      </c>
    </row>
    <row r="5672" spans="1:5" x14ac:dyDescent="0.3">
      <c r="A5672" t="s">
        <v>11684</v>
      </c>
      <c r="B5672" t="s">
        <v>608</v>
      </c>
      <c r="C5672">
        <v>34</v>
      </c>
      <c r="D5672" t="str">
        <f>VLOOKUP(B5672,Products!$A:$E,2,FALSE)</f>
        <v>Product_300</v>
      </c>
      <c r="E5672" t="str">
        <f>VLOOKUP(B5672,Products!$A:$E,3,FALSE)</f>
        <v>Accessories</v>
      </c>
    </row>
    <row r="5673" spans="1:5" x14ac:dyDescent="0.3">
      <c r="A5673" t="s">
        <v>11685</v>
      </c>
      <c r="B5673" t="s">
        <v>17</v>
      </c>
      <c r="C5673">
        <v>20</v>
      </c>
      <c r="D5673" t="str">
        <f>VLOOKUP(B5673,Products!$A:$E,2,FALSE)</f>
        <v>Product_5</v>
      </c>
      <c r="E5673" t="str">
        <f>VLOOKUP(B5673,Products!$A:$E,3,FALSE)</f>
        <v>Networking</v>
      </c>
    </row>
    <row r="5674" spans="1:5" x14ac:dyDescent="0.3">
      <c r="A5674" t="s">
        <v>11686</v>
      </c>
      <c r="B5674" t="s">
        <v>910</v>
      </c>
      <c r="C5674">
        <v>9</v>
      </c>
      <c r="D5674" t="str">
        <f>VLOOKUP(B5674,Products!$A:$E,2,FALSE)</f>
        <v>Product_451</v>
      </c>
      <c r="E5674" t="str">
        <f>VLOOKUP(B5674,Products!$A:$E,3,FALSE)</f>
        <v>Accessories</v>
      </c>
    </row>
    <row r="5675" spans="1:5" x14ac:dyDescent="0.3">
      <c r="A5675" t="s">
        <v>11687</v>
      </c>
      <c r="B5675" t="s">
        <v>336</v>
      </c>
      <c r="C5675">
        <v>16</v>
      </c>
      <c r="D5675" t="str">
        <f>VLOOKUP(B5675,Products!$A:$E,2,FALSE)</f>
        <v>Product_164</v>
      </c>
      <c r="E5675" t="str">
        <f>VLOOKUP(B5675,Products!$A:$E,3,FALSE)</f>
        <v>Networking</v>
      </c>
    </row>
    <row r="5676" spans="1:5" x14ac:dyDescent="0.3">
      <c r="A5676" t="s">
        <v>11688</v>
      </c>
      <c r="B5676" t="s">
        <v>890</v>
      </c>
      <c r="C5676">
        <v>31</v>
      </c>
      <c r="D5676" t="str">
        <f>VLOOKUP(B5676,Products!$A:$E,2,FALSE)</f>
        <v>Product_441</v>
      </c>
      <c r="E5676" t="str">
        <f>VLOOKUP(B5676,Products!$A:$E,3,FALSE)</f>
        <v>Storage</v>
      </c>
    </row>
    <row r="5677" spans="1:5" x14ac:dyDescent="0.3">
      <c r="A5677" t="s">
        <v>11689</v>
      </c>
      <c r="B5677" t="s">
        <v>830</v>
      </c>
      <c r="C5677">
        <v>14</v>
      </c>
      <c r="D5677" t="str">
        <f>VLOOKUP(B5677,Products!$A:$E,2,FALSE)</f>
        <v>Product_411</v>
      </c>
      <c r="E5677" t="str">
        <f>VLOOKUP(B5677,Products!$A:$E,3,FALSE)</f>
        <v>Office Supplies</v>
      </c>
    </row>
    <row r="5678" spans="1:5" x14ac:dyDescent="0.3">
      <c r="A5678" t="s">
        <v>11690</v>
      </c>
      <c r="B5678" t="s">
        <v>202</v>
      </c>
      <c r="C5678">
        <v>43</v>
      </c>
      <c r="D5678" t="str">
        <f>VLOOKUP(B5678,Products!$A:$E,2,FALSE)</f>
        <v>Product_97</v>
      </c>
      <c r="E5678" t="str">
        <f>VLOOKUP(B5678,Products!$A:$E,3,FALSE)</f>
        <v>Accessories</v>
      </c>
    </row>
    <row r="5679" spans="1:5" x14ac:dyDescent="0.3">
      <c r="A5679" t="s">
        <v>11691</v>
      </c>
      <c r="B5679" t="s">
        <v>496</v>
      </c>
      <c r="C5679">
        <v>31</v>
      </c>
      <c r="D5679" t="str">
        <f>VLOOKUP(B5679,Products!$A:$E,2,FALSE)</f>
        <v>Product_244</v>
      </c>
      <c r="E5679" t="str">
        <f>VLOOKUP(B5679,Products!$A:$E,3,FALSE)</f>
        <v>Accessories</v>
      </c>
    </row>
    <row r="5680" spans="1:5" x14ac:dyDescent="0.3">
      <c r="A5680" t="s">
        <v>11692</v>
      </c>
      <c r="B5680" t="s">
        <v>500</v>
      </c>
      <c r="C5680">
        <v>14</v>
      </c>
      <c r="D5680" t="str">
        <f>VLOOKUP(B5680,Products!$A:$E,2,FALSE)</f>
        <v>Product_246</v>
      </c>
      <c r="E5680" t="str">
        <f>VLOOKUP(B5680,Products!$A:$E,3,FALSE)</f>
        <v>Electronics</v>
      </c>
    </row>
    <row r="5681" spans="1:5" x14ac:dyDescent="0.3">
      <c r="A5681" t="s">
        <v>11693</v>
      </c>
      <c r="B5681" t="s">
        <v>110</v>
      </c>
      <c r="C5681">
        <v>12</v>
      </c>
      <c r="D5681" t="str">
        <f>VLOOKUP(B5681,Products!$A:$E,2,FALSE)</f>
        <v>Product_51</v>
      </c>
      <c r="E5681" t="str">
        <f>VLOOKUP(B5681,Products!$A:$E,3,FALSE)</f>
        <v>Storage</v>
      </c>
    </row>
    <row r="5682" spans="1:5" x14ac:dyDescent="0.3">
      <c r="A5682" t="s">
        <v>11694</v>
      </c>
      <c r="B5682" t="s">
        <v>406</v>
      </c>
      <c r="C5682">
        <v>36</v>
      </c>
      <c r="D5682" t="str">
        <f>VLOOKUP(B5682,Products!$A:$E,2,FALSE)</f>
        <v>Product_199</v>
      </c>
      <c r="E5682" t="str">
        <f>VLOOKUP(B5682,Products!$A:$E,3,FALSE)</f>
        <v>Storage</v>
      </c>
    </row>
    <row r="5683" spans="1:5" x14ac:dyDescent="0.3">
      <c r="A5683" t="s">
        <v>11695</v>
      </c>
      <c r="B5683" t="s">
        <v>658</v>
      </c>
      <c r="C5683">
        <v>41</v>
      </c>
      <c r="D5683" t="str">
        <f>VLOOKUP(B5683,Products!$A:$E,2,FALSE)</f>
        <v>Product_325</v>
      </c>
      <c r="E5683" t="str">
        <f>VLOOKUP(B5683,Products!$A:$E,3,FALSE)</f>
        <v>Networking</v>
      </c>
    </row>
    <row r="5684" spans="1:5" x14ac:dyDescent="0.3">
      <c r="A5684" t="s">
        <v>11696</v>
      </c>
      <c r="B5684" t="s">
        <v>564</v>
      </c>
      <c r="C5684">
        <v>5</v>
      </c>
      <c r="D5684" t="str">
        <f>VLOOKUP(B5684,Products!$A:$E,2,FALSE)</f>
        <v>Product_278</v>
      </c>
      <c r="E5684" t="str">
        <f>VLOOKUP(B5684,Products!$A:$E,3,FALSE)</f>
        <v>Electronics</v>
      </c>
    </row>
    <row r="5685" spans="1:5" x14ac:dyDescent="0.3">
      <c r="A5685" t="s">
        <v>11697</v>
      </c>
      <c r="B5685" t="s">
        <v>158</v>
      </c>
      <c r="C5685">
        <v>43</v>
      </c>
      <c r="D5685" t="str">
        <f>VLOOKUP(B5685,Products!$A:$E,2,FALSE)</f>
        <v>Product_75</v>
      </c>
      <c r="E5685" t="str">
        <f>VLOOKUP(B5685,Products!$A:$E,3,FALSE)</f>
        <v>Storage</v>
      </c>
    </row>
    <row r="5686" spans="1:5" x14ac:dyDescent="0.3">
      <c r="A5686" t="s">
        <v>11698</v>
      </c>
      <c r="B5686" t="s">
        <v>140</v>
      </c>
      <c r="C5686">
        <v>33</v>
      </c>
      <c r="D5686" t="str">
        <f>VLOOKUP(B5686,Products!$A:$E,2,FALSE)</f>
        <v>Product_66</v>
      </c>
      <c r="E5686" t="str">
        <f>VLOOKUP(B5686,Products!$A:$E,3,FALSE)</f>
        <v>Electronics</v>
      </c>
    </row>
    <row r="5687" spans="1:5" x14ac:dyDescent="0.3">
      <c r="A5687" t="s">
        <v>11699</v>
      </c>
      <c r="B5687" t="s">
        <v>158</v>
      </c>
      <c r="C5687">
        <v>49</v>
      </c>
      <c r="D5687" t="str">
        <f>VLOOKUP(B5687,Products!$A:$E,2,FALSE)</f>
        <v>Product_75</v>
      </c>
      <c r="E5687" t="str">
        <f>VLOOKUP(B5687,Products!$A:$E,3,FALSE)</f>
        <v>Storage</v>
      </c>
    </row>
    <row r="5688" spans="1:5" x14ac:dyDescent="0.3">
      <c r="A5688" t="s">
        <v>11700</v>
      </c>
      <c r="B5688" t="s">
        <v>78</v>
      </c>
      <c r="C5688">
        <v>31</v>
      </c>
      <c r="D5688" t="str">
        <f>VLOOKUP(B5688,Products!$A:$E,2,FALSE)</f>
        <v>Product_35</v>
      </c>
      <c r="E5688" t="str">
        <f>VLOOKUP(B5688,Products!$A:$E,3,FALSE)</f>
        <v>Electronics</v>
      </c>
    </row>
    <row r="5689" spans="1:5" x14ac:dyDescent="0.3">
      <c r="A5689" t="s">
        <v>11701</v>
      </c>
      <c r="B5689" t="s">
        <v>534</v>
      </c>
      <c r="C5689">
        <v>5</v>
      </c>
      <c r="D5689" t="str">
        <f>VLOOKUP(B5689,Products!$A:$E,2,FALSE)</f>
        <v>Product_263</v>
      </c>
      <c r="E5689" t="str">
        <f>VLOOKUP(B5689,Products!$A:$E,3,FALSE)</f>
        <v>Accessories</v>
      </c>
    </row>
    <row r="5690" spans="1:5" x14ac:dyDescent="0.3">
      <c r="A5690" t="s">
        <v>11702</v>
      </c>
      <c r="B5690" t="s">
        <v>588</v>
      </c>
      <c r="C5690">
        <v>11</v>
      </c>
      <c r="D5690" t="str">
        <f>VLOOKUP(B5690,Products!$A:$E,2,FALSE)</f>
        <v>Product_290</v>
      </c>
      <c r="E5690" t="str">
        <f>VLOOKUP(B5690,Products!$A:$E,3,FALSE)</f>
        <v>Accessories</v>
      </c>
    </row>
    <row r="5691" spans="1:5" x14ac:dyDescent="0.3">
      <c r="A5691" t="s">
        <v>11703</v>
      </c>
      <c r="B5691" t="s">
        <v>262</v>
      </c>
      <c r="C5691">
        <v>41</v>
      </c>
      <c r="D5691" t="str">
        <f>VLOOKUP(B5691,Products!$A:$E,2,FALSE)</f>
        <v>Product_127</v>
      </c>
      <c r="E5691" t="str">
        <f>VLOOKUP(B5691,Products!$A:$E,3,FALSE)</f>
        <v>Networking</v>
      </c>
    </row>
    <row r="5692" spans="1:5" x14ac:dyDescent="0.3">
      <c r="A5692" t="s">
        <v>11704</v>
      </c>
      <c r="B5692" t="s">
        <v>780</v>
      </c>
      <c r="C5692">
        <v>27</v>
      </c>
      <c r="D5692" t="str">
        <f>VLOOKUP(B5692,Products!$A:$E,2,FALSE)</f>
        <v>Product_386</v>
      </c>
      <c r="E5692" t="str">
        <f>VLOOKUP(B5692,Products!$A:$E,3,FALSE)</f>
        <v>Electronics</v>
      </c>
    </row>
    <row r="5693" spans="1:5" x14ac:dyDescent="0.3">
      <c r="A5693" t="s">
        <v>11705</v>
      </c>
      <c r="B5693" t="s">
        <v>868</v>
      </c>
      <c r="C5693">
        <v>41</v>
      </c>
      <c r="D5693" t="str">
        <f>VLOOKUP(B5693,Products!$A:$E,2,FALSE)</f>
        <v>Product_430</v>
      </c>
      <c r="E5693" t="str">
        <f>VLOOKUP(B5693,Products!$A:$E,3,FALSE)</f>
        <v>Electronics</v>
      </c>
    </row>
    <row r="5694" spans="1:5" x14ac:dyDescent="0.3">
      <c r="A5694" t="s">
        <v>11706</v>
      </c>
      <c r="B5694" t="s">
        <v>380</v>
      </c>
      <c r="C5694">
        <v>15</v>
      </c>
      <c r="D5694" t="str">
        <f>VLOOKUP(B5694,Products!$A:$E,2,FALSE)</f>
        <v>Product_186</v>
      </c>
      <c r="E5694" t="str">
        <f>VLOOKUP(B5694,Products!$A:$E,3,FALSE)</f>
        <v>Accessories</v>
      </c>
    </row>
    <row r="5695" spans="1:5" x14ac:dyDescent="0.3">
      <c r="A5695" t="s">
        <v>11707</v>
      </c>
      <c r="B5695" t="s">
        <v>856</v>
      </c>
      <c r="C5695">
        <v>17</v>
      </c>
      <c r="D5695" t="str">
        <f>VLOOKUP(B5695,Products!$A:$E,2,FALSE)</f>
        <v>Product_424</v>
      </c>
      <c r="E5695" t="str">
        <f>VLOOKUP(B5695,Products!$A:$E,3,FALSE)</f>
        <v>Networking</v>
      </c>
    </row>
    <row r="5696" spans="1:5" x14ac:dyDescent="0.3">
      <c r="A5696" t="s">
        <v>11708</v>
      </c>
      <c r="B5696" t="s">
        <v>426</v>
      </c>
      <c r="C5696">
        <v>4</v>
      </c>
      <c r="D5696" t="str">
        <f>VLOOKUP(B5696,Products!$A:$E,2,FALSE)</f>
        <v>Product_209</v>
      </c>
      <c r="E5696" t="str">
        <f>VLOOKUP(B5696,Products!$A:$E,3,FALSE)</f>
        <v>Networking</v>
      </c>
    </row>
    <row r="5697" spans="1:5" x14ac:dyDescent="0.3">
      <c r="A5697" t="s">
        <v>11709</v>
      </c>
      <c r="B5697" t="s">
        <v>780</v>
      </c>
      <c r="C5697">
        <v>28</v>
      </c>
      <c r="D5697" t="str">
        <f>VLOOKUP(B5697,Products!$A:$E,2,FALSE)</f>
        <v>Product_386</v>
      </c>
      <c r="E5697" t="str">
        <f>VLOOKUP(B5697,Products!$A:$E,3,FALSE)</f>
        <v>Electronics</v>
      </c>
    </row>
    <row r="5698" spans="1:5" x14ac:dyDescent="0.3">
      <c r="A5698" t="s">
        <v>11710</v>
      </c>
      <c r="B5698" t="s">
        <v>52</v>
      </c>
      <c r="C5698">
        <v>21</v>
      </c>
      <c r="D5698" t="str">
        <f>VLOOKUP(B5698,Products!$A:$E,2,FALSE)</f>
        <v>Product_22</v>
      </c>
      <c r="E5698" t="str">
        <f>VLOOKUP(B5698,Products!$A:$E,3,FALSE)</f>
        <v>Electronics</v>
      </c>
    </row>
    <row r="5699" spans="1:5" x14ac:dyDescent="0.3">
      <c r="A5699" t="s">
        <v>11711</v>
      </c>
      <c r="B5699" t="s">
        <v>808</v>
      </c>
      <c r="C5699">
        <v>26</v>
      </c>
      <c r="D5699" t="str">
        <f>VLOOKUP(B5699,Products!$A:$E,2,FALSE)</f>
        <v>Product_400</v>
      </c>
      <c r="E5699" t="str">
        <f>VLOOKUP(B5699,Products!$A:$E,3,FALSE)</f>
        <v>Networking</v>
      </c>
    </row>
    <row r="5700" spans="1:5" x14ac:dyDescent="0.3">
      <c r="A5700" t="s">
        <v>11712</v>
      </c>
      <c r="B5700" t="s">
        <v>38</v>
      </c>
      <c r="C5700">
        <v>13</v>
      </c>
      <c r="D5700" t="str">
        <f>VLOOKUP(B5700,Products!$A:$E,2,FALSE)</f>
        <v>Product_15</v>
      </c>
      <c r="E5700" t="str">
        <f>VLOOKUP(B5700,Products!$A:$E,3,FALSE)</f>
        <v>Electronics</v>
      </c>
    </row>
    <row r="5701" spans="1:5" x14ac:dyDescent="0.3">
      <c r="A5701" t="s">
        <v>11713</v>
      </c>
      <c r="B5701" t="s">
        <v>696</v>
      </c>
      <c r="C5701">
        <v>47</v>
      </c>
      <c r="D5701" t="str">
        <f>VLOOKUP(B5701,Products!$A:$E,2,FALSE)</f>
        <v>Product_344</v>
      </c>
      <c r="E5701" t="str">
        <f>VLOOKUP(B5701,Products!$A:$E,3,FALSE)</f>
        <v>Accessories</v>
      </c>
    </row>
    <row r="5702" spans="1:5" x14ac:dyDescent="0.3">
      <c r="A5702" t="s">
        <v>11714</v>
      </c>
      <c r="B5702" t="s">
        <v>962</v>
      </c>
      <c r="C5702">
        <v>24</v>
      </c>
      <c r="D5702" t="str">
        <f>VLOOKUP(B5702,Products!$A:$E,2,FALSE)</f>
        <v>Product_477</v>
      </c>
      <c r="E5702" t="str">
        <f>VLOOKUP(B5702,Products!$A:$E,3,FALSE)</f>
        <v>Networking</v>
      </c>
    </row>
    <row r="5703" spans="1:5" x14ac:dyDescent="0.3">
      <c r="A5703" t="s">
        <v>11715</v>
      </c>
      <c r="B5703" t="s">
        <v>410</v>
      </c>
      <c r="C5703">
        <v>29</v>
      </c>
      <c r="D5703" t="str">
        <f>VLOOKUP(B5703,Products!$A:$E,2,FALSE)</f>
        <v>Product_201</v>
      </c>
      <c r="E5703" t="str">
        <f>VLOOKUP(B5703,Products!$A:$E,3,FALSE)</f>
        <v>Networking</v>
      </c>
    </row>
    <row r="5704" spans="1:5" x14ac:dyDescent="0.3">
      <c r="A5704" t="s">
        <v>11716</v>
      </c>
      <c r="B5704" t="s">
        <v>630</v>
      </c>
      <c r="C5704">
        <v>15</v>
      </c>
      <c r="D5704" t="str">
        <f>VLOOKUP(B5704,Products!$A:$E,2,FALSE)</f>
        <v>Product_311</v>
      </c>
      <c r="E5704" t="str">
        <f>VLOOKUP(B5704,Products!$A:$E,3,FALSE)</f>
        <v>Networking</v>
      </c>
    </row>
    <row r="5705" spans="1:5" x14ac:dyDescent="0.3">
      <c r="A5705" t="s">
        <v>11717</v>
      </c>
      <c r="B5705" t="s">
        <v>776</v>
      </c>
      <c r="C5705">
        <v>9</v>
      </c>
      <c r="D5705" t="str">
        <f>VLOOKUP(B5705,Products!$A:$E,2,FALSE)</f>
        <v>Product_384</v>
      </c>
      <c r="E5705" t="str">
        <f>VLOOKUP(B5705,Products!$A:$E,3,FALSE)</f>
        <v>Office Supplies</v>
      </c>
    </row>
    <row r="5706" spans="1:5" x14ac:dyDescent="0.3">
      <c r="A5706" t="s">
        <v>11718</v>
      </c>
      <c r="B5706" t="s">
        <v>500</v>
      </c>
      <c r="C5706">
        <v>40</v>
      </c>
      <c r="D5706" t="str">
        <f>VLOOKUP(B5706,Products!$A:$E,2,FALSE)</f>
        <v>Product_246</v>
      </c>
      <c r="E5706" t="str">
        <f>VLOOKUP(B5706,Products!$A:$E,3,FALSE)</f>
        <v>Electronics</v>
      </c>
    </row>
    <row r="5707" spans="1:5" x14ac:dyDescent="0.3">
      <c r="A5707" t="s">
        <v>11719</v>
      </c>
      <c r="B5707" t="s">
        <v>982</v>
      </c>
      <c r="C5707">
        <v>33</v>
      </c>
      <c r="D5707" t="str">
        <f>VLOOKUP(B5707,Products!$A:$E,2,FALSE)</f>
        <v>Product_487</v>
      </c>
      <c r="E5707" t="str">
        <f>VLOOKUP(B5707,Products!$A:$E,3,FALSE)</f>
        <v>Networking</v>
      </c>
    </row>
    <row r="5708" spans="1:5" x14ac:dyDescent="0.3">
      <c r="A5708" t="s">
        <v>11720</v>
      </c>
      <c r="B5708" t="s">
        <v>920</v>
      </c>
      <c r="C5708">
        <v>27</v>
      </c>
      <c r="D5708" t="str">
        <f>VLOOKUP(B5708,Products!$A:$E,2,FALSE)</f>
        <v>Product_456</v>
      </c>
      <c r="E5708" t="str">
        <f>VLOOKUP(B5708,Products!$A:$E,3,FALSE)</f>
        <v>Electronics</v>
      </c>
    </row>
    <row r="5709" spans="1:5" x14ac:dyDescent="0.3">
      <c r="A5709" t="s">
        <v>11721</v>
      </c>
      <c r="B5709" t="s">
        <v>670</v>
      </c>
      <c r="C5709">
        <v>49</v>
      </c>
      <c r="D5709" t="str">
        <f>VLOOKUP(B5709,Products!$A:$E,2,FALSE)</f>
        <v>Product_331</v>
      </c>
      <c r="E5709" t="str">
        <f>VLOOKUP(B5709,Products!$A:$E,3,FALSE)</f>
        <v>Electronics</v>
      </c>
    </row>
    <row r="5710" spans="1:5" x14ac:dyDescent="0.3">
      <c r="A5710" t="s">
        <v>11722</v>
      </c>
      <c r="B5710" t="s">
        <v>660</v>
      </c>
      <c r="C5710">
        <v>11</v>
      </c>
      <c r="D5710" t="str">
        <f>VLOOKUP(B5710,Products!$A:$E,2,FALSE)</f>
        <v>Product_326</v>
      </c>
      <c r="E5710" t="str">
        <f>VLOOKUP(B5710,Products!$A:$E,3,FALSE)</f>
        <v>Electronics</v>
      </c>
    </row>
    <row r="5711" spans="1:5" x14ac:dyDescent="0.3">
      <c r="A5711" t="s">
        <v>11723</v>
      </c>
      <c r="B5711" t="s">
        <v>256</v>
      </c>
      <c r="C5711">
        <v>39</v>
      </c>
      <c r="D5711" t="str">
        <f>VLOOKUP(B5711,Products!$A:$E,2,FALSE)</f>
        <v>Product_124</v>
      </c>
      <c r="E5711" t="str">
        <f>VLOOKUP(B5711,Products!$A:$E,3,FALSE)</f>
        <v>Storage</v>
      </c>
    </row>
    <row r="5712" spans="1:5" x14ac:dyDescent="0.3">
      <c r="A5712" t="s">
        <v>11724</v>
      </c>
      <c r="B5712" t="s">
        <v>542</v>
      </c>
      <c r="C5712">
        <v>19</v>
      </c>
      <c r="D5712" t="str">
        <f>VLOOKUP(B5712,Products!$A:$E,2,FALSE)</f>
        <v>Product_267</v>
      </c>
      <c r="E5712" t="str">
        <f>VLOOKUP(B5712,Products!$A:$E,3,FALSE)</f>
        <v>Networking</v>
      </c>
    </row>
    <row r="5713" spans="1:5" x14ac:dyDescent="0.3">
      <c r="A5713" t="s">
        <v>11725</v>
      </c>
      <c r="B5713" t="s">
        <v>518</v>
      </c>
      <c r="C5713">
        <v>50</v>
      </c>
      <c r="D5713" t="str">
        <f>VLOOKUP(B5713,Products!$A:$E,2,FALSE)</f>
        <v>Product_255</v>
      </c>
      <c r="E5713" t="str">
        <f>VLOOKUP(B5713,Products!$A:$E,3,FALSE)</f>
        <v>Accessories</v>
      </c>
    </row>
    <row r="5714" spans="1:5" x14ac:dyDescent="0.3">
      <c r="A5714" t="s">
        <v>11726</v>
      </c>
      <c r="B5714" t="s">
        <v>86</v>
      </c>
      <c r="C5714">
        <v>28</v>
      </c>
      <c r="D5714" t="str">
        <f>VLOOKUP(B5714,Products!$A:$E,2,FALSE)</f>
        <v>Product_39</v>
      </c>
      <c r="E5714" t="str">
        <f>VLOOKUP(B5714,Products!$A:$E,3,FALSE)</f>
        <v>Networking</v>
      </c>
    </row>
    <row r="5715" spans="1:5" x14ac:dyDescent="0.3">
      <c r="A5715" t="s">
        <v>11727</v>
      </c>
      <c r="B5715" t="s">
        <v>624</v>
      </c>
      <c r="C5715">
        <v>2</v>
      </c>
      <c r="D5715" t="str">
        <f>VLOOKUP(B5715,Products!$A:$E,2,FALSE)</f>
        <v>Product_308</v>
      </c>
      <c r="E5715" t="str">
        <f>VLOOKUP(B5715,Products!$A:$E,3,FALSE)</f>
        <v>Storage</v>
      </c>
    </row>
    <row r="5716" spans="1:5" x14ac:dyDescent="0.3">
      <c r="A5716" t="s">
        <v>11728</v>
      </c>
      <c r="B5716" t="s">
        <v>436</v>
      </c>
      <c r="C5716">
        <v>5</v>
      </c>
      <c r="D5716" t="str">
        <f>VLOOKUP(B5716,Products!$A:$E,2,FALSE)</f>
        <v>Product_214</v>
      </c>
      <c r="E5716" t="str">
        <f>VLOOKUP(B5716,Products!$A:$E,3,FALSE)</f>
        <v>Electronics</v>
      </c>
    </row>
    <row r="5717" spans="1:5" x14ac:dyDescent="0.3">
      <c r="A5717" t="s">
        <v>11729</v>
      </c>
      <c r="B5717" t="s">
        <v>584</v>
      </c>
      <c r="C5717">
        <v>6</v>
      </c>
      <c r="D5717" t="str">
        <f>VLOOKUP(B5717,Products!$A:$E,2,FALSE)</f>
        <v>Product_288</v>
      </c>
      <c r="E5717" t="str">
        <f>VLOOKUP(B5717,Products!$A:$E,3,FALSE)</f>
        <v>Networking</v>
      </c>
    </row>
    <row r="5718" spans="1:5" x14ac:dyDescent="0.3">
      <c r="A5718" t="s">
        <v>11730</v>
      </c>
      <c r="B5718" t="s">
        <v>730</v>
      </c>
      <c r="C5718">
        <v>50</v>
      </c>
      <c r="D5718" t="str">
        <f>VLOOKUP(B5718,Products!$A:$E,2,FALSE)</f>
        <v>Product_361</v>
      </c>
      <c r="E5718" t="str">
        <f>VLOOKUP(B5718,Products!$A:$E,3,FALSE)</f>
        <v>Office Supplies</v>
      </c>
    </row>
    <row r="5719" spans="1:5" x14ac:dyDescent="0.3">
      <c r="A5719" t="s">
        <v>11731</v>
      </c>
      <c r="B5719" t="s">
        <v>158</v>
      </c>
      <c r="C5719">
        <v>50</v>
      </c>
      <c r="D5719" t="str">
        <f>VLOOKUP(B5719,Products!$A:$E,2,FALSE)</f>
        <v>Product_75</v>
      </c>
      <c r="E5719" t="str">
        <f>VLOOKUP(B5719,Products!$A:$E,3,FALSE)</f>
        <v>Storage</v>
      </c>
    </row>
    <row r="5720" spans="1:5" x14ac:dyDescent="0.3">
      <c r="A5720" t="s">
        <v>11732</v>
      </c>
      <c r="B5720" t="s">
        <v>666</v>
      </c>
      <c r="C5720">
        <v>3</v>
      </c>
      <c r="D5720" t="str">
        <f>VLOOKUP(B5720,Products!$A:$E,2,FALSE)</f>
        <v>Product_329</v>
      </c>
      <c r="E5720" t="str">
        <f>VLOOKUP(B5720,Products!$A:$E,3,FALSE)</f>
        <v>Office Supplies</v>
      </c>
    </row>
    <row r="5721" spans="1:5" x14ac:dyDescent="0.3">
      <c r="A5721" t="s">
        <v>11733</v>
      </c>
      <c r="B5721" t="s">
        <v>388</v>
      </c>
      <c r="C5721">
        <v>18</v>
      </c>
      <c r="D5721" t="str">
        <f>VLOOKUP(B5721,Products!$A:$E,2,FALSE)</f>
        <v>Product_190</v>
      </c>
      <c r="E5721" t="str">
        <f>VLOOKUP(B5721,Products!$A:$E,3,FALSE)</f>
        <v>Office Supplies</v>
      </c>
    </row>
    <row r="5722" spans="1:5" x14ac:dyDescent="0.3">
      <c r="A5722" t="s">
        <v>11734</v>
      </c>
      <c r="B5722" t="s">
        <v>412</v>
      </c>
      <c r="C5722">
        <v>18</v>
      </c>
      <c r="D5722" t="str">
        <f>VLOOKUP(B5722,Products!$A:$E,2,FALSE)</f>
        <v>Product_202</v>
      </c>
      <c r="E5722" t="str">
        <f>VLOOKUP(B5722,Products!$A:$E,3,FALSE)</f>
        <v>Storage</v>
      </c>
    </row>
    <row r="5723" spans="1:5" x14ac:dyDescent="0.3">
      <c r="A5723" t="s">
        <v>11735</v>
      </c>
      <c r="B5723" t="s">
        <v>484</v>
      </c>
      <c r="C5723">
        <v>42</v>
      </c>
      <c r="D5723" t="str">
        <f>VLOOKUP(B5723,Products!$A:$E,2,FALSE)</f>
        <v>Product_238</v>
      </c>
      <c r="E5723" t="str">
        <f>VLOOKUP(B5723,Products!$A:$E,3,FALSE)</f>
        <v>Accessories</v>
      </c>
    </row>
    <row r="5724" spans="1:5" x14ac:dyDescent="0.3">
      <c r="A5724" t="s">
        <v>11736</v>
      </c>
      <c r="B5724" t="s">
        <v>836</v>
      </c>
      <c r="C5724">
        <v>22</v>
      </c>
      <c r="D5724" t="str">
        <f>VLOOKUP(B5724,Products!$A:$E,2,FALSE)</f>
        <v>Product_414</v>
      </c>
      <c r="E5724" t="str">
        <f>VLOOKUP(B5724,Products!$A:$E,3,FALSE)</f>
        <v>Office Supplies</v>
      </c>
    </row>
    <row r="5725" spans="1:5" x14ac:dyDescent="0.3">
      <c r="A5725" t="s">
        <v>11737</v>
      </c>
      <c r="B5725" t="s">
        <v>320</v>
      </c>
      <c r="C5725">
        <v>35</v>
      </c>
      <c r="D5725" t="str">
        <f>VLOOKUP(B5725,Products!$A:$E,2,FALSE)</f>
        <v>Product_156</v>
      </c>
      <c r="E5725" t="str">
        <f>VLOOKUP(B5725,Products!$A:$E,3,FALSE)</f>
        <v>Accessories</v>
      </c>
    </row>
    <row r="5726" spans="1:5" x14ac:dyDescent="0.3">
      <c r="A5726" t="s">
        <v>11738</v>
      </c>
      <c r="B5726" t="s">
        <v>628</v>
      </c>
      <c r="C5726">
        <v>21</v>
      </c>
      <c r="D5726" t="str">
        <f>VLOOKUP(B5726,Products!$A:$E,2,FALSE)</f>
        <v>Product_310</v>
      </c>
      <c r="E5726" t="str">
        <f>VLOOKUP(B5726,Products!$A:$E,3,FALSE)</f>
        <v>Office Supplies</v>
      </c>
    </row>
    <row r="5727" spans="1:5" x14ac:dyDescent="0.3">
      <c r="A5727" t="s">
        <v>11739</v>
      </c>
      <c r="B5727" t="s">
        <v>950</v>
      </c>
      <c r="C5727">
        <v>20</v>
      </c>
      <c r="D5727" t="str">
        <f>VLOOKUP(B5727,Products!$A:$E,2,FALSE)</f>
        <v>Product_471</v>
      </c>
      <c r="E5727" t="str">
        <f>VLOOKUP(B5727,Products!$A:$E,3,FALSE)</f>
        <v>Office Supplies</v>
      </c>
    </row>
    <row r="5728" spans="1:5" x14ac:dyDescent="0.3">
      <c r="A5728" t="s">
        <v>11740</v>
      </c>
      <c r="B5728" t="s">
        <v>884</v>
      </c>
      <c r="C5728">
        <v>31</v>
      </c>
      <c r="D5728" t="str">
        <f>VLOOKUP(B5728,Products!$A:$E,2,FALSE)</f>
        <v>Product_438</v>
      </c>
      <c r="E5728" t="str">
        <f>VLOOKUP(B5728,Products!$A:$E,3,FALSE)</f>
        <v>Electronics</v>
      </c>
    </row>
    <row r="5729" spans="1:5" x14ac:dyDescent="0.3">
      <c r="A5729" t="s">
        <v>11741</v>
      </c>
      <c r="B5729" t="s">
        <v>532</v>
      </c>
      <c r="C5729">
        <v>32</v>
      </c>
      <c r="D5729" t="str">
        <f>VLOOKUP(B5729,Products!$A:$E,2,FALSE)</f>
        <v>Product_262</v>
      </c>
      <c r="E5729" t="str">
        <f>VLOOKUP(B5729,Products!$A:$E,3,FALSE)</f>
        <v>Electronics</v>
      </c>
    </row>
    <row r="5730" spans="1:5" x14ac:dyDescent="0.3">
      <c r="A5730" t="s">
        <v>11742</v>
      </c>
      <c r="B5730" t="s">
        <v>404</v>
      </c>
      <c r="C5730">
        <v>49</v>
      </c>
      <c r="D5730" t="str">
        <f>VLOOKUP(B5730,Products!$A:$E,2,FALSE)</f>
        <v>Product_198</v>
      </c>
      <c r="E5730" t="str">
        <f>VLOOKUP(B5730,Products!$A:$E,3,FALSE)</f>
        <v>Accessories</v>
      </c>
    </row>
    <row r="5731" spans="1:5" x14ac:dyDescent="0.3">
      <c r="A5731" t="s">
        <v>11743</v>
      </c>
      <c r="B5731" t="s">
        <v>902</v>
      </c>
      <c r="C5731">
        <v>45</v>
      </c>
      <c r="D5731" t="str">
        <f>VLOOKUP(B5731,Products!$A:$E,2,FALSE)</f>
        <v>Product_447</v>
      </c>
      <c r="E5731" t="str">
        <f>VLOOKUP(B5731,Products!$A:$E,3,FALSE)</f>
        <v>Office Supplies</v>
      </c>
    </row>
    <row r="5732" spans="1:5" x14ac:dyDescent="0.3">
      <c r="A5732" t="s">
        <v>11744</v>
      </c>
      <c r="B5732" t="s">
        <v>612</v>
      </c>
      <c r="C5732">
        <v>45</v>
      </c>
      <c r="D5732" t="str">
        <f>VLOOKUP(B5732,Products!$A:$E,2,FALSE)</f>
        <v>Product_302</v>
      </c>
      <c r="E5732" t="str">
        <f>VLOOKUP(B5732,Products!$A:$E,3,FALSE)</f>
        <v>Accessories</v>
      </c>
    </row>
    <row r="5733" spans="1:5" x14ac:dyDescent="0.3">
      <c r="A5733" t="s">
        <v>11745</v>
      </c>
      <c r="B5733" t="s">
        <v>582</v>
      </c>
      <c r="C5733">
        <v>44</v>
      </c>
      <c r="D5733" t="str">
        <f>VLOOKUP(B5733,Products!$A:$E,2,FALSE)</f>
        <v>Product_287</v>
      </c>
      <c r="E5733" t="str">
        <f>VLOOKUP(B5733,Products!$A:$E,3,FALSE)</f>
        <v>Storage</v>
      </c>
    </row>
    <row r="5734" spans="1:5" x14ac:dyDescent="0.3">
      <c r="A5734" t="s">
        <v>11746</v>
      </c>
      <c r="B5734" t="s">
        <v>628</v>
      </c>
      <c r="C5734">
        <v>39</v>
      </c>
      <c r="D5734" t="str">
        <f>VLOOKUP(B5734,Products!$A:$E,2,FALSE)</f>
        <v>Product_310</v>
      </c>
      <c r="E5734" t="str">
        <f>VLOOKUP(B5734,Products!$A:$E,3,FALSE)</f>
        <v>Office Supplies</v>
      </c>
    </row>
    <row r="5735" spans="1:5" x14ac:dyDescent="0.3">
      <c r="A5735" t="s">
        <v>11747</v>
      </c>
      <c r="B5735" t="s">
        <v>686</v>
      </c>
      <c r="C5735">
        <v>37</v>
      </c>
      <c r="D5735" t="str">
        <f>VLOOKUP(B5735,Products!$A:$E,2,FALSE)</f>
        <v>Product_339</v>
      </c>
      <c r="E5735" t="str">
        <f>VLOOKUP(B5735,Products!$A:$E,3,FALSE)</f>
        <v>Storage</v>
      </c>
    </row>
    <row r="5736" spans="1:5" x14ac:dyDescent="0.3">
      <c r="A5736" t="s">
        <v>11748</v>
      </c>
      <c r="B5736" t="s">
        <v>150</v>
      </c>
      <c r="C5736">
        <v>31</v>
      </c>
      <c r="D5736" t="str">
        <f>VLOOKUP(B5736,Products!$A:$E,2,FALSE)</f>
        <v>Product_71</v>
      </c>
      <c r="E5736" t="str">
        <f>VLOOKUP(B5736,Products!$A:$E,3,FALSE)</f>
        <v>Accessories</v>
      </c>
    </row>
    <row r="5737" spans="1:5" x14ac:dyDescent="0.3">
      <c r="A5737" t="s">
        <v>11749</v>
      </c>
      <c r="B5737" t="s">
        <v>354</v>
      </c>
      <c r="C5737">
        <v>6</v>
      </c>
      <c r="D5737" t="str">
        <f>VLOOKUP(B5737,Products!$A:$E,2,FALSE)</f>
        <v>Product_173</v>
      </c>
      <c r="E5737" t="str">
        <f>VLOOKUP(B5737,Products!$A:$E,3,FALSE)</f>
        <v>Electronics</v>
      </c>
    </row>
    <row r="5738" spans="1:5" x14ac:dyDescent="0.3">
      <c r="A5738" t="s">
        <v>11750</v>
      </c>
      <c r="B5738" t="s">
        <v>718</v>
      </c>
      <c r="C5738">
        <v>32</v>
      </c>
      <c r="D5738" t="str">
        <f>VLOOKUP(B5738,Products!$A:$E,2,FALSE)</f>
        <v>Product_355</v>
      </c>
      <c r="E5738" t="str">
        <f>VLOOKUP(B5738,Products!$A:$E,3,FALSE)</f>
        <v>Accessories</v>
      </c>
    </row>
    <row r="5739" spans="1:5" x14ac:dyDescent="0.3">
      <c r="A5739" t="s">
        <v>11751</v>
      </c>
      <c r="B5739" t="s">
        <v>1008</v>
      </c>
      <c r="C5739">
        <v>22</v>
      </c>
      <c r="D5739" t="str">
        <f>VLOOKUP(B5739,Products!$A:$E,2,FALSE)</f>
        <v>Product_500</v>
      </c>
      <c r="E5739" t="str">
        <f>VLOOKUP(B5739,Products!$A:$E,3,FALSE)</f>
        <v>Networking</v>
      </c>
    </row>
    <row r="5740" spans="1:5" x14ac:dyDescent="0.3">
      <c r="A5740" t="s">
        <v>11752</v>
      </c>
      <c r="B5740" t="s">
        <v>554</v>
      </c>
      <c r="C5740">
        <v>34</v>
      </c>
      <c r="D5740" t="str">
        <f>VLOOKUP(B5740,Products!$A:$E,2,FALSE)</f>
        <v>Product_273</v>
      </c>
      <c r="E5740" t="str">
        <f>VLOOKUP(B5740,Products!$A:$E,3,FALSE)</f>
        <v>Networking</v>
      </c>
    </row>
    <row r="5741" spans="1:5" x14ac:dyDescent="0.3">
      <c r="A5741" t="s">
        <v>11753</v>
      </c>
      <c r="B5741" t="s">
        <v>640</v>
      </c>
      <c r="C5741">
        <v>41</v>
      </c>
      <c r="D5741" t="str">
        <f>VLOOKUP(B5741,Products!$A:$E,2,FALSE)</f>
        <v>Product_316</v>
      </c>
      <c r="E5741" t="str">
        <f>VLOOKUP(B5741,Products!$A:$E,3,FALSE)</f>
        <v>Networking</v>
      </c>
    </row>
    <row r="5742" spans="1:5" x14ac:dyDescent="0.3">
      <c r="A5742" t="s">
        <v>11754</v>
      </c>
      <c r="B5742" t="s">
        <v>74</v>
      </c>
      <c r="C5742">
        <v>17</v>
      </c>
      <c r="D5742" t="str">
        <f>VLOOKUP(B5742,Products!$A:$E,2,FALSE)</f>
        <v>Product_33</v>
      </c>
      <c r="E5742" t="str">
        <f>VLOOKUP(B5742,Products!$A:$E,3,FALSE)</f>
        <v>Storage</v>
      </c>
    </row>
    <row r="5743" spans="1:5" x14ac:dyDescent="0.3">
      <c r="A5743" t="s">
        <v>11755</v>
      </c>
      <c r="B5743" t="s">
        <v>654</v>
      </c>
      <c r="C5743">
        <v>18</v>
      </c>
      <c r="D5743" t="str">
        <f>VLOOKUP(B5743,Products!$A:$E,2,FALSE)</f>
        <v>Product_323</v>
      </c>
      <c r="E5743" t="str">
        <f>VLOOKUP(B5743,Products!$A:$E,3,FALSE)</f>
        <v>Electronics</v>
      </c>
    </row>
    <row r="5744" spans="1:5" x14ac:dyDescent="0.3">
      <c r="A5744" t="s">
        <v>11756</v>
      </c>
      <c r="B5744" t="s">
        <v>966</v>
      </c>
      <c r="C5744">
        <v>18</v>
      </c>
      <c r="D5744" t="str">
        <f>VLOOKUP(B5744,Products!$A:$E,2,FALSE)</f>
        <v>Product_479</v>
      </c>
      <c r="E5744" t="str">
        <f>VLOOKUP(B5744,Products!$A:$E,3,FALSE)</f>
        <v>Office Supplies</v>
      </c>
    </row>
    <row r="5745" spans="1:5" x14ac:dyDescent="0.3">
      <c r="A5745" t="s">
        <v>11757</v>
      </c>
      <c r="B5745" t="s">
        <v>904</v>
      </c>
      <c r="C5745">
        <v>19</v>
      </c>
      <c r="D5745" t="str">
        <f>VLOOKUP(B5745,Products!$A:$E,2,FALSE)</f>
        <v>Product_448</v>
      </c>
      <c r="E5745" t="str">
        <f>VLOOKUP(B5745,Products!$A:$E,3,FALSE)</f>
        <v>Networking</v>
      </c>
    </row>
    <row r="5746" spans="1:5" x14ac:dyDescent="0.3">
      <c r="A5746" t="s">
        <v>11758</v>
      </c>
      <c r="B5746" t="s">
        <v>618</v>
      </c>
      <c r="C5746">
        <v>33</v>
      </c>
      <c r="D5746" t="str">
        <f>VLOOKUP(B5746,Products!$A:$E,2,FALSE)</f>
        <v>Product_305</v>
      </c>
      <c r="E5746" t="str">
        <f>VLOOKUP(B5746,Products!$A:$E,3,FALSE)</f>
        <v>Accessories</v>
      </c>
    </row>
    <row r="5747" spans="1:5" x14ac:dyDescent="0.3">
      <c r="A5747" t="s">
        <v>11759</v>
      </c>
      <c r="B5747" t="s">
        <v>242</v>
      </c>
      <c r="C5747">
        <v>21</v>
      </c>
      <c r="D5747" t="str">
        <f>VLOOKUP(B5747,Products!$A:$E,2,FALSE)</f>
        <v>Product_117</v>
      </c>
      <c r="E5747" t="str">
        <f>VLOOKUP(B5747,Products!$A:$E,3,FALSE)</f>
        <v>Storage</v>
      </c>
    </row>
    <row r="5748" spans="1:5" x14ac:dyDescent="0.3">
      <c r="A5748" t="s">
        <v>11760</v>
      </c>
      <c r="B5748" t="s">
        <v>958</v>
      </c>
      <c r="C5748">
        <v>21</v>
      </c>
      <c r="D5748" t="str">
        <f>VLOOKUP(B5748,Products!$A:$E,2,FALSE)</f>
        <v>Product_475</v>
      </c>
      <c r="E5748" t="str">
        <f>VLOOKUP(B5748,Products!$A:$E,3,FALSE)</f>
        <v>Electronics</v>
      </c>
    </row>
    <row r="5749" spans="1:5" x14ac:dyDescent="0.3">
      <c r="A5749" t="s">
        <v>11761</v>
      </c>
      <c r="B5749" t="s">
        <v>938</v>
      </c>
      <c r="C5749">
        <v>16</v>
      </c>
      <c r="D5749" t="str">
        <f>VLOOKUP(B5749,Products!$A:$E,2,FALSE)</f>
        <v>Product_465</v>
      </c>
      <c r="E5749" t="str">
        <f>VLOOKUP(B5749,Products!$A:$E,3,FALSE)</f>
        <v>Electronics</v>
      </c>
    </row>
    <row r="5750" spans="1:5" x14ac:dyDescent="0.3">
      <c r="A5750" t="s">
        <v>11762</v>
      </c>
      <c r="B5750" t="s">
        <v>588</v>
      </c>
      <c r="C5750">
        <v>13</v>
      </c>
      <c r="D5750" t="str">
        <f>VLOOKUP(B5750,Products!$A:$E,2,FALSE)</f>
        <v>Product_290</v>
      </c>
      <c r="E5750" t="str">
        <f>VLOOKUP(B5750,Products!$A:$E,3,FALSE)</f>
        <v>Accessories</v>
      </c>
    </row>
    <row r="5751" spans="1:5" x14ac:dyDescent="0.3">
      <c r="A5751" t="s">
        <v>11763</v>
      </c>
      <c r="B5751" t="s">
        <v>366</v>
      </c>
      <c r="C5751">
        <v>20</v>
      </c>
      <c r="D5751" t="str">
        <f>VLOOKUP(B5751,Products!$A:$E,2,FALSE)</f>
        <v>Product_179</v>
      </c>
      <c r="E5751" t="str">
        <f>VLOOKUP(B5751,Products!$A:$E,3,FALSE)</f>
        <v>Storage</v>
      </c>
    </row>
    <row r="5752" spans="1:5" x14ac:dyDescent="0.3">
      <c r="A5752" t="s">
        <v>11764</v>
      </c>
      <c r="B5752" t="s">
        <v>206</v>
      </c>
      <c r="C5752">
        <v>22</v>
      </c>
      <c r="D5752" t="str">
        <f>VLOOKUP(B5752,Products!$A:$E,2,FALSE)</f>
        <v>Product_99</v>
      </c>
      <c r="E5752" t="str">
        <f>VLOOKUP(B5752,Products!$A:$E,3,FALSE)</f>
        <v>Accessories</v>
      </c>
    </row>
    <row r="5753" spans="1:5" x14ac:dyDescent="0.3">
      <c r="A5753" t="s">
        <v>11765</v>
      </c>
      <c r="B5753" t="s">
        <v>540</v>
      </c>
      <c r="C5753">
        <v>44</v>
      </c>
      <c r="D5753" t="str">
        <f>VLOOKUP(B5753,Products!$A:$E,2,FALSE)</f>
        <v>Product_266</v>
      </c>
      <c r="E5753" t="str">
        <f>VLOOKUP(B5753,Products!$A:$E,3,FALSE)</f>
        <v>Electronics</v>
      </c>
    </row>
    <row r="5754" spans="1:5" x14ac:dyDescent="0.3">
      <c r="A5754" t="s">
        <v>11766</v>
      </c>
      <c r="B5754" t="s">
        <v>430</v>
      </c>
      <c r="C5754">
        <v>18</v>
      </c>
      <c r="D5754" t="str">
        <f>VLOOKUP(B5754,Products!$A:$E,2,FALSE)</f>
        <v>Product_211</v>
      </c>
      <c r="E5754" t="str">
        <f>VLOOKUP(B5754,Products!$A:$E,3,FALSE)</f>
        <v>Storage</v>
      </c>
    </row>
    <row r="5755" spans="1:5" x14ac:dyDescent="0.3">
      <c r="A5755" t="s">
        <v>11767</v>
      </c>
      <c r="B5755" t="s">
        <v>280</v>
      </c>
      <c r="C5755">
        <v>39</v>
      </c>
      <c r="D5755" t="str">
        <f>VLOOKUP(B5755,Products!$A:$E,2,FALSE)</f>
        <v>Product_136</v>
      </c>
      <c r="E5755" t="str">
        <f>VLOOKUP(B5755,Products!$A:$E,3,FALSE)</f>
        <v>Storage</v>
      </c>
    </row>
    <row r="5756" spans="1:5" x14ac:dyDescent="0.3">
      <c r="A5756" t="s">
        <v>11768</v>
      </c>
      <c r="B5756" t="s">
        <v>444</v>
      </c>
      <c r="C5756">
        <v>43</v>
      </c>
      <c r="D5756" t="str">
        <f>VLOOKUP(B5756,Products!$A:$E,2,FALSE)</f>
        <v>Product_218</v>
      </c>
      <c r="E5756" t="str">
        <f>VLOOKUP(B5756,Products!$A:$E,3,FALSE)</f>
        <v>Accessories</v>
      </c>
    </row>
    <row r="5757" spans="1:5" x14ac:dyDescent="0.3">
      <c r="A5757" t="s">
        <v>11769</v>
      </c>
      <c r="B5757" t="s">
        <v>684</v>
      </c>
      <c r="C5757">
        <v>13</v>
      </c>
      <c r="D5757" t="str">
        <f>VLOOKUP(B5757,Products!$A:$E,2,FALSE)</f>
        <v>Product_338</v>
      </c>
      <c r="E5757" t="str">
        <f>VLOOKUP(B5757,Products!$A:$E,3,FALSE)</f>
        <v>Networking</v>
      </c>
    </row>
    <row r="5758" spans="1:5" x14ac:dyDescent="0.3">
      <c r="A5758" t="s">
        <v>11770</v>
      </c>
      <c r="B5758" t="s">
        <v>796</v>
      </c>
      <c r="C5758">
        <v>40</v>
      </c>
      <c r="D5758" t="str">
        <f>VLOOKUP(B5758,Products!$A:$E,2,FALSE)</f>
        <v>Product_394</v>
      </c>
      <c r="E5758" t="str">
        <f>VLOOKUP(B5758,Products!$A:$E,3,FALSE)</f>
        <v>Electronics</v>
      </c>
    </row>
    <row r="5759" spans="1:5" x14ac:dyDescent="0.3">
      <c r="A5759" t="s">
        <v>11771</v>
      </c>
      <c r="B5759" t="s">
        <v>920</v>
      </c>
      <c r="C5759">
        <v>9</v>
      </c>
      <c r="D5759" t="str">
        <f>VLOOKUP(B5759,Products!$A:$E,2,FALSE)</f>
        <v>Product_456</v>
      </c>
      <c r="E5759" t="str">
        <f>VLOOKUP(B5759,Products!$A:$E,3,FALSE)</f>
        <v>Electronics</v>
      </c>
    </row>
    <row r="5760" spans="1:5" x14ac:dyDescent="0.3">
      <c r="A5760" t="s">
        <v>11772</v>
      </c>
      <c r="B5760" t="s">
        <v>830</v>
      </c>
      <c r="C5760">
        <v>50</v>
      </c>
      <c r="D5760" t="str">
        <f>VLOOKUP(B5760,Products!$A:$E,2,FALSE)</f>
        <v>Product_411</v>
      </c>
      <c r="E5760" t="str">
        <f>VLOOKUP(B5760,Products!$A:$E,3,FALSE)</f>
        <v>Office Supplies</v>
      </c>
    </row>
    <row r="5761" spans="1:5" x14ac:dyDescent="0.3">
      <c r="A5761" t="s">
        <v>11773</v>
      </c>
      <c r="B5761" t="s">
        <v>714</v>
      </c>
      <c r="C5761">
        <v>19</v>
      </c>
      <c r="D5761" t="str">
        <f>VLOOKUP(B5761,Products!$A:$E,2,FALSE)</f>
        <v>Product_353</v>
      </c>
      <c r="E5761" t="str">
        <f>VLOOKUP(B5761,Products!$A:$E,3,FALSE)</f>
        <v>Accessories</v>
      </c>
    </row>
    <row r="5762" spans="1:5" x14ac:dyDescent="0.3">
      <c r="A5762" t="s">
        <v>11774</v>
      </c>
      <c r="B5762" t="s">
        <v>204</v>
      </c>
      <c r="C5762">
        <v>44</v>
      </c>
      <c r="D5762" t="str">
        <f>VLOOKUP(B5762,Products!$A:$E,2,FALSE)</f>
        <v>Product_98</v>
      </c>
      <c r="E5762" t="str">
        <f>VLOOKUP(B5762,Products!$A:$E,3,FALSE)</f>
        <v>Networking</v>
      </c>
    </row>
    <row r="5763" spans="1:5" x14ac:dyDescent="0.3">
      <c r="A5763" t="s">
        <v>11775</v>
      </c>
      <c r="B5763" t="s">
        <v>712</v>
      </c>
      <c r="C5763">
        <v>24</v>
      </c>
      <c r="D5763" t="str">
        <f>VLOOKUP(B5763,Products!$A:$E,2,FALSE)</f>
        <v>Product_352</v>
      </c>
      <c r="E5763" t="str">
        <f>VLOOKUP(B5763,Products!$A:$E,3,FALSE)</f>
        <v>Storage</v>
      </c>
    </row>
    <row r="5764" spans="1:5" x14ac:dyDescent="0.3">
      <c r="A5764" t="s">
        <v>11776</v>
      </c>
      <c r="B5764" t="s">
        <v>738</v>
      </c>
      <c r="C5764">
        <v>35</v>
      </c>
      <c r="D5764" t="str">
        <f>VLOOKUP(B5764,Products!$A:$E,2,FALSE)</f>
        <v>Product_365</v>
      </c>
      <c r="E5764" t="str">
        <f>VLOOKUP(B5764,Products!$A:$E,3,FALSE)</f>
        <v>Storage</v>
      </c>
    </row>
    <row r="5765" spans="1:5" x14ac:dyDescent="0.3">
      <c r="A5765" t="s">
        <v>11777</v>
      </c>
      <c r="B5765" t="s">
        <v>576</v>
      </c>
      <c r="C5765">
        <v>21</v>
      </c>
      <c r="D5765" t="str">
        <f>VLOOKUP(B5765,Products!$A:$E,2,FALSE)</f>
        <v>Product_284</v>
      </c>
      <c r="E5765" t="str">
        <f>VLOOKUP(B5765,Products!$A:$E,3,FALSE)</f>
        <v>Networking</v>
      </c>
    </row>
    <row r="5766" spans="1:5" x14ac:dyDescent="0.3">
      <c r="A5766" t="s">
        <v>11778</v>
      </c>
      <c r="B5766" t="s">
        <v>218</v>
      </c>
      <c r="C5766">
        <v>30</v>
      </c>
      <c r="D5766" t="str">
        <f>VLOOKUP(B5766,Products!$A:$E,2,FALSE)</f>
        <v>Product_105</v>
      </c>
      <c r="E5766" t="str">
        <f>VLOOKUP(B5766,Products!$A:$E,3,FALSE)</f>
        <v>Networking</v>
      </c>
    </row>
    <row r="5767" spans="1:5" x14ac:dyDescent="0.3">
      <c r="A5767" t="s">
        <v>11779</v>
      </c>
      <c r="B5767" t="s">
        <v>604</v>
      </c>
      <c r="C5767">
        <v>34</v>
      </c>
      <c r="D5767" t="str">
        <f>VLOOKUP(B5767,Products!$A:$E,2,FALSE)</f>
        <v>Product_298</v>
      </c>
      <c r="E5767" t="str">
        <f>VLOOKUP(B5767,Products!$A:$E,3,FALSE)</f>
        <v>Office Supplies</v>
      </c>
    </row>
    <row r="5768" spans="1:5" x14ac:dyDescent="0.3">
      <c r="A5768" t="s">
        <v>11780</v>
      </c>
      <c r="B5768" t="s">
        <v>186</v>
      </c>
      <c r="C5768">
        <v>8</v>
      </c>
      <c r="D5768" t="str">
        <f>VLOOKUP(B5768,Products!$A:$E,2,FALSE)</f>
        <v>Product_89</v>
      </c>
      <c r="E5768" t="str">
        <f>VLOOKUP(B5768,Products!$A:$E,3,FALSE)</f>
        <v>Storage</v>
      </c>
    </row>
    <row r="5769" spans="1:5" x14ac:dyDescent="0.3">
      <c r="A5769" t="s">
        <v>11781</v>
      </c>
      <c r="B5769" t="s">
        <v>750</v>
      </c>
      <c r="C5769">
        <v>47</v>
      </c>
      <c r="D5769" t="str">
        <f>VLOOKUP(B5769,Products!$A:$E,2,FALSE)</f>
        <v>Product_371</v>
      </c>
      <c r="E5769" t="str">
        <f>VLOOKUP(B5769,Products!$A:$E,3,FALSE)</f>
        <v>Storage</v>
      </c>
    </row>
    <row r="5770" spans="1:5" x14ac:dyDescent="0.3">
      <c r="A5770" t="s">
        <v>11782</v>
      </c>
      <c r="B5770" t="s">
        <v>906</v>
      </c>
      <c r="C5770">
        <v>19</v>
      </c>
      <c r="D5770" t="str">
        <f>VLOOKUP(B5770,Products!$A:$E,2,FALSE)</f>
        <v>Product_449</v>
      </c>
      <c r="E5770" t="str">
        <f>VLOOKUP(B5770,Products!$A:$E,3,FALSE)</f>
        <v>Networking</v>
      </c>
    </row>
    <row r="5771" spans="1:5" x14ac:dyDescent="0.3">
      <c r="A5771" t="s">
        <v>11783</v>
      </c>
      <c r="B5771" t="s">
        <v>662</v>
      </c>
      <c r="C5771">
        <v>16</v>
      </c>
      <c r="D5771" t="str">
        <f>VLOOKUP(B5771,Products!$A:$E,2,FALSE)</f>
        <v>Product_327</v>
      </c>
      <c r="E5771" t="str">
        <f>VLOOKUP(B5771,Products!$A:$E,3,FALSE)</f>
        <v>Networking</v>
      </c>
    </row>
    <row r="5772" spans="1:5" x14ac:dyDescent="0.3">
      <c r="A5772" t="s">
        <v>11784</v>
      </c>
      <c r="B5772" t="s">
        <v>220</v>
      </c>
      <c r="C5772">
        <v>39</v>
      </c>
      <c r="D5772" t="str">
        <f>VLOOKUP(B5772,Products!$A:$E,2,FALSE)</f>
        <v>Product_106</v>
      </c>
      <c r="E5772" t="str">
        <f>VLOOKUP(B5772,Products!$A:$E,3,FALSE)</f>
        <v>Networking</v>
      </c>
    </row>
    <row r="5773" spans="1:5" x14ac:dyDescent="0.3">
      <c r="A5773" t="s">
        <v>11785</v>
      </c>
      <c r="B5773" t="s">
        <v>818</v>
      </c>
      <c r="C5773">
        <v>41</v>
      </c>
      <c r="D5773" t="str">
        <f>VLOOKUP(B5773,Products!$A:$E,2,FALSE)</f>
        <v>Product_405</v>
      </c>
      <c r="E5773" t="str">
        <f>VLOOKUP(B5773,Products!$A:$E,3,FALSE)</f>
        <v>Electronics</v>
      </c>
    </row>
    <row r="5774" spans="1:5" x14ac:dyDescent="0.3">
      <c r="A5774" t="s">
        <v>11786</v>
      </c>
      <c r="B5774" t="s">
        <v>860</v>
      </c>
      <c r="C5774">
        <v>22</v>
      </c>
      <c r="D5774" t="str">
        <f>VLOOKUP(B5774,Products!$A:$E,2,FALSE)</f>
        <v>Product_426</v>
      </c>
      <c r="E5774" t="str">
        <f>VLOOKUP(B5774,Products!$A:$E,3,FALSE)</f>
        <v>Storage</v>
      </c>
    </row>
    <row r="5775" spans="1:5" x14ac:dyDescent="0.3">
      <c r="A5775" t="s">
        <v>11787</v>
      </c>
      <c r="B5775" t="s">
        <v>196</v>
      </c>
      <c r="C5775">
        <v>42</v>
      </c>
      <c r="D5775" t="str">
        <f>VLOOKUP(B5775,Products!$A:$E,2,FALSE)</f>
        <v>Product_94</v>
      </c>
      <c r="E5775" t="str">
        <f>VLOOKUP(B5775,Products!$A:$E,3,FALSE)</f>
        <v>Networking</v>
      </c>
    </row>
    <row r="5776" spans="1:5" x14ac:dyDescent="0.3">
      <c r="A5776" t="s">
        <v>11788</v>
      </c>
      <c r="B5776" t="s">
        <v>838</v>
      </c>
      <c r="C5776">
        <v>32</v>
      </c>
      <c r="D5776" t="str">
        <f>VLOOKUP(B5776,Products!$A:$E,2,FALSE)</f>
        <v>Product_415</v>
      </c>
      <c r="E5776" t="str">
        <f>VLOOKUP(B5776,Products!$A:$E,3,FALSE)</f>
        <v>Networking</v>
      </c>
    </row>
    <row r="5777" spans="1:5" x14ac:dyDescent="0.3">
      <c r="A5777" t="s">
        <v>11789</v>
      </c>
      <c r="B5777" t="s">
        <v>392</v>
      </c>
      <c r="C5777">
        <v>16</v>
      </c>
      <c r="D5777" t="str">
        <f>VLOOKUP(B5777,Products!$A:$E,2,FALSE)</f>
        <v>Product_192</v>
      </c>
      <c r="E5777" t="str">
        <f>VLOOKUP(B5777,Products!$A:$E,3,FALSE)</f>
        <v>Office Supplies</v>
      </c>
    </row>
    <row r="5778" spans="1:5" x14ac:dyDescent="0.3">
      <c r="A5778" t="s">
        <v>11790</v>
      </c>
      <c r="B5778" t="s">
        <v>410</v>
      </c>
      <c r="C5778">
        <v>31</v>
      </c>
      <c r="D5778" t="str">
        <f>VLOOKUP(B5778,Products!$A:$E,2,FALSE)</f>
        <v>Product_201</v>
      </c>
      <c r="E5778" t="str">
        <f>VLOOKUP(B5778,Products!$A:$E,3,FALSE)</f>
        <v>Networking</v>
      </c>
    </row>
    <row r="5779" spans="1:5" x14ac:dyDescent="0.3">
      <c r="A5779" t="s">
        <v>11791</v>
      </c>
      <c r="B5779" t="s">
        <v>744</v>
      </c>
      <c r="C5779">
        <v>18</v>
      </c>
      <c r="D5779" t="str">
        <f>VLOOKUP(B5779,Products!$A:$E,2,FALSE)</f>
        <v>Product_368</v>
      </c>
      <c r="E5779" t="str">
        <f>VLOOKUP(B5779,Products!$A:$E,3,FALSE)</f>
        <v>Office Supplies</v>
      </c>
    </row>
    <row r="5780" spans="1:5" x14ac:dyDescent="0.3">
      <c r="A5780" t="s">
        <v>11792</v>
      </c>
      <c r="B5780" t="s">
        <v>964</v>
      </c>
      <c r="C5780">
        <v>37</v>
      </c>
      <c r="D5780" t="str">
        <f>VLOOKUP(B5780,Products!$A:$E,2,FALSE)</f>
        <v>Product_478</v>
      </c>
      <c r="E5780" t="str">
        <f>VLOOKUP(B5780,Products!$A:$E,3,FALSE)</f>
        <v>Office Supplies</v>
      </c>
    </row>
    <row r="5781" spans="1:5" x14ac:dyDescent="0.3">
      <c r="A5781" t="s">
        <v>11793</v>
      </c>
      <c r="B5781" t="s">
        <v>480</v>
      </c>
      <c r="C5781">
        <v>35</v>
      </c>
      <c r="D5781" t="str">
        <f>VLOOKUP(B5781,Products!$A:$E,2,FALSE)</f>
        <v>Product_236</v>
      </c>
      <c r="E5781" t="str">
        <f>VLOOKUP(B5781,Products!$A:$E,3,FALSE)</f>
        <v>Networking</v>
      </c>
    </row>
    <row r="5782" spans="1:5" x14ac:dyDescent="0.3">
      <c r="A5782" t="s">
        <v>11794</v>
      </c>
      <c r="B5782" t="s">
        <v>358</v>
      </c>
      <c r="C5782">
        <v>10</v>
      </c>
      <c r="D5782" t="str">
        <f>VLOOKUP(B5782,Products!$A:$E,2,FALSE)</f>
        <v>Product_175</v>
      </c>
      <c r="E5782" t="str">
        <f>VLOOKUP(B5782,Products!$A:$E,3,FALSE)</f>
        <v>Storage</v>
      </c>
    </row>
    <row r="5783" spans="1:5" x14ac:dyDescent="0.3">
      <c r="A5783" t="s">
        <v>11795</v>
      </c>
      <c r="B5783" t="s">
        <v>270</v>
      </c>
      <c r="C5783">
        <v>39</v>
      </c>
      <c r="D5783" t="str">
        <f>VLOOKUP(B5783,Products!$A:$E,2,FALSE)</f>
        <v>Product_131</v>
      </c>
      <c r="E5783" t="str">
        <f>VLOOKUP(B5783,Products!$A:$E,3,FALSE)</f>
        <v>Electronics</v>
      </c>
    </row>
    <row r="5784" spans="1:5" x14ac:dyDescent="0.3">
      <c r="A5784" t="s">
        <v>11796</v>
      </c>
      <c r="B5784" t="s">
        <v>82</v>
      </c>
      <c r="C5784">
        <v>17</v>
      </c>
      <c r="D5784" t="str">
        <f>VLOOKUP(B5784,Products!$A:$E,2,FALSE)</f>
        <v>Product_37</v>
      </c>
      <c r="E5784" t="str">
        <f>VLOOKUP(B5784,Products!$A:$E,3,FALSE)</f>
        <v>Storage</v>
      </c>
    </row>
    <row r="5785" spans="1:5" x14ac:dyDescent="0.3">
      <c r="A5785" t="s">
        <v>11797</v>
      </c>
      <c r="B5785" t="s">
        <v>136</v>
      </c>
      <c r="C5785">
        <v>25</v>
      </c>
      <c r="D5785" t="str">
        <f>VLOOKUP(B5785,Products!$A:$E,2,FALSE)</f>
        <v>Product_64</v>
      </c>
      <c r="E5785" t="str">
        <f>VLOOKUP(B5785,Products!$A:$E,3,FALSE)</f>
        <v>Storage</v>
      </c>
    </row>
    <row r="5786" spans="1:5" x14ac:dyDescent="0.3">
      <c r="A5786" t="s">
        <v>11798</v>
      </c>
      <c r="B5786" t="s">
        <v>842</v>
      </c>
      <c r="C5786">
        <v>36</v>
      </c>
      <c r="D5786" t="str">
        <f>VLOOKUP(B5786,Products!$A:$E,2,FALSE)</f>
        <v>Product_417</v>
      </c>
      <c r="E5786" t="str">
        <f>VLOOKUP(B5786,Products!$A:$E,3,FALSE)</f>
        <v>Accessories</v>
      </c>
    </row>
    <row r="5787" spans="1:5" x14ac:dyDescent="0.3">
      <c r="A5787" t="s">
        <v>11799</v>
      </c>
      <c r="B5787" t="s">
        <v>412</v>
      </c>
      <c r="C5787">
        <v>1</v>
      </c>
      <c r="D5787" t="str">
        <f>VLOOKUP(B5787,Products!$A:$E,2,FALSE)</f>
        <v>Product_202</v>
      </c>
      <c r="E5787" t="str">
        <f>VLOOKUP(B5787,Products!$A:$E,3,FALSE)</f>
        <v>Storage</v>
      </c>
    </row>
    <row r="5788" spans="1:5" x14ac:dyDescent="0.3">
      <c r="A5788" t="s">
        <v>11800</v>
      </c>
      <c r="B5788" t="s">
        <v>78</v>
      </c>
      <c r="C5788">
        <v>13</v>
      </c>
      <c r="D5788" t="str">
        <f>VLOOKUP(B5788,Products!$A:$E,2,FALSE)</f>
        <v>Product_35</v>
      </c>
      <c r="E5788" t="str">
        <f>VLOOKUP(B5788,Products!$A:$E,3,FALSE)</f>
        <v>Electronics</v>
      </c>
    </row>
    <row r="5789" spans="1:5" x14ac:dyDescent="0.3">
      <c r="A5789" t="s">
        <v>11801</v>
      </c>
      <c r="B5789" t="s">
        <v>840</v>
      </c>
      <c r="C5789">
        <v>17</v>
      </c>
      <c r="D5789" t="str">
        <f>VLOOKUP(B5789,Products!$A:$E,2,FALSE)</f>
        <v>Product_416</v>
      </c>
      <c r="E5789" t="str">
        <f>VLOOKUP(B5789,Products!$A:$E,3,FALSE)</f>
        <v>Accessories</v>
      </c>
    </row>
    <row r="5790" spans="1:5" x14ac:dyDescent="0.3">
      <c r="A5790" t="s">
        <v>11802</v>
      </c>
      <c r="B5790" t="s">
        <v>960</v>
      </c>
      <c r="C5790">
        <v>32</v>
      </c>
      <c r="D5790" t="str">
        <f>VLOOKUP(B5790,Products!$A:$E,2,FALSE)</f>
        <v>Product_476</v>
      </c>
      <c r="E5790" t="str">
        <f>VLOOKUP(B5790,Products!$A:$E,3,FALSE)</f>
        <v>Office Supplies</v>
      </c>
    </row>
    <row r="5791" spans="1:5" x14ac:dyDescent="0.3">
      <c r="A5791" t="s">
        <v>11803</v>
      </c>
      <c r="B5791" t="s">
        <v>474</v>
      </c>
      <c r="C5791">
        <v>36</v>
      </c>
      <c r="D5791" t="str">
        <f>VLOOKUP(B5791,Products!$A:$E,2,FALSE)</f>
        <v>Product_233</v>
      </c>
      <c r="E5791" t="str">
        <f>VLOOKUP(B5791,Products!$A:$E,3,FALSE)</f>
        <v>Accessories</v>
      </c>
    </row>
    <row r="5792" spans="1:5" x14ac:dyDescent="0.3">
      <c r="A5792" t="s">
        <v>11804</v>
      </c>
      <c r="B5792" t="s">
        <v>606</v>
      </c>
      <c r="C5792">
        <v>18</v>
      </c>
      <c r="D5792" t="str">
        <f>VLOOKUP(B5792,Products!$A:$E,2,FALSE)</f>
        <v>Product_299</v>
      </c>
      <c r="E5792" t="str">
        <f>VLOOKUP(B5792,Products!$A:$E,3,FALSE)</f>
        <v>Storage</v>
      </c>
    </row>
    <row r="5793" spans="1:5" x14ac:dyDescent="0.3">
      <c r="A5793" t="s">
        <v>11805</v>
      </c>
      <c r="B5793" t="s">
        <v>532</v>
      </c>
      <c r="C5793">
        <v>37</v>
      </c>
      <c r="D5793" t="str">
        <f>VLOOKUP(B5793,Products!$A:$E,2,FALSE)</f>
        <v>Product_262</v>
      </c>
      <c r="E5793" t="str">
        <f>VLOOKUP(B5793,Products!$A:$E,3,FALSE)</f>
        <v>Electronics</v>
      </c>
    </row>
    <row r="5794" spans="1:5" x14ac:dyDescent="0.3">
      <c r="A5794" t="s">
        <v>11806</v>
      </c>
      <c r="B5794" t="s">
        <v>440</v>
      </c>
      <c r="C5794">
        <v>13</v>
      </c>
      <c r="D5794" t="str">
        <f>VLOOKUP(B5794,Products!$A:$E,2,FALSE)</f>
        <v>Product_216</v>
      </c>
      <c r="E5794" t="str">
        <f>VLOOKUP(B5794,Products!$A:$E,3,FALSE)</f>
        <v>Accessories</v>
      </c>
    </row>
    <row r="5795" spans="1:5" x14ac:dyDescent="0.3">
      <c r="A5795" t="s">
        <v>11807</v>
      </c>
      <c r="B5795" t="s">
        <v>282</v>
      </c>
      <c r="C5795">
        <v>4</v>
      </c>
      <c r="D5795" t="str">
        <f>VLOOKUP(B5795,Products!$A:$E,2,FALSE)</f>
        <v>Product_137</v>
      </c>
      <c r="E5795" t="str">
        <f>VLOOKUP(B5795,Products!$A:$E,3,FALSE)</f>
        <v>Storage</v>
      </c>
    </row>
    <row r="5796" spans="1:5" x14ac:dyDescent="0.3">
      <c r="A5796" t="s">
        <v>11808</v>
      </c>
      <c r="B5796" t="s">
        <v>446</v>
      </c>
      <c r="C5796">
        <v>41</v>
      </c>
      <c r="D5796" t="str">
        <f>VLOOKUP(B5796,Products!$A:$E,2,FALSE)</f>
        <v>Product_219</v>
      </c>
      <c r="E5796" t="str">
        <f>VLOOKUP(B5796,Products!$A:$E,3,FALSE)</f>
        <v>Accessories</v>
      </c>
    </row>
    <row r="5797" spans="1:5" x14ac:dyDescent="0.3">
      <c r="A5797" t="s">
        <v>11809</v>
      </c>
      <c r="B5797" t="s">
        <v>510</v>
      </c>
      <c r="C5797">
        <v>39</v>
      </c>
      <c r="D5797" t="str">
        <f>VLOOKUP(B5797,Products!$A:$E,2,FALSE)</f>
        <v>Product_251</v>
      </c>
      <c r="E5797" t="str">
        <f>VLOOKUP(B5797,Products!$A:$E,3,FALSE)</f>
        <v>Electronics</v>
      </c>
    </row>
    <row r="5798" spans="1:5" x14ac:dyDescent="0.3">
      <c r="A5798" t="s">
        <v>11810</v>
      </c>
      <c r="B5798" t="s">
        <v>120</v>
      </c>
      <c r="C5798">
        <v>31</v>
      </c>
      <c r="D5798" t="str">
        <f>VLOOKUP(B5798,Products!$A:$E,2,FALSE)</f>
        <v>Product_56</v>
      </c>
      <c r="E5798" t="str">
        <f>VLOOKUP(B5798,Products!$A:$E,3,FALSE)</f>
        <v>Networking</v>
      </c>
    </row>
    <row r="5799" spans="1:5" x14ac:dyDescent="0.3">
      <c r="A5799" t="s">
        <v>11811</v>
      </c>
      <c r="B5799" t="s">
        <v>456</v>
      </c>
      <c r="C5799">
        <v>25</v>
      </c>
      <c r="D5799" t="str">
        <f>VLOOKUP(B5799,Products!$A:$E,2,FALSE)</f>
        <v>Product_224</v>
      </c>
      <c r="E5799" t="str">
        <f>VLOOKUP(B5799,Products!$A:$E,3,FALSE)</f>
        <v>Storage</v>
      </c>
    </row>
    <row r="5800" spans="1:5" x14ac:dyDescent="0.3">
      <c r="A5800" t="s">
        <v>11812</v>
      </c>
      <c r="B5800" t="s">
        <v>330</v>
      </c>
      <c r="C5800">
        <v>8</v>
      </c>
      <c r="D5800" t="str">
        <f>VLOOKUP(B5800,Products!$A:$E,2,FALSE)</f>
        <v>Product_161</v>
      </c>
      <c r="E5800" t="str">
        <f>VLOOKUP(B5800,Products!$A:$E,3,FALSE)</f>
        <v>Networking</v>
      </c>
    </row>
    <row r="5801" spans="1:5" x14ac:dyDescent="0.3">
      <c r="A5801" t="s">
        <v>11813</v>
      </c>
      <c r="B5801" t="s">
        <v>152</v>
      </c>
      <c r="C5801">
        <v>12</v>
      </c>
      <c r="D5801" t="str">
        <f>VLOOKUP(B5801,Products!$A:$E,2,FALSE)</f>
        <v>Product_72</v>
      </c>
      <c r="E5801" t="str">
        <f>VLOOKUP(B5801,Products!$A:$E,3,FALSE)</f>
        <v>Networking</v>
      </c>
    </row>
    <row r="5802" spans="1:5" x14ac:dyDescent="0.3">
      <c r="A5802" t="s">
        <v>11814</v>
      </c>
      <c r="B5802" t="s">
        <v>134</v>
      </c>
      <c r="C5802">
        <v>24</v>
      </c>
      <c r="D5802" t="str">
        <f>VLOOKUP(B5802,Products!$A:$E,2,FALSE)</f>
        <v>Product_63</v>
      </c>
      <c r="E5802" t="str">
        <f>VLOOKUP(B5802,Products!$A:$E,3,FALSE)</f>
        <v>Accessories</v>
      </c>
    </row>
    <row r="5803" spans="1:5" x14ac:dyDescent="0.3">
      <c r="A5803" t="s">
        <v>11815</v>
      </c>
      <c r="B5803" t="s">
        <v>788</v>
      </c>
      <c r="C5803">
        <v>4</v>
      </c>
      <c r="D5803" t="str">
        <f>VLOOKUP(B5803,Products!$A:$E,2,FALSE)</f>
        <v>Product_390</v>
      </c>
      <c r="E5803" t="str">
        <f>VLOOKUP(B5803,Products!$A:$E,3,FALSE)</f>
        <v>Storage</v>
      </c>
    </row>
    <row r="5804" spans="1:5" x14ac:dyDescent="0.3">
      <c r="A5804" t="s">
        <v>11816</v>
      </c>
      <c r="B5804" t="s">
        <v>52</v>
      </c>
      <c r="C5804">
        <v>5</v>
      </c>
      <c r="D5804" t="str">
        <f>VLOOKUP(B5804,Products!$A:$E,2,FALSE)</f>
        <v>Product_22</v>
      </c>
      <c r="E5804" t="str">
        <f>VLOOKUP(B5804,Products!$A:$E,3,FALSE)</f>
        <v>Electronics</v>
      </c>
    </row>
    <row r="5805" spans="1:5" x14ac:dyDescent="0.3">
      <c r="A5805" t="s">
        <v>11817</v>
      </c>
      <c r="B5805" t="s">
        <v>294</v>
      </c>
      <c r="C5805">
        <v>7</v>
      </c>
      <c r="D5805" t="str">
        <f>VLOOKUP(B5805,Products!$A:$E,2,FALSE)</f>
        <v>Product_143</v>
      </c>
      <c r="E5805" t="str">
        <f>VLOOKUP(B5805,Products!$A:$E,3,FALSE)</f>
        <v>Office Supplies</v>
      </c>
    </row>
    <row r="5806" spans="1:5" x14ac:dyDescent="0.3">
      <c r="A5806" t="s">
        <v>11818</v>
      </c>
      <c r="B5806" t="s">
        <v>570</v>
      </c>
      <c r="C5806">
        <v>35</v>
      </c>
      <c r="D5806" t="str">
        <f>VLOOKUP(B5806,Products!$A:$E,2,FALSE)</f>
        <v>Product_281</v>
      </c>
      <c r="E5806" t="str">
        <f>VLOOKUP(B5806,Products!$A:$E,3,FALSE)</f>
        <v>Office Supplies</v>
      </c>
    </row>
    <row r="5807" spans="1:5" x14ac:dyDescent="0.3">
      <c r="A5807" t="s">
        <v>11819</v>
      </c>
      <c r="B5807" t="s">
        <v>284</v>
      </c>
      <c r="C5807">
        <v>9</v>
      </c>
      <c r="D5807" t="str">
        <f>VLOOKUP(B5807,Products!$A:$E,2,FALSE)</f>
        <v>Product_138</v>
      </c>
      <c r="E5807" t="str">
        <f>VLOOKUP(B5807,Products!$A:$E,3,FALSE)</f>
        <v>Electronics</v>
      </c>
    </row>
    <row r="5808" spans="1:5" x14ac:dyDescent="0.3">
      <c r="A5808" t="s">
        <v>11820</v>
      </c>
      <c r="B5808" t="s">
        <v>812</v>
      </c>
      <c r="C5808">
        <v>7</v>
      </c>
      <c r="D5808" t="str">
        <f>VLOOKUP(B5808,Products!$A:$E,2,FALSE)</f>
        <v>Product_402</v>
      </c>
      <c r="E5808" t="str">
        <f>VLOOKUP(B5808,Products!$A:$E,3,FALSE)</f>
        <v>Accessories</v>
      </c>
    </row>
    <row r="5809" spans="1:5" x14ac:dyDescent="0.3">
      <c r="A5809" t="s">
        <v>11821</v>
      </c>
      <c r="B5809" t="s">
        <v>956</v>
      </c>
      <c r="C5809">
        <v>48</v>
      </c>
      <c r="D5809" t="str">
        <f>VLOOKUP(B5809,Products!$A:$E,2,FALSE)</f>
        <v>Product_474</v>
      </c>
      <c r="E5809" t="str">
        <f>VLOOKUP(B5809,Products!$A:$E,3,FALSE)</f>
        <v>Networking</v>
      </c>
    </row>
    <row r="5810" spans="1:5" x14ac:dyDescent="0.3">
      <c r="A5810" t="s">
        <v>11822</v>
      </c>
      <c r="B5810" t="s">
        <v>712</v>
      </c>
      <c r="C5810">
        <v>28</v>
      </c>
      <c r="D5810" t="str">
        <f>VLOOKUP(B5810,Products!$A:$E,2,FALSE)</f>
        <v>Product_352</v>
      </c>
      <c r="E5810" t="str">
        <f>VLOOKUP(B5810,Products!$A:$E,3,FALSE)</f>
        <v>Storage</v>
      </c>
    </row>
    <row r="5811" spans="1:5" x14ac:dyDescent="0.3">
      <c r="A5811" t="s">
        <v>11823</v>
      </c>
      <c r="B5811" t="s">
        <v>218</v>
      </c>
      <c r="C5811">
        <v>3</v>
      </c>
      <c r="D5811" t="str">
        <f>VLOOKUP(B5811,Products!$A:$E,2,FALSE)</f>
        <v>Product_105</v>
      </c>
      <c r="E5811" t="str">
        <f>VLOOKUP(B5811,Products!$A:$E,3,FALSE)</f>
        <v>Networking</v>
      </c>
    </row>
    <row r="5812" spans="1:5" x14ac:dyDescent="0.3">
      <c r="A5812" t="s">
        <v>11824</v>
      </c>
      <c r="B5812" t="s">
        <v>922</v>
      </c>
      <c r="C5812">
        <v>43</v>
      </c>
      <c r="D5812" t="str">
        <f>VLOOKUP(B5812,Products!$A:$E,2,FALSE)</f>
        <v>Product_457</v>
      </c>
      <c r="E5812" t="str">
        <f>VLOOKUP(B5812,Products!$A:$E,3,FALSE)</f>
        <v>Networking</v>
      </c>
    </row>
    <row r="5813" spans="1:5" x14ac:dyDescent="0.3">
      <c r="A5813" t="s">
        <v>11825</v>
      </c>
      <c r="B5813" t="s">
        <v>590</v>
      </c>
      <c r="C5813">
        <v>4</v>
      </c>
      <c r="D5813" t="str">
        <f>VLOOKUP(B5813,Products!$A:$E,2,FALSE)</f>
        <v>Product_291</v>
      </c>
      <c r="E5813" t="str">
        <f>VLOOKUP(B5813,Products!$A:$E,3,FALSE)</f>
        <v>Networking</v>
      </c>
    </row>
    <row r="5814" spans="1:5" x14ac:dyDescent="0.3">
      <c r="A5814" t="s">
        <v>11826</v>
      </c>
      <c r="B5814" t="s">
        <v>20</v>
      </c>
      <c r="C5814">
        <v>8</v>
      </c>
      <c r="D5814" t="str">
        <f>VLOOKUP(B5814,Products!$A:$E,2,FALSE)</f>
        <v>Product_6</v>
      </c>
      <c r="E5814" t="str">
        <f>VLOOKUP(B5814,Products!$A:$E,3,FALSE)</f>
        <v>Electronics</v>
      </c>
    </row>
    <row r="5815" spans="1:5" x14ac:dyDescent="0.3">
      <c r="A5815" t="s">
        <v>11827</v>
      </c>
      <c r="B5815" t="s">
        <v>354</v>
      </c>
      <c r="C5815">
        <v>40</v>
      </c>
      <c r="D5815" t="str">
        <f>VLOOKUP(B5815,Products!$A:$E,2,FALSE)</f>
        <v>Product_173</v>
      </c>
      <c r="E5815" t="str">
        <f>VLOOKUP(B5815,Products!$A:$E,3,FALSE)</f>
        <v>Electronics</v>
      </c>
    </row>
    <row r="5816" spans="1:5" x14ac:dyDescent="0.3">
      <c r="A5816" t="s">
        <v>11828</v>
      </c>
      <c r="B5816" t="s">
        <v>746</v>
      </c>
      <c r="C5816">
        <v>18</v>
      </c>
      <c r="D5816" t="str">
        <f>VLOOKUP(B5816,Products!$A:$E,2,FALSE)</f>
        <v>Product_369</v>
      </c>
      <c r="E5816" t="str">
        <f>VLOOKUP(B5816,Products!$A:$E,3,FALSE)</f>
        <v>Accessories</v>
      </c>
    </row>
    <row r="5817" spans="1:5" x14ac:dyDescent="0.3">
      <c r="A5817" t="s">
        <v>11829</v>
      </c>
      <c r="B5817" t="s">
        <v>300</v>
      </c>
      <c r="C5817">
        <v>28</v>
      </c>
      <c r="D5817" t="str">
        <f>VLOOKUP(B5817,Products!$A:$E,2,FALSE)</f>
        <v>Product_146</v>
      </c>
      <c r="E5817" t="str">
        <f>VLOOKUP(B5817,Products!$A:$E,3,FALSE)</f>
        <v>Office Supplies</v>
      </c>
    </row>
    <row r="5818" spans="1:5" x14ac:dyDescent="0.3">
      <c r="A5818" t="s">
        <v>11830</v>
      </c>
      <c r="B5818" t="s">
        <v>256</v>
      </c>
      <c r="C5818">
        <v>15</v>
      </c>
      <c r="D5818" t="str">
        <f>VLOOKUP(B5818,Products!$A:$E,2,FALSE)</f>
        <v>Product_124</v>
      </c>
      <c r="E5818" t="str">
        <f>VLOOKUP(B5818,Products!$A:$E,3,FALSE)</f>
        <v>Storage</v>
      </c>
    </row>
    <row r="5819" spans="1:5" x14ac:dyDescent="0.3">
      <c r="A5819" t="s">
        <v>11831</v>
      </c>
      <c r="B5819" t="s">
        <v>234</v>
      </c>
      <c r="C5819">
        <v>40</v>
      </c>
      <c r="D5819" t="str">
        <f>VLOOKUP(B5819,Products!$A:$E,2,FALSE)</f>
        <v>Product_113</v>
      </c>
      <c r="E5819" t="str">
        <f>VLOOKUP(B5819,Products!$A:$E,3,FALSE)</f>
        <v>Electronics</v>
      </c>
    </row>
    <row r="5820" spans="1:5" x14ac:dyDescent="0.3">
      <c r="A5820" t="s">
        <v>11832</v>
      </c>
      <c r="B5820" t="s">
        <v>628</v>
      </c>
      <c r="C5820">
        <v>37</v>
      </c>
      <c r="D5820" t="str">
        <f>VLOOKUP(B5820,Products!$A:$E,2,FALSE)</f>
        <v>Product_310</v>
      </c>
      <c r="E5820" t="str">
        <f>VLOOKUP(B5820,Products!$A:$E,3,FALSE)</f>
        <v>Office Supplies</v>
      </c>
    </row>
    <row r="5821" spans="1:5" x14ac:dyDescent="0.3">
      <c r="A5821" t="s">
        <v>11833</v>
      </c>
      <c r="B5821" t="s">
        <v>778</v>
      </c>
      <c r="C5821">
        <v>18</v>
      </c>
      <c r="D5821" t="str">
        <f>VLOOKUP(B5821,Products!$A:$E,2,FALSE)</f>
        <v>Product_385</v>
      </c>
      <c r="E5821" t="str">
        <f>VLOOKUP(B5821,Products!$A:$E,3,FALSE)</f>
        <v>Networking</v>
      </c>
    </row>
    <row r="5822" spans="1:5" x14ac:dyDescent="0.3">
      <c r="A5822" t="s">
        <v>11834</v>
      </c>
      <c r="B5822" t="s">
        <v>960</v>
      </c>
      <c r="C5822">
        <v>36</v>
      </c>
      <c r="D5822" t="str">
        <f>VLOOKUP(B5822,Products!$A:$E,2,FALSE)</f>
        <v>Product_476</v>
      </c>
      <c r="E5822" t="str">
        <f>VLOOKUP(B5822,Products!$A:$E,3,FALSE)</f>
        <v>Office Supplies</v>
      </c>
    </row>
    <row r="5823" spans="1:5" x14ac:dyDescent="0.3">
      <c r="A5823" t="s">
        <v>11835</v>
      </c>
      <c r="B5823" t="s">
        <v>372</v>
      </c>
      <c r="C5823">
        <v>16</v>
      </c>
      <c r="D5823" t="str">
        <f>VLOOKUP(B5823,Products!$A:$E,2,FALSE)</f>
        <v>Product_182</v>
      </c>
      <c r="E5823" t="str">
        <f>VLOOKUP(B5823,Products!$A:$E,3,FALSE)</f>
        <v>Storage</v>
      </c>
    </row>
    <row r="5824" spans="1:5" x14ac:dyDescent="0.3">
      <c r="A5824" t="s">
        <v>11836</v>
      </c>
      <c r="B5824" t="s">
        <v>164</v>
      </c>
      <c r="C5824">
        <v>2</v>
      </c>
      <c r="D5824" t="str">
        <f>VLOOKUP(B5824,Products!$A:$E,2,FALSE)</f>
        <v>Product_78</v>
      </c>
      <c r="E5824" t="str">
        <f>VLOOKUP(B5824,Products!$A:$E,3,FALSE)</f>
        <v>Office Supplies</v>
      </c>
    </row>
    <row r="5825" spans="1:5" x14ac:dyDescent="0.3">
      <c r="A5825" t="s">
        <v>11837</v>
      </c>
      <c r="B5825" t="s">
        <v>576</v>
      </c>
      <c r="C5825">
        <v>38</v>
      </c>
      <c r="D5825" t="str">
        <f>VLOOKUP(B5825,Products!$A:$E,2,FALSE)</f>
        <v>Product_284</v>
      </c>
      <c r="E5825" t="str">
        <f>VLOOKUP(B5825,Products!$A:$E,3,FALSE)</f>
        <v>Networking</v>
      </c>
    </row>
    <row r="5826" spans="1:5" x14ac:dyDescent="0.3">
      <c r="A5826" t="s">
        <v>11838</v>
      </c>
      <c r="B5826" t="s">
        <v>334</v>
      </c>
      <c r="C5826">
        <v>49</v>
      </c>
      <c r="D5826" t="str">
        <f>VLOOKUP(B5826,Products!$A:$E,2,FALSE)</f>
        <v>Product_163</v>
      </c>
      <c r="E5826" t="str">
        <f>VLOOKUP(B5826,Products!$A:$E,3,FALSE)</f>
        <v>Accessories</v>
      </c>
    </row>
    <row r="5827" spans="1:5" x14ac:dyDescent="0.3">
      <c r="A5827" t="s">
        <v>11839</v>
      </c>
      <c r="B5827" t="s">
        <v>234</v>
      </c>
      <c r="C5827">
        <v>11</v>
      </c>
      <c r="D5827" t="str">
        <f>VLOOKUP(B5827,Products!$A:$E,2,FALSE)</f>
        <v>Product_113</v>
      </c>
      <c r="E5827" t="str">
        <f>VLOOKUP(B5827,Products!$A:$E,3,FALSE)</f>
        <v>Electronics</v>
      </c>
    </row>
    <row r="5828" spans="1:5" x14ac:dyDescent="0.3">
      <c r="A5828" t="s">
        <v>11840</v>
      </c>
      <c r="B5828" t="s">
        <v>834</v>
      </c>
      <c r="C5828">
        <v>25</v>
      </c>
      <c r="D5828" t="str">
        <f>VLOOKUP(B5828,Products!$A:$E,2,FALSE)</f>
        <v>Product_413</v>
      </c>
      <c r="E5828" t="str">
        <f>VLOOKUP(B5828,Products!$A:$E,3,FALSE)</f>
        <v>Accessories</v>
      </c>
    </row>
    <row r="5829" spans="1:5" x14ac:dyDescent="0.3">
      <c r="A5829" t="s">
        <v>11841</v>
      </c>
      <c r="B5829" t="s">
        <v>218</v>
      </c>
      <c r="C5829">
        <v>35</v>
      </c>
      <c r="D5829" t="str">
        <f>VLOOKUP(B5829,Products!$A:$E,2,FALSE)</f>
        <v>Product_105</v>
      </c>
      <c r="E5829" t="str">
        <f>VLOOKUP(B5829,Products!$A:$E,3,FALSE)</f>
        <v>Networking</v>
      </c>
    </row>
    <row r="5830" spans="1:5" x14ac:dyDescent="0.3">
      <c r="A5830" t="s">
        <v>11842</v>
      </c>
      <c r="B5830" t="s">
        <v>640</v>
      </c>
      <c r="C5830">
        <v>2</v>
      </c>
      <c r="D5830" t="str">
        <f>VLOOKUP(B5830,Products!$A:$E,2,FALSE)</f>
        <v>Product_316</v>
      </c>
      <c r="E5830" t="str">
        <f>VLOOKUP(B5830,Products!$A:$E,3,FALSE)</f>
        <v>Networking</v>
      </c>
    </row>
    <row r="5831" spans="1:5" x14ac:dyDescent="0.3">
      <c r="A5831" t="s">
        <v>11843</v>
      </c>
      <c r="B5831" t="s">
        <v>986</v>
      </c>
      <c r="C5831">
        <v>11</v>
      </c>
      <c r="D5831" t="str">
        <f>VLOOKUP(B5831,Products!$A:$E,2,FALSE)</f>
        <v>Product_489</v>
      </c>
      <c r="E5831" t="str">
        <f>VLOOKUP(B5831,Products!$A:$E,3,FALSE)</f>
        <v>Networking</v>
      </c>
    </row>
    <row r="5832" spans="1:5" x14ac:dyDescent="0.3">
      <c r="A5832" t="s">
        <v>11844</v>
      </c>
      <c r="B5832" t="s">
        <v>102</v>
      </c>
      <c r="C5832">
        <v>37</v>
      </c>
      <c r="D5832" t="str">
        <f>VLOOKUP(B5832,Products!$A:$E,2,FALSE)</f>
        <v>Product_47</v>
      </c>
      <c r="E5832" t="str">
        <f>VLOOKUP(B5832,Products!$A:$E,3,FALSE)</f>
        <v>Electronics</v>
      </c>
    </row>
    <row r="5833" spans="1:5" x14ac:dyDescent="0.3">
      <c r="A5833" t="s">
        <v>11845</v>
      </c>
      <c r="B5833" t="s">
        <v>768</v>
      </c>
      <c r="C5833">
        <v>40</v>
      </c>
      <c r="D5833" t="str">
        <f>VLOOKUP(B5833,Products!$A:$E,2,FALSE)</f>
        <v>Product_380</v>
      </c>
      <c r="E5833" t="str">
        <f>VLOOKUP(B5833,Products!$A:$E,3,FALSE)</f>
        <v>Electronics</v>
      </c>
    </row>
    <row r="5834" spans="1:5" x14ac:dyDescent="0.3">
      <c r="A5834" t="s">
        <v>11846</v>
      </c>
      <c r="B5834" t="s">
        <v>1006</v>
      </c>
      <c r="C5834">
        <v>18</v>
      </c>
      <c r="D5834" t="str">
        <f>VLOOKUP(B5834,Products!$A:$E,2,FALSE)</f>
        <v>Product_499</v>
      </c>
      <c r="E5834" t="str">
        <f>VLOOKUP(B5834,Products!$A:$E,3,FALSE)</f>
        <v>Office Supplies</v>
      </c>
    </row>
    <row r="5835" spans="1:5" x14ac:dyDescent="0.3">
      <c r="A5835" t="s">
        <v>11847</v>
      </c>
      <c r="B5835" t="s">
        <v>838</v>
      </c>
      <c r="C5835">
        <v>32</v>
      </c>
      <c r="D5835" t="str">
        <f>VLOOKUP(B5835,Products!$A:$E,2,FALSE)</f>
        <v>Product_415</v>
      </c>
      <c r="E5835" t="str">
        <f>VLOOKUP(B5835,Products!$A:$E,3,FALSE)</f>
        <v>Networking</v>
      </c>
    </row>
    <row r="5836" spans="1:5" x14ac:dyDescent="0.3">
      <c r="A5836" t="s">
        <v>11848</v>
      </c>
      <c r="B5836" t="s">
        <v>136</v>
      </c>
      <c r="C5836">
        <v>7</v>
      </c>
      <c r="D5836" t="str">
        <f>VLOOKUP(B5836,Products!$A:$E,2,FALSE)</f>
        <v>Product_64</v>
      </c>
      <c r="E5836" t="str">
        <f>VLOOKUP(B5836,Products!$A:$E,3,FALSE)</f>
        <v>Storage</v>
      </c>
    </row>
    <row r="5837" spans="1:5" x14ac:dyDescent="0.3">
      <c r="A5837" t="s">
        <v>11849</v>
      </c>
      <c r="B5837" t="s">
        <v>262</v>
      </c>
      <c r="C5837">
        <v>27</v>
      </c>
      <c r="D5837" t="str">
        <f>VLOOKUP(B5837,Products!$A:$E,2,FALSE)</f>
        <v>Product_127</v>
      </c>
      <c r="E5837" t="str">
        <f>VLOOKUP(B5837,Products!$A:$E,3,FALSE)</f>
        <v>Networking</v>
      </c>
    </row>
    <row r="5838" spans="1:5" x14ac:dyDescent="0.3">
      <c r="A5838" t="s">
        <v>11850</v>
      </c>
      <c r="B5838" t="s">
        <v>236</v>
      </c>
      <c r="C5838">
        <v>16</v>
      </c>
      <c r="D5838" t="str">
        <f>VLOOKUP(B5838,Products!$A:$E,2,FALSE)</f>
        <v>Product_114</v>
      </c>
      <c r="E5838" t="str">
        <f>VLOOKUP(B5838,Products!$A:$E,3,FALSE)</f>
        <v>Electronics</v>
      </c>
    </row>
    <row r="5839" spans="1:5" x14ac:dyDescent="0.3">
      <c r="A5839" t="s">
        <v>11851</v>
      </c>
      <c r="B5839" t="s">
        <v>480</v>
      </c>
      <c r="C5839">
        <v>40</v>
      </c>
      <c r="D5839" t="str">
        <f>VLOOKUP(B5839,Products!$A:$E,2,FALSE)</f>
        <v>Product_236</v>
      </c>
      <c r="E5839" t="str">
        <f>VLOOKUP(B5839,Products!$A:$E,3,FALSE)</f>
        <v>Networking</v>
      </c>
    </row>
    <row r="5840" spans="1:5" x14ac:dyDescent="0.3">
      <c r="A5840" t="s">
        <v>11852</v>
      </c>
      <c r="B5840" t="s">
        <v>178</v>
      </c>
      <c r="C5840">
        <v>12</v>
      </c>
      <c r="D5840" t="str">
        <f>VLOOKUP(B5840,Products!$A:$E,2,FALSE)</f>
        <v>Product_85</v>
      </c>
      <c r="E5840" t="str">
        <f>VLOOKUP(B5840,Products!$A:$E,3,FALSE)</f>
        <v>Electronics</v>
      </c>
    </row>
    <row r="5841" spans="1:5" x14ac:dyDescent="0.3">
      <c r="A5841" t="s">
        <v>11853</v>
      </c>
      <c r="B5841" t="s">
        <v>948</v>
      </c>
      <c r="C5841">
        <v>15</v>
      </c>
      <c r="D5841" t="str">
        <f>VLOOKUP(B5841,Products!$A:$E,2,FALSE)</f>
        <v>Product_470</v>
      </c>
      <c r="E5841" t="str">
        <f>VLOOKUP(B5841,Products!$A:$E,3,FALSE)</f>
        <v>Networking</v>
      </c>
    </row>
    <row r="5842" spans="1:5" x14ac:dyDescent="0.3">
      <c r="A5842" t="s">
        <v>11854</v>
      </c>
      <c r="B5842" t="s">
        <v>296</v>
      </c>
      <c r="C5842">
        <v>7</v>
      </c>
      <c r="D5842" t="str">
        <f>VLOOKUP(B5842,Products!$A:$E,2,FALSE)</f>
        <v>Product_144</v>
      </c>
      <c r="E5842" t="str">
        <f>VLOOKUP(B5842,Products!$A:$E,3,FALSE)</f>
        <v>Office Supplies</v>
      </c>
    </row>
    <row r="5843" spans="1:5" x14ac:dyDescent="0.3">
      <c r="A5843" t="s">
        <v>11855</v>
      </c>
      <c r="B5843" t="s">
        <v>8</v>
      </c>
      <c r="C5843">
        <v>16</v>
      </c>
      <c r="D5843" t="str">
        <f>VLOOKUP(B5843,Products!$A:$E,2,FALSE)</f>
        <v>Product_2</v>
      </c>
      <c r="E5843" t="str">
        <f>VLOOKUP(B5843,Products!$A:$E,3,FALSE)</f>
        <v>Office Supplies</v>
      </c>
    </row>
    <row r="5844" spans="1:5" x14ac:dyDescent="0.3">
      <c r="A5844" t="s">
        <v>11856</v>
      </c>
      <c r="B5844" t="s">
        <v>696</v>
      </c>
      <c r="C5844">
        <v>20</v>
      </c>
      <c r="D5844" t="str">
        <f>VLOOKUP(B5844,Products!$A:$E,2,FALSE)</f>
        <v>Product_344</v>
      </c>
      <c r="E5844" t="str">
        <f>VLOOKUP(B5844,Products!$A:$E,3,FALSE)</f>
        <v>Accessories</v>
      </c>
    </row>
    <row r="5845" spans="1:5" x14ac:dyDescent="0.3">
      <c r="A5845" t="s">
        <v>11857</v>
      </c>
      <c r="B5845" t="s">
        <v>454</v>
      </c>
      <c r="C5845">
        <v>38</v>
      </c>
      <c r="D5845" t="str">
        <f>VLOOKUP(B5845,Products!$A:$E,2,FALSE)</f>
        <v>Product_223</v>
      </c>
      <c r="E5845" t="str">
        <f>VLOOKUP(B5845,Products!$A:$E,3,FALSE)</f>
        <v>Storage</v>
      </c>
    </row>
    <row r="5846" spans="1:5" x14ac:dyDescent="0.3">
      <c r="A5846" t="s">
        <v>11858</v>
      </c>
      <c r="B5846" t="s">
        <v>890</v>
      </c>
      <c r="C5846">
        <v>39</v>
      </c>
      <c r="D5846" t="str">
        <f>VLOOKUP(B5846,Products!$A:$E,2,FALSE)</f>
        <v>Product_441</v>
      </c>
      <c r="E5846" t="str">
        <f>VLOOKUP(B5846,Products!$A:$E,3,FALSE)</f>
        <v>Storage</v>
      </c>
    </row>
    <row r="5847" spans="1:5" x14ac:dyDescent="0.3">
      <c r="A5847" t="s">
        <v>11859</v>
      </c>
      <c r="B5847" t="s">
        <v>878</v>
      </c>
      <c r="C5847">
        <v>25</v>
      </c>
      <c r="D5847" t="str">
        <f>VLOOKUP(B5847,Products!$A:$E,2,FALSE)</f>
        <v>Product_435</v>
      </c>
      <c r="E5847" t="str">
        <f>VLOOKUP(B5847,Products!$A:$E,3,FALSE)</f>
        <v>Accessories</v>
      </c>
    </row>
    <row r="5848" spans="1:5" x14ac:dyDescent="0.3">
      <c r="A5848" t="s">
        <v>11860</v>
      </c>
      <c r="B5848" t="s">
        <v>466</v>
      </c>
      <c r="C5848">
        <v>14</v>
      </c>
      <c r="D5848" t="str">
        <f>VLOOKUP(B5848,Products!$A:$E,2,FALSE)</f>
        <v>Product_229</v>
      </c>
      <c r="E5848" t="str">
        <f>VLOOKUP(B5848,Products!$A:$E,3,FALSE)</f>
        <v>Accessories</v>
      </c>
    </row>
    <row r="5849" spans="1:5" x14ac:dyDescent="0.3">
      <c r="A5849" t="s">
        <v>11861</v>
      </c>
      <c r="B5849" t="s">
        <v>246</v>
      </c>
      <c r="C5849">
        <v>7</v>
      </c>
      <c r="D5849" t="str">
        <f>VLOOKUP(B5849,Products!$A:$E,2,FALSE)</f>
        <v>Product_119</v>
      </c>
      <c r="E5849" t="str">
        <f>VLOOKUP(B5849,Products!$A:$E,3,FALSE)</f>
        <v>Electronics</v>
      </c>
    </row>
    <row r="5850" spans="1:5" x14ac:dyDescent="0.3">
      <c r="A5850" t="s">
        <v>11862</v>
      </c>
      <c r="B5850" t="s">
        <v>876</v>
      </c>
      <c r="C5850">
        <v>6</v>
      </c>
      <c r="D5850" t="str">
        <f>VLOOKUP(B5850,Products!$A:$E,2,FALSE)</f>
        <v>Product_434</v>
      </c>
      <c r="E5850" t="str">
        <f>VLOOKUP(B5850,Products!$A:$E,3,FALSE)</f>
        <v>Office Supplies</v>
      </c>
    </row>
    <row r="5851" spans="1:5" x14ac:dyDescent="0.3">
      <c r="A5851" t="s">
        <v>11863</v>
      </c>
      <c r="B5851" t="s">
        <v>428</v>
      </c>
      <c r="C5851">
        <v>46</v>
      </c>
      <c r="D5851" t="str">
        <f>VLOOKUP(B5851,Products!$A:$E,2,FALSE)</f>
        <v>Product_210</v>
      </c>
      <c r="E5851" t="str">
        <f>VLOOKUP(B5851,Products!$A:$E,3,FALSE)</f>
        <v>Electronics</v>
      </c>
    </row>
    <row r="5852" spans="1:5" x14ac:dyDescent="0.3">
      <c r="A5852" t="s">
        <v>11864</v>
      </c>
      <c r="B5852" t="s">
        <v>464</v>
      </c>
      <c r="C5852">
        <v>29</v>
      </c>
      <c r="D5852" t="str">
        <f>VLOOKUP(B5852,Products!$A:$E,2,FALSE)</f>
        <v>Product_228</v>
      </c>
      <c r="E5852" t="str">
        <f>VLOOKUP(B5852,Products!$A:$E,3,FALSE)</f>
        <v>Storage</v>
      </c>
    </row>
    <row r="5853" spans="1:5" x14ac:dyDescent="0.3">
      <c r="A5853" t="s">
        <v>11865</v>
      </c>
      <c r="B5853" t="s">
        <v>162</v>
      </c>
      <c r="C5853">
        <v>48</v>
      </c>
      <c r="D5853" t="str">
        <f>VLOOKUP(B5853,Products!$A:$E,2,FALSE)</f>
        <v>Product_77</v>
      </c>
      <c r="E5853" t="str">
        <f>VLOOKUP(B5853,Products!$A:$E,3,FALSE)</f>
        <v>Networking</v>
      </c>
    </row>
    <row r="5854" spans="1:5" x14ac:dyDescent="0.3">
      <c r="A5854" t="s">
        <v>11866</v>
      </c>
      <c r="B5854" t="s">
        <v>918</v>
      </c>
      <c r="C5854">
        <v>25</v>
      </c>
      <c r="D5854" t="str">
        <f>VLOOKUP(B5854,Products!$A:$E,2,FALSE)</f>
        <v>Product_455</v>
      </c>
      <c r="E5854" t="str">
        <f>VLOOKUP(B5854,Products!$A:$E,3,FALSE)</f>
        <v>Storage</v>
      </c>
    </row>
    <row r="5855" spans="1:5" x14ac:dyDescent="0.3">
      <c r="A5855" t="s">
        <v>11867</v>
      </c>
      <c r="B5855" t="s">
        <v>880</v>
      </c>
      <c r="C5855">
        <v>40</v>
      </c>
      <c r="D5855" t="str">
        <f>VLOOKUP(B5855,Products!$A:$E,2,FALSE)</f>
        <v>Product_436</v>
      </c>
      <c r="E5855" t="str">
        <f>VLOOKUP(B5855,Products!$A:$E,3,FALSE)</f>
        <v>Networking</v>
      </c>
    </row>
    <row r="5856" spans="1:5" x14ac:dyDescent="0.3">
      <c r="A5856" t="s">
        <v>11868</v>
      </c>
      <c r="B5856" t="s">
        <v>778</v>
      </c>
      <c r="C5856">
        <v>25</v>
      </c>
      <c r="D5856" t="str">
        <f>VLOOKUP(B5856,Products!$A:$E,2,FALSE)</f>
        <v>Product_385</v>
      </c>
      <c r="E5856" t="str">
        <f>VLOOKUP(B5856,Products!$A:$E,3,FALSE)</f>
        <v>Networking</v>
      </c>
    </row>
    <row r="5857" spans="1:5" x14ac:dyDescent="0.3">
      <c r="A5857" t="s">
        <v>11869</v>
      </c>
      <c r="B5857" t="s">
        <v>32</v>
      </c>
      <c r="C5857">
        <v>35</v>
      </c>
      <c r="D5857" t="str">
        <f>VLOOKUP(B5857,Products!$A:$E,2,FALSE)</f>
        <v>Product_12</v>
      </c>
      <c r="E5857" t="str">
        <f>VLOOKUP(B5857,Products!$A:$E,3,FALSE)</f>
        <v>Accessories</v>
      </c>
    </row>
    <row r="5858" spans="1:5" x14ac:dyDescent="0.3">
      <c r="A5858" t="s">
        <v>11870</v>
      </c>
      <c r="B5858" t="s">
        <v>792</v>
      </c>
      <c r="C5858">
        <v>18</v>
      </c>
      <c r="D5858" t="str">
        <f>VLOOKUP(B5858,Products!$A:$E,2,FALSE)</f>
        <v>Product_392</v>
      </c>
      <c r="E5858" t="str">
        <f>VLOOKUP(B5858,Products!$A:$E,3,FALSE)</f>
        <v>Electronics</v>
      </c>
    </row>
    <row r="5859" spans="1:5" x14ac:dyDescent="0.3">
      <c r="A5859" t="s">
        <v>11871</v>
      </c>
      <c r="B5859" t="s">
        <v>220</v>
      </c>
      <c r="C5859">
        <v>44</v>
      </c>
      <c r="D5859" t="str">
        <f>VLOOKUP(B5859,Products!$A:$E,2,FALSE)</f>
        <v>Product_106</v>
      </c>
      <c r="E5859" t="str">
        <f>VLOOKUP(B5859,Products!$A:$E,3,FALSE)</f>
        <v>Networking</v>
      </c>
    </row>
    <row r="5860" spans="1:5" x14ac:dyDescent="0.3">
      <c r="A5860" t="s">
        <v>11872</v>
      </c>
      <c r="B5860" t="s">
        <v>512</v>
      </c>
      <c r="C5860">
        <v>28</v>
      </c>
      <c r="D5860" t="str">
        <f>VLOOKUP(B5860,Products!$A:$E,2,FALSE)</f>
        <v>Product_252</v>
      </c>
      <c r="E5860" t="str">
        <f>VLOOKUP(B5860,Products!$A:$E,3,FALSE)</f>
        <v>Networking</v>
      </c>
    </row>
    <row r="5861" spans="1:5" x14ac:dyDescent="0.3">
      <c r="A5861" t="s">
        <v>11873</v>
      </c>
      <c r="B5861" t="s">
        <v>818</v>
      </c>
      <c r="C5861">
        <v>34</v>
      </c>
      <c r="D5861" t="str">
        <f>VLOOKUP(B5861,Products!$A:$E,2,FALSE)</f>
        <v>Product_405</v>
      </c>
      <c r="E5861" t="str">
        <f>VLOOKUP(B5861,Products!$A:$E,3,FALSE)</f>
        <v>Electronics</v>
      </c>
    </row>
    <row r="5862" spans="1:5" x14ac:dyDescent="0.3">
      <c r="A5862" t="s">
        <v>11874</v>
      </c>
      <c r="B5862" t="s">
        <v>360</v>
      </c>
      <c r="C5862">
        <v>21</v>
      </c>
      <c r="D5862" t="str">
        <f>VLOOKUP(B5862,Products!$A:$E,2,FALSE)</f>
        <v>Product_176</v>
      </c>
      <c r="E5862" t="str">
        <f>VLOOKUP(B5862,Products!$A:$E,3,FALSE)</f>
        <v>Electronics</v>
      </c>
    </row>
    <row r="5863" spans="1:5" x14ac:dyDescent="0.3">
      <c r="A5863" t="s">
        <v>11875</v>
      </c>
      <c r="B5863" t="s">
        <v>30</v>
      </c>
      <c r="C5863">
        <v>32</v>
      </c>
      <c r="D5863" t="str">
        <f>VLOOKUP(B5863,Products!$A:$E,2,FALSE)</f>
        <v>Product_11</v>
      </c>
      <c r="E5863" t="str">
        <f>VLOOKUP(B5863,Products!$A:$E,3,FALSE)</f>
        <v>Electronics</v>
      </c>
    </row>
    <row r="5864" spans="1:5" x14ac:dyDescent="0.3">
      <c r="A5864" t="s">
        <v>11876</v>
      </c>
      <c r="B5864" t="s">
        <v>528</v>
      </c>
      <c r="C5864">
        <v>40</v>
      </c>
      <c r="D5864" t="str">
        <f>VLOOKUP(B5864,Products!$A:$E,2,FALSE)</f>
        <v>Product_260</v>
      </c>
      <c r="E5864" t="str">
        <f>VLOOKUP(B5864,Products!$A:$E,3,FALSE)</f>
        <v>Storage</v>
      </c>
    </row>
    <row r="5865" spans="1:5" x14ac:dyDescent="0.3">
      <c r="A5865" t="s">
        <v>11877</v>
      </c>
      <c r="B5865" t="s">
        <v>406</v>
      </c>
      <c r="C5865">
        <v>29</v>
      </c>
      <c r="D5865" t="str">
        <f>VLOOKUP(B5865,Products!$A:$E,2,FALSE)</f>
        <v>Product_199</v>
      </c>
      <c r="E5865" t="str">
        <f>VLOOKUP(B5865,Products!$A:$E,3,FALSE)</f>
        <v>Storage</v>
      </c>
    </row>
    <row r="5866" spans="1:5" x14ac:dyDescent="0.3">
      <c r="A5866" t="s">
        <v>11878</v>
      </c>
      <c r="B5866" t="s">
        <v>630</v>
      </c>
      <c r="C5866">
        <v>14</v>
      </c>
      <c r="D5866" t="str">
        <f>VLOOKUP(B5866,Products!$A:$E,2,FALSE)</f>
        <v>Product_311</v>
      </c>
      <c r="E5866" t="str">
        <f>VLOOKUP(B5866,Products!$A:$E,3,FALSE)</f>
        <v>Networking</v>
      </c>
    </row>
    <row r="5867" spans="1:5" x14ac:dyDescent="0.3">
      <c r="A5867" t="s">
        <v>11879</v>
      </c>
      <c r="B5867" t="s">
        <v>390</v>
      </c>
      <c r="C5867">
        <v>10</v>
      </c>
      <c r="D5867" t="str">
        <f>VLOOKUP(B5867,Products!$A:$E,2,FALSE)</f>
        <v>Product_191</v>
      </c>
      <c r="E5867" t="str">
        <f>VLOOKUP(B5867,Products!$A:$E,3,FALSE)</f>
        <v>Networking</v>
      </c>
    </row>
    <row r="5868" spans="1:5" x14ac:dyDescent="0.3">
      <c r="A5868" t="s">
        <v>11880</v>
      </c>
      <c r="B5868" t="s">
        <v>730</v>
      </c>
      <c r="C5868">
        <v>5</v>
      </c>
      <c r="D5868" t="str">
        <f>VLOOKUP(B5868,Products!$A:$E,2,FALSE)</f>
        <v>Product_361</v>
      </c>
      <c r="E5868" t="str">
        <f>VLOOKUP(B5868,Products!$A:$E,3,FALSE)</f>
        <v>Office Supplies</v>
      </c>
    </row>
    <row r="5869" spans="1:5" x14ac:dyDescent="0.3">
      <c r="A5869" t="s">
        <v>11881</v>
      </c>
      <c r="B5869" t="s">
        <v>624</v>
      </c>
      <c r="C5869">
        <v>45</v>
      </c>
      <c r="D5869" t="str">
        <f>VLOOKUP(B5869,Products!$A:$E,2,FALSE)</f>
        <v>Product_308</v>
      </c>
      <c r="E5869" t="str">
        <f>VLOOKUP(B5869,Products!$A:$E,3,FALSE)</f>
        <v>Storage</v>
      </c>
    </row>
    <row r="5870" spans="1:5" x14ac:dyDescent="0.3">
      <c r="A5870" t="s">
        <v>11882</v>
      </c>
      <c r="B5870" t="s">
        <v>708</v>
      </c>
      <c r="C5870">
        <v>25</v>
      </c>
      <c r="D5870" t="str">
        <f>VLOOKUP(B5870,Products!$A:$E,2,FALSE)</f>
        <v>Product_350</v>
      </c>
      <c r="E5870" t="str">
        <f>VLOOKUP(B5870,Products!$A:$E,3,FALSE)</f>
        <v>Networking</v>
      </c>
    </row>
    <row r="5871" spans="1:5" x14ac:dyDescent="0.3">
      <c r="A5871" t="s">
        <v>11883</v>
      </c>
      <c r="B5871" t="s">
        <v>182</v>
      </c>
      <c r="C5871">
        <v>26</v>
      </c>
      <c r="D5871" t="str">
        <f>VLOOKUP(B5871,Products!$A:$E,2,FALSE)</f>
        <v>Product_87</v>
      </c>
      <c r="E5871" t="str">
        <f>VLOOKUP(B5871,Products!$A:$E,3,FALSE)</f>
        <v>Networking</v>
      </c>
    </row>
    <row r="5872" spans="1:5" x14ac:dyDescent="0.3">
      <c r="A5872" t="s">
        <v>11884</v>
      </c>
      <c r="B5872" t="s">
        <v>222</v>
      </c>
      <c r="C5872">
        <v>14</v>
      </c>
      <c r="D5872" t="str">
        <f>VLOOKUP(B5872,Products!$A:$E,2,FALSE)</f>
        <v>Product_107</v>
      </c>
      <c r="E5872" t="str">
        <f>VLOOKUP(B5872,Products!$A:$E,3,FALSE)</f>
        <v>Office Supplies</v>
      </c>
    </row>
    <row r="5873" spans="1:5" x14ac:dyDescent="0.3">
      <c r="A5873" t="s">
        <v>11885</v>
      </c>
      <c r="B5873" t="s">
        <v>330</v>
      </c>
      <c r="C5873">
        <v>23</v>
      </c>
      <c r="D5873" t="str">
        <f>VLOOKUP(B5873,Products!$A:$E,2,FALSE)</f>
        <v>Product_161</v>
      </c>
      <c r="E5873" t="str">
        <f>VLOOKUP(B5873,Products!$A:$E,3,FALSE)</f>
        <v>Networking</v>
      </c>
    </row>
    <row r="5874" spans="1:5" x14ac:dyDescent="0.3">
      <c r="A5874" t="s">
        <v>11886</v>
      </c>
      <c r="B5874" t="s">
        <v>424</v>
      </c>
      <c r="C5874">
        <v>18</v>
      </c>
      <c r="D5874" t="str">
        <f>VLOOKUP(B5874,Products!$A:$E,2,FALSE)</f>
        <v>Product_208</v>
      </c>
      <c r="E5874" t="str">
        <f>VLOOKUP(B5874,Products!$A:$E,3,FALSE)</f>
        <v>Electronics</v>
      </c>
    </row>
    <row r="5875" spans="1:5" x14ac:dyDescent="0.3">
      <c r="A5875" t="s">
        <v>11887</v>
      </c>
      <c r="B5875" t="s">
        <v>264</v>
      </c>
      <c r="C5875">
        <v>46</v>
      </c>
      <c r="D5875" t="str">
        <f>VLOOKUP(B5875,Products!$A:$E,2,FALSE)</f>
        <v>Product_128</v>
      </c>
      <c r="E5875" t="str">
        <f>VLOOKUP(B5875,Products!$A:$E,3,FALSE)</f>
        <v>Office Supplies</v>
      </c>
    </row>
    <row r="5876" spans="1:5" x14ac:dyDescent="0.3">
      <c r="A5876" t="s">
        <v>11888</v>
      </c>
      <c r="B5876" t="s">
        <v>306</v>
      </c>
      <c r="C5876">
        <v>15</v>
      </c>
      <c r="D5876" t="str">
        <f>VLOOKUP(B5876,Products!$A:$E,2,FALSE)</f>
        <v>Product_149</v>
      </c>
      <c r="E5876" t="str">
        <f>VLOOKUP(B5876,Products!$A:$E,3,FALSE)</f>
        <v>Accessories</v>
      </c>
    </row>
    <row r="5877" spans="1:5" x14ac:dyDescent="0.3">
      <c r="A5877" t="s">
        <v>11889</v>
      </c>
      <c r="B5877" t="s">
        <v>398</v>
      </c>
      <c r="C5877">
        <v>39</v>
      </c>
      <c r="D5877" t="str">
        <f>VLOOKUP(B5877,Products!$A:$E,2,FALSE)</f>
        <v>Product_195</v>
      </c>
      <c r="E5877" t="str">
        <f>VLOOKUP(B5877,Products!$A:$E,3,FALSE)</f>
        <v>Accessories</v>
      </c>
    </row>
    <row r="5878" spans="1:5" x14ac:dyDescent="0.3">
      <c r="A5878" t="s">
        <v>11890</v>
      </c>
      <c r="B5878" t="s">
        <v>908</v>
      </c>
      <c r="C5878">
        <v>31</v>
      </c>
      <c r="D5878" t="str">
        <f>VLOOKUP(B5878,Products!$A:$E,2,FALSE)</f>
        <v>Product_450</v>
      </c>
      <c r="E5878" t="str">
        <f>VLOOKUP(B5878,Products!$A:$E,3,FALSE)</f>
        <v>Networking</v>
      </c>
    </row>
    <row r="5879" spans="1:5" x14ac:dyDescent="0.3">
      <c r="A5879" t="s">
        <v>11891</v>
      </c>
      <c r="B5879" t="s">
        <v>992</v>
      </c>
      <c r="C5879">
        <v>2</v>
      </c>
      <c r="D5879" t="str">
        <f>VLOOKUP(B5879,Products!$A:$E,2,FALSE)</f>
        <v>Product_492</v>
      </c>
      <c r="E5879" t="str">
        <f>VLOOKUP(B5879,Products!$A:$E,3,FALSE)</f>
        <v>Electronics</v>
      </c>
    </row>
    <row r="5880" spans="1:5" x14ac:dyDescent="0.3">
      <c r="A5880" t="s">
        <v>11892</v>
      </c>
      <c r="B5880" t="s">
        <v>712</v>
      </c>
      <c r="C5880">
        <v>37</v>
      </c>
      <c r="D5880" t="str">
        <f>VLOOKUP(B5880,Products!$A:$E,2,FALSE)</f>
        <v>Product_352</v>
      </c>
      <c r="E5880" t="str">
        <f>VLOOKUP(B5880,Products!$A:$E,3,FALSE)</f>
        <v>Storage</v>
      </c>
    </row>
    <row r="5881" spans="1:5" x14ac:dyDescent="0.3">
      <c r="A5881" t="s">
        <v>11893</v>
      </c>
      <c r="B5881" t="s">
        <v>258</v>
      </c>
      <c r="C5881">
        <v>42</v>
      </c>
      <c r="D5881" t="str">
        <f>VLOOKUP(B5881,Products!$A:$E,2,FALSE)</f>
        <v>Product_125</v>
      </c>
      <c r="E5881" t="str">
        <f>VLOOKUP(B5881,Products!$A:$E,3,FALSE)</f>
        <v>Office Supplies</v>
      </c>
    </row>
    <row r="5882" spans="1:5" x14ac:dyDescent="0.3">
      <c r="A5882" t="s">
        <v>11894</v>
      </c>
      <c r="B5882" t="s">
        <v>724</v>
      </c>
      <c r="C5882">
        <v>5</v>
      </c>
      <c r="D5882" t="str">
        <f>VLOOKUP(B5882,Products!$A:$E,2,FALSE)</f>
        <v>Product_358</v>
      </c>
      <c r="E5882" t="str">
        <f>VLOOKUP(B5882,Products!$A:$E,3,FALSE)</f>
        <v>Storage</v>
      </c>
    </row>
    <row r="5883" spans="1:5" x14ac:dyDescent="0.3">
      <c r="A5883" t="s">
        <v>11895</v>
      </c>
      <c r="B5883" t="s">
        <v>472</v>
      </c>
      <c r="C5883">
        <v>46</v>
      </c>
      <c r="D5883" t="str">
        <f>VLOOKUP(B5883,Products!$A:$E,2,FALSE)</f>
        <v>Product_232</v>
      </c>
      <c r="E5883" t="str">
        <f>VLOOKUP(B5883,Products!$A:$E,3,FALSE)</f>
        <v>Office Supplies</v>
      </c>
    </row>
    <row r="5884" spans="1:5" x14ac:dyDescent="0.3">
      <c r="A5884" t="s">
        <v>11896</v>
      </c>
      <c r="B5884" t="s">
        <v>828</v>
      </c>
      <c r="C5884">
        <v>2</v>
      </c>
      <c r="D5884" t="str">
        <f>VLOOKUP(B5884,Products!$A:$E,2,FALSE)</f>
        <v>Product_410</v>
      </c>
      <c r="E5884" t="str">
        <f>VLOOKUP(B5884,Products!$A:$E,3,FALSE)</f>
        <v>Storage</v>
      </c>
    </row>
    <row r="5885" spans="1:5" x14ac:dyDescent="0.3">
      <c r="A5885" t="s">
        <v>11897</v>
      </c>
      <c r="B5885" t="s">
        <v>408</v>
      </c>
      <c r="C5885">
        <v>37</v>
      </c>
      <c r="D5885" t="str">
        <f>VLOOKUP(B5885,Products!$A:$E,2,FALSE)</f>
        <v>Product_200</v>
      </c>
      <c r="E5885" t="str">
        <f>VLOOKUP(B5885,Products!$A:$E,3,FALSE)</f>
        <v>Office Supplies</v>
      </c>
    </row>
    <row r="5886" spans="1:5" x14ac:dyDescent="0.3">
      <c r="A5886" t="s">
        <v>11898</v>
      </c>
      <c r="B5886" t="s">
        <v>362</v>
      </c>
      <c r="C5886">
        <v>24</v>
      </c>
      <c r="D5886" t="str">
        <f>VLOOKUP(B5886,Products!$A:$E,2,FALSE)</f>
        <v>Product_177</v>
      </c>
      <c r="E5886" t="str">
        <f>VLOOKUP(B5886,Products!$A:$E,3,FALSE)</f>
        <v>Office Supplies</v>
      </c>
    </row>
    <row r="5887" spans="1:5" x14ac:dyDescent="0.3">
      <c r="A5887" t="s">
        <v>11899</v>
      </c>
      <c r="B5887" t="s">
        <v>400</v>
      </c>
      <c r="C5887">
        <v>2</v>
      </c>
      <c r="D5887" t="str">
        <f>VLOOKUP(B5887,Products!$A:$E,2,FALSE)</f>
        <v>Product_196</v>
      </c>
      <c r="E5887" t="str">
        <f>VLOOKUP(B5887,Products!$A:$E,3,FALSE)</f>
        <v>Office Supplies</v>
      </c>
    </row>
    <row r="5888" spans="1:5" x14ac:dyDescent="0.3">
      <c r="A5888" t="s">
        <v>11900</v>
      </c>
      <c r="B5888" t="s">
        <v>512</v>
      </c>
      <c r="C5888">
        <v>28</v>
      </c>
      <c r="D5888" t="str">
        <f>VLOOKUP(B5888,Products!$A:$E,2,FALSE)</f>
        <v>Product_252</v>
      </c>
      <c r="E5888" t="str">
        <f>VLOOKUP(B5888,Products!$A:$E,3,FALSE)</f>
        <v>Networking</v>
      </c>
    </row>
    <row r="5889" spans="1:5" x14ac:dyDescent="0.3">
      <c r="A5889" t="s">
        <v>11901</v>
      </c>
      <c r="B5889" t="s">
        <v>750</v>
      </c>
      <c r="C5889">
        <v>29</v>
      </c>
      <c r="D5889" t="str">
        <f>VLOOKUP(B5889,Products!$A:$E,2,FALSE)</f>
        <v>Product_371</v>
      </c>
      <c r="E5889" t="str">
        <f>VLOOKUP(B5889,Products!$A:$E,3,FALSE)</f>
        <v>Storage</v>
      </c>
    </row>
    <row r="5890" spans="1:5" x14ac:dyDescent="0.3">
      <c r="A5890" t="s">
        <v>11902</v>
      </c>
      <c r="B5890" t="s">
        <v>940</v>
      </c>
      <c r="C5890">
        <v>28</v>
      </c>
      <c r="D5890" t="str">
        <f>VLOOKUP(B5890,Products!$A:$E,2,FALSE)</f>
        <v>Product_466</v>
      </c>
      <c r="E5890" t="str">
        <f>VLOOKUP(B5890,Products!$A:$E,3,FALSE)</f>
        <v>Networking</v>
      </c>
    </row>
    <row r="5891" spans="1:5" x14ac:dyDescent="0.3">
      <c r="A5891" t="s">
        <v>11903</v>
      </c>
      <c r="B5891" t="s">
        <v>100</v>
      </c>
      <c r="C5891">
        <v>28</v>
      </c>
      <c r="D5891" t="str">
        <f>VLOOKUP(B5891,Products!$A:$E,2,FALSE)</f>
        <v>Product_46</v>
      </c>
      <c r="E5891" t="str">
        <f>VLOOKUP(B5891,Products!$A:$E,3,FALSE)</f>
        <v>Networking</v>
      </c>
    </row>
    <row r="5892" spans="1:5" x14ac:dyDescent="0.3">
      <c r="A5892" t="s">
        <v>11904</v>
      </c>
      <c r="B5892" t="s">
        <v>270</v>
      </c>
      <c r="C5892">
        <v>23</v>
      </c>
      <c r="D5892" t="str">
        <f>VLOOKUP(B5892,Products!$A:$E,2,FALSE)</f>
        <v>Product_131</v>
      </c>
      <c r="E5892" t="str">
        <f>VLOOKUP(B5892,Products!$A:$E,3,FALSE)</f>
        <v>Electronics</v>
      </c>
    </row>
    <row r="5893" spans="1:5" x14ac:dyDescent="0.3">
      <c r="A5893" t="s">
        <v>11905</v>
      </c>
      <c r="B5893" t="s">
        <v>244</v>
      </c>
      <c r="C5893">
        <v>18</v>
      </c>
      <c r="D5893" t="str">
        <f>VLOOKUP(B5893,Products!$A:$E,2,FALSE)</f>
        <v>Product_118</v>
      </c>
      <c r="E5893" t="str">
        <f>VLOOKUP(B5893,Products!$A:$E,3,FALSE)</f>
        <v>Accessories</v>
      </c>
    </row>
    <row r="5894" spans="1:5" x14ac:dyDescent="0.3">
      <c r="A5894" t="s">
        <v>11906</v>
      </c>
      <c r="B5894" t="s">
        <v>384</v>
      </c>
      <c r="C5894">
        <v>17</v>
      </c>
      <c r="D5894" t="str">
        <f>VLOOKUP(B5894,Products!$A:$E,2,FALSE)</f>
        <v>Product_188</v>
      </c>
      <c r="E5894" t="str">
        <f>VLOOKUP(B5894,Products!$A:$E,3,FALSE)</f>
        <v>Office Supplies</v>
      </c>
    </row>
    <row r="5895" spans="1:5" x14ac:dyDescent="0.3">
      <c r="A5895" t="s">
        <v>11907</v>
      </c>
      <c r="B5895" t="s">
        <v>500</v>
      </c>
      <c r="C5895">
        <v>11</v>
      </c>
      <c r="D5895" t="str">
        <f>VLOOKUP(B5895,Products!$A:$E,2,FALSE)</f>
        <v>Product_246</v>
      </c>
      <c r="E5895" t="str">
        <f>VLOOKUP(B5895,Products!$A:$E,3,FALSE)</f>
        <v>Electronics</v>
      </c>
    </row>
    <row r="5896" spans="1:5" x14ac:dyDescent="0.3">
      <c r="A5896" t="s">
        <v>11908</v>
      </c>
      <c r="B5896" t="s">
        <v>182</v>
      </c>
      <c r="C5896">
        <v>15</v>
      </c>
      <c r="D5896" t="str">
        <f>VLOOKUP(B5896,Products!$A:$E,2,FALSE)</f>
        <v>Product_87</v>
      </c>
      <c r="E5896" t="str">
        <f>VLOOKUP(B5896,Products!$A:$E,3,FALSE)</f>
        <v>Networking</v>
      </c>
    </row>
    <row r="5897" spans="1:5" x14ac:dyDescent="0.3">
      <c r="A5897" t="s">
        <v>11909</v>
      </c>
      <c r="B5897" t="s">
        <v>884</v>
      </c>
      <c r="C5897">
        <v>38</v>
      </c>
      <c r="D5897" t="str">
        <f>VLOOKUP(B5897,Products!$A:$E,2,FALSE)</f>
        <v>Product_438</v>
      </c>
      <c r="E5897" t="str">
        <f>VLOOKUP(B5897,Products!$A:$E,3,FALSE)</f>
        <v>Electronics</v>
      </c>
    </row>
    <row r="5898" spans="1:5" x14ac:dyDescent="0.3">
      <c r="A5898" t="s">
        <v>11910</v>
      </c>
      <c r="B5898" t="s">
        <v>670</v>
      </c>
      <c r="C5898">
        <v>34</v>
      </c>
      <c r="D5898" t="str">
        <f>VLOOKUP(B5898,Products!$A:$E,2,FALSE)</f>
        <v>Product_331</v>
      </c>
      <c r="E5898" t="str">
        <f>VLOOKUP(B5898,Products!$A:$E,3,FALSE)</f>
        <v>Electronics</v>
      </c>
    </row>
    <row r="5899" spans="1:5" x14ac:dyDescent="0.3">
      <c r="A5899" t="s">
        <v>11911</v>
      </c>
      <c r="B5899" t="s">
        <v>622</v>
      </c>
      <c r="C5899">
        <v>34</v>
      </c>
      <c r="D5899" t="str">
        <f>VLOOKUP(B5899,Products!$A:$E,2,FALSE)</f>
        <v>Product_307</v>
      </c>
      <c r="E5899" t="str">
        <f>VLOOKUP(B5899,Products!$A:$E,3,FALSE)</f>
        <v>Storage</v>
      </c>
    </row>
    <row r="5900" spans="1:5" x14ac:dyDescent="0.3">
      <c r="A5900" t="s">
        <v>11912</v>
      </c>
      <c r="B5900" t="s">
        <v>838</v>
      </c>
      <c r="C5900">
        <v>13</v>
      </c>
      <c r="D5900" t="str">
        <f>VLOOKUP(B5900,Products!$A:$E,2,FALSE)</f>
        <v>Product_415</v>
      </c>
      <c r="E5900" t="str">
        <f>VLOOKUP(B5900,Products!$A:$E,3,FALSE)</f>
        <v>Networking</v>
      </c>
    </row>
    <row r="5901" spans="1:5" x14ac:dyDescent="0.3">
      <c r="A5901" t="s">
        <v>11913</v>
      </c>
      <c r="B5901" t="s">
        <v>876</v>
      </c>
      <c r="C5901">
        <v>3</v>
      </c>
      <c r="D5901" t="str">
        <f>VLOOKUP(B5901,Products!$A:$E,2,FALSE)</f>
        <v>Product_434</v>
      </c>
      <c r="E5901" t="str">
        <f>VLOOKUP(B5901,Products!$A:$E,3,FALSE)</f>
        <v>Office Supplies</v>
      </c>
    </row>
    <row r="5902" spans="1:5" x14ac:dyDescent="0.3">
      <c r="A5902" t="s">
        <v>11914</v>
      </c>
      <c r="B5902" t="s">
        <v>400</v>
      </c>
      <c r="C5902">
        <v>24</v>
      </c>
      <c r="D5902" t="str">
        <f>VLOOKUP(B5902,Products!$A:$E,2,FALSE)</f>
        <v>Product_196</v>
      </c>
      <c r="E5902" t="str">
        <f>VLOOKUP(B5902,Products!$A:$E,3,FALSE)</f>
        <v>Office Supplies</v>
      </c>
    </row>
    <row r="5903" spans="1:5" x14ac:dyDescent="0.3">
      <c r="A5903" t="s">
        <v>11915</v>
      </c>
      <c r="B5903" t="s">
        <v>58</v>
      </c>
      <c r="C5903">
        <v>49</v>
      </c>
      <c r="D5903" t="str">
        <f>VLOOKUP(B5903,Products!$A:$E,2,FALSE)</f>
        <v>Product_25</v>
      </c>
      <c r="E5903" t="str">
        <f>VLOOKUP(B5903,Products!$A:$E,3,FALSE)</f>
        <v>Office Supplies</v>
      </c>
    </row>
    <row r="5904" spans="1:5" x14ac:dyDescent="0.3">
      <c r="A5904" t="s">
        <v>11916</v>
      </c>
      <c r="B5904" t="s">
        <v>244</v>
      </c>
      <c r="C5904">
        <v>6</v>
      </c>
      <c r="D5904" t="str">
        <f>VLOOKUP(B5904,Products!$A:$E,2,FALSE)</f>
        <v>Product_118</v>
      </c>
      <c r="E5904" t="str">
        <f>VLOOKUP(B5904,Products!$A:$E,3,FALSE)</f>
        <v>Accessories</v>
      </c>
    </row>
    <row r="5905" spans="1:5" x14ac:dyDescent="0.3">
      <c r="A5905" t="s">
        <v>11917</v>
      </c>
      <c r="B5905" t="s">
        <v>734</v>
      </c>
      <c r="C5905">
        <v>11</v>
      </c>
      <c r="D5905" t="str">
        <f>VLOOKUP(B5905,Products!$A:$E,2,FALSE)</f>
        <v>Product_363</v>
      </c>
      <c r="E5905" t="str">
        <f>VLOOKUP(B5905,Products!$A:$E,3,FALSE)</f>
        <v>Storage</v>
      </c>
    </row>
    <row r="5906" spans="1:5" x14ac:dyDescent="0.3">
      <c r="A5906" t="s">
        <v>11918</v>
      </c>
      <c r="B5906" t="s">
        <v>104</v>
      </c>
      <c r="C5906">
        <v>40</v>
      </c>
      <c r="D5906" t="str">
        <f>VLOOKUP(B5906,Products!$A:$E,2,FALSE)</f>
        <v>Product_48</v>
      </c>
      <c r="E5906" t="str">
        <f>VLOOKUP(B5906,Products!$A:$E,3,FALSE)</f>
        <v>Accessories</v>
      </c>
    </row>
    <row r="5907" spans="1:5" x14ac:dyDescent="0.3">
      <c r="A5907" t="s">
        <v>11919</v>
      </c>
      <c r="B5907" t="s">
        <v>722</v>
      </c>
      <c r="C5907">
        <v>36</v>
      </c>
      <c r="D5907" t="str">
        <f>VLOOKUP(B5907,Products!$A:$E,2,FALSE)</f>
        <v>Product_357</v>
      </c>
      <c r="E5907" t="str">
        <f>VLOOKUP(B5907,Products!$A:$E,3,FALSE)</f>
        <v>Accessories</v>
      </c>
    </row>
    <row r="5908" spans="1:5" x14ac:dyDescent="0.3">
      <c r="A5908" t="s">
        <v>11920</v>
      </c>
      <c r="B5908" t="s">
        <v>60</v>
      </c>
      <c r="C5908">
        <v>17</v>
      </c>
      <c r="D5908" t="str">
        <f>VLOOKUP(B5908,Products!$A:$E,2,FALSE)</f>
        <v>Product_26</v>
      </c>
      <c r="E5908" t="str">
        <f>VLOOKUP(B5908,Products!$A:$E,3,FALSE)</f>
        <v>Office Supplies</v>
      </c>
    </row>
    <row r="5909" spans="1:5" x14ac:dyDescent="0.3">
      <c r="A5909" t="s">
        <v>11921</v>
      </c>
      <c r="B5909" t="s">
        <v>90</v>
      </c>
      <c r="C5909">
        <v>34</v>
      </c>
      <c r="D5909" t="str">
        <f>VLOOKUP(B5909,Products!$A:$E,2,FALSE)</f>
        <v>Product_41</v>
      </c>
      <c r="E5909" t="str">
        <f>VLOOKUP(B5909,Products!$A:$E,3,FALSE)</f>
        <v>Accessories</v>
      </c>
    </row>
    <row r="5910" spans="1:5" x14ac:dyDescent="0.3">
      <c r="A5910" t="s">
        <v>11922</v>
      </c>
      <c r="B5910" t="s">
        <v>964</v>
      </c>
      <c r="C5910">
        <v>17</v>
      </c>
      <c r="D5910" t="str">
        <f>VLOOKUP(B5910,Products!$A:$E,2,FALSE)</f>
        <v>Product_478</v>
      </c>
      <c r="E5910" t="str">
        <f>VLOOKUP(B5910,Products!$A:$E,3,FALSE)</f>
        <v>Office Supplies</v>
      </c>
    </row>
    <row r="5911" spans="1:5" x14ac:dyDescent="0.3">
      <c r="A5911" t="s">
        <v>11923</v>
      </c>
      <c r="B5911" t="s">
        <v>472</v>
      </c>
      <c r="C5911">
        <v>10</v>
      </c>
      <c r="D5911" t="str">
        <f>VLOOKUP(B5911,Products!$A:$E,2,FALSE)</f>
        <v>Product_232</v>
      </c>
      <c r="E5911" t="str">
        <f>VLOOKUP(B5911,Products!$A:$E,3,FALSE)</f>
        <v>Office Supplies</v>
      </c>
    </row>
    <row r="5912" spans="1:5" x14ac:dyDescent="0.3">
      <c r="A5912" t="s">
        <v>11924</v>
      </c>
      <c r="B5912" t="s">
        <v>310</v>
      </c>
      <c r="C5912">
        <v>10</v>
      </c>
      <c r="D5912" t="str">
        <f>VLOOKUP(B5912,Products!$A:$E,2,FALSE)</f>
        <v>Product_151</v>
      </c>
      <c r="E5912" t="str">
        <f>VLOOKUP(B5912,Products!$A:$E,3,FALSE)</f>
        <v>Storage</v>
      </c>
    </row>
    <row r="5913" spans="1:5" x14ac:dyDescent="0.3">
      <c r="A5913" t="s">
        <v>11925</v>
      </c>
      <c r="B5913" t="s">
        <v>888</v>
      </c>
      <c r="C5913">
        <v>28</v>
      </c>
      <c r="D5913" t="str">
        <f>VLOOKUP(B5913,Products!$A:$E,2,FALSE)</f>
        <v>Product_440</v>
      </c>
      <c r="E5913" t="str">
        <f>VLOOKUP(B5913,Products!$A:$E,3,FALSE)</f>
        <v>Accessories</v>
      </c>
    </row>
    <row r="5914" spans="1:5" x14ac:dyDescent="0.3">
      <c r="A5914" t="s">
        <v>11926</v>
      </c>
      <c r="B5914" t="s">
        <v>294</v>
      </c>
      <c r="C5914">
        <v>12</v>
      </c>
      <c r="D5914" t="str">
        <f>VLOOKUP(B5914,Products!$A:$E,2,FALSE)</f>
        <v>Product_143</v>
      </c>
      <c r="E5914" t="str">
        <f>VLOOKUP(B5914,Products!$A:$E,3,FALSE)</f>
        <v>Office Supplies</v>
      </c>
    </row>
    <row r="5915" spans="1:5" x14ac:dyDescent="0.3">
      <c r="A5915" t="s">
        <v>11927</v>
      </c>
      <c r="B5915" t="s">
        <v>244</v>
      </c>
      <c r="C5915">
        <v>27</v>
      </c>
      <c r="D5915" t="str">
        <f>VLOOKUP(B5915,Products!$A:$E,2,FALSE)</f>
        <v>Product_118</v>
      </c>
      <c r="E5915" t="str">
        <f>VLOOKUP(B5915,Products!$A:$E,3,FALSE)</f>
        <v>Accessories</v>
      </c>
    </row>
    <row r="5916" spans="1:5" x14ac:dyDescent="0.3">
      <c r="A5916" t="s">
        <v>11928</v>
      </c>
      <c r="B5916" t="s">
        <v>328</v>
      </c>
      <c r="C5916">
        <v>11</v>
      </c>
      <c r="D5916" t="str">
        <f>VLOOKUP(B5916,Products!$A:$E,2,FALSE)</f>
        <v>Product_160</v>
      </c>
      <c r="E5916" t="str">
        <f>VLOOKUP(B5916,Products!$A:$E,3,FALSE)</f>
        <v>Office Supplies</v>
      </c>
    </row>
    <row r="5917" spans="1:5" x14ac:dyDescent="0.3">
      <c r="A5917" t="s">
        <v>11929</v>
      </c>
      <c r="B5917" t="s">
        <v>542</v>
      </c>
      <c r="C5917">
        <v>5</v>
      </c>
      <c r="D5917" t="str">
        <f>VLOOKUP(B5917,Products!$A:$E,2,FALSE)</f>
        <v>Product_267</v>
      </c>
      <c r="E5917" t="str">
        <f>VLOOKUP(B5917,Products!$A:$E,3,FALSE)</f>
        <v>Networking</v>
      </c>
    </row>
    <row r="5918" spans="1:5" x14ac:dyDescent="0.3">
      <c r="A5918" t="s">
        <v>11930</v>
      </c>
      <c r="B5918" t="s">
        <v>246</v>
      </c>
      <c r="C5918">
        <v>6</v>
      </c>
      <c r="D5918" t="str">
        <f>VLOOKUP(B5918,Products!$A:$E,2,FALSE)</f>
        <v>Product_119</v>
      </c>
      <c r="E5918" t="str">
        <f>VLOOKUP(B5918,Products!$A:$E,3,FALSE)</f>
        <v>Electronics</v>
      </c>
    </row>
    <row r="5919" spans="1:5" x14ac:dyDescent="0.3">
      <c r="A5919" t="s">
        <v>11931</v>
      </c>
      <c r="B5919" t="s">
        <v>644</v>
      </c>
      <c r="C5919">
        <v>4</v>
      </c>
      <c r="D5919" t="str">
        <f>VLOOKUP(B5919,Products!$A:$E,2,FALSE)</f>
        <v>Product_318</v>
      </c>
      <c r="E5919" t="str">
        <f>VLOOKUP(B5919,Products!$A:$E,3,FALSE)</f>
        <v>Storage</v>
      </c>
    </row>
    <row r="5920" spans="1:5" x14ac:dyDescent="0.3">
      <c r="A5920" t="s">
        <v>11932</v>
      </c>
      <c r="B5920" t="s">
        <v>596</v>
      </c>
      <c r="C5920">
        <v>42</v>
      </c>
      <c r="D5920" t="str">
        <f>VLOOKUP(B5920,Products!$A:$E,2,FALSE)</f>
        <v>Product_294</v>
      </c>
      <c r="E5920" t="str">
        <f>VLOOKUP(B5920,Products!$A:$E,3,FALSE)</f>
        <v>Networking</v>
      </c>
    </row>
    <row r="5921" spans="1:5" x14ac:dyDescent="0.3">
      <c r="A5921" t="s">
        <v>11933</v>
      </c>
      <c r="B5921" t="s">
        <v>810</v>
      </c>
      <c r="C5921">
        <v>48</v>
      </c>
      <c r="D5921" t="str">
        <f>VLOOKUP(B5921,Products!$A:$E,2,FALSE)</f>
        <v>Product_401</v>
      </c>
      <c r="E5921" t="str">
        <f>VLOOKUP(B5921,Products!$A:$E,3,FALSE)</f>
        <v>Storage</v>
      </c>
    </row>
    <row r="5922" spans="1:5" x14ac:dyDescent="0.3">
      <c r="A5922" t="s">
        <v>11934</v>
      </c>
      <c r="B5922" t="s">
        <v>190</v>
      </c>
      <c r="C5922">
        <v>19</v>
      </c>
      <c r="D5922" t="str">
        <f>VLOOKUP(B5922,Products!$A:$E,2,FALSE)</f>
        <v>Product_91</v>
      </c>
      <c r="E5922" t="str">
        <f>VLOOKUP(B5922,Products!$A:$E,3,FALSE)</f>
        <v>Networking</v>
      </c>
    </row>
    <row r="5923" spans="1:5" x14ac:dyDescent="0.3">
      <c r="A5923" t="s">
        <v>11935</v>
      </c>
      <c r="B5923" t="s">
        <v>570</v>
      </c>
      <c r="C5923">
        <v>31</v>
      </c>
      <c r="D5923" t="str">
        <f>VLOOKUP(B5923,Products!$A:$E,2,FALSE)</f>
        <v>Product_281</v>
      </c>
      <c r="E5923" t="str">
        <f>VLOOKUP(B5923,Products!$A:$E,3,FALSE)</f>
        <v>Office Supplies</v>
      </c>
    </row>
    <row r="5924" spans="1:5" x14ac:dyDescent="0.3">
      <c r="A5924" t="s">
        <v>11936</v>
      </c>
      <c r="B5924" t="s">
        <v>974</v>
      </c>
      <c r="C5924">
        <v>28</v>
      </c>
      <c r="D5924" t="str">
        <f>VLOOKUP(B5924,Products!$A:$E,2,FALSE)</f>
        <v>Product_483</v>
      </c>
      <c r="E5924" t="str">
        <f>VLOOKUP(B5924,Products!$A:$E,3,FALSE)</f>
        <v>Electronics</v>
      </c>
    </row>
    <row r="5925" spans="1:5" x14ac:dyDescent="0.3">
      <c r="A5925" t="s">
        <v>11937</v>
      </c>
      <c r="B5925" t="s">
        <v>926</v>
      </c>
      <c r="C5925">
        <v>11</v>
      </c>
      <c r="D5925" t="str">
        <f>VLOOKUP(B5925,Products!$A:$E,2,FALSE)</f>
        <v>Product_459</v>
      </c>
      <c r="E5925" t="str">
        <f>VLOOKUP(B5925,Products!$A:$E,3,FALSE)</f>
        <v>Office Supplies</v>
      </c>
    </row>
    <row r="5926" spans="1:5" x14ac:dyDescent="0.3">
      <c r="A5926" t="s">
        <v>11938</v>
      </c>
      <c r="B5926" t="s">
        <v>250</v>
      </c>
      <c r="C5926">
        <v>2</v>
      </c>
      <c r="D5926" t="str">
        <f>VLOOKUP(B5926,Products!$A:$E,2,FALSE)</f>
        <v>Product_121</v>
      </c>
      <c r="E5926" t="str">
        <f>VLOOKUP(B5926,Products!$A:$E,3,FALSE)</f>
        <v>Storage</v>
      </c>
    </row>
    <row r="5927" spans="1:5" x14ac:dyDescent="0.3">
      <c r="A5927" t="s">
        <v>11939</v>
      </c>
      <c r="B5927" t="s">
        <v>836</v>
      </c>
      <c r="C5927">
        <v>13</v>
      </c>
      <c r="D5927" t="str">
        <f>VLOOKUP(B5927,Products!$A:$E,2,FALSE)</f>
        <v>Product_414</v>
      </c>
      <c r="E5927" t="str">
        <f>VLOOKUP(B5927,Products!$A:$E,3,FALSE)</f>
        <v>Office Supplies</v>
      </c>
    </row>
    <row r="5928" spans="1:5" x14ac:dyDescent="0.3">
      <c r="A5928" t="s">
        <v>11940</v>
      </c>
      <c r="B5928" t="s">
        <v>626</v>
      </c>
      <c r="C5928">
        <v>46</v>
      </c>
      <c r="D5928" t="str">
        <f>VLOOKUP(B5928,Products!$A:$E,2,FALSE)</f>
        <v>Product_309</v>
      </c>
      <c r="E5928" t="str">
        <f>VLOOKUP(B5928,Products!$A:$E,3,FALSE)</f>
        <v>Networking</v>
      </c>
    </row>
    <row r="5929" spans="1:5" x14ac:dyDescent="0.3">
      <c r="A5929" t="s">
        <v>11941</v>
      </c>
      <c r="B5929" t="s">
        <v>88</v>
      </c>
      <c r="C5929">
        <v>5</v>
      </c>
      <c r="D5929" t="str">
        <f>VLOOKUP(B5929,Products!$A:$E,2,FALSE)</f>
        <v>Product_40</v>
      </c>
      <c r="E5929" t="str">
        <f>VLOOKUP(B5929,Products!$A:$E,3,FALSE)</f>
        <v>Accessories</v>
      </c>
    </row>
    <row r="5930" spans="1:5" x14ac:dyDescent="0.3">
      <c r="A5930" t="s">
        <v>11942</v>
      </c>
      <c r="B5930" t="s">
        <v>800</v>
      </c>
      <c r="C5930">
        <v>7</v>
      </c>
      <c r="D5930" t="str">
        <f>VLOOKUP(B5930,Products!$A:$E,2,FALSE)</f>
        <v>Product_396</v>
      </c>
      <c r="E5930" t="str">
        <f>VLOOKUP(B5930,Products!$A:$E,3,FALSE)</f>
        <v>Office Supplies</v>
      </c>
    </row>
    <row r="5931" spans="1:5" x14ac:dyDescent="0.3">
      <c r="A5931" t="s">
        <v>11943</v>
      </c>
      <c r="B5931" t="s">
        <v>284</v>
      </c>
      <c r="C5931">
        <v>12</v>
      </c>
      <c r="D5931" t="str">
        <f>VLOOKUP(B5931,Products!$A:$E,2,FALSE)</f>
        <v>Product_138</v>
      </c>
      <c r="E5931" t="str">
        <f>VLOOKUP(B5931,Products!$A:$E,3,FALSE)</f>
        <v>Electronics</v>
      </c>
    </row>
    <row r="5932" spans="1:5" x14ac:dyDescent="0.3">
      <c r="A5932" t="s">
        <v>11944</v>
      </c>
      <c r="B5932" t="s">
        <v>556</v>
      </c>
      <c r="C5932">
        <v>8</v>
      </c>
      <c r="D5932" t="str">
        <f>VLOOKUP(B5932,Products!$A:$E,2,FALSE)</f>
        <v>Product_274</v>
      </c>
      <c r="E5932" t="str">
        <f>VLOOKUP(B5932,Products!$A:$E,3,FALSE)</f>
        <v>Accessories</v>
      </c>
    </row>
    <row r="5933" spans="1:5" x14ac:dyDescent="0.3">
      <c r="A5933" t="s">
        <v>11945</v>
      </c>
      <c r="B5933" t="s">
        <v>806</v>
      </c>
      <c r="C5933">
        <v>30</v>
      </c>
      <c r="D5933" t="str">
        <f>VLOOKUP(B5933,Products!$A:$E,2,FALSE)</f>
        <v>Product_399</v>
      </c>
      <c r="E5933" t="str">
        <f>VLOOKUP(B5933,Products!$A:$E,3,FALSE)</f>
        <v>Networking</v>
      </c>
    </row>
    <row r="5934" spans="1:5" x14ac:dyDescent="0.3">
      <c r="A5934" t="s">
        <v>11946</v>
      </c>
      <c r="B5934" t="s">
        <v>576</v>
      </c>
      <c r="C5934">
        <v>49</v>
      </c>
      <c r="D5934" t="str">
        <f>VLOOKUP(B5934,Products!$A:$E,2,FALSE)</f>
        <v>Product_284</v>
      </c>
      <c r="E5934" t="str">
        <f>VLOOKUP(B5934,Products!$A:$E,3,FALSE)</f>
        <v>Networking</v>
      </c>
    </row>
    <row r="5935" spans="1:5" x14ac:dyDescent="0.3">
      <c r="A5935" t="s">
        <v>11947</v>
      </c>
      <c r="B5935" t="s">
        <v>386</v>
      </c>
      <c r="C5935">
        <v>47</v>
      </c>
      <c r="D5935" t="str">
        <f>VLOOKUP(B5935,Products!$A:$E,2,FALSE)</f>
        <v>Product_189</v>
      </c>
      <c r="E5935" t="str">
        <f>VLOOKUP(B5935,Products!$A:$E,3,FALSE)</f>
        <v>Electronics</v>
      </c>
    </row>
    <row r="5936" spans="1:5" x14ac:dyDescent="0.3">
      <c r="A5936" t="s">
        <v>11948</v>
      </c>
      <c r="B5936" t="s">
        <v>192</v>
      </c>
      <c r="C5936">
        <v>10</v>
      </c>
      <c r="D5936" t="str">
        <f>VLOOKUP(B5936,Products!$A:$E,2,FALSE)</f>
        <v>Product_92</v>
      </c>
      <c r="E5936" t="str">
        <f>VLOOKUP(B5936,Products!$A:$E,3,FALSE)</f>
        <v>Electronics</v>
      </c>
    </row>
    <row r="5937" spans="1:5" x14ac:dyDescent="0.3">
      <c r="A5937" t="s">
        <v>11949</v>
      </c>
      <c r="B5937" t="s">
        <v>556</v>
      </c>
      <c r="C5937">
        <v>12</v>
      </c>
      <c r="D5937" t="str">
        <f>VLOOKUP(B5937,Products!$A:$E,2,FALSE)</f>
        <v>Product_274</v>
      </c>
      <c r="E5937" t="str">
        <f>VLOOKUP(B5937,Products!$A:$E,3,FALSE)</f>
        <v>Accessories</v>
      </c>
    </row>
    <row r="5938" spans="1:5" x14ac:dyDescent="0.3">
      <c r="A5938" t="s">
        <v>11950</v>
      </c>
      <c r="B5938" t="s">
        <v>260</v>
      </c>
      <c r="C5938">
        <v>1</v>
      </c>
      <c r="D5938" t="str">
        <f>VLOOKUP(B5938,Products!$A:$E,2,FALSE)</f>
        <v>Product_126</v>
      </c>
      <c r="E5938" t="str">
        <f>VLOOKUP(B5938,Products!$A:$E,3,FALSE)</f>
        <v>Office Supplies</v>
      </c>
    </row>
    <row r="5939" spans="1:5" x14ac:dyDescent="0.3">
      <c r="A5939" t="s">
        <v>11951</v>
      </c>
      <c r="B5939" t="s">
        <v>342</v>
      </c>
      <c r="C5939">
        <v>11</v>
      </c>
      <c r="D5939" t="str">
        <f>VLOOKUP(B5939,Products!$A:$E,2,FALSE)</f>
        <v>Product_167</v>
      </c>
      <c r="E5939" t="str">
        <f>VLOOKUP(B5939,Products!$A:$E,3,FALSE)</f>
        <v>Electronics</v>
      </c>
    </row>
    <row r="5940" spans="1:5" x14ac:dyDescent="0.3">
      <c r="A5940" t="s">
        <v>11952</v>
      </c>
      <c r="B5940" t="s">
        <v>794</v>
      </c>
      <c r="C5940">
        <v>18</v>
      </c>
      <c r="D5940" t="str">
        <f>VLOOKUP(B5940,Products!$A:$E,2,FALSE)</f>
        <v>Product_393</v>
      </c>
      <c r="E5940" t="str">
        <f>VLOOKUP(B5940,Products!$A:$E,3,FALSE)</f>
        <v>Electronics</v>
      </c>
    </row>
    <row r="5941" spans="1:5" x14ac:dyDescent="0.3">
      <c r="A5941" t="s">
        <v>11953</v>
      </c>
      <c r="B5941" t="s">
        <v>534</v>
      </c>
      <c r="C5941">
        <v>2</v>
      </c>
      <c r="D5941" t="str">
        <f>VLOOKUP(B5941,Products!$A:$E,2,FALSE)</f>
        <v>Product_263</v>
      </c>
      <c r="E5941" t="str">
        <f>VLOOKUP(B5941,Products!$A:$E,3,FALSE)</f>
        <v>Accessories</v>
      </c>
    </row>
    <row r="5942" spans="1:5" x14ac:dyDescent="0.3">
      <c r="A5942" t="s">
        <v>11954</v>
      </c>
      <c r="B5942" t="s">
        <v>522</v>
      </c>
      <c r="C5942">
        <v>33</v>
      </c>
      <c r="D5942" t="str">
        <f>VLOOKUP(B5942,Products!$A:$E,2,FALSE)</f>
        <v>Product_257</v>
      </c>
      <c r="E5942" t="str">
        <f>VLOOKUP(B5942,Products!$A:$E,3,FALSE)</f>
        <v>Networking</v>
      </c>
    </row>
    <row r="5943" spans="1:5" x14ac:dyDescent="0.3">
      <c r="A5943" t="s">
        <v>11955</v>
      </c>
      <c r="B5943" t="s">
        <v>926</v>
      </c>
      <c r="C5943">
        <v>4</v>
      </c>
      <c r="D5943" t="str">
        <f>VLOOKUP(B5943,Products!$A:$E,2,FALSE)</f>
        <v>Product_459</v>
      </c>
      <c r="E5943" t="str">
        <f>VLOOKUP(B5943,Products!$A:$E,3,FALSE)</f>
        <v>Office Supplies</v>
      </c>
    </row>
    <row r="5944" spans="1:5" x14ac:dyDescent="0.3">
      <c r="A5944" t="s">
        <v>11956</v>
      </c>
      <c r="B5944" t="s">
        <v>412</v>
      </c>
      <c r="C5944">
        <v>9</v>
      </c>
      <c r="D5944" t="str">
        <f>VLOOKUP(B5944,Products!$A:$E,2,FALSE)</f>
        <v>Product_202</v>
      </c>
      <c r="E5944" t="str">
        <f>VLOOKUP(B5944,Products!$A:$E,3,FALSE)</f>
        <v>Storage</v>
      </c>
    </row>
    <row r="5945" spans="1:5" x14ac:dyDescent="0.3">
      <c r="A5945" t="s">
        <v>11957</v>
      </c>
      <c r="B5945" t="s">
        <v>180</v>
      </c>
      <c r="C5945">
        <v>4</v>
      </c>
      <c r="D5945" t="str">
        <f>VLOOKUP(B5945,Products!$A:$E,2,FALSE)</f>
        <v>Product_86</v>
      </c>
      <c r="E5945" t="str">
        <f>VLOOKUP(B5945,Products!$A:$E,3,FALSE)</f>
        <v>Storage</v>
      </c>
    </row>
    <row r="5946" spans="1:5" x14ac:dyDescent="0.3">
      <c r="A5946" t="s">
        <v>11958</v>
      </c>
      <c r="B5946" t="s">
        <v>490</v>
      </c>
      <c r="C5946">
        <v>10</v>
      </c>
      <c r="D5946" t="str">
        <f>VLOOKUP(B5946,Products!$A:$E,2,FALSE)</f>
        <v>Product_241</v>
      </c>
      <c r="E5946" t="str">
        <f>VLOOKUP(B5946,Products!$A:$E,3,FALSE)</f>
        <v>Electronics</v>
      </c>
    </row>
    <row r="5947" spans="1:5" x14ac:dyDescent="0.3">
      <c r="A5947" t="s">
        <v>11959</v>
      </c>
      <c r="B5947" t="s">
        <v>876</v>
      </c>
      <c r="C5947">
        <v>9</v>
      </c>
      <c r="D5947" t="str">
        <f>VLOOKUP(B5947,Products!$A:$E,2,FALSE)</f>
        <v>Product_434</v>
      </c>
      <c r="E5947" t="str">
        <f>VLOOKUP(B5947,Products!$A:$E,3,FALSE)</f>
        <v>Office Supplies</v>
      </c>
    </row>
    <row r="5948" spans="1:5" x14ac:dyDescent="0.3">
      <c r="A5948" t="s">
        <v>11960</v>
      </c>
      <c r="B5948" t="s">
        <v>256</v>
      </c>
      <c r="C5948">
        <v>39</v>
      </c>
      <c r="D5948" t="str">
        <f>VLOOKUP(B5948,Products!$A:$E,2,FALSE)</f>
        <v>Product_124</v>
      </c>
      <c r="E5948" t="str">
        <f>VLOOKUP(B5948,Products!$A:$E,3,FALSE)</f>
        <v>Storage</v>
      </c>
    </row>
    <row r="5949" spans="1:5" x14ac:dyDescent="0.3">
      <c r="A5949" t="s">
        <v>11961</v>
      </c>
      <c r="B5949" t="s">
        <v>864</v>
      </c>
      <c r="C5949">
        <v>24</v>
      </c>
      <c r="D5949" t="str">
        <f>VLOOKUP(B5949,Products!$A:$E,2,FALSE)</f>
        <v>Product_428</v>
      </c>
      <c r="E5949" t="str">
        <f>VLOOKUP(B5949,Products!$A:$E,3,FALSE)</f>
        <v>Storage</v>
      </c>
    </row>
    <row r="5950" spans="1:5" x14ac:dyDescent="0.3">
      <c r="A5950" t="s">
        <v>11962</v>
      </c>
      <c r="B5950" t="s">
        <v>596</v>
      </c>
      <c r="C5950">
        <v>18</v>
      </c>
      <c r="D5950" t="str">
        <f>VLOOKUP(B5950,Products!$A:$E,2,FALSE)</f>
        <v>Product_294</v>
      </c>
      <c r="E5950" t="str">
        <f>VLOOKUP(B5950,Products!$A:$E,3,FALSE)</f>
        <v>Networking</v>
      </c>
    </row>
    <row r="5951" spans="1:5" x14ac:dyDescent="0.3">
      <c r="A5951" t="s">
        <v>11963</v>
      </c>
      <c r="B5951" t="s">
        <v>482</v>
      </c>
      <c r="C5951">
        <v>16</v>
      </c>
      <c r="D5951" t="str">
        <f>VLOOKUP(B5951,Products!$A:$E,2,FALSE)</f>
        <v>Product_237</v>
      </c>
      <c r="E5951" t="str">
        <f>VLOOKUP(B5951,Products!$A:$E,3,FALSE)</f>
        <v>Networking</v>
      </c>
    </row>
    <row r="5952" spans="1:5" x14ac:dyDescent="0.3">
      <c r="A5952" t="s">
        <v>11964</v>
      </c>
      <c r="B5952" t="s">
        <v>474</v>
      </c>
      <c r="C5952">
        <v>12</v>
      </c>
      <c r="D5952" t="str">
        <f>VLOOKUP(B5952,Products!$A:$E,2,FALSE)</f>
        <v>Product_233</v>
      </c>
      <c r="E5952" t="str">
        <f>VLOOKUP(B5952,Products!$A:$E,3,FALSE)</f>
        <v>Accessories</v>
      </c>
    </row>
    <row r="5953" spans="1:5" x14ac:dyDescent="0.3">
      <c r="A5953" t="s">
        <v>11965</v>
      </c>
      <c r="B5953" t="s">
        <v>736</v>
      </c>
      <c r="C5953">
        <v>8</v>
      </c>
      <c r="D5953" t="str">
        <f>VLOOKUP(B5953,Products!$A:$E,2,FALSE)</f>
        <v>Product_364</v>
      </c>
      <c r="E5953" t="str">
        <f>VLOOKUP(B5953,Products!$A:$E,3,FALSE)</f>
        <v>Networking</v>
      </c>
    </row>
    <row r="5954" spans="1:5" x14ac:dyDescent="0.3">
      <c r="A5954" t="s">
        <v>11966</v>
      </c>
      <c r="B5954" t="s">
        <v>740</v>
      </c>
      <c r="C5954">
        <v>16</v>
      </c>
      <c r="D5954" t="str">
        <f>VLOOKUP(B5954,Products!$A:$E,2,FALSE)</f>
        <v>Product_366</v>
      </c>
      <c r="E5954" t="str">
        <f>VLOOKUP(B5954,Products!$A:$E,3,FALSE)</f>
        <v>Electronics</v>
      </c>
    </row>
    <row r="5955" spans="1:5" x14ac:dyDescent="0.3">
      <c r="A5955" t="s">
        <v>11967</v>
      </c>
      <c r="B5955" t="s">
        <v>174</v>
      </c>
      <c r="C5955">
        <v>41</v>
      </c>
      <c r="D5955" t="str">
        <f>VLOOKUP(B5955,Products!$A:$E,2,FALSE)</f>
        <v>Product_83</v>
      </c>
      <c r="E5955" t="str">
        <f>VLOOKUP(B5955,Products!$A:$E,3,FALSE)</f>
        <v>Accessories</v>
      </c>
    </row>
    <row r="5956" spans="1:5" x14ac:dyDescent="0.3">
      <c r="A5956" t="s">
        <v>11968</v>
      </c>
      <c r="B5956" t="s">
        <v>630</v>
      </c>
      <c r="C5956">
        <v>49</v>
      </c>
      <c r="D5956" t="str">
        <f>VLOOKUP(B5956,Products!$A:$E,2,FALSE)</f>
        <v>Product_311</v>
      </c>
      <c r="E5956" t="str">
        <f>VLOOKUP(B5956,Products!$A:$E,3,FALSE)</f>
        <v>Networking</v>
      </c>
    </row>
    <row r="5957" spans="1:5" x14ac:dyDescent="0.3">
      <c r="A5957" t="s">
        <v>11969</v>
      </c>
      <c r="B5957" t="s">
        <v>52</v>
      </c>
      <c r="C5957">
        <v>5</v>
      </c>
      <c r="D5957" t="str">
        <f>VLOOKUP(B5957,Products!$A:$E,2,FALSE)</f>
        <v>Product_22</v>
      </c>
      <c r="E5957" t="str">
        <f>VLOOKUP(B5957,Products!$A:$E,3,FALSE)</f>
        <v>Electronics</v>
      </c>
    </row>
    <row r="5958" spans="1:5" x14ac:dyDescent="0.3">
      <c r="A5958" t="s">
        <v>11970</v>
      </c>
      <c r="B5958" t="s">
        <v>396</v>
      </c>
      <c r="C5958">
        <v>9</v>
      </c>
      <c r="D5958" t="str">
        <f>VLOOKUP(B5958,Products!$A:$E,2,FALSE)</f>
        <v>Product_194</v>
      </c>
      <c r="E5958" t="str">
        <f>VLOOKUP(B5958,Products!$A:$E,3,FALSE)</f>
        <v>Networking</v>
      </c>
    </row>
    <row r="5959" spans="1:5" x14ac:dyDescent="0.3">
      <c r="A5959" t="s">
        <v>11971</v>
      </c>
      <c r="B5959" t="s">
        <v>5</v>
      </c>
      <c r="C5959">
        <v>19</v>
      </c>
      <c r="D5959" t="str">
        <f>VLOOKUP(B5959,Products!$A:$E,2,FALSE)</f>
        <v>Product_1</v>
      </c>
      <c r="E5959" t="str">
        <f>VLOOKUP(B5959,Products!$A:$E,3,FALSE)</f>
        <v>Electronics</v>
      </c>
    </row>
    <row r="5960" spans="1:5" x14ac:dyDescent="0.3">
      <c r="A5960" t="s">
        <v>11972</v>
      </c>
      <c r="B5960" t="s">
        <v>480</v>
      </c>
      <c r="C5960">
        <v>34</v>
      </c>
      <c r="D5960" t="str">
        <f>VLOOKUP(B5960,Products!$A:$E,2,FALSE)</f>
        <v>Product_236</v>
      </c>
      <c r="E5960" t="str">
        <f>VLOOKUP(B5960,Products!$A:$E,3,FALSE)</f>
        <v>Networking</v>
      </c>
    </row>
    <row r="5961" spans="1:5" x14ac:dyDescent="0.3">
      <c r="A5961" t="s">
        <v>11973</v>
      </c>
      <c r="B5961" t="s">
        <v>828</v>
      </c>
      <c r="C5961">
        <v>32</v>
      </c>
      <c r="D5961" t="str">
        <f>VLOOKUP(B5961,Products!$A:$E,2,FALSE)</f>
        <v>Product_410</v>
      </c>
      <c r="E5961" t="str">
        <f>VLOOKUP(B5961,Products!$A:$E,3,FALSE)</f>
        <v>Storage</v>
      </c>
    </row>
    <row r="5962" spans="1:5" x14ac:dyDescent="0.3">
      <c r="A5962" t="s">
        <v>11974</v>
      </c>
      <c r="B5962" t="s">
        <v>702</v>
      </c>
      <c r="C5962">
        <v>49</v>
      </c>
      <c r="D5962" t="str">
        <f>VLOOKUP(B5962,Products!$A:$E,2,FALSE)</f>
        <v>Product_347</v>
      </c>
      <c r="E5962" t="str">
        <f>VLOOKUP(B5962,Products!$A:$E,3,FALSE)</f>
        <v>Storage</v>
      </c>
    </row>
    <row r="5963" spans="1:5" x14ac:dyDescent="0.3">
      <c r="A5963" t="s">
        <v>11975</v>
      </c>
      <c r="B5963" t="s">
        <v>414</v>
      </c>
      <c r="C5963">
        <v>36</v>
      </c>
      <c r="D5963" t="str">
        <f>VLOOKUP(B5963,Products!$A:$E,2,FALSE)</f>
        <v>Product_203</v>
      </c>
      <c r="E5963" t="str">
        <f>VLOOKUP(B5963,Products!$A:$E,3,FALSE)</f>
        <v>Accessories</v>
      </c>
    </row>
    <row r="5964" spans="1:5" x14ac:dyDescent="0.3">
      <c r="A5964" t="s">
        <v>11976</v>
      </c>
      <c r="B5964" t="s">
        <v>564</v>
      </c>
      <c r="C5964">
        <v>47</v>
      </c>
      <c r="D5964" t="str">
        <f>VLOOKUP(B5964,Products!$A:$E,2,FALSE)</f>
        <v>Product_278</v>
      </c>
      <c r="E5964" t="str">
        <f>VLOOKUP(B5964,Products!$A:$E,3,FALSE)</f>
        <v>Electronics</v>
      </c>
    </row>
    <row r="5965" spans="1:5" x14ac:dyDescent="0.3">
      <c r="A5965" t="s">
        <v>11977</v>
      </c>
      <c r="B5965" t="s">
        <v>422</v>
      </c>
      <c r="C5965">
        <v>34</v>
      </c>
      <c r="D5965" t="str">
        <f>VLOOKUP(B5965,Products!$A:$E,2,FALSE)</f>
        <v>Product_207</v>
      </c>
      <c r="E5965" t="str">
        <f>VLOOKUP(B5965,Products!$A:$E,3,FALSE)</f>
        <v>Accessories</v>
      </c>
    </row>
    <row r="5966" spans="1:5" x14ac:dyDescent="0.3">
      <c r="A5966" t="s">
        <v>11978</v>
      </c>
      <c r="B5966" t="s">
        <v>486</v>
      </c>
      <c r="C5966">
        <v>42</v>
      </c>
      <c r="D5966" t="str">
        <f>VLOOKUP(B5966,Products!$A:$E,2,FALSE)</f>
        <v>Product_239</v>
      </c>
      <c r="E5966" t="str">
        <f>VLOOKUP(B5966,Products!$A:$E,3,FALSE)</f>
        <v>Storage</v>
      </c>
    </row>
    <row r="5967" spans="1:5" x14ac:dyDescent="0.3">
      <c r="A5967" t="s">
        <v>11979</v>
      </c>
      <c r="B5967" t="s">
        <v>974</v>
      </c>
      <c r="C5967">
        <v>34</v>
      </c>
      <c r="D5967" t="str">
        <f>VLOOKUP(B5967,Products!$A:$E,2,FALSE)</f>
        <v>Product_483</v>
      </c>
      <c r="E5967" t="str">
        <f>VLOOKUP(B5967,Products!$A:$E,3,FALSE)</f>
        <v>Electronics</v>
      </c>
    </row>
    <row r="5968" spans="1:5" x14ac:dyDescent="0.3">
      <c r="A5968" t="s">
        <v>11980</v>
      </c>
      <c r="B5968" t="s">
        <v>372</v>
      </c>
      <c r="C5968">
        <v>39</v>
      </c>
      <c r="D5968" t="str">
        <f>VLOOKUP(B5968,Products!$A:$E,2,FALSE)</f>
        <v>Product_182</v>
      </c>
      <c r="E5968" t="str">
        <f>VLOOKUP(B5968,Products!$A:$E,3,FALSE)</f>
        <v>Storage</v>
      </c>
    </row>
    <row r="5969" spans="1:5" x14ac:dyDescent="0.3">
      <c r="A5969" t="s">
        <v>11981</v>
      </c>
      <c r="B5969" t="s">
        <v>600</v>
      </c>
      <c r="C5969">
        <v>46</v>
      </c>
      <c r="D5969" t="str">
        <f>VLOOKUP(B5969,Products!$A:$E,2,FALSE)</f>
        <v>Product_296</v>
      </c>
      <c r="E5969" t="str">
        <f>VLOOKUP(B5969,Products!$A:$E,3,FALSE)</f>
        <v>Office Supplies</v>
      </c>
    </row>
    <row r="5970" spans="1:5" x14ac:dyDescent="0.3">
      <c r="A5970" t="s">
        <v>11982</v>
      </c>
      <c r="B5970" t="s">
        <v>866</v>
      </c>
      <c r="C5970">
        <v>48</v>
      </c>
      <c r="D5970" t="str">
        <f>VLOOKUP(B5970,Products!$A:$E,2,FALSE)</f>
        <v>Product_429</v>
      </c>
      <c r="E5970" t="str">
        <f>VLOOKUP(B5970,Products!$A:$E,3,FALSE)</f>
        <v>Office Supplies</v>
      </c>
    </row>
    <row r="5971" spans="1:5" x14ac:dyDescent="0.3">
      <c r="A5971" t="s">
        <v>11983</v>
      </c>
      <c r="B5971" t="s">
        <v>424</v>
      </c>
      <c r="C5971">
        <v>49</v>
      </c>
      <c r="D5971" t="str">
        <f>VLOOKUP(B5971,Products!$A:$E,2,FALSE)</f>
        <v>Product_208</v>
      </c>
      <c r="E5971" t="str">
        <f>VLOOKUP(B5971,Products!$A:$E,3,FALSE)</f>
        <v>Electronics</v>
      </c>
    </row>
    <row r="5972" spans="1:5" x14ac:dyDescent="0.3">
      <c r="A5972" t="s">
        <v>11984</v>
      </c>
      <c r="B5972" t="s">
        <v>266</v>
      </c>
      <c r="C5972">
        <v>34</v>
      </c>
      <c r="D5972" t="str">
        <f>VLOOKUP(B5972,Products!$A:$E,2,FALSE)</f>
        <v>Product_129</v>
      </c>
      <c r="E5972" t="str">
        <f>VLOOKUP(B5972,Products!$A:$E,3,FALSE)</f>
        <v>Electronics</v>
      </c>
    </row>
    <row r="5973" spans="1:5" x14ac:dyDescent="0.3">
      <c r="A5973" t="s">
        <v>11985</v>
      </c>
      <c r="B5973" t="s">
        <v>968</v>
      </c>
      <c r="C5973">
        <v>27</v>
      </c>
      <c r="D5973" t="str">
        <f>VLOOKUP(B5973,Products!$A:$E,2,FALSE)</f>
        <v>Product_480</v>
      </c>
      <c r="E5973" t="str">
        <f>VLOOKUP(B5973,Products!$A:$E,3,FALSE)</f>
        <v>Accessories</v>
      </c>
    </row>
    <row r="5974" spans="1:5" x14ac:dyDescent="0.3">
      <c r="A5974" t="s">
        <v>11986</v>
      </c>
      <c r="B5974" t="s">
        <v>180</v>
      </c>
      <c r="C5974">
        <v>33</v>
      </c>
      <c r="D5974" t="str">
        <f>VLOOKUP(B5974,Products!$A:$E,2,FALSE)</f>
        <v>Product_86</v>
      </c>
      <c r="E5974" t="str">
        <f>VLOOKUP(B5974,Products!$A:$E,3,FALSE)</f>
        <v>Storage</v>
      </c>
    </row>
    <row r="5975" spans="1:5" x14ac:dyDescent="0.3">
      <c r="A5975" t="s">
        <v>11987</v>
      </c>
      <c r="B5975" t="s">
        <v>888</v>
      </c>
      <c r="C5975">
        <v>32</v>
      </c>
      <c r="D5975" t="str">
        <f>VLOOKUP(B5975,Products!$A:$E,2,FALSE)</f>
        <v>Product_440</v>
      </c>
      <c r="E5975" t="str">
        <f>VLOOKUP(B5975,Products!$A:$E,3,FALSE)</f>
        <v>Accessories</v>
      </c>
    </row>
    <row r="5976" spans="1:5" x14ac:dyDescent="0.3">
      <c r="A5976" t="s">
        <v>11988</v>
      </c>
      <c r="B5976" t="s">
        <v>138</v>
      </c>
      <c r="C5976">
        <v>3</v>
      </c>
      <c r="D5976" t="str">
        <f>VLOOKUP(B5976,Products!$A:$E,2,FALSE)</f>
        <v>Product_65</v>
      </c>
      <c r="E5976" t="str">
        <f>VLOOKUP(B5976,Products!$A:$E,3,FALSE)</f>
        <v>Office Supplies</v>
      </c>
    </row>
    <row r="5977" spans="1:5" x14ac:dyDescent="0.3">
      <c r="A5977" t="s">
        <v>11989</v>
      </c>
      <c r="B5977" t="s">
        <v>220</v>
      </c>
      <c r="C5977">
        <v>5</v>
      </c>
      <c r="D5977" t="str">
        <f>VLOOKUP(B5977,Products!$A:$E,2,FALSE)</f>
        <v>Product_106</v>
      </c>
      <c r="E5977" t="str">
        <f>VLOOKUP(B5977,Products!$A:$E,3,FALSE)</f>
        <v>Networking</v>
      </c>
    </row>
    <row r="5978" spans="1:5" x14ac:dyDescent="0.3">
      <c r="A5978" t="s">
        <v>11990</v>
      </c>
      <c r="B5978" t="s">
        <v>624</v>
      </c>
      <c r="C5978">
        <v>24</v>
      </c>
      <c r="D5978" t="str">
        <f>VLOOKUP(B5978,Products!$A:$E,2,FALSE)</f>
        <v>Product_308</v>
      </c>
      <c r="E5978" t="str">
        <f>VLOOKUP(B5978,Products!$A:$E,3,FALSE)</f>
        <v>Storage</v>
      </c>
    </row>
    <row r="5979" spans="1:5" x14ac:dyDescent="0.3">
      <c r="A5979" t="s">
        <v>11991</v>
      </c>
      <c r="B5979" t="s">
        <v>872</v>
      </c>
      <c r="C5979">
        <v>20</v>
      </c>
      <c r="D5979" t="str">
        <f>VLOOKUP(B5979,Products!$A:$E,2,FALSE)</f>
        <v>Product_432</v>
      </c>
      <c r="E5979" t="str">
        <f>VLOOKUP(B5979,Products!$A:$E,3,FALSE)</f>
        <v>Office Supplies</v>
      </c>
    </row>
    <row r="5980" spans="1:5" x14ac:dyDescent="0.3">
      <c r="A5980" t="s">
        <v>11992</v>
      </c>
      <c r="B5980" t="s">
        <v>128</v>
      </c>
      <c r="C5980">
        <v>39</v>
      </c>
      <c r="D5980" t="str">
        <f>VLOOKUP(B5980,Products!$A:$E,2,FALSE)</f>
        <v>Product_60</v>
      </c>
      <c r="E5980" t="str">
        <f>VLOOKUP(B5980,Products!$A:$E,3,FALSE)</f>
        <v>Electronics</v>
      </c>
    </row>
    <row r="5981" spans="1:5" x14ac:dyDescent="0.3">
      <c r="A5981" t="s">
        <v>11993</v>
      </c>
      <c r="B5981" t="s">
        <v>934</v>
      </c>
      <c r="C5981">
        <v>27</v>
      </c>
      <c r="D5981" t="str">
        <f>VLOOKUP(B5981,Products!$A:$E,2,FALSE)</f>
        <v>Product_463</v>
      </c>
      <c r="E5981" t="str">
        <f>VLOOKUP(B5981,Products!$A:$E,3,FALSE)</f>
        <v>Networking</v>
      </c>
    </row>
    <row r="5982" spans="1:5" x14ac:dyDescent="0.3">
      <c r="A5982" t="s">
        <v>11994</v>
      </c>
      <c r="B5982" t="s">
        <v>400</v>
      </c>
      <c r="C5982">
        <v>25</v>
      </c>
      <c r="D5982" t="str">
        <f>VLOOKUP(B5982,Products!$A:$E,2,FALSE)</f>
        <v>Product_196</v>
      </c>
      <c r="E5982" t="str">
        <f>VLOOKUP(B5982,Products!$A:$E,3,FALSE)</f>
        <v>Office Supplies</v>
      </c>
    </row>
    <row r="5983" spans="1:5" x14ac:dyDescent="0.3">
      <c r="A5983" t="s">
        <v>11995</v>
      </c>
      <c r="B5983" t="s">
        <v>316</v>
      </c>
      <c r="C5983">
        <v>24</v>
      </c>
      <c r="D5983" t="str">
        <f>VLOOKUP(B5983,Products!$A:$E,2,FALSE)</f>
        <v>Product_154</v>
      </c>
      <c r="E5983" t="str">
        <f>VLOOKUP(B5983,Products!$A:$E,3,FALSE)</f>
        <v>Accessories</v>
      </c>
    </row>
    <row r="5984" spans="1:5" x14ac:dyDescent="0.3">
      <c r="A5984" t="s">
        <v>11996</v>
      </c>
      <c r="B5984" t="s">
        <v>34</v>
      </c>
      <c r="C5984">
        <v>21</v>
      </c>
      <c r="D5984" t="str">
        <f>VLOOKUP(B5984,Products!$A:$E,2,FALSE)</f>
        <v>Product_13</v>
      </c>
      <c r="E5984" t="str">
        <f>VLOOKUP(B5984,Products!$A:$E,3,FALSE)</f>
        <v>Office Supplies</v>
      </c>
    </row>
    <row r="5985" spans="1:5" x14ac:dyDescent="0.3">
      <c r="A5985" t="s">
        <v>11997</v>
      </c>
      <c r="B5985" t="s">
        <v>508</v>
      </c>
      <c r="C5985">
        <v>13</v>
      </c>
      <c r="D5985" t="str">
        <f>VLOOKUP(B5985,Products!$A:$E,2,FALSE)</f>
        <v>Product_250</v>
      </c>
      <c r="E5985" t="str">
        <f>VLOOKUP(B5985,Products!$A:$E,3,FALSE)</f>
        <v>Networking</v>
      </c>
    </row>
    <row r="5986" spans="1:5" x14ac:dyDescent="0.3">
      <c r="A5986" t="s">
        <v>11998</v>
      </c>
      <c r="B5986" t="s">
        <v>778</v>
      </c>
      <c r="C5986">
        <v>2</v>
      </c>
      <c r="D5986" t="str">
        <f>VLOOKUP(B5986,Products!$A:$E,2,FALSE)</f>
        <v>Product_385</v>
      </c>
      <c r="E5986" t="str">
        <f>VLOOKUP(B5986,Products!$A:$E,3,FALSE)</f>
        <v>Networking</v>
      </c>
    </row>
    <row r="5987" spans="1:5" x14ac:dyDescent="0.3">
      <c r="A5987" t="s">
        <v>11999</v>
      </c>
      <c r="B5987" t="s">
        <v>230</v>
      </c>
      <c r="C5987">
        <v>28</v>
      </c>
      <c r="D5987" t="str">
        <f>VLOOKUP(B5987,Products!$A:$E,2,FALSE)</f>
        <v>Product_111</v>
      </c>
      <c r="E5987" t="str">
        <f>VLOOKUP(B5987,Products!$A:$E,3,FALSE)</f>
        <v>Office Supplies</v>
      </c>
    </row>
    <row r="5988" spans="1:5" x14ac:dyDescent="0.3">
      <c r="A5988" t="s">
        <v>12000</v>
      </c>
      <c r="B5988" t="s">
        <v>802</v>
      </c>
      <c r="C5988">
        <v>41</v>
      </c>
      <c r="D5988" t="str">
        <f>VLOOKUP(B5988,Products!$A:$E,2,FALSE)</f>
        <v>Product_397</v>
      </c>
      <c r="E5988" t="str">
        <f>VLOOKUP(B5988,Products!$A:$E,3,FALSE)</f>
        <v>Office Supplies</v>
      </c>
    </row>
    <row r="5989" spans="1:5" x14ac:dyDescent="0.3">
      <c r="A5989" t="s">
        <v>12001</v>
      </c>
      <c r="B5989" t="s">
        <v>778</v>
      </c>
      <c r="C5989">
        <v>10</v>
      </c>
      <c r="D5989" t="str">
        <f>VLOOKUP(B5989,Products!$A:$E,2,FALSE)</f>
        <v>Product_385</v>
      </c>
      <c r="E5989" t="str">
        <f>VLOOKUP(B5989,Products!$A:$E,3,FALSE)</f>
        <v>Networking</v>
      </c>
    </row>
    <row r="5990" spans="1:5" x14ac:dyDescent="0.3">
      <c r="A5990" t="s">
        <v>12002</v>
      </c>
      <c r="B5990" t="s">
        <v>470</v>
      </c>
      <c r="C5990">
        <v>38</v>
      </c>
      <c r="D5990" t="str">
        <f>VLOOKUP(B5990,Products!$A:$E,2,FALSE)</f>
        <v>Product_231</v>
      </c>
      <c r="E5990" t="str">
        <f>VLOOKUP(B5990,Products!$A:$E,3,FALSE)</f>
        <v>Accessories</v>
      </c>
    </row>
    <row r="5991" spans="1:5" x14ac:dyDescent="0.3">
      <c r="A5991" t="s">
        <v>12003</v>
      </c>
      <c r="B5991" t="s">
        <v>818</v>
      </c>
      <c r="C5991">
        <v>49</v>
      </c>
      <c r="D5991" t="str">
        <f>VLOOKUP(B5991,Products!$A:$E,2,FALSE)</f>
        <v>Product_405</v>
      </c>
      <c r="E5991" t="str">
        <f>VLOOKUP(B5991,Products!$A:$E,3,FALSE)</f>
        <v>Electronics</v>
      </c>
    </row>
    <row r="5992" spans="1:5" x14ac:dyDescent="0.3">
      <c r="A5992" t="s">
        <v>12004</v>
      </c>
      <c r="B5992" t="s">
        <v>776</v>
      </c>
      <c r="C5992">
        <v>9</v>
      </c>
      <c r="D5992" t="str">
        <f>VLOOKUP(B5992,Products!$A:$E,2,FALSE)</f>
        <v>Product_384</v>
      </c>
      <c r="E5992" t="str">
        <f>VLOOKUP(B5992,Products!$A:$E,3,FALSE)</f>
        <v>Office Supplies</v>
      </c>
    </row>
    <row r="5993" spans="1:5" x14ac:dyDescent="0.3">
      <c r="A5993" t="s">
        <v>12005</v>
      </c>
      <c r="B5993" t="s">
        <v>674</v>
      </c>
      <c r="C5993">
        <v>20</v>
      </c>
      <c r="D5993" t="str">
        <f>VLOOKUP(B5993,Products!$A:$E,2,FALSE)</f>
        <v>Product_333</v>
      </c>
      <c r="E5993" t="str">
        <f>VLOOKUP(B5993,Products!$A:$E,3,FALSE)</f>
        <v>Storage</v>
      </c>
    </row>
    <row r="5994" spans="1:5" x14ac:dyDescent="0.3">
      <c r="A5994" t="s">
        <v>12006</v>
      </c>
      <c r="B5994" t="s">
        <v>414</v>
      </c>
      <c r="C5994">
        <v>16</v>
      </c>
      <c r="D5994" t="str">
        <f>VLOOKUP(B5994,Products!$A:$E,2,FALSE)</f>
        <v>Product_203</v>
      </c>
      <c r="E5994" t="str">
        <f>VLOOKUP(B5994,Products!$A:$E,3,FALSE)</f>
        <v>Accessories</v>
      </c>
    </row>
    <row r="5995" spans="1:5" x14ac:dyDescent="0.3">
      <c r="A5995" t="s">
        <v>12007</v>
      </c>
      <c r="B5995" t="s">
        <v>154</v>
      </c>
      <c r="C5995">
        <v>2</v>
      </c>
      <c r="D5995" t="str">
        <f>VLOOKUP(B5995,Products!$A:$E,2,FALSE)</f>
        <v>Product_73</v>
      </c>
      <c r="E5995" t="str">
        <f>VLOOKUP(B5995,Products!$A:$E,3,FALSE)</f>
        <v>Office Supplies</v>
      </c>
    </row>
    <row r="5996" spans="1:5" x14ac:dyDescent="0.3">
      <c r="A5996" t="s">
        <v>12008</v>
      </c>
      <c r="B5996" t="s">
        <v>932</v>
      </c>
      <c r="C5996">
        <v>15</v>
      </c>
      <c r="D5996" t="str">
        <f>VLOOKUP(B5996,Products!$A:$E,2,FALSE)</f>
        <v>Product_462</v>
      </c>
      <c r="E5996" t="str">
        <f>VLOOKUP(B5996,Products!$A:$E,3,FALSE)</f>
        <v>Electronics</v>
      </c>
    </row>
    <row r="5997" spans="1:5" x14ac:dyDescent="0.3">
      <c r="A5997" t="s">
        <v>12009</v>
      </c>
      <c r="B5997" t="s">
        <v>934</v>
      </c>
      <c r="C5997">
        <v>29</v>
      </c>
      <c r="D5997" t="str">
        <f>VLOOKUP(B5997,Products!$A:$E,2,FALSE)</f>
        <v>Product_463</v>
      </c>
      <c r="E5997" t="str">
        <f>VLOOKUP(B5997,Products!$A:$E,3,FALSE)</f>
        <v>Networking</v>
      </c>
    </row>
    <row r="5998" spans="1:5" x14ac:dyDescent="0.3">
      <c r="A5998" t="s">
        <v>12010</v>
      </c>
      <c r="B5998" t="s">
        <v>268</v>
      </c>
      <c r="C5998">
        <v>32</v>
      </c>
      <c r="D5998" t="str">
        <f>VLOOKUP(B5998,Products!$A:$E,2,FALSE)</f>
        <v>Product_130</v>
      </c>
      <c r="E5998" t="str">
        <f>VLOOKUP(B5998,Products!$A:$E,3,FALSE)</f>
        <v>Storage</v>
      </c>
    </row>
    <row r="5999" spans="1:5" x14ac:dyDescent="0.3">
      <c r="A5999" t="s">
        <v>12011</v>
      </c>
      <c r="B5999" t="s">
        <v>418</v>
      </c>
      <c r="C5999">
        <v>30</v>
      </c>
      <c r="D5999" t="str">
        <f>VLOOKUP(B5999,Products!$A:$E,2,FALSE)</f>
        <v>Product_205</v>
      </c>
      <c r="E5999" t="str">
        <f>VLOOKUP(B5999,Products!$A:$E,3,FALSE)</f>
        <v>Storage</v>
      </c>
    </row>
    <row r="6000" spans="1:5" x14ac:dyDescent="0.3">
      <c r="A6000" t="s">
        <v>12012</v>
      </c>
      <c r="B6000" t="s">
        <v>738</v>
      </c>
      <c r="C6000">
        <v>30</v>
      </c>
      <c r="D6000" t="str">
        <f>VLOOKUP(B6000,Products!$A:$E,2,FALSE)</f>
        <v>Product_365</v>
      </c>
      <c r="E6000" t="str">
        <f>VLOOKUP(B6000,Products!$A:$E,3,FALSE)</f>
        <v>Storage</v>
      </c>
    </row>
    <row r="6001" spans="1:5" x14ac:dyDescent="0.3">
      <c r="A6001" t="s">
        <v>12013</v>
      </c>
      <c r="B6001" t="s">
        <v>390</v>
      </c>
      <c r="C6001">
        <v>14</v>
      </c>
      <c r="D6001" t="str">
        <f>VLOOKUP(B6001,Products!$A:$E,2,FALSE)</f>
        <v>Product_191</v>
      </c>
      <c r="E6001" t="str">
        <f>VLOOKUP(B6001,Products!$A:$E,3,FALSE)</f>
        <v>Networking</v>
      </c>
    </row>
    <row r="6002" spans="1:5" x14ac:dyDescent="0.3">
      <c r="A6002" t="s">
        <v>12014</v>
      </c>
      <c r="B6002" t="s">
        <v>484</v>
      </c>
      <c r="C6002">
        <v>9</v>
      </c>
      <c r="D6002" t="str">
        <f>VLOOKUP(B6002,Products!$A:$E,2,FALSE)</f>
        <v>Product_238</v>
      </c>
      <c r="E6002" t="str">
        <f>VLOOKUP(B6002,Products!$A:$E,3,FALSE)</f>
        <v>Accessories</v>
      </c>
    </row>
    <row r="6003" spans="1:5" x14ac:dyDescent="0.3">
      <c r="A6003" t="s">
        <v>12015</v>
      </c>
      <c r="B6003" t="s">
        <v>434</v>
      </c>
      <c r="C6003">
        <v>4</v>
      </c>
      <c r="D6003" t="str">
        <f>VLOOKUP(B6003,Products!$A:$E,2,FALSE)</f>
        <v>Product_213</v>
      </c>
      <c r="E6003" t="str">
        <f>VLOOKUP(B6003,Products!$A:$E,3,FALSE)</f>
        <v>Accessories</v>
      </c>
    </row>
    <row r="6004" spans="1:5" x14ac:dyDescent="0.3">
      <c r="A6004" t="s">
        <v>12016</v>
      </c>
      <c r="B6004" t="s">
        <v>260</v>
      </c>
      <c r="C6004">
        <v>10</v>
      </c>
      <c r="D6004" t="str">
        <f>VLOOKUP(B6004,Products!$A:$E,2,FALSE)</f>
        <v>Product_126</v>
      </c>
      <c r="E6004" t="str">
        <f>VLOOKUP(B6004,Products!$A:$E,3,FALSE)</f>
        <v>Office Supplies</v>
      </c>
    </row>
    <row r="6005" spans="1:5" x14ac:dyDescent="0.3">
      <c r="A6005" t="s">
        <v>12017</v>
      </c>
      <c r="B6005" t="s">
        <v>928</v>
      </c>
      <c r="C6005">
        <v>41</v>
      </c>
      <c r="D6005" t="str">
        <f>VLOOKUP(B6005,Products!$A:$E,2,FALSE)</f>
        <v>Product_460</v>
      </c>
      <c r="E6005" t="str">
        <f>VLOOKUP(B6005,Products!$A:$E,3,FALSE)</f>
        <v>Accessories</v>
      </c>
    </row>
    <row r="6006" spans="1:5" x14ac:dyDescent="0.3">
      <c r="A6006" t="s">
        <v>12018</v>
      </c>
      <c r="B6006" t="s">
        <v>954</v>
      </c>
      <c r="C6006">
        <v>7</v>
      </c>
      <c r="D6006" t="str">
        <f>VLOOKUP(B6006,Products!$A:$E,2,FALSE)</f>
        <v>Product_473</v>
      </c>
      <c r="E6006" t="str">
        <f>VLOOKUP(B6006,Products!$A:$E,3,FALSE)</f>
        <v>Accessories</v>
      </c>
    </row>
    <row r="6007" spans="1:5" x14ac:dyDescent="0.3">
      <c r="A6007" t="s">
        <v>12019</v>
      </c>
      <c r="B6007" t="s">
        <v>312</v>
      </c>
      <c r="C6007">
        <v>24</v>
      </c>
      <c r="D6007" t="str">
        <f>VLOOKUP(B6007,Products!$A:$E,2,FALSE)</f>
        <v>Product_152</v>
      </c>
      <c r="E6007" t="str">
        <f>VLOOKUP(B6007,Products!$A:$E,3,FALSE)</f>
        <v>Storage</v>
      </c>
    </row>
    <row r="6008" spans="1:5" x14ac:dyDescent="0.3">
      <c r="A6008" t="s">
        <v>12020</v>
      </c>
      <c r="B6008" t="s">
        <v>64</v>
      </c>
      <c r="C6008">
        <v>23</v>
      </c>
      <c r="D6008" t="str">
        <f>VLOOKUP(B6008,Products!$A:$E,2,FALSE)</f>
        <v>Product_28</v>
      </c>
      <c r="E6008" t="str">
        <f>VLOOKUP(B6008,Products!$A:$E,3,FALSE)</f>
        <v>Office Supplies</v>
      </c>
    </row>
    <row r="6009" spans="1:5" x14ac:dyDescent="0.3">
      <c r="A6009" t="s">
        <v>12021</v>
      </c>
      <c r="B6009" t="s">
        <v>486</v>
      </c>
      <c r="C6009">
        <v>25</v>
      </c>
      <c r="D6009" t="str">
        <f>VLOOKUP(B6009,Products!$A:$E,2,FALSE)</f>
        <v>Product_239</v>
      </c>
      <c r="E6009" t="str">
        <f>VLOOKUP(B6009,Products!$A:$E,3,FALSE)</f>
        <v>Storage</v>
      </c>
    </row>
    <row r="6010" spans="1:5" x14ac:dyDescent="0.3">
      <c r="A6010" t="s">
        <v>12022</v>
      </c>
      <c r="B6010" t="s">
        <v>918</v>
      </c>
      <c r="C6010">
        <v>42</v>
      </c>
      <c r="D6010" t="str">
        <f>VLOOKUP(B6010,Products!$A:$E,2,FALSE)</f>
        <v>Product_455</v>
      </c>
      <c r="E6010" t="str">
        <f>VLOOKUP(B6010,Products!$A:$E,3,FALSE)</f>
        <v>Storage</v>
      </c>
    </row>
    <row r="6011" spans="1:5" x14ac:dyDescent="0.3">
      <c r="A6011" t="s">
        <v>12023</v>
      </c>
      <c r="B6011" t="s">
        <v>902</v>
      </c>
      <c r="C6011">
        <v>28</v>
      </c>
      <c r="D6011" t="str">
        <f>VLOOKUP(B6011,Products!$A:$E,2,FALSE)</f>
        <v>Product_447</v>
      </c>
      <c r="E6011" t="str">
        <f>VLOOKUP(B6011,Products!$A:$E,3,FALSE)</f>
        <v>Office Supplies</v>
      </c>
    </row>
    <row r="6012" spans="1:5" x14ac:dyDescent="0.3">
      <c r="A6012" t="s">
        <v>12024</v>
      </c>
      <c r="B6012" t="s">
        <v>88</v>
      </c>
      <c r="C6012">
        <v>39</v>
      </c>
      <c r="D6012" t="str">
        <f>VLOOKUP(B6012,Products!$A:$E,2,FALSE)</f>
        <v>Product_40</v>
      </c>
      <c r="E6012" t="str">
        <f>VLOOKUP(B6012,Products!$A:$E,3,FALSE)</f>
        <v>Accessories</v>
      </c>
    </row>
    <row r="6013" spans="1:5" x14ac:dyDescent="0.3">
      <c r="A6013" t="s">
        <v>12025</v>
      </c>
      <c r="B6013" t="s">
        <v>310</v>
      </c>
      <c r="C6013">
        <v>23</v>
      </c>
      <c r="D6013" t="str">
        <f>VLOOKUP(B6013,Products!$A:$E,2,FALSE)</f>
        <v>Product_151</v>
      </c>
      <c r="E6013" t="str">
        <f>VLOOKUP(B6013,Products!$A:$E,3,FALSE)</f>
        <v>Storage</v>
      </c>
    </row>
    <row r="6014" spans="1:5" x14ac:dyDescent="0.3">
      <c r="A6014" t="s">
        <v>12026</v>
      </c>
      <c r="B6014" t="s">
        <v>850</v>
      </c>
      <c r="C6014">
        <v>33</v>
      </c>
      <c r="D6014" t="str">
        <f>VLOOKUP(B6014,Products!$A:$E,2,FALSE)</f>
        <v>Product_421</v>
      </c>
      <c r="E6014" t="str">
        <f>VLOOKUP(B6014,Products!$A:$E,3,FALSE)</f>
        <v>Accessories</v>
      </c>
    </row>
    <row r="6015" spans="1:5" x14ac:dyDescent="0.3">
      <c r="A6015" t="s">
        <v>12027</v>
      </c>
      <c r="B6015" t="s">
        <v>574</v>
      </c>
      <c r="C6015">
        <v>31</v>
      </c>
      <c r="D6015" t="str">
        <f>VLOOKUP(B6015,Products!$A:$E,2,FALSE)</f>
        <v>Product_283</v>
      </c>
      <c r="E6015" t="str">
        <f>VLOOKUP(B6015,Products!$A:$E,3,FALSE)</f>
        <v>Networking</v>
      </c>
    </row>
    <row r="6016" spans="1:5" x14ac:dyDescent="0.3">
      <c r="A6016" t="s">
        <v>12028</v>
      </c>
      <c r="B6016" t="s">
        <v>50</v>
      </c>
      <c r="C6016">
        <v>31</v>
      </c>
      <c r="D6016" t="str">
        <f>VLOOKUP(B6016,Products!$A:$E,2,FALSE)</f>
        <v>Product_21</v>
      </c>
      <c r="E6016" t="str">
        <f>VLOOKUP(B6016,Products!$A:$E,3,FALSE)</f>
        <v>Office Supplies</v>
      </c>
    </row>
    <row r="6017" spans="1:5" x14ac:dyDescent="0.3">
      <c r="A6017" t="s">
        <v>12029</v>
      </c>
      <c r="B6017" t="s">
        <v>78</v>
      </c>
      <c r="C6017">
        <v>23</v>
      </c>
      <c r="D6017" t="str">
        <f>VLOOKUP(B6017,Products!$A:$E,2,FALSE)</f>
        <v>Product_35</v>
      </c>
      <c r="E6017" t="str">
        <f>VLOOKUP(B6017,Products!$A:$E,3,FALSE)</f>
        <v>Electronics</v>
      </c>
    </row>
    <row r="6018" spans="1:5" x14ac:dyDescent="0.3">
      <c r="A6018" t="s">
        <v>12030</v>
      </c>
      <c r="B6018" t="s">
        <v>348</v>
      </c>
      <c r="C6018">
        <v>13</v>
      </c>
      <c r="D6018" t="str">
        <f>VLOOKUP(B6018,Products!$A:$E,2,FALSE)</f>
        <v>Product_170</v>
      </c>
      <c r="E6018" t="str">
        <f>VLOOKUP(B6018,Products!$A:$E,3,FALSE)</f>
        <v>Office Supplies</v>
      </c>
    </row>
    <row r="6019" spans="1:5" x14ac:dyDescent="0.3">
      <c r="A6019" t="s">
        <v>12031</v>
      </c>
      <c r="B6019" t="s">
        <v>326</v>
      </c>
      <c r="C6019">
        <v>33</v>
      </c>
      <c r="D6019" t="str">
        <f>VLOOKUP(B6019,Products!$A:$E,2,FALSE)</f>
        <v>Product_159</v>
      </c>
      <c r="E6019" t="str">
        <f>VLOOKUP(B6019,Products!$A:$E,3,FALSE)</f>
        <v>Accessories</v>
      </c>
    </row>
    <row r="6020" spans="1:5" x14ac:dyDescent="0.3">
      <c r="A6020" t="s">
        <v>12032</v>
      </c>
      <c r="B6020" t="s">
        <v>178</v>
      </c>
      <c r="C6020">
        <v>1</v>
      </c>
      <c r="D6020" t="str">
        <f>VLOOKUP(B6020,Products!$A:$E,2,FALSE)</f>
        <v>Product_85</v>
      </c>
      <c r="E6020" t="str">
        <f>VLOOKUP(B6020,Products!$A:$E,3,FALSE)</f>
        <v>Electronics</v>
      </c>
    </row>
    <row r="6021" spans="1:5" x14ac:dyDescent="0.3">
      <c r="A6021" t="s">
        <v>12033</v>
      </c>
      <c r="B6021" t="s">
        <v>112</v>
      </c>
      <c r="C6021">
        <v>10</v>
      </c>
      <c r="D6021" t="str">
        <f>VLOOKUP(B6021,Products!$A:$E,2,FALSE)</f>
        <v>Product_52</v>
      </c>
      <c r="E6021" t="str">
        <f>VLOOKUP(B6021,Products!$A:$E,3,FALSE)</f>
        <v>Electronics</v>
      </c>
    </row>
    <row r="6022" spans="1:5" x14ac:dyDescent="0.3">
      <c r="A6022" t="s">
        <v>12034</v>
      </c>
      <c r="B6022" t="s">
        <v>772</v>
      </c>
      <c r="C6022">
        <v>46</v>
      </c>
      <c r="D6022" t="str">
        <f>VLOOKUP(B6022,Products!$A:$E,2,FALSE)</f>
        <v>Product_382</v>
      </c>
      <c r="E6022" t="str">
        <f>VLOOKUP(B6022,Products!$A:$E,3,FALSE)</f>
        <v>Storage</v>
      </c>
    </row>
    <row r="6023" spans="1:5" x14ac:dyDescent="0.3">
      <c r="A6023" t="s">
        <v>12035</v>
      </c>
      <c r="B6023" t="s">
        <v>584</v>
      </c>
      <c r="C6023">
        <v>18</v>
      </c>
      <c r="D6023" t="str">
        <f>VLOOKUP(B6023,Products!$A:$E,2,FALSE)</f>
        <v>Product_288</v>
      </c>
      <c r="E6023" t="str">
        <f>VLOOKUP(B6023,Products!$A:$E,3,FALSE)</f>
        <v>Networking</v>
      </c>
    </row>
    <row r="6024" spans="1:5" x14ac:dyDescent="0.3">
      <c r="A6024" t="s">
        <v>12036</v>
      </c>
      <c r="B6024" t="s">
        <v>70</v>
      </c>
      <c r="C6024">
        <v>2</v>
      </c>
      <c r="D6024" t="str">
        <f>VLOOKUP(B6024,Products!$A:$E,2,FALSE)</f>
        <v>Product_31</v>
      </c>
      <c r="E6024" t="str">
        <f>VLOOKUP(B6024,Products!$A:$E,3,FALSE)</f>
        <v>Accessories</v>
      </c>
    </row>
    <row r="6025" spans="1:5" x14ac:dyDescent="0.3">
      <c r="A6025" t="s">
        <v>12037</v>
      </c>
      <c r="B6025" t="s">
        <v>530</v>
      </c>
      <c r="C6025">
        <v>14</v>
      </c>
      <c r="D6025" t="str">
        <f>VLOOKUP(B6025,Products!$A:$E,2,FALSE)</f>
        <v>Product_261</v>
      </c>
      <c r="E6025" t="str">
        <f>VLOOKUP(B6025,Products!$A:$E,3,FALSE)</f>
        <v>Accessories</v>
      </c>
    </row>
    <row r="6026" spans="1:5" x14ac:dyDescent="0.3">
      <c r="A6026" t="s">
        <v>12038</v>
      </c>
      <c r="B6026" t="s">
        <v>654</v>
      </c>
      <c r="C6026">
        <v>34</v>
      </c>
      <c r="D6026" t="str">
        <f>VLOOKUP(B6026,Products!$A:$E,2,FALSE)</f>
        <v>Product_323</v>
      </c>
      <c r="E6026" t="str">
        <f>VLOOKUP(B6026,Products!$A:$E,3,FALSE)</f>
        <v>Electronics</v>
      </c>
    </row>
    <row r="6027" spans="1:5" x14ac:dyDescent="0.3">
      <c r="A6027" t="s">
        <v>12039</v>
      </c>
      <c r="B6027" t="s">
        <v>390</v>
      </c>
      <c r="C6027">
        <v>2</v>
      </c>
      <c r="D6027" t="str">
        <f>VLOOKUP(B6027,Products!$A:$E,2,FALSE)</f>
        <v>Product_191</v>
      </c>
      <c r="E6027" t="str">
        <f>VLOOKUP(B6027,Products!$A:$E,3,FALSE)</f>
        <v>Networking</v>
      </c>
    </row>
    <row r="6028" spans="1:5" x14ac:dyDescent="0.3">
      <c r="A6028" t="s">
        <v>12040</v>
      </c>
      <c r="B6028" t="s">
        <v>468</v>
      </c>
      <c r="C6028">
        <v>26</v>
      </c>
      <c r="D6028" t="str">
        <f>VLOOKUP(B6028,Products!$A:$E,2,FALSE)</f>
        <v>Product_230</v>
      </c>
      <c r="E6028" t="str">
        <f>VLOOKUP(B6028,Products!$A:$E,3,FALSE)</f>
        <v>Electronics</v>
      </c>
    </row>
    <row r="6029" spans="1:5" x14ac:dyDescent="0.3">
      <c r="A6029" t="s">
        <v>12041</v>
      </c>
      <c r="B6029" t="s">
        <v>352</v>
      </c>
      <c r="C6029">
        <v>40</v>
      </c>
      <c r="D6029" t="str">
        <f>VLOOKUP(B6029,Products!$A:$E,2,FALSE)</f>
        <v>Product_172</v>
      </c>
      <c r="E6029" t="str">
        <f>VLOOKUP(B6029,Products!$A:$E,3,FALSE)</f>
        <v>Networking</v>
      </c>
    </row>
    <row r="6030" spans="1:5" x14ac:dyDescent="0.3">
      <c r="A6030" t="s">
        <v>12042</v>
      </c>
      <c r="B6030" t="s">
        <v>480</v>
      </c>
      <c r="C6030">
        <v>23</v>
      </c>
      <c r="D6030" t="str">
        <f>VLOOKUP(B6030,Products!$A:$E,2,FALSE)</f>
        <v>Product_236</v>
      </c>
      <c r="E6030" t="str">
        <f>VLOOKUP(B6030,Products!$A:$E,3,FALSE)</f>
        <v>Networking</v>
      </c>
    </row>
    <row r="6031" spans="1:5" x14ac:dyDescent="0.3">
      <c r="A6031" t="s">
        <v>12043</v>
      </c>
      <c r="B6031" t="s">
        <v>646</v>
      </c>
      <c r="C6031">
        <v>21</v>
      </c>
      <c r="D6031" t="str">
        <f>VLOOKUP(B6031,Products!$A:$E,2,FALSE)</f>
        <v>Product_319</v>
      </c>
      <c r="E6031" t="str">
        <f>VLOOKUP(B6031,Products!$A:$E,3,FALSE)</f>
        <v>Accessories</v>
      </c>
    </row>
    <row r="6032" spans="1:5" x14ac:dyDescent="0.3">
      <c r="A6032" t="s">
        <v>12044</v>
      </c>
      <c r="B6032" t="s">
        <v>300</v>
      </c>
      <c r="C6032">
        <v>24</v>
      </c>
      <c r="D6032" t="str">
        <f>VLOOKUP(B6032,Products!$A:$E,2,FALSE)</f>
        <v>Product_146</v>
      </c>
      <c r="E6032" t="str">
        <f>VLOOKUP(B6032,Products!$A:$E,3,FALSE)</f>
        <v>Office Supplies</v>
      </c>
    </row>
    <row r="6033" spans="1:5" x14ac:dyDescent="0.3">
      <c r="A6033" t="s">
        <v>12045</v>
      </c>
      <c r="B6033" t="s">
        <v>62</v>
      </c>
      <c r="C6033">
        <v>34</v>
      </c>
      <c r="D6033" t="str">
        <f>VLOOKUP(B6033,Products!$A:$E,2,FALSE)</f>
        <v>Product_27</v>
      </c>
      <c r="E6033" t="str">
        <f>VLOOKUP(B6033,Products!$A:$E,3,FALSE)</f>
        <v>Office Supplies</v>
      </c>
    </row>
    <row r="6034" spans="1:5" x14ac:dyDescent="0.3">
      <c r="A6034" t="s">
        <v>12046</v>
      </c>
      <c r="B6034" t="s">
        <v>608</v>
      </c>
      <c r="C6034">
        <v>8</v>
      </c>
      <c r="D6034" t="str">
        <f>VLOOKUP(B6034,Products!$A:$E,2,FALSE)</f>
        <v>Product_300</v>
      </c>
      <c r="E6034" t="str">
        <f>VLOOKUP(B6034,Products!$A:$E,3,FALSE)</f>
        <v>Accessories</v>
      </c>
    </row>
    <row r="6035" spans="1:5" x14ac:dyDescent="0.3">
      <c r="A6035" t="s">
        <v>12047</v>
      </c>
      <c r="B6035" t="s">
        <v>914</v>
      </c>
      <c r="C6035">
        <v>29</v>
      </c>
      <c r="D6035" t="str">
        <f>VLOOKUP(B6035,Products!$A:$E,2,FALSE)</f>
        <v>Product_453</v>
      </c>
      <c r="E6035" t="str">
        <f>VLOOKUP(B6035,Products!$A:$E,3,FALSE)</f>
        <v>Office Supplies</v>
      </c>
    </row>
    <row r="6036" spans="1:5" x14ac:dyDescent="0.3">
      <c r="A6036" t="s">
        <v>12048</v>
      </c>
      <c r="B6036" t="s">
        <v>786</v>
      </c>
      <c r="C6036">
        <v>32</v>
      </c>
      <c r="D6036" t="str">
        <f>VLOOKUP(B6036,Products!$A:$E,2,FALSE)</f>
        <v>Product_389</v>
      </c>
      <c r="E6036" t="str">
        <f>VLOOKUP(B6036,Products!$A:$E,3,FALSE)</f>
        <v>Networking</v>
      </c>
    </row>
    <row r="6037" spans="1:5" x14ac:dyDescent="0.3">
      <c r="A6037" t="s">
        <v>12049</v>
      </c>
      <c r="B6037" t="s">
        <v>452</v>
      </c>
      <c r="C6037">
        <v>49</v>
      </c>
      <c r="D6037" t="str">
        <f>VLOOKUP(B6037,Products!$A:$E,2,FALSE)</f>
        <v>Product_222</v>
      </c>
      <c r="E6037" t="str">
        <f>VLOOKUP(B6037,Products!$A:$E,3,FALSE)</f>
        <v>Networking</v>
      </c>
    </row>
    <row r="6038" spans="1:5" x14ac:dyDescent="0.3">
      <c r="A6038" t="s">
        <v>12050</v>
      </c>
      <c r="B6038" t="s">
        <v>536</v>
      </c>
      <c r="C6038">
        <v>3</v>
      </c>
      <c r="D6038" t="str">
        <f>VLOOKUP(B6038,Products!$A:$E,2,FALSE)</f>
        <v>Product_264</v>
      </c>
      <c r="E6038" t="str">
        <f>VLOOKUP(B6038,Products!$A:$E,3,FALSE)</f>
        <v>Electronics</v>
      </c>
    </row>
    <row r="6039" spans="1:5" x14ac:dyDescent="0.3">
      <c r="A6039" t="s">
        <v>12051</v>
      </c>
      <c r="B6039" t="s">
        <v>692</v>
      </c>
      <c r="C6039">
        <v>50</v>
      </c>
      <c r="D6039" t="str">
        <f>VLOOKUP(B6039,Products!$A:$E,2,FALSE)</f>
        <v>Product_342</v>
      </c>
      <c r="E6039" t="str">
        <f>VLOOKUP(B6039,Products!$A:$E,3,FALSE)</f>
        <v>Accessories</v>
      </c>
    </row>
    <row r="6040" spans="1:5" x14ac:dyDescent="0.3">
      <c r="A6040" t="s">
        <v>12052</v>
      </c>
      <c r="B6040" t="s">
        <v>570</v>
      </c>
      <c r="C6040">
        <v>47</v>
      </c>
      <c r="D6040" t="str">
        <f>VLOOKUP(B6040,Products!$A:$E,2,FALSE)</f>
        <v>Product_281</v>
      </c>
      <c r="E6040" t="str">
        <f>VLOOKUP(B6040,Products!$A:$E,3,FALSE)</f>
        <v>Office Supplies</v>
      </c>
    </row>
    <row r="6041" spans="1:5" x14ac:dyDescent="0.3">
      <c r="A6041" t="s">
        <v>12053</v>
      </c>
      <c r="B6041" t="s">
        <v>776</v>
      </c>
      <c r="C6041">
        <v>37</v>
      </c>
      <c r="D6041" t="str">
        <f>VLOOKUP(B6041,Products!$A:$E,2,FALSE)</f>
        <v>Product_384</v>
      </c>
      <c r="E6041" t="str">
        <f>VLOOKUP(B6041,Products!$A:$E,3,FALSE)</f>
        <v>Office Supplies</v>
      </c>
    </row>
    <row r="6042" spans="1:5" x14ac:dyDescent="0.3">
      <c r="A6042" t="s">
        <v>12054</v>
      </c>
      <c r="B6042" t="s">
        <v>528</v>
      </c>
      <c r="C6042">
        <v>5</v>
      </c>
      <c r="D6042" t="str">
        <f>VLOOKUP(B6042,Products!$A:$E,2,FALSE)</f>
        <v>Product_260</v>
      </c>
      <c r="E6042" t="str">
        <f>VLOOKUP(B6042,Products!$A:$E,3,FALSE)</f>
        <v>Storage</v>
      </c>
    </row>
    <row r="6043" spans="1:5" x14ac:dyDescent="0.3">
      <c r="A6043" t="s">
        <v>12055</v>
      </c>
      <c r="B6043" t="s">
        <v>1000</v>
      </c>
      <c r="C6043">
        <v>10</v>
      </c>
      <c r="D6043" t="str">
        <f>VLOOKUP(B6043,Products!$A:$E,2,FALSE)</f>
        <v>Product_496</v>
      </c>
      <c r="E6043" t="str">
        <f>VLOOKUP(B6043,Products!$A:$E,3,FALSE)</f>
        <v>Office Supplies</v>
      </c>
    </row>
    <row r="6044" spans="1:5" x14ac:dyDescent="0.3">
      <c r="A6044" t="s">
        <v>12056</v>
      </c>
      <c r="B6044" t="s">
        <v>964</v>
      </c>
      <c r="C6044">
        <v>25</v>
      </c>
      <c r="D6044" t="str">
        <f>VLOOKUP(B6044,Products!$A:$E,2,FALSE)</f>
        <v>Product_478</v>
      </c>
      <c r="E6044" t="str">
        <f>VLOOKUP(B6044,Products!$A:$E,3,FALSE)</f>
        <v>Office Supplies</v>
      </c>
    </row>
    <row r="6045" spans="1:5" x14ac:dyDescent="0.3">
      <c r="A6045" t="s">
        <v>12057</v>
      </c>
      <c r="B6045" t="s">
        <v>348</v>
      </c>
      <c r="C6045">
        <v>43</v>
      </c>
      <c r="D6045" t="str">
        <f>VLOOKUP(B6045,Products!$A:$E,2,FALSE)</f>
        <v>Product_170</v>
      </c>
      <c r="E6045" t="str">
        <f>VLOOKUP(B6045,Products!$A:$E,3,FALSE)</f>
        <v>Office Supplies</v>
      </c>
    </row>
    <row r="6046" spans="1:5" x14ac:dyDescent="0.3">
      <c r="A6046" t="s">
        <v>12058</v>
      </c>
      <c r="B6046" t="s">
        <v>740</v>
      </c>
      <c r="C6046">
        <v>29</v>
      </c>
      <c r="D6046" t="str">
        <f>VLOOKUP(B6046,Products!$A:$E,2,FALSE)</f>
        <v>Product_366</v>
      </c>
      <c r="E6046" t="str">
        <f>VLOOKUP(B6046,Products!$A:$E,3,FALSE)</f>
        <v>Electronics</v>
      </c>
    </row>
    <row r="6047" spans="1:5" x14ac:dyDescent="0.3">
      <c r="A6047" t="s">
        <v>12059</v>
      </c>
      <c r="B6047" t="s">
        <v>758</v>
      </c>
      <c r="C6047">
        <v>47</v>
      </c>
      <c r="D6047" t="str">
        <f>VLOOKUP(B6047,Products!$A:$E,2,FALSE)</f>
        <v>Product_375</v>
      </c>
      <c r="E6047" t="str">
        <f>VLOOKUP(B6047,Products!$A:$E,3,FALSE)</f>
        <v>Accessories</v>
      </c>
    </row>
    <row r="6048" spans="1:5" x14ac:dyDescent="0.3">
      <c r="A6048" t="s">
        <v>12060</v>
      </c>
      <c r="B6048" t="s">
        <v>660</v>
      </c>
      <c r="C6048">
        <v>18</v>
      </c>
      <c r="D6048" t="str">
        <f>VLOOKUP(B6048,Products!$A:$E,2,FALSE)</f>
        <v>Product_326</v>
      </c>
      <c r="E6048" t="str">
        <f>VLOOKUP(B6048,Products!$A:$E,3,FALSE)</f>
        <v>Electronics</v>
      </c>
    </row>
    <row r="6049" spans="1:5" x14ac:dyDescent="0.3">
      <c r="A6049" t="s">
        <v>12061</v>
      </c>
      <c r="B6049" t="s">
        <v>156</v>
      </c>
      <c r="C6049">
        <v>10</v>
      </c>
      <c r="D6049" t="str">
        <f>VLOOKUP(B6049,Products!$A:$E,2,FALSE)</f>
        <v>Product_74</v>
      </c>
      <c r="E6049" t="str">
        <f>VLOOKUP(B6049,Products!$A:$E,3,FALSE)</f>
        <v>Storage</v>
      </c>
    </row>
    <row r="6050" spans="1:5" x14ac:dyDescent="0.3">
      <c r="A6050" t="s">
        <v>12062</v>
      </c>
      <c r="B6050" t="s">
        <v>790</v>
      </c>
      <c r="C6050">
        <v>13</v>
      </c>
      <c r="D6050" t="str">
        <f>VLOOKUP(B6050,Products!$A:$E,2,FALSE)</f>
        <v>Product_391</v>
      </c>
      <c r="E6050" t="str">
        <f>VLOOKUP(B6050,Products!$A:$E,3,FALSE)</f>
        <v>Accessories</v>
      </c>
    </row>
    <row r="6051" spans="1:5" x14ac:dyDescent="0.3">
      <c r="A6051" t="s">
        <v>12063</v>
      </c>
      <c r="B6051" t="s">
        <v>104</v>
      </c>
      <c r="C6051">
        <v>40</v>
      </c>
      <c r="D6051" t="str">
        <f>VLOOKUP(B6051,Products!$A:$E,2,FALSE)</f>
        <v>Product_48</v>
      </c>
      <c r="E6051" t="str">
        <f>VLOOKUP(B6051,Products!$A:$E,3,FALSE)</f>
        <v>Accessories</v>
      </c>
    </row>
    <row r="6052" spans="1:5" x14ac:dyDescent="0.3">
      <c r="A6052" t="s">
        <v>12064</v>
      </c>
      <c r="B6052" t="s">
        <v>402</v>
      </c>
      <c r="C6052">
        <v>18</v>
      </c>
      <c r="D6052" t="str">
        <f>VLOOKUP(B6052,Products!$A:$E,2,FALSE)</f>
        <v>Product_197</v>
      </c>
      <c r="E6052" t="str">
        <f>VLOOKUP(B6052,Products!$A:$E,3,FALSE)</f>
        <v>Electronics</v>
      </c>
    </row>
    <row r="6053" spans="1:5" x14ac:dyDescent="0.3">
      <c r="A6053" t="s">
        <v>12065</v>
      </c>
      <c r="B6053" t="s">
        <v>412</v>
      </c>
      <c r="C6053">
        <v>15</v>
      </c>
      <c r="D6053" t="str">
        <f>VLOOKUP(B6053,Products!$A:$E,2,FALSE)</f>
        <v>Product_202</v>
      </c>
      <c r="E6053" t="str">
        <f>VLOOKUP(B6053,Products!$A:$E,3,FALSE)</f>
        <v>Storage</v>
      </c>
    </row>
    <row r="6054" spans="1:5" x14ac:dyDescent="0.3">
      <c r="A6054" t="s">
        <v>12066</v>
      </c>
      <c r="B6054" t="s">
        <v>52</v>
      </c>
      <c r="C6054">
        <v>3</v>
      </c>
      <c r="D6054" t="str">
        <f>VLOOKUP(B6054,Products!$A:$E,2,FALSE)</f>
        <v>Product_22</v>
      </c>
      <c r="E6054" t="str">
        <f>VLOOKUP(B6054,Products!$A:$E,3,FALSE)</f>
        <v>Electronics</v>
      </c>
    </row>
    <row r="6055" spans="1:5" x14ac:dyDescent="0.3">
      <c r="A6055" t="s">
        <v>12067</v>
      </c>
      <c r="B6055" t="s">
        <v>320</v>
      </c>
      <c r="C6055">
        <v>1</v>
      </c>
      <c r="D6055" t="str">
        <f>VLOOKUP(B6055,Products!$A:$E,2,FALSE)</f>
        <v>Product_156</v>
      </c>
      <c r="E6055" t="str">
        <f>VLOOKUP(B6055,Products!$A:$E,3,FALSE)</f>
        <v>Accessories</v>
      </c>
    </row>
    <row r="6056" spans="1:5" x14ac:dyDescent="0.3">
      <c r="A6056" t="s">
        <v>12068</v>
      </c>
      <c r="B6056" t="s">
        <v>986</v>
      </c>
      <c r="C6056">
        <v>9</v>
      </c>
      <c r="D6056" t="str">
        <f>VLOOKUP(B6056,Products!$A:$E,2,FALSE)</f>
        <v>Product_489</v>
      </c>
      <c r="E6056" t="str">
        <f>VLOOKUP(B6056,Products!$A:$E,3,FALSE)</f>
        <v>Networking</v>
      </c>
    </row>
    <row r="6057" spans="1:5" x14ac:dyDescent="0.3">
      <c r="A6057" t="s">
        <v>12069</v>
      </c>
      <c r="B6057" t="s">
        <v>208</v>
      </c>
      <c r="C6057">
        <v>27</v>
      </c>
      <c r="D6057" t="str">
        <f>VLOOKUP(B6057,Products!$A:$E,2,FALSE)</f>
        <v>Product_100</v>
      </c>
      <c r="E6057" t="str">
        <f>VLOOKUP(B6057,Products!$A:$E,3,FALSE)</f>
        <v>Accessories</v>
      </c>
    </row>
    <row r="6058" spans="1:5" x14ac:dyDescent="0.3">
      <c r="A6058" t="s">
        <v>12070</v>
      </c>
      <c r="B6058" t="s">
        <v>592</v>
      </c>
      <c r="C6058">
        <v>13</v>
      </c>
      <c r="D6058" t="str">
        <f>VLOOKUP(B6058,Products!$A:$E,2,FALSE)</f>
        <v>Product_292</v>
      </c>
      <c r="E6058" t="str">
        <f>VLOOKUP(B6058,Products!$A:$E,3,FALSE)</f>
        <v>Networking</v>
      </c>
    </row>
    <row r="6059" spans="1:5" x14ac:dyDescent="0.3">
      <c r="A6059" t="s">
        <v>12071</v>
      </c>
      <c r="B6059" t="s">
        <v>436</v>
      </c>
      <c r="C6059">
        <v>10</v>
      </c>
      <c r="D6059" t="str">
        <f>VLOOKUP(B6059,Products!$A:$E,2,FALSE)</f>
        <v>Product_214</v>
      </c>
      <c r="E6059" t="str">
        <f>VLOOKUP(B6059,Products!$A:$E,3,FALSE)</f>
        <v>Electronics</v>
      </c>
    </row>
    <row r="6060" spans="1:5" x14ac:dyDescent="0.3">
      <c r="A6060" t="s">
        <v>12072</v>
      </c>
      <c r="B6060" t="s">
        <v>446</v>
      </c>
      <c r="C6060">
        <v>36</v>
      </c>
      <c r="D6060" t="str">
        <f>VLOOKUP(B6060,Products!$A:$E,2,FALSE)</f>
        <v>Product_219</v>
      </c>
      <c r="E6060" t="str">
        <f>VLOOKUP(B6060,Products!$A:$E,3,FALSE)</f>
        <v>Accessories</v>
      </c>
    </row>
    <row r="6061" spans="1:5" x14ac:dyDescent="0.3">
      <c r="A6061" t="s">
        <v>12073</v>
      </c>
      <c r="B6061" t="s">
        <v>590</v>
      </c>
      <c r="C6061">
        <v>17</v>
      </c>
      <c r="D6061" t="str">
        <f>VLOOKUP(B6061,Products!$A:$E,2,FALSE)</f>
        <v>Product_291</v>
      </c>
      <c r="E6061" t="str">
        <f>VLOOKUP(B6061,Products!$A:$E,3,FALSE)</f>
        <v>Networking</v>
      </c>
    </row>
    <row r="6062" spans="1:5" x14ac:dyDescent="0.3">
      <c r="A6062" t="s">
        <v>12074</v>
      </c>
      <c r="B6062" t="s">
        <v>948</v>
      </c>
      <c r="C6062">
        <v>14</v>
      </c>
      <c r="D6062" t="str">
        <f>VLOOKUP(B6062,Products!$A:$E,2,FALSE)</f>
        <v>Product_470</v>
      </c>
      <c r="E6062" t="str">
        <f>VLOOKUP(B6062,Products!$A:$E,3,FALSE)</f>
        <v>Networking</v>
      </c>
    </row>
    <row r="6063" spans="1:5" x14ac:dyDescent="0.3">
      <c r="A6063" t="s">
        <v>12075</v>
      </c>
      <c r="B6063" t="s">
        <v>5</v>
      </c>
      <c r="C6063">
        <v>5</v>
      </c>
      <c r="D6063" t="str">
        <f>VLOOKUP(B6063,Products!$A:$E,2,FALSE)</f>
        <v>Product_1</v>
      </c>
      <c r="E6063" t="str">
        <f>VLOOKUP(B6063,Products!$A:$E,3,FALSE)</f>
        <v>Electronics</v>
      </c>
    </row>
    <row r="6064" spans="1:5" x14ac:dyDescent="0.3">
      <c r="A6064" t="s">
        <v>12076</v>
      </c>
      <c r="B6064" t="s">
        <v>176</v>
      </c>
      <c r="C6064">
        <v>3</v>
      </c>
      <c r="D6064" t="str">
        <f>VLOOKUP(B6064,Products!$A:$E,2,FALSE)</f>
        <v>Product_84</v>
      </c>
      <c r="E6064" t="str">
        <f>VLOOKUP(B6064,Products!$A:$E,3,FALSE)</f>
        <v>Electronics</v>
      </c>
    </row>
    <row r="6065" spans="1:5" x14ac:dyDescent="0.3">
      <c r="A6065" t="s">
        <v>12077</v>
      </c>
      <c r="B6065" t="s">
        <v>280</v>
      </c>
      <c r="C6065">
        <v>47</v>
      </c>
      <c r="D6065" t="str">
        <f>VLOOKUP(B6065,Products!$A:$E,2,FALSE)</f>
        <v>Product_136</v>
      </c>
      <c r="E6065" t="str">
        <f>VLOOKUP(B6065,Products!$A:$E,3,FALSE)</f>
        <v>Storage</v>
      </c>
    </row>
    <row r="6066" spans="1:5" x14ac:dyDescent="0.3">
      <c r="A6066" t="s">
        <v>12078</v>
      </c>
      <c r="B6066" t="s">
        <v>504</v>
      </c>
      <c r="C6066">
        <v>5</v>
      </c>
      <c r="D6066" t="str">
        <f>VLOOKUP(B6066,Products!$A:$E,2,FALSE)</f>
        <v>Product_248</v>
      </c>
      <c r="E6066" t="str">
        <f>VLOOKUP(B6066,Products!$A:$E,3,FALSE)</f>
        <v>Networking</v>
      </c>
    </row>
    <row r="6067" spans="1:5" x14ac:dyDescent="0.3">
      <c r="A6067" t="s">
        <v>12079</v>
      </c>
      <c r="B6067" t="s">
        <v>234</v>
      </c>
      <c r="C6067">
        <v>30</v>
      </c>
      <c r="D6067" t="str">
        <f>VLOOKUP(B6067,Products!$A:$E,2,FALSE)</f>
        <v>Product_113</v>
      </c>
      <c r="E6067" t="str">
        <f>VLOOKUP(B6067,Products!$A:$E,3,FALSE)</f>
        <v>Electronics</v>
      </c>
    </row>
    <row r="6068" spans="1:5" x14ac:dyDescent="0.3">
      <c r="A6068" t="s">
        <v>12080</v>
      </c>
      <c r="B6068" t="s">
        <v>946</v>
      </c>
      <c r="C6068">
        <v>11</v>
      </c>
      <c r="D6068" t="str">
        <f>VLOOKUP(B6068,Products!$A:$E,2,FALSE)</f>
        <v>Product_469</v>
      </c>
      <c r="E6068" t="str">
        <f>VLOOKUP(B6068,Products!$A:$E,3,FALSE)</f>
        <v>Office Supplies</v>
      </c>
    </row>
    <row r="6069" spans="1:5" x14ac:dyDescent="0.3">
      <c r="A6069" t="s">
        <v>12081</v>
      </c>
      <c r="B6069" t="s">
        <v>956</v>
      </c>
      <c r="C6069">
        <v>44</v>
      </c>
      <c r="D6069" t="str">
        <f>VLOOKUP(B6069,Products!$A:$E,2,FALSE)</f>
        <v>Product_474</v>
      </c>
      <c r="E6069" t="str">
        <f>VLOOKUP(B6069,Products!$A:$E,3,FALSE)</f>
        <v>Networking</v>
      </c>
    </row>
    <row r="6070" spans="1:5" x14ac:dyDescent="0.3">
      <c r="A6070" t="s">
        <v>12082</v>
      </c>
      <c r="B6070" t="s">
        <v>514</v>
      </c>
      <c r="C6070">
        <v>8</v>
      </c>
      <c r="D6070" t="str">
        <f>VLOOKUP(B6070,Products!$A:$E,2,FALSE)</f>
        <v>Product_253</v>
      </c>
      <c r="E6070" t="str">
        <f>VLOOKUP(B6070,Products!$A:$E,3,FALSE)</f>
        <v>Networking</v>
      </c>
    </row>
    <row r="6071" spans="1:5" x14ac:dyDescent="0.3">
      <c r="A6071" t="s">
        <v>12083</v>
      </c>
      <c r="B6071" t="s">
        <v>90</v>
      </c>
      <c r="C6071">
        <v>43</v>
      </c>
      <c r="D6071" t="str">
        <f>VLOOKUP(B6071,Products!$A:$E,2,FALSE)</f>
        <v>Product_41</v>
      </c>
      <c r="E6071" t="str">
        <f>VLOOKUP(B6071,Products!$A:$E,3,FALSE)</f>
        <v>Accessories</v>
      </c>
    </row>
    <row r="6072" spans="1:5" x14ac:dyDescent="0.3">
      <c r="A6072" t="s">
        <v>12084</v>
      </c>
      <c r="B6072" t="s">
        <v>480</v>
      </c>
      <c r="C6072">
        <v>22</v>
      </c>
      <c r="D6072" t="str">
        <f>VLOOKUP(B6072,Products!$A:$E,2,FALSE)</f>
        <v>Product_236</v>
      </c>
      <c r="E6072" t="str">
        <f>VLOOKUP(B6072,Products!$A:$E,3,FALSE)</f>
        <v>Networking</v>
      </c>
    </row>
    <row r="6073" spans="1:5" x14ac:dyDescent="0.3">
      <c r="A6073" t="s">
        <v>12085</v>
      </c>
      <c r="B6073" t="s">
        <v>640</v>
      </c>
      <c r="C6073">
        <v>47</v>
      </c>
      <c r="D6073" t="str">
        <f>VLOOKUP(B6073,Products!$A:$E,2,FALSE)</f>
        <v>Product_316</v>
      </c>
      <c r="E6073" t="str">
        <f>VLOOKUP(B6073,Products!$A:$E,3,FALSE)</f>
        <v>Networking</v>
      </c>
    </row>
    <row r="6074" spans="1:5" x14ac:dyDescent="0.3">
      <c r="A6074" t="s">
        <v>12086</v>
      </c>
      <c r="B6074" t="s">
        <v>390</v>
      </c>
      <c r="C6074">
        <v>31</v>
      </c>
      <c r="D6074" t="str">
        <f>VLOOKUP(B6074,Products!$A:$E,2,FALSE)</f>
        <v>Product_191</v>
      </c>
      <c r="E6074" t="str">
        <f>VLOOKUP(B6074,Products!$A:$E,3,FALSE)</f>
        <v>Networking</v>
      </c>
    </row>
    <row r="6075" spans="1:5" x14ac:dyDescent="0.3">
      <c r="A6075" t="s">
        <v>12087</v>
      </c>
      <c r="B6075" t="s">
        <v>988</v>
      </c>
      <c r="C6075">
        <v>17</v>
      </c>
      <c r="D6075" t="str">
        <f>VLOOKUP(B6075,Products!$A:$E,2,FALSE)</f>
        <v>Product_490</v>
      </c>
      <c r="E6075" t="str">
        <f>VLOOKUP(B6075,Products!$A:$E,3,FALSE)</f>
        <v>Storage</v>
      </c>
    </row>
    <row r="6076" spans="1:5" x14ac:dyDescent="0.3">
      <c r="A6076" t="s">
        <v>12088</v>
      </c>
      <c r="B6076" t="s">
        <v>600</v>
      </c>
      <c r="C6076">
        <v>36</v>
      </c>
      <c r="D6076" t="str">
        <f>VLOOKUP(B6076,Products!$A:$E,2,FALSE)</f>
        <v>Product_296</v>
      </c>
      <c r="E6076" t="str">
        <f>VLOOKUP(B6076,Products!$A:$E,3,FALSE)</f>
        <v>Office Supplies</v>
      </c>
    </row>
    <row r="6077" spans="1:5" x14ac:dyDescent="0.3">
      <c r="A6077" t="s">
        <v>12089</v>
      </c>
      <c r="B6077" t="s">
        <v>570</v>
      </c>
      <c r="C6077">
        <v>48</v>
      </c>
      <c r="D6077" t="str">
        <f>VLOOKUP(B6077,Products!$A:$E,2,FALSE)</f>
        <v>Product_281</v>
      </c>
      <c r="E6077" t="str">
        <f>VLOOKUP(B6077,Products!$A:$E,3,FALSE)</f>
        <v>Office Supplies</v>
      </c>
    </row>
    <row r="6078" spans="1:5" x14ac:dyDescent="0.3">
      <c r="A6078" t="s">
        <v>12090</v>
      </c>
      <c r="B6078" t="s">
        <v>348</v>
      </c>
      <c r="C6078">
        <v>41</v>
      </c>
      <c r="D6078" t="str">
        <f>VLOOKUP(B6078,Products!$A:$E,2,FALSE)</f>
        <v>Product_170</v>
      </c>
      <c r="E6078" t="str">
        <f>VLOOKUP(B6078,Products!$A:$E,3,FALSE)</f>
        <v>Office Supplies</v>
      </c>
    </row>
    <row r="6079" spans="1:5" x14ac:dyDescent="0.3">
      <c r="A6079" t="s">
        <v>12091</v>
      </c>
      <c r="B6079" t="s">
        <v>690</v>
      </c>
      <c r="C6079">
        <v>21</v>
      </c>
      <c r="D6079" t="str">
        <f>VLOOKUP(B6079,Products!$A:$E,2,FALSE)</f>
        <v>Product_341</v>
      </c>
      <c r="E6079" t="str">
        <f>VLOOKUP(B6079,Products!$A:$E,3,FALSE)</f>
        <v>Storage</v>
      </c>
    </row>
    <row r="6080" spans="1:5" x14ac:dyDescent="0.3">
      <c r="A6080" t="s">
        <v>12092</v>
      </c>
      <c r="B6080" t="s">
        <v>548</v>
      </c>
      <c r="C6080">
        <v>10</v>
      </c>
      <c r="D6080" t="str">
        <f>VLOOKUP(B6080,Products!$A:$E,2,FALSE)</f>
        <v>Product_270</v>
      </c>
      <c r="E6080" t="str">
        <f>VLOOKUP(B6080,Products!$A:$E,3,FALSE)</f>
        <v>Electronics</v>
      </c>
    </row>
    <row r="6081" spans="1:5" x14ac:dyDescent="0.3">
      <c r="A6081" t="s">
        <v>12093</v>
      </c>
      <c r="B6081" t="s">
        <v>692</v>
      </c>
      <c r="C6081">
        <v>44</v>
      </c>
      <c r="D6081" t="str">
        <f>VLOOKUP(B6081,Products!$A:$E,2,FALSE)</f>
        <v>Product_342</v>
      </c>
      <c r="E6081" t="str">
        <f>VLOOKUP(B6081,Products!$A:$E,3,FALSE)</f>
        <v>Accessories</v>
      </c>
    </row>
    <row r="6082" spans="1:5" x14ac:dyDescent="0.3">
      <c r="A6082" t="s">
        <v>12094</v>
      </c>
      <c r="B6082" t="s">
        <v>864</v>
      </c>
      <c r="C6082">
        <v>46</v>
      </c>
      <c r="D6082" t="str">
        <f>VLOOKUP(B6082,Products!$A:$E,2,FALSE)</f>
        <v>Product_428</v>
      </c>
      <c r="E6082" t="str">
        <f>VLOOKUP(B6082,Products!$A:$E,3,FALSE)</f>
        <v>Storage</v>
      </c>
    </row>
    <row r="6083" spans="1:5" x14ac:dyDescent="0.3">
      <c r="A6083" t="s">
        <v>12095</v>
      </c>
      <c r="B6083" t="s">
        <v>612</v>
      </c>
      <c r="C6083">
        <v>34</v>
      </c>
      <c r="D6083" t="str">
        <f>VLOOKUP(B6083,Products!$A:$E,2,FALSE)</f>
        <v>Product_302</v>
      </c>
      <c r="E6083" t="str">
        <f>VLOOKUP(B6083,Products!$A:$E,3,FALSE)</f>
        <v>Accessories</v>
      </c>
    </row>
    <row r="6084" spans="1:5" x14ac:dyDescent="0.3">
      <c r="A6084" t="s">
        <v>12096</v>
      </c>
      <c r="B6084" t="s">
        <v>708</v>
      </c>
      <c r="C6084">
        <v>18</v>
      </c>
      <c r="D6084" t="str">
        <f>VLOOKUP(B6084,Products!$A:$E,2,FALSE)</f>
        <v>Product_350</v>
      </c>
      <c r="E6084" t="str">
        <f>VLOOKUP(B6084,Products!$A:$E,3,FALSE)</f>
        <v>Networking</v>
      </c>
    </row>
    <row r="6085" spans="1:5" x14ac:dyDescent="0.3">
      <c r="A6085" t="s">
        <v>12097</v>
      </c>
      <c r="B6085" t="s">
        <v>834</v>
      </c>
      <c r="C6085">
        <v>39</v>
      </c>
      <c r="D6085" t="str">
        <f>VLOOKUP(B6085,Products!$A:$E,2,FALSE)</f>
        <v>Product_413</v>
      </c>
      <c r="E6085" t="str">
        <f>VLOOKUP(B6085,Products!$A:$E,3,FALSE)</f>
        <v>Accessories</v>
      </c>
    </row>
    <row r="6086" spans="1:5" x14ac:dyDescent="0.3">
      <c r="A6086" t="s">
        <v>12098</v>
      </c>
      <c r="B6086" t="s">
        <v>806</v>
      </c>
      <c r="C6086">
        <v>16</v>
      </c>
      <c r="D6086" t="str">
        <f>VLOOKUP(B6086,Products!$A:$E,2,FALSE)</f>
        <v>Product_399</v>
      </c>
      <c r="E6086" t="str">
        <f>VLOOKUP(B6086,Products!$A:$E,3,FALSE)</f>
        <v>Networking</v>
      </c>
    </row>
    <row r="6087" spans="1:5" x14ac:dyDescent="0.3">
      <c r="A6087" t="s">
        <v>12099</v>
      </c>
      <c r="B6087" t="s">
        <v>240</v>
      </c>
      <c r="C6087">
        <v>2</v>
      </c>
      <c r="D6087" t="str">
        <f>VLOOKUP(B6087,Products!$A:$E,2,FALSE)</f>
        <v>Product_116</v>
      </c>
      <c r="E6087" t="str">
        <f>VLOOKUP(B6087,Products!$A:$E,3,FALSE)</f>
        <v>Storage</v>
      </c>
    </row>
    <row r="6088" spans="1:5" x14ac:dyDescent="0.3">
      <c r="A6088" t="s">
        <v>12100</v>
      </c>
      <c r="B6088" t="s">
        <v>454</v>
      </c>
      <c r="C6088">
        <v>31</v>
      </c>
      <c r="D6088" t="str">
        <f>VLOOKUP(B6088,Products!$A:$E,2,FALSE)</f>
        <v>Product_223</v>
      </c>
      <c r="E6088" t="str">
        <f>VLOOKUP(B6088,Products!$A:$E,3,FALSE)</f>
        <v>Storage</v>
      </c>
    </row>
    <row r="6089" spans="1:5" x14ac:dyDescent="0.3">
      <c r="A6089" t="s">
        <v>12101</v>
      </c>
      <c r="B6089" t="s">
        <v>288</v>
      </c>
      <c r="C6089">
        <v>22</v>
      </c>
      <c r="D6089" t="str">
        <f>VLOOKUP(B6089,Products!$A:$E,2,FALSE)</f>
        <v>Product_140</v>
      </c>
      <c r="E6089" t="str">
        <f>VLOOKUP(B6089,Products!$A:$E,3,FALSE)</f>
        <v>Electronics</v>
      </c>
    </row>
    <row r="6090" spans="1:5" x14ac:dyDescent="0.3">
      <c r="A6090" t="s">
        <v>12102</v>
      </c>
      <c r="B6090" t="s">
        <v>972</v>
      </c>
      <c r="C6090">
        <v>33</v>
      </c>
      <c r="D6090" t="str">
        <f>VLOOKUP(B6090,Products!$A:$E,2,FALSE)</f>
        <v>Product_482</v>
      </c>
      <c r="E6090" t="str">
        <f>VLOOKUP(B6090,Products!$A:$E,3,FALSE)</f>
        <v>Storage</v>
      </c>
    </row>
    <row r="6091" spans="1:5" x14ac:dyDescent="0.3">
      <c r="A6091" t="s">
        <v>12103</v>
      </c>
      <c r="B6091" t="s">
        <v>316</v>
      </c>
      <c r="C6091">
        <v>32</v>
      </c>
      <c r="D6091" t="str">
        <f>VLOOKUP(B6091,Products!$A:$E,2,FALSE)</f>
        <v>Product_154</v>
      </c>
      <c r="E6091" t="str">
        <f>VLOOKUP(B6091,Products!$A:$E,3,FALSE)</f>
        <v>Accessories</v>
      </c>
    </row>
    <row r="6092" spans="1:5" x14ac:dyDescent="0.3">
      <c r="A6092" t="s">
        <v>12104</v>
      </c>
      <c r="B6092" t="s">
        <v>1006</v>
      </c>
      <c r="C6092">
        <v>47</v>
      </c>
      <c r="D6092" t="str">
        <f>VLOOKUP(B6092,Products!$A:$E,2,FALSE)</f>
        <v>Product_499</v>
      </c>
      <c r="E6092" t="str">
        <f>VLOOKUP(B6092,Products!$A:$E,3,FALSE)</f>
        <v>Office Supplies</v>
      </c>
    </row>
    <row r="6093" spans="1:5" x14ac:dyDescent="0.3">
      <c r="A6093" t="s">
        <v>12105</v>
      </c>
      <c r="B6093" t="s">
        <v>424</v>
      </c>
      <c r="C6093">
        <v>4</v>
      </c>
      <c r="D6093" t="str">
        <f>VLOOKUP(B6093,Products!$A:$E,2,FALSE)</f>
        <v>Product_208</v>
      </c>
      <c r="E6093" t="str">
        <f>VLOOKUP(B6093,Products!$A:$E,3,FALSE)</f>
        <v>Electronics</v>
      </c>
    </row>
    <row r="6094" spans="1:5" x14ac:dyDescent="0.3">
      <c r="A6094" t="s">
        <v>12106</v>
      </c>
      <c r="B6094" t="s">
        <v>984</v>
      </c>
      <c r="C6094">
        <v>38</v>
      </c>
      <c r="D6094" t="str">
        <f>VLOOKUP(B6094,Products!$A:$E,2,FALSE)</f>
        <v>Product_488</v>
      </c>
      <c r="E6094" t="str">
        <f>VLOOKUP(B6094,Products!$A:$E,3,FALSE)</f>
        <v>Accessories</v>
      </c>
    </row>
    <row r="6095" spans="1:5" x14ac:dyDescent="0.3">
      <c r="A6095" t="s">
        <v>12107</v>
      </c>
      <c r="B6095" t="s">
        <v>316</v>
      </c>
      <c r="C6095">
        <v>17</v>
      </c>
      <c r="D6095" t="str">
        <f>VLOOKUP(B6095,Products!$A:$E,2,FALSE)</f>
        <v>Product_154</v>
      </c>
      <c r="E6095" t="str">
        <f>VLOOKUP(B6095,Products!$A:$E,3,FALSE)</f>
        <v>Accessories</v>
      </c>
    </row>
    <row r="6096" spans="1:5" x14ac:dyDescent="0.3">
      <c r="A6096" t="s">
        <v>12108</v>
      </c>
      <c r="B6096" t="s">
        <v>118</v>
      </c>
      <c r="C6096">
        <v>10</v>
      </c>
      <c r="D6096" t="str">
        <f>VLOOKUP(B6096,Products!$A:$E,2,FALSE)</f>
        <v>Product_55</v>
      </c>
      <c r="E6096" t="str">
        <f>VLOOKUP(B6096,Products!$A:$E,3,FALSE)</f>
        <v>Office Supplies</v>
      </c>
    </row>
    <row r="6097" spans="1:5" x14ac:dyDescent="0.3">
      <c r="A6097" t="s">
        <v>12109</v>
      </c>
      <c r="B6097" t="s">
        <v>578</v>
      </c>
      <c r="C6097">
        <v>15</v>
      </c>
      <c r="D6097" t="str">
        <f>VLOOKUP(B6097,Products!$A:$E,2,FALSE)</f>
        <v>Product_285</v>
      </c>
      <c r="E6097" t="str">
        <f>VLOOKUP(B6097,Products!$A:$E,3,FALSE)</f>
        <v>Networking</v>
      </c>
    </row>
    <row r="6098" spans="1:5" x14ac:dyDescent="0.3">
      <c r="A6098" t="s">
        <v>12110</v>
      </c>
      <c r="B6098" t="s">
        <v>874</v>
      </c>
      <c r="C6098">
        <v>15</v>
      </c>
      <c r="D6098" t="str">
        <f>VLOOKUP(B6098,Products!$A:$E,2,FALSE)</f>
        <v>Product_433</v>
      </c>
      <c r="E6098" t="str">
        <f>VLOOKUP(B6098,Products!$A:$E,3,FALSE)</f>
        <v>Office Supplies</v>
      </c>
    </row>
    <row r="6099" spans="1:5" x14ac:dyDescent="0.3">
      <c r="A6099" t="s">
        <v>12111</v>
      </c>
      <c r="B6099" t="s">
        <v>910</v>
      </c>
      <c r="C6099">
        <v>16</v>
      </c>
      <c r="D6099" t="str">
        <f>VLOOKUP(B6099,Products!$A:$E,2,FALSE)</f>
        <v>Product_451</v>
      </c>
      <c r="E6099" t="str">
        <f>VLOOKUP(B6099,Products!$A:$E,3,FALSE)</f>
        <v>Accessories</v>
      </c>
    </row>
    <row r="6100" spans="1:5" x14ac:dyDescent="0.3">
      <c r="A6100" t="s">
        <v>12112</v>
      </c>
      <c r="B6100" t="s">
        <v>484</v>
      </c>
      <c r="C6100">
        <v>10</v>
      </c>
      <c r="D6100" t="str">
        <f>VLOOKUP(B6100,Products!$A:$E,2,FALSE)</f>
        <v>Product_238</v>
      </c>
      <c r="E6100" t="str">
        <f>VLOOKUP(B6100,Products!$A:$E,3,FALSE)</f>
        <v>Accessories</v>
      </c>
    </row>
    <row r="6101" spans="1:5" x14ac:dyDescent="0.3">
      <c r="A6101" t="s">
        <v>12113</v>
      </c>
      <c r="B6101" t="s">
        <v>958</v>
      </c>
      <c r="C6101">
        <v>7</v>
      </c>
      <c r="D6101" t="str">
        <f>VLOOKUP(B6101,Products!$A:$E,2,FALSE)</f>
        <v>Product_475</v>
      </c>
      <c r="E6101" t="str">
        <f>VLOOKUP(B6101,Products!$A:$E,3,FALSE)</f>
        <v>Electronics</v>
      </c>
    </row>
    <row r="6102" spans="1:5" x14ac:dyDescent="0.3">
      <c r="A6102" t="s">
        <v>12114</v>
      </c>
      <c r="B6102" t="s">
        <v>724</v>
      </c>
      <c r="C6102">
        <v>35</v>
      </c>
      <c r="D6102" t="str">
        <f>VLOOKUP(B6102,Products!$A:$E,2,FALSE)</f>
        <v>Product_358</v>
      </c>
      <c r="E6102" t="str">
        <f>VLOOKUP(B6102,Products!$A:$E,3,FALSE)</f>
        <v>Storage</v>
      </c>
    </row>
    <row r="6103" spans="1:5" x14ac:dyDescent="0.3">
      <c r="A6103" t="s">
        <v>12115</v>
      </c>
      <c r="B6103" t="s">
        <v>526</v>
      </c>
      <c r="C6103">
        <v>24</v>
      </c>
      <c r="D6103" t="str">
        <f>VLOOKUP(B6103,Products!$A:$E,2,FALSE)</f>
        <v>Product_259</v>
      </c>
      <c r="E6103" t="str">
        <f>VLOOKUP(B6103,Products!$A:$E,3,FALSE)</f>
        <v>Electronics</v>
      </c>
    </row>
    <row r="6104" spans="1:5" x14ac:dyDescent="0.3">
      <c r="A6104" t="s">
        <v>12116</v>
      </c>
      <c r="B6104" t="s">
        <v>432</v>
      </c>
      <c r="C6104">
        <v>48</v>
      </c>
      <c r="D6104" t="str">
        <f>VLOOKUP(B6104,Products!$A:$E,2,FALSE)</f>
        <v>Product_212</v>
      </c>
      <c r="E6104" t="str">
        <f>VLOOKUP(B6104,Products!$A:$E,3,FALSE)</f>
        <v>Networking</v>
      </c>
    </row>
    <row r="6105" spans="1:5" x14ac:dyDescent="0.3">
      <c r="A6105" t="s">
        <v>12117</v>
      </c>
      <c r="B6105" t="s">
        <v>418</v>
      </c>
      <c r="C6105">
        <v>27</v>
      </c>
      <c r="D6105" t="str">
        <f>VLOOKUP(B6105,Products!$A:$E,2,FALSE)</f>
        <v>Product_205</v>
      </c>
      <c r="E6105" t="str">
        <f>VLOOKUP(B6105,Products!$A:$E,3,FALSE)</f>
        <v>Storage</v>
      </c>
    </row>
    <row r="6106" spans="1:5" x14ac:dyDescent="0.3">
      <c r="A6106" t="s">
        <v>12118</v>
      </c>
      <c r="B6106" t="s">
        <v>590</v>
      </c>
      <c r="C6106">
        <v>22</v>
      </c>
      <c r="D6106" t="str">
        <f>VLOOKUP(B6106,Products!$A:$E,2,FALSE)</f>
        <v>Product_291</v>
      </c>
      <c r="E6106" t="str">
        <f>VLOOKUP(B6106,Products!$A:$E,3,FALSE)</f>
        <v>Networking</v>
      </c>
    </row>
    <row r="6107" spans="1:5" x14ac:dyDescent="0.3">
      <c r="A6107" t="s">
        <v>12119</v>
      </c>
      <c r="B6107" t="s">
        <v>316</v>
      </c>
      <c r="C6107">
        <v>6</v>
      </c>
      <c r="D6107" t="str">
        <f>VLOOKUP(B6107,Products!$A:$E,2,FALSE)</f>
        <v>Product_154</v>
      </c>
      <c r="E6107" t="str">
        <f>VLOOKUP(B6107,Products!$A:$E,3,FALSE)</f>
        <v>Accessories</v>
      </c>
    </row>
    <row r="6108" spans="1:5" x14ac:dyDescent="0.3">
      <c r="A6108" t="s">
        <v>12120</v>
      </c>
      <c r="B6108" t="s">
        <v>258</v>
      </c>
      <c r="C6108">
        <v>11</v>
      </c>
      <c r="D6108" t="str">
        <f>VLOOKUP(B6108,Products!$A:$E,2,FALSE)</f>
        <v>Product_125</v>
      </c>
      <c r="E6108" t="str">
        <f>VLOOKUP(B6108,Products!$A:$E,3,FALSE)</f>
        <v>Office Supplies</v>
      </c>
    </row>
    <row r="6109" spans="1:5" x14ac:dyDescent="0.3">
      <c r="A6109" t="s">
        <v>12121</v>
      </c>
      <c r="B6109" t="s">
        <v>648</v>
      </c>
      <c r="C6109">
        <v>31</v>
      </c>
      <c r="D6109" t="str">
        <f>VLOOKUP(B6109,Products!$A:$E,2,FALSE)</f>
        <v>Product_320</v>
      </c>
      <c r="E6109" t="str">
        <f>VLOOKUP(B6109,Products!$A:$E,3,FALSE)</f>
        <v>Office Supplies</v>
      </c>
    </row>
    <row r="6110" spans="1:5" x14ac:dyDescent="0.3">
      <c r="A6110" t="s">
        <v>12122</v>
      </c>
      <c r="B6110" t="s">
        <v>980</v>
      </c>
      <c r="C6110">
        <v>43</v>
      </c>
      <c r="D6110" t="str">
        <f>VLOOKUP(B6110,Products!$A:$E,2,FALSE)</f>
        <v>Product_486</v>
      </c>
      <c r="E6110" t="str">
        <f>VLOOKUP(B6110,Products!$A:$E,3,FALSE)</f>
        <v>Electronics</v>
      </c>
    </row>
    <row r="6111" spans="1:5" x14ac:dyDescent="0.3">
      <c r="A6111" t="s">
        <v>12123</v>
      </c>
      <c r="B6111" t="s">
        <v>76</v>
      </c>
      <c r="C6111">
        <v>50</v>
      </c>
      <c r="D6111" t="str">
        <f>VLOOKUP(B6111,Products!$A:$E,2,FALSE)</f>
        <v>Product_34</v>
      </c>
      <c r="E6111" t="str">
        <f>VLOOKUP(B6111,Products!$A:$E,3,FALSE)</f>
        <v>Office Supplies</v>
      </c>
    </row>
    <row r="6112" spans="1:5" x14ac:dyDescent="0.3">
      <c r="A6112" t="s">
        <v>12124</v>
      </c>
      <c r="B6112" t="s">
        <v>330</v>
      </c>
      <c r="C6112">
        <v>4</v>
      </c>
      <c r="D6112" t="str">
        <f>VLOOKUP(B6112,Products!$A:$E,2,FALSE)</f>
        <v>Product_161</v>
      </c>
      <c r="E6112" t="str">
        <f>VLOOKUP(B6112,Products!$A:$E,3,FALSE)</f>
        <v>Networking</v>
      </c>
    </row>
    <row r="6113" spans="1:5" x14ac:dyDescent="0.3">
      <c r="A6113" t="s">
        <v>12125</v>
      </c>
      <c r="B6113" t="s">
        <v>456</v>
      </c>
      <c r="C6113">
        <v>26</v>
      </c>
      <c r="D6113" t="str">
        <f>VLOOKUP(B6113,Products!$A:$E,2,FALSE)</f>
        <v>Product_224</v>
      </c>
      <c r="E6113" t="str">
        <f>VLOOKUP(B6113,Products!$A:$E,3,FALSE)</f>
        <v>Storage</v>
      </c>
    </row>
    <row r="6114" spans="1:5" x14ac:dyDescent="0.3">
      <c r="A6114" t="s">
        <v>12126</v>
      </c>
      <c r="B6114" t="s">
        <v>844</v>
      </c>
      <c r="C6114">
        <v>28</v>
      </c>
      <c r="D6114" t="str">
        <f>VLOOKUP(B6114,Products!$A:$E,2,FALSE)</f>
        <v>Product_418</v>
      </c>
      <c r="E6114" t="str">
        <f>VLOOKUP(B6114,Products!$A:$E,3,FALSE)</f>
        <v>Office Supplies</v>
      </c>
    </row>
    <row r="6115" spans="1:5" x14ac:dyDescent="0.3">
      <c r="A6115" t="s">
        <v>12127</v>
      </c>
      <c r="B6115" t="s">
        <v>166</v>
      </c>
      <c r="C6115">
        <v>27</v>
      </c>
      <c r="D6115" t="str">
        <f>VLOOKUP(B6115,Products!$A:$E,2,FALSE)</f>
        <v>Product_79</v>
      </c>
      <c r="E6115" t="str">
        <f>VLOOKUP(B6115,Products!$A:$E,3,FALSE)</f>
        <v>Storage</v>
      </c>
    </row>
    <row r="6116" spans="1:5" x14ac:dyDescent="0.3">
      <c r="A6116" t="s">
        <v>12128</v>
      </c>
      <c r="B6116" t="s">
        <v>494</v>
      </c>
      <c r="C6116">
        <v>2</v>
      </c>
      <c r="D6116" t="str">
        <f>VLOOKUP(B6116,Products!$A:$E,2,FALSE)</f>
        <v>Product_243</v>
      </c>
      <c r="E6116" t="str">
        <f>VLOOKUP(B6116,Products!$A:$E,3,FALSE)</f>
        <v>Storage</v>
      </c>
    </row>
    <row r="6117" spans="1:5" x14ac:dyDescent="0.3">
      <c r="A6117" t="s">
        <v>12129</v>
      </c>
      <c r="B6117" t="s">
        <v>350</v>
      </c>
      <c r="C6117">
        <v>24</v>
      </c>
      <c r="D6117" t="str">
        <f>VLOOKUP(B6117,Products!$A:$E,2,FALSE)</f>
        <v>Product_171</v>
      </c>
      <c r="E6117" t="str">
        <f>VLOOKUP(B6117,Products!$A:$E,3,FALSE)</f>
        <v>Electronics</v>
      </c>
    </row>
    <row r="6118" spans="1:5" x14ac:dyDescent="0.3">
      <c r="A6118" t="s">
        <v>12130</v>
      </c>
      <c r="B6118" t="s">
        <v>130</v>
      </c>
      <c r="C6118">
        <v>20</v>
      </c>
      <c r="D6118" t="str">
        <f>VLOOKUP(B6118,Products!$A:$E,2,FALSE)</f>
        <v>Product_61</v>
      </c>
      <c r="E6118" t="str">
        <f>VLOOKUP(B6118,Products!$A:$E,3,FALSE)</f>
        <v>Storage</v>
      </c>
    </row>
    <row r="6119" spans="1:5" x14ac:dyDescent="0.3">
      <c r="A6119" t="s">
        <v>12131</v>
      </c>
      <c r="B6119" t="s">
        <v>250</v>
      </c>
      <c r="C6119">
        <v>32</v>
      </c>
      <c r="D6119" t="str">
        <f>VLOOKUP(B6119,Products!$A:$E,2,FALSE)</f>
        <v>Product_121</v>
      </c>
      <c r="E6119" t="str">
        <f>VLOOKUP(B6119,Products!$A:$E,3,FALSE)</f>
        <v>Storage</v>
      </c>
    </row>
    <row r="6120" spans="1:5" x14ac:dyDescent="0.3">
      <c r="A6120" t="s">
        <v>12132</v>
      </c>
      <c r="B6120" t="s">
        <v>910</v>
      </c>
      <c r="C6120">
        <v>32</v>
      </c>
      <c r="D6120" t="str">
        <f>VLOOKUP(B6120,Products!$A:$E,2,FALSE)</f>
        <v>Product_451</v>
      </c>
      <c r="E6120" t="str">
        <f>VLOOKUP(B6120,Products!$A:$E,3,FALSE)</f>
        <v>Accessories</v>
      </c>
    </row>
    <row r="6121" spans="1:5" x14ac:dyDescent="0.3">
      <c r="A6121" t="s">
        <v>12133</v>
      </c>
      <c r="B6121" t="s">
        <v>960</v>
      </c>
      <c r="C6121">
        <v>26</v>
      </c>
      <c r="D6121" t="str">
        <f>VLOOKUP(B6121,Products!$A:$E,2,FALSE)</f>
        <v>Product_476</v>
      </c>
      <c r="E6121" t="str">
        <f>VLOOKUP(B6121,Products!$A:$E,3,FALSE)</f>
        <v>Office Supplies</v>
      </c>
    </row>
    <row r="6122" spans="1:5" x14ac:dyDescent="0.3">
      <c r="A6122" t="s">
        <v>12134</v>
      </c>
      <c r="B6122" t="s">
        <v>612</v>
      </c>
      <c r="C6122">
        <v>14</v>
      </c>
      <c r="D6122" t="str">
        <f>VLOOKUP(B6122,Products!$A:$E,2,FALSE)</f>
        <v>Product_302</v>
      </c>
      <c r="E6122" t="str">
        <f>VLOOKUP(B6122,Products!$A:$E,3,FALSE)</f>
        <v>Accessories</v>
      </c>
    </row>
    <row r="6123" spans="1:5" x14ac:dyDescent="0.3">
      <c r="A6123" t="s">
        <v>12135</v>
      </c>
      <c r="B6123" t="s">
        <v>424</v>
      </c>
      <c r="C6123">
        <v>28</v>
      </c>
      <c r="D6123" t="str">
        <f>VLOOKUP(B6123,Products!$A:$E,2,FALSE)</f>
        <v>Product_208</v>
      </c>
      <c r="E6123" t="str">
        <f>VLOOKUP(B6123,Products!$A:$E,3,FALSE)</f>
        <v>Electronics</v>
      </c>
    </row>
    <row r="6124" spans="1:5" x14ac:dyDescent="0.3">
      <c r="A6124" t="s">
        <v>12136</v>
      </c>
      <c r="B6124" t="s">
        <v>878</v>
      </c>
      <c r="C6124">
        <v>16</v>
      </c>
      <c r="D6124" t="str">
        <f>VLOOKUP(B6124,Products!$A:$E,2,FALSE)</f>
        <v>Product_435</v>
      </c>
      <c r="E6124" t="str">
        <f>VLOOKUP(B6124,Products!$A:$E,3,FALSE)</f>
        <v>Accessories</v>
      </c>
    </row>
    <row r="6125" spans="1:5" x14ac:dyDescent="0.3">
      <c r="A6125" t="s">
        <v>12137</v>
      </c>
      <c r="B6125" t="s">
        <v>302</v>
      </c>
      <c r="C6125">
        <v>16</v>
      </c>
      <c r="D6125" t="str">
        <f>VLOOKUP(B6125,Products!$A:$E,2,FALSE)</f>
        <v>Product_147</v>
      </c>
      <c r="E6125" t="str">
        <f>VLOOKUP(B6125,Products!$A:$E,3,FALSE)</f>
        <v>Networking</v>
      </c>
    </row>
    <row r="6126" spans="1:5" x14ac:dyDescent="0.3">
      <c r="A6126" t="s">
        <v>12138</v>
      </c>
      <c r="B6126" t="s">
        <v>634</v>
      </c>
      <c r="C6126">
        <v>11</v>
      </c>
      <c r="D6126" t="str">
        <f>VLOOKUP(B6126,Products!$A:$E,2,FALSE)</f>
        <v>Product_313</v>
      </c>
      <c r="E6126" t="str">
        <f>VLOOKUP(B6126,Products!$A:$E,3,FALSE)</f>
        <v>Accessories</v>
      </c>
    </row>
    <row r="6127" spans="1:5" x14ac:dyDescent="0.3">
      <c r="A6127" t="s">
        <v>12139</v>
      </c>
      <c r="B6127" t="s">
        <v>354</v>
      </c>
      <c r="C6127">
        <v>11</v>
      </c>
      <c r="D6127" t="str">
        <f>VLOOKUP(B6127,Products!$A:$E,2,FALSE)</f>
        <v>Product_173</v>
      </c>
      <c r="E6127" t="str">
        <f>VLOOKUP(B6127,Products!$A:$E,3,FALSE)</f>
        <v>Electronics</v>
      </c>
    </row>
    <row r="6128" spans="1:5" x14ac:dyDescent="0.3">
      <c r="A6128" t="s">
        <v>12140</v>
      </c>
      <c r="B6128" t="s">
        <v>622</v>
      </c>
      <c r="C6128">
        <v>21</v>
      </c>
      <c r="D6128" t="str">
        <f>VLOOKUP(B6128,Products!$A:$E,2,FALSE)</f>
        <v>Product_307</v>
      </c>
      <c r="E6128" t="str">
        <f>VLOOKUP(B6128,Products!$A:$E,3,FALSE)</f>
        <v>Storage</v>
      </c>
    </row>
    <row r="6129" spans="1:5" x14ac:dyDescent="0.3">
      <c r="A6129" t="s">
        <v>12141</v>
      </c>
      <c r="B6129" t="s">
        <v>616</v>
      </c>
      <c r="C6129">
        <v>25</v>
      </c>
      <c r="D6129" t="str">
        <f>VLOOKUP(B6129,Products!$A:$E,2,FALSE)</f>
        <v>Product_304</v>
      </c>
      <c r="E6129" t="str">
        <f>VLOOKUP(B6129,Products!$A:$E,3,FALSE)</f>
        <v>Electronics</v>
      </c>
    </row>
    <row r="6130" spans="1:5" x14ac:dyDescent="0.3">
      <c r="A6130" t="s">
        <v>12142</v>
      </c>
      <c r="B6130" t="s">
        <v>882</v>
      </c>
      <c r="C6130">
        <v>6</v>
      </c>
      <c r="D6130" t="str">
        <f>VLOOKUP(B6130,Products!$A:$E,2,FALSE)</f>
        <v>Product_437</v>
      </c>
      <c r="E6130" t="str">
        <f>VLOOKUP(B6130,Products!$A:$E,3,FALSE)</f>
        <v>Accessories</v>
      </c>
    </row>
    <row r="6131" spans="1:5" x14ac:dyDescent="0.3">
      <c r="A6131" t="s">
        <v>12143</v>
      </c>
      <c r="B6131" t="s">
        <v>112</v>
      </c>
      <c r="C6131">
        <v>6</v>
      </c>
      <c r="D6131" t="str">
        <f>VLOOKUP(B6131,Products!$A:$E,2,FALSE)</f>
        <v>Product_52</v>
      </c>
      <c r="E6131" t="str">
        <f>VLOOKUP(B6131,Products!$A:$E,3,FALSE)</f>
        <v>Electronics</v>
      </c>
    </row>
    <row r="6132" spans="1:5" x14ac:dyDescent="0.3">
      <c r="A6132" t="s">
        <v>12144</v>
      </c>
      <c r="B6132" t="s">
        <v>94</v>
      </c>
      <c r="C6132">
        <v>48</v>
      </c>
      <c r="D6132" t="str">
        <f>VLOOKUP(B6132,Products!$A:$E,2,FALSE)</f>
        <v>Product_43</v>
      </c>
      <c r="E6132" t="str">
        <f>VLOOKUP(B6132,Products!$A:$E,3,FALSE)</f>
        <v>Storage</v>
      </c>
    </row>
    <row r="6133" spans="1:5" x14ac:dyDescent="0.3">
      <c r="A6133" t="s">
        <v>12145</v>
      </c>
      <c r="B6133" t="s">
        <v>17</v>
      </c>
      <c r="C6133">
        <v>10</v>
      </c>
      <c r="D6133" t="str">
        <f>VLOOKUP(B6133,Products!$A:$E,2,FALSE)</f>
        <v>Product_5</v>
      </c>
      <c r="E6133" t="str">
        <f>VLOOKUP(B6133,Products!$A:$E,3,FALSE)</f>
        <v>Networking</v>
      </c>
    </row>
    <row r="6134" spans="1:5" x14ac:dyDescent="0.3">
      <c r="A6134" t="s">
        <v>12146</v>
      </c>
      <c r="B6134" t="s">
        <v>562</v>
      </c>
      <c r="C6134">
        <v>28</v>
      </c>
      <c r="D6134" t="str">
        <f>VLOOKUP(B6134,Products!$A:$E,2,FALSE)</f>
        <v>Product_277</v>
      </c>
      <c r="E6134" t="str">
        <f>VLOOKUP(B6134,Products!$A:$E,3,FALSE)</f>
        <v>Electronics</v>
      </c>
    </row>
    <row r="6135" spans="1:5" x14ac:dyDescent="0.3">
      <c r="A6135" t="s">
        <v>12147</v>
      </c>
      <c r="B6135" t="s">
        <v>514</v>
      </c>
      <c r="C6135">
        <v>6</v>
      </c>
      <c r="D6135" t="str">
        <f>VLOOKUP(B6135,Products!$A:$E,2,FALSE)</f>
        <v>Product_253</v>
      </c>
      <c r="E6135" t="str">
        <f>VLOOKUP(B6135,Products!$A:$E,3,FALSE)</f>
        <v>Networking</v>
      </c>
    </row>
    <row r="6136" spans="1:5" x14ac:dyDescent="0.3">
      <c r="A6136" t="s">
        <v>12148</v>
      </c>
      <c r="B6136" t="s">
        <v>966</v>
      </c>
      <c r="C6136">
        <v>45</v>
      </c>
      <c r="D6136" t="str">
        <f>VLOOKUP(B6136,Products!$A:$E,2,FALSE)</f>
        <v>Product_479</v>
      </c>
      <c r="E6136" t="str">
        <f>VLOOKUP(B6136,Products!$A:$E,3,FALSE)</f>
        <v>Office Supplies</v>
      </c>
    </row>
    <row r="6137" spans="1:5" x14ac:dyDescent="0.3">
      <c r="A6137" t="s">
        <v>12149</v>
      </c>
      <c r="B6137" t="s">
        <v>672</v>
      </c>
      <c r="C6137">
        <v>10</v>
      </c>
      <c r="D6137" t="str">
        <f>VLOOKUP(B6137,Products!$A:$E,2,FALSE)</f>
        <v>Product_332</v>
      </c>
      <c r="E6137" t="str">
        <f>VLOOKUP(B6137,Products!$A:$E,3,FALSE)</f>
        <v>Electronics</v>
      </c>
    </row>
    <row r="6138" spans="1:5" x14ac:dyDescent="0.3">
      <c r="A6138" t="s">
        <v>12150</v>
      </c>
      <c r="B6138" t="s">
        <v>62</v>
      </c>
      <c r="C6138">
        <v>1</v>
      </c>
      <c r="D6138" t="str">
        <f>VLOOKUP(B6138,Products!$A:$E,2,FALSE)</f>
        <v>Product_27</v>
      </c>
      <c r="E6138" t="str">
        <f>VLOOKUP(B6138,Products!$A:$E,3,FALSE)</f>
        <v>Office Supplies</v>
      </c>
    </row>
    <row r="6139" spans="1:5" x14ac:dyDescent="0.3">
      <c r="A6139" t="s">
        <v>12151</v>
      </c>
      <c r="B6139" t="s">
        <v>492</v>
      </c>
      <c r="C6139">
        <v>12</v>
      </c>
      <c r="D6139" t="str">
        <f>VLOOKUP(B6139,Products!$A:$E,2,FALSE)</f>
        <v>Product_242</v>
      </c>
      <c r="E6139" t="str">
        <f>VLOOKUP(B6139,Products!$A:$E,3,FALSE)</f>
        <v>Networking</v>
      </c>
    </row>
    <row r="6140" spans="1:5" x14ac:dyDescent="0.3">
      <c r="A6140" t="s">
        <v>12152</v>
      </c>
      <c r="B6140" t="s">
        <v>42</v>
      </c>
      <c r="C6140">
        <v>9</v>
      </c>
      <c r="D6140" t="str">
        <f>VLOOKUP(B6140,Products!$A:$E,2,FALSE)</f>
        <v>Product_17</v>
      </c>
      <c r="E6140" t="str">
        <f>VLOOKUP(B6140,Products!$A:$E,3,FALSE)</f>
        <v>Office Supplies</v>
      </c>
    </row>
    <row r="6141" spans="1:5" x14ac:dyDescent="0.3">
      <c r="A6141" t="s">
        <v>12153</v>
      </c>
      <c r="B6141" t="s">
        <v>308</v>
      </c>
      <c r="C6141">
        <v>24</v>
      </c>
      <c r="D6141" t="str">
        <f>VLOOKUP(B6141,Products!$A:$E,2,FALSE)</f>
        <v>Product_150</v>
      </c>
      <c r="E6141" t="str">
        <f>VLOOKUP(B6141,Products!$A:$E,3,FALSE)</f>
        <v>Accessories</v>
      </c>
    </row>
    <row r="6142" spans="1:5" x14ac:dyDescent="0.3">
      <c r="A6142" t="s">
        <v>12154</v>
      </c>
      <c r="B6142" t="s">
        <v>704</v>
      </c>
      <c r="C6142">
        <v>44</v>
      </c>
      <c r="D6142" t="str">
        <f>VLOOKUP(B6142,Products!$A:$E,2,FALSE)</f>
        <v>Product_348</v>
      </c>
      <c r="E6142" t="str">
        <f>VLOOKUP(B6142,Products!$A:$E,3,FALSE)</f>
        <v>Electronics</v>
      </c>
    </row>
    <row r="6143" spans="1:5" x14ac:dyDescent="0.3">
      <c r="A6143" t="s">
        <v>12155</v>
      </c>
      <c r="B6143" t="s">
        <v>950</v>
      </c>
      <c r="C6143">
        <v>45</v>
      </c>
      <c r="D6143" t="str">
        <f>VLOOKUP(B6143,Products!$A:$E,2,FALSE)</f>
        <v>Product_471</v>
      </c>
      <c r="E6143" t="str">
        <f>VLOOKUP(B6143,Products!$A:$E,3,FALSE)</f>
        <v>Office Supplies</v>
      </c>
    </row>
    <row r="6144" spans="1:5" x14ac:dyDescent="0.3">
      <c r="A6144" t="s">
        <v>12156</v>
      </c>
      <c r="B6144" t="s">
        <v>374</v>
      </c>
      <c r="C6144">
        <v>43</v>
      </c>
      <c r="D6144" t="str">
        <f>VLOOKUP(B6144,Products!$A:$E,2,FALSE)</f>
        <v>Product_183</v>
      </c>
      <c r="E6144" t="str">
        <f>VLOOKUP(B6144,Products!$A:$E,3,FALSE)</f>
        <v>Electronics</v>
      </c>
    </row>
    <row r="6145" spans="1:5" x14ac:dyDescent="0.3">
      <c r="A6145" t="s">
        <v>12157</v>
      </c>
      <c r="B6145" t="s">
        <v>594</v>
      </c>
      <c r="C6145">
        <v>6</v>
      </c>
      <c r="D6145" t="str">
        <f>VLOOKUP(B6145,Products!$A:$E,2,FALSE)</f>
        <v>Product_293</v>
      </c>
      <c r="E6145" t="str">
        <f>VLOOKUP(B6145,Products!$A:$E,3,FALSE)</f>
        <v>Networking</v>
      </c>
    </row>
    <row r="6146" spans="1:5" x14ac:dyDescent="0.3">
      <c r="A6146" t="s">
        <v>12158</v>
      </c>
      <c r="B6146" t="s">
        <v>50</v>
      </c>
      <c r="C6146">
        <v>11</v>
      </c>
      <c r="D6146" t="str">
        <f>VLOOKUP(B6146,Products!$A:$E,2,FALSE)</f>
        <v>Product_21</v>
      </c>
      <c r="E6146" t="str">
        <f>VLOOKUP(B6146,Products!$A:$E,3,FALSE)</f>
        <v>Office Supplies</v>
      </c>
    </row>
    <row r="6147" spans="1:5" x14ac:dyDescent="0.3">
      <c r="A6147" t="s">
        <v>12159</v>
      </c>
      <c r="B6147" t="s">
        <v>924</v>
      </c>
      <c r="C6147">
        <v>20</v>
      </c>
      <c r="D6147" t="str">
        <f>VLOOKUP(B6147,Products!$A:$E,2,FALSE)</f>
        <v>Product_458</v>
      </c>
      <c r="E6147" t="str">
        <f>VLOOKUP(B6147,Products!$A:$E,3,FALSE)</f>
        <v>Accessories</v>
      </c>
    </row>
    <row r="6148" spans="1:5" x14ac:dyDescent="0.3">
      <c r="A6148" t="s">
        <v>12160</v>
      </c>
      <c r="B6148" t="s">
        <v>348</v>
      </c>
      <c r="C6148">
        <v>7</v>
      </c>
      <c r="D6148" t="str">
        <f>VLOOKUP(B6148,Products!$A:$E,2,FALSE)</f>
        <v>Product_170</v>
      </c>
      <c r="E6148" t="str">
        <f>VLOOKUP(B6148,Products!$A:$E,3,FALSE)</f>
        <v>Office Supplies</v>
      </c>
    </row>
    <row r="6149" spans="1:5" x14ac:dyDescent="0.3">
      <c r="A6149" t="s">
        <v>12161</v>
      </c>
      <c r="B6149" t="s">
        <v>48</v>
      </c>
      <c r="C6149">
        <v>38</v>
      </c>
      <c r="D6149" t="str">
        <f>VLOOKUP(B6149,Products!$A:$E,2,FALSE)</f>
        <v>Product_20</v>
      </c>
      <c r="E6149" t="str">
        <f>VLOOKUP(B6149,Products!$A:$E,3,FALSE)</f>
        <v>Office Supplies</v>
      </c>
    </row>
    <row r="6150" spans="1:5" x14ac:dyDescent="0.3">
      <c r="A6150" t="s">
        <v>12162</v>
      </c>
      <c r="B6150" t="s">
        <v>94</v>
      </c>
      <c r="C6150">
        <v>3</v>
      </c>
      <c r="D6150" t="str">
        <f>VLOOKUP(B6150,Products!$A:$E,2,FALSE)</f>
        <v>Product_43</v>
      </c>
      <c r="E6150" t="str">
        <f>VLOOKUP(B6150,Products!$A:$E,3,FALSE)</f>
        <v>Storage</v>
      </c>
    </row>
    <row r="6151" spans="1:5" x14ac:dyDescent="0.3">
      <c r="A6151" t="s">
        <v>12163</v>
      </c>
      <c r="B6151" t="s">
        <v>638</v>
      </c>
      <c r="C6151">
        <v>1</v>
      </c>
      <c r="D6151" t="str">
        <f>VLOOKUP(B6151,Products!$A:$E,2,FALSE)</f>
        <v>Product_315</v>
      </c>
      <c r="E6151" t="str">
        <f>VLOOKUP(B6151,Products!$A:$E,3,FALSE)</f>
        <v>Accessories</v>
      </c>
    </row>
    <row r="6152" spans="1:5" x14ac:dyDescent="0.3">
      <c r="A6152" t="s">
        <v>12164</v>
      </c>
      <c r="B6152" t="s">
        <v>850</v>
      </c>
      <c r="C6152">
        <v>13</v>
      </c>
      <c r="D6152" t="str">
        <f>VLOOKUP(B6152,Products!$A:$E,2,FALSE)</f>
        <v>Product_421</v>
      </c>
      <c r="E6152" t="str">
        <f>VLOOKUP(B6152,Products!$A:$E,3,FALSE)</f>
        <v>Accessories</v>
      </c>
    </row>
    <row r="6153" spans="1:5" x14ac:dyDescent="0.3">
      <c r="A6153" t="s">
        <v>12165</v>
      </c>
      <c r="B6153" t="s">
        <v>818</v>
      </c>
      <c r="C6153">
        <v>11</v>
      </c>
      <c r="D6153" t="str">
        <f>VLOOKUP(B6153,Products!$A:$E,2,FALSE)</f>
        <v>Product_405</v>
      </c>
      <c r="E6153" t="str">
        <f>VLOOKUP(B6153,Products!$A:$E,3,FALSE)</f>
        <v>Electronics</v>
      </c>
    </row>
    <row r="6154" spans="1:5" x14ac:dyDescent="0.3">
      <c r="A6154" t="s">
        <v>12166</v>
      </c>
      <c r="B6154" t="s">
        <v>928</v>
      </c>
      <c r="C6154">
        <v>26</v>
      </c>
      <c r="D6154" t="str">
        <f>VLOOKUP(B6154,Products!$A:$E,2,FALSE)</f>
        <v>Product_460</v>
      </c>
      <c r="E6154" t="str">
        <f>VLOOKUP(B6154,Products!$A:$E,3,FALSE)</f>
        <v>Accessories</v>
      </c>
    </row>
    <row r="6155" spans="1:5" x14ac:dyDescent="0.3">
      <c r="A6155" t="s">
        <v>12167</v>
      </c>
      <c r="B6155" t="s">
        <v>852</v>
      </c>
      <c r="C6155">
        <v>32</v>
      </c>
      <c r="D6155" t="str">
        <f>VLOOKUP(B6155,Products!$A:$E,2,FALSE)</f>
        <v>Product_422</v>
      </c>
      <c r="E6155" t="str">
        <f>VLOOKUP(B6155,Products!$A:$E,3,FALSE)</f>
        <v>Accessories</v>
      </c>
    </row>
    <row r="6156" spans="1:5" x14ac:dyDescent="0.3">
      <c r="A6156" t="s">
        <v>12168</v>
      </c>
      <c r="B6156" t="s">
        <v>120</v>
      </c>
      <c r="C6156">
        <v>18</v>
      </c>
      <c r="D6156" t="str">
        <f>VLOOKUP(B6156,Products!$A:$E,2,FALSE)</f>
        <v>Product_56</v>
      </c>
      <c r="E6156" t="str">
        <f>VLOOKUP(B6156,Products!$A:$E,3,FALSE)</f>
        <v>Networking</v>
      </c>
    </row>
    <row r="6157" spans="1:5" x14ac:dyDescent="0.3">
      <c r="A6157" t="s">
        <v>12169</v>
      </c>
      <c r="B6157" t="s">
        <v>616</v>
      </c>
      <c r="C6157">
        <v>19</v>
      </c>
      <c r="D6157" t="str">
        <f>VLOOKUP(B6157,Products!$A:$E,2,FALSE)</f>
        <v>Product_304</v>
      </c>
      <c r="E6157" t="str">
        <f>VLOOKUP(B6157,Products!$A:$E,3,FALSE)</f>
        <v>Electronics</v>
      </c>
    </row>
    <row r="6158" spans="1:5" x14ac:dyDescent="0.3">
      <c r="A6158" t="s">
        <v>12170</v>
      </c>
      <c r="B6158" t="s">
        <v>640</v>
      </c>
      <c r="C6158">
        <v>34</v>
      </c>
      <c r="D6158" t="str">
        <f>VLOOKUP(B6158,Products!$A:$E,2,FALSE)</f>
        <v>Product_316</v>
      </c>
      <c r="E6158" t="str">
        <f>VLOOKUP(B6158,Products!$A:$E,3,FALSE)</f>
        <v>Networking</v>
      </c>
    </row>
    <row r="6159" spans="1:5" x14ac:dyDescent="0.3">
      <c r="A6159" t="s">
        <v>12171</v>
      </c>
      <c r="B6159" t="s">
        <v>82</v>
      </c>
      <c r="C6159">
        <v>40</v>
      </c>
      <c r="D6159" t="str">
        <f>VLOOKUP(B6159,Products!$A:$E,2,FALSE)</f>
        <v>Product_37</v>
      </c>
      <c r="E6159" t="str">
        <f>VLOOKUP(B6159,Products!$A:$E,3,FALSE)</f>
        <v>Storage</v>
      </c>
    </row>
    <row r="6160" spans="1:5" x14ac:dyDescent="0.3">
      <c r="A6160" t="s">
        <v>12172</v>
      </c>
      <c r="B6160" t="s">
        <v>300</v>
      </c>
      <c r="C6160">
        <v>9</v>
      </c>
      <c r="D6160" t="str">
        <f>VLOOKUP(B6160,Products!$A:$E,2,FALSE)</f>
        <v>Product_146</v>
      </c>
      <c r="E6160" t="str">
        <f>VLOOKUP(B6160,Products!$A:$E,3,FALSE)</f>
        <v>Office Supplies</v>
      </c>
    </row>
    <row r="6161" spans="1:5" x14ac:dyDescent="0.3">
      <c r="A6161" t="s">
        <v>12173</v>
      </c>
      <c r="B6161" t="s">
        <v>76</v>
      </c>
      <c r="C6161">
        <v>30</v>
      </c>
      <c r="D6161" t="str">
        <f>VLOOKUP(B6161,Products!$A:$E,2,FALSE)</f>
        <v>Product_34</v>
      </c>
      <c r="E6161" t="str">
        <f>VLOOKUP(B6161,Products!$A:$E,3,FALSE)</f>
        <v>Office Supplies</v>
      </c>
    </row>
    <row r="6162" spans="1:5" x14ac:dyDescent="0.3">
      <c r="A6162" t="s">
        <v>12174</v>
      </c>
      <c r="B6162" t="s">
        <v>630</v>
      </c>
      <c r="C6162">
        <v>17</v>
      </c>
      <c r="D6162" t="str">
        <f>VLOOKUP(B6162,Products!$A:$E,2,FALSE)</f>
        <v>Product_311</v>
      </c>
      <c r="E6162" t="str">
        <f>VLOOKUP(B6162,Products!$A:$E,3,FALSE)</f>
        <v>Networking</v>
      </c>
    </row>
    <row r="6163" spans="1:5" x14ac:dyDescent="0.3">
      <c r="A6163" t="s">
        <v>12175</v>
      </c>
      <c r="B6163" t="s">
        <v>170</v>
      </c>
      <c r="C6163">
        <v>42</v>
      </c>
      <c r="D6163" t="str">
        <f>VLOOKUP(B6163,Products!$A:$E,2,FALSE)</f>
        <v>Product_81</v>
      </c>
      <c r="E6163" t="str">
        <f>VLOOKUP(B6163,Products!$A:$E,3,FALSE)</f>
        <v>Office Supplies</v>
      </c>
    </row>
    <row r="6164" spans="1:5" x14ac:dyDescent="0.3">
      <c r="A6164" t="s">
        <v>12176</v>
      </c>
      <c r="B6164" t="s">
        <v>804</v>
      </c>
      <c r="C6164">
        <v>45</v>
      </c>
      <c r="D6164" t="str">
        <f>VLOOKUP(B6164,Products!$A:$E,2,FALSE)</f>
        <v>Product_398</v>
      </c>
      <c r="E6164" t="str">
        <f>VLOOKUP(B6164,Products!$A:$E,3,FALSE)</f>
        <v>Networking</v>
      </c>
    </row>
    <row r="6165" spans="1:5" x14ac:dyDescent="0.3">
      <c r="A6165" t="s">
        <v>12177</v>
      </c>
      <c r="B6165" t="s">
        <v>536</v>
      </c>
      <c r="C6165">
        <v>7</v>
      </c>
      <c r="D6165" t="str">
        <f>VLOOKUP(B6165,Products!$A:$E,2,FALSE)</f>
        <v>Product_264</v>
      </c>
      <c r="E6165" t="str">
        <f>VLOOKUP(B6165,Products!$A:$E,3,FALSE)</f>
        <v>Electronics</v>
      </c>
    </row>
    <row r="6166" spans="1:5" x14ac:dyDescent="0.3">
      <c r="A6166" t="s">
        <v>12178</v>
      </c>
      <c r="B6166" t="s">
        <v>518</v>
      </c>
      <c r="C6166">
        <v>39</v>
      </c>
      <c r="D6166" t="str">
        <f>VLOOKUP(B6166,Products!$A:$E,2,FALSE)</f>
        <v>Product_255</v>
      </c>
      <c r="E6166" t="str">
        <f>VLOOKUP(B6166,Products!$A:$E,3,FALSE)</f>
        <v>Accessories</v>
      </c>
    </row>
    <row r="6167" spans="1:5" x14ac:dyDescent="0.3">
      <c r="A6167" t="s">
        <v>12179</v>
      </c>
      <c r="B6167" t="s">
        <v>238</v>
      </c>
      <c r="C6167">
        <v>45</v>
      </c>
      <c r="D6167" t="str">
        <f>VLOOKUP(B6167,Products!$A:$E,2,FALSE)</f>
        <v>Product_115</v>
      </c>
      <c r="E6167" t="str">
        <f>VLOOKUP(B6167,Products!$A:$E,3,FALSE)</f>
        <v>Networking</v>
      </c>
    </row>
    <row r="6168" spans="1:5" x14ac:dyDescent="0.3">
      <c r="A6168" t="s">
        <v>12180</v>
      </c>
      <c r="B6168" t="s">
        <v>300</v>
      </c>
      <c r="C6168">
        <v>3</v>
      </c>
      <c r="D6168" t="str">
        <f>VLOOKUP(B6168,Products!$A:$E,2,FALSE)</f>
        <v>Product_146</v>
      </c>
      <c r="E6168" t="str">
        <f>VLOOKUP(B6168,Products!$A:$E,3,FALSE)</f>
        <v>Office Supplies</v>
      </c>
    </row>
    <row r="6169" spans="1:5" x14ac:dyDescent="0.3">
      <c r="A6169" t="s">
        <v>12181</v>
      </c>
      <c r="B6169" t="s">
        <v>412</v>
      </c>
      <c r="C6169">
        <v>22</v>
      </c>
      <c r="D6169" t="str">
        <f>VLOOKUP(B6169,Products!$A:$E,2,FALSE)</f>
        <v>Product_202</v>
      </c>
      <c r="E6169" t="str">
        <f>VLOOKUP(B6169,Products!$A:$E,3,FALSE)</f>
        <v>Storage</v>
      </c>
    </row>
    <row r="6170" spans="1:5" x14ac:dyDescent="0.3">
      <c r="A6170" t="s">
        <v>12182</v>
      </c>
      <c r="B6170" t="s">
        <v>690</v>
      </c>
      <c r="C6170">
        <v>11</v>
      </c>
      <c r="D6170" t="str">
        <f>VLOOKUP(B6170,Products!$A:$E,2,FALSE)</f>
        <v>Product_341</v>
      </c>
      <c r="E6170" t="str">
        <f>VLOOKUP(B6170,Products!$A:$E,3,FALSE)</f>
        <v>Storage</v>
      </c>
    </row>
    <row r="6171" spans="1:5" x14ac:dyDescent="0.3">
      <c r="A6171" t="s">
        <v>12183</v>
      </c>
      <c r="B6171" t="s">
        <v>720</v>
      </c>
      <c r="C6171">
        <v>31</v>
      </c>
      <c r="D6171" t="str">
        <f>VLOOKUP(B6171,Products!$A:$E,2,FALSE)</f>
        <v>Product_356</v>
      </c>
      <c r="E6171" t="str">
        <f>VLOOKUP(B6171,Products!$A:$E,3,FALSE)</f>
        <v>Accessories</v>
      </c>
    </row>
    <row r="6172" spans="1:5" x14ac:dyDescent="0.3">
      <c r="A6172" t="s">
        <v>12184</v>
      </c>
      <c r="B6172" t="s">
        <v>838</v>
      </c>
      <c r="C6172">
        <v>29</v>
      </c>
      <c r="D6172" t="str">
        <f>VLOOKUP(B6172,Products!$A:$E,2,FALSE)</f>
        <v>Product_415</v>
      </c>
      <c r="E6172" t="str">
        <f>VLOOKUP(B6172,Products!$A:$E,3,FALSE)</f>
        <v>Networking</v>
      </c>
    </row>
    <row r="6173" spans="1:5" x14ac:dyDescent="0.3">
      <c r="A6173" t="s">
        <v>12185</v>
      </c>
      <c r="B6173" t="s">
        <v>376</v>
      </c>
      <c r="C6173">
        <v>33</v>
      </c>
      <c r="D6173" t="str">
        <f>VLOOKUP(B6173,Products!$A:$E,2,FALSE)</f>
        <v>Product_184</v>
      </c>
      <c r="E6173" t="str">
        <f>VLOOKUP(B6173,Products!$A:$E,3,FALSE)</f>
        <v>Electronics</v>
      </c>
    </row>
    <row r="6174" spans="1:5" x14ac:dyDescent="0.3">
      <c r="A6174" t="s">
        <v>12186</v>
      </c>
      <c r="B6174" t="s">
        <v>322</v>
      </c>
      <c r="C6174">
        <v>19</v>
      </c>
      <c r="D6174" t="str">
        <f>VLOOKUP(B6174,Products!$A:$E,2,FALSE)</f>
        <v>Product_157</v>
      </c>
      <c r="E6174" t="str">
        <f>VLOOKUP(B6174,Products!$A:$E,3,FALSE)</f>
        <v>Electronics</v>
      </c>
    </row>
    <row r="6175" spans="1:5" x14ac:dyDescent="0.3">
      <c r="A6175" t="s">
        <v>12187</v>
      </c>
      <c r="B6175" t="s">
        <v>678</v>
      </c>
      <c r="C6175">
        <v>46</v>
      </c>
      <c r="D6175" t="str">
        <f>VLOOKUP(B6175,Products!$A:$E,2,FALSE)</f>
        <v>Product_335</v>
      </c>
      <c r="E6175" t="str">
        <f>VLOOKUP(B6175,Products!$A:$E,3,FALSE)</f>
        <v>Networking</v>
      </c>
    </row>
    <row r="6176" spans="1:5" x14ac:dyDescent="0.3">
      <c r="A6176" t="s">
        <v>12188</v>
      </c>
      <c r="B6176" t="s">
        <v>844</v>
      </c>
      <c r="C6176">
        <v>26</v>
      </c>
      <c r="D6176" t="str">
        <f>VLOOKUP(B6176,Products!$A:$E,2,FALSE)</f>
        <v>Product_418</v>
      </c>
      <c r="E6176" t="str">
        <f>VLOOKUP(B6176,Products!$A:$E,3,FALSE)</f>
        <v>Office Supplies</v>
      </c>
    </row>
    <row r="6177" spans="1:5" x14ac:dyDescent="0.3">
      <c r="A6177" t="s">
        <v>12189</v>
      </c>
      <c r="B6177" t="s">
        <v>438</v>
      </c>
      <c r="C6177">
        <v>16</v>
      </c>
      <c r="D6177" t="str">
        <f>VLOOKUP(B6177,Products!$A:$E,2,FALSE)</f>
        <v>Product_215</v>
      </c>
      <c r="E6177" t="str">
        <f>VLOOKUP(B6177,Products!$A:$E,3,FALSE)</f>
        <v>Electronics</v>
      </c>
    </row>
    <row r="6178" spans="1:5" x14ac:dyDescent="0.3">
      <c r="A6178" t="s">
        <v>12190</v>
      </c>
      <c r="B6178" t="s">
        <v>822</v>
      </c>
      <c r="C6178">
        <v>20</v>
      </c>
      <c r="D6178" t="str">
        <f>VLOOKUP(B6178,Products!$A:$E,2,FALSE)</f>
        <v>Product_407</v>
      </c>
      <c r="E6178" t="str">
        <f>VLOOKUP(B6178,Products!$A:$E,3,FALSE)</f>
        <v>Networking</v>
      </c>
    </row>
    <row r="6179" spans="1:5" x14ac:dyDescent="0.3">
      <c r="A6179" t="s">
        <v>12191</v>
      </c>
      <c r="B6179" t="s">
        <v>692</v>
      </c>
      <c r="C6179">
        <v>21</v>
      </c>
      <c r="D6179" t="str">
        <f>VLOOKUP(B6179,Products!$A:$E,2,FALSE)</f>
        <v>Product_342</v>
      </c>
      <c r="E6179" t="str">
        <f>VLOOKUP(B6179,Products!$A:$E,3,FALSE)</f>
        <v>Accessories</v>
      </c>
    </row>
    <row r="6180" spans="1:5" x14ac:dyDescent="0.3">
      <c r="A6180" t="s">
        <v>12192</v>
      </c>
      <c r="B6180" t="s">
        <v>224</v>
      </c>
      <c r="C6180">
        <v>16</v>
      </c>
      <c r="D6180" t="str">
        <f>VLOOKUP(B6180,Products!$A:$E,2,FALSE)</f>
        <v>Product_108</v>
      </c>
      <c r="E6180" t="str">
        <f>VLOOKUP(B6180,Products!$A:$E,3,FALSE)</f>
        <v>Networking</v>
      </c>
    </row>
    <row r="6181" spans="1:5" x14ac:dyDescent="0.3">
      <c r="A6181" t="s">
        <v>12193</v>
      </c>
      <c r="B6181" t="s">
        <v>482</v>
      </c>
      <c r="C6181">
        <v>10</v>
      </c>
      <c r="D6181" t="str">
        <f>VLOOKUP(B6181,Products!$A:$E,2,FALSE)</f>
        <v>Product_237</v>
      </c>
      <c r="E6181" t="str">
        <f>VLOOKUP(B6181,Products!$A:$E,3,FALSE)</f>
        <v>Networking</v>
      </c>
    </row>
    <row r="6182" spans="1:5" x14ac:dyDescent="0.3">
      <c r="A6182" t="s">
        <v>12194</v>
      </c>
      <c r="B6182" t="s">
        <v>730</v>
      </c>
      <c r="C6182">
        <v>10</v>
      </c>
      <c r="D6182" t="str">
        <f>VLOOKUP(B6182,Products!$A:$E,2,FALSE)</f>
        <v>Product_361</v>
      </c>
      <c r="E6182" t="str">
        <f>VLOOKUP(B6182,Products!$A:$E,3,FALSE)</f>
        <v>Office Supplies</v>
      </c>
    </row>
    <row r="6183" spans="1:5" x14ac:dyDescent="0.3">
      <c r="A6183" t="s">
        <v>12195</v>
      </c>
      <c r="B6183" t="s">
        <v>46</v>
      </c>
      <c r="C6183">
        <v>6</v>
      </c>
      <c r="D6183" t="str">
        <f>VLOOKUP(B6183,Products!$A:$E,2,FALSE)</f>
        <v>Product_19</v>
      </c>
      <c r="E6183" t="str">
        <f>VLOOKUP(B6183,Products!$A:$E,3,FALSE)</f>
        <v>Networking</v>
      </c>
    </row>
    <row r="6184" spans="1:5" x14ac:dyDescent="0.3">
      <c r="A6184" t="s">
        <v>12196</v>
      </c>
      <c r="B6184" t="s">
        <v>70</v>
      </c>
      <c r="C6184">
        <v>38</v>
      </c>
      <c r="D6184" t="str">
        <f>VLOOKUP(B6184,Products!$A:$E,2,FALSE)</f>
        <v>Product_31</v>
      </c>
      <c r="E6184" t="str">
        <f>VLOOKUP(B6184,Products!$A:$E,3,FALSE)</f>
        <v>Accessories</v>
      </c>
    </row>
    <row r="6185" spans="1:5" x14ac:dyDescent="0.3">
      <c r="A6185" t="s">
        <v>12197</v>
      </c>
      <c r="B6185" t="s">
        <v>906</v>
      </c>
      <c r="C6185">
        <v>8</v>
      </c>
      <c r="D6185" t="str">
        <f>VLOOKUP(B6185,Products!$A:$E,2,FALSE)</f>
        <v>Product_449</v>
      </c>
      <c r="E6185" t="str">
        <f>VLOOKUP(B6185,Products!$A:$E,3,FALSE)</f>
        <v>Networking</v>
      </c>
    </row>
    <row r="6186" spans="1:5" x14ac:dyDescent="0.3">
      <c r="A6186" t="s">
        <v>12198</v>
      </c>
      <c r="B6186" t="s">
        <v>160</v>
      </c>
      <c r="C6186">
        <v>7</v>
      </c>
      <c r="D6186" t="str">
        <f>VLOOKUP(B6186,Products!$A:$E,2,FALSE)</f>
        <v>Product_76</v>
      </c>
      <c r="E6186" t="str">
        <f>VLOOKUP(B6186,Products!$A:$E,3,FALSE)</f>
        <v>Accessories</v>
      </c>
    </row>
    <row r="6187" spans="1:5" x14ac:dyDescent="0.3">
      <c r="A6187" t="s">
        <v>12199</v>
      </c>
      <c r="B6187" t="s">
        <v>468</v>
      </c>
      <c r="C6187">
        <v>9</v>
      </c>
      <c r="D6187" t="str">
        <f>VLOOKUP(B6187,Products!$A:$E,2,FALSE)</f>
        <v>Product_230</v>
      </c>
      <c r="E6187" t="str">
        <f>VLOOKUP(B6187,Products!$A:$E,3,FALSE)</f>
        <v>Electronics</v>
      </c>
    </row>
    <row r="6188" spans="1:5" x14ac:dyDescent="0.3">
      <c r="A6188" t="s">
        <v>12200</v>
      </c>
      <c r="B6188" t="s">
        <v>162</v>
      </c>
      <c r="C6188">
        <v>47</v>
      </c>
      <c r="D6188" t="str">
        <f>VLOOKUP(B6188,Products!$A:$E,2,FALSE)</f>
        <v>Product_77</v>
      </c>
      <c r="E6188" t="str">
        <f>VLOOKUP(B6188,Products!$A:$E,3,FALSE)</f>
        <v>Networking</v>
      </c>
    </row>
    <row r="6189" spans="1:5" x14ac:dyDescent="0.3">
      <c r="A6189" t="s">
        <v>12201</v>
      </c>
      <c r="B6189" t="s">
        <v>84</v>
      </c>
      <c r="C6189">
        <v>19</v>
      </c>
      <c r="D6189" t="str">
        <f>VLOOKUP(B6189,Products!$A:$E,2,FALSE)</f>
        <v>Product_38</v>
      </c>
      <c r="E6189" t="str">
        <f>VLOOKUP(B6189,Products!$A:$E,3,FALSE)</f>
        <v>Accessories</v>
      </c>
    </row>
    <row r="6190" spans="1:5" x14ac:dyDescent="0.3">
      <c r="A6190" t="s">
        <v>12202</v>
      </c>
      <c r="B6190" t="s">
        <v>798</v>
      </c>
      <c r="C6190">
        <v>22</v>
      </c>
      <c r="D6190" t="str">
        <f>VLOOKUP(B6190,Products!$A:$E,2,FALSE)</f>
        <v>Product_395</v>
      </c>
      <c r="E6190" t="str">
        <f>VLOOKUP(B6190,Products!$A:$E,3,FALSE)</f>
        <v>Accessories</v>
      </c>
    </row>
    <row r="6191" spans="1:5" x14ac:dyDescent="0.3">
      <c r="A6191" t="s">
        <v>12203</v>
      </c>
      <c r="B6191" t="s">
        <v>714</v>
      </c>
      <c r="C6191">
        <v>21</v>
      </c>
      <c r="D6191" t="str">
        <f>VLOOKUP(B6191,Products!$A:$E,2,FALSE)</f>
        <v>Product_353</v>
      </c>
      <c r="E6191" t="str">
        <f>VLOOKUP(B6191,Products!$A:$E,3,FALSE)</f>
        <v>Accessories</v>
      </c>
    </row>
    <row r="6192" spans="1:5" x14ac:dyDescent="0.3">
      <c r="A6192" t="s">
        <v>12204</v>
      </c>
      <c r="B6192" t="s">
        <v>602</v>
      </c>
      <c r="C6192">
        <v>16</v>
      </c>
      <c r="D6192" t="str">
        <f>VLOOKUP(B6192,Products!$A:$E,2,FALSE)</f>
        <v>Product_297</v>
      </c>
      <c r="E6192" t="str">
        <f>VLOOKUP(B6192,Products!$A:$E,3,FALSE)</f>
        <v>Storage</v>
      </c>
    </row>
    <row r="6193" spans="1:5" x14ac:dyDescent="0.3">
      <c r="A6193" t="s">
        <v>12205</v>
      </c>
      <c r="B6193" t="s">
        <v>744</v>
      </c>
      <c r="C6193">
        <v>31</v>
      </c>
      <c r="D6193" t="str">
        <f>VLOOKUP(B6193,Products!$A:$E,2,FALSE)</f>
        <v>Product_368</v>
      </c>
      <c r="E6193" t="str">
        <f>VLOOKUP(B6193,Products!$A:$E,3,FALSE)</f>
        <v>Office Supplies</v>
      </c>
    </row>
    <row r="6194" spans="1:5" x14ac:dyDescent="0.3">
      <c r="A6194" t="s">
        <v>12206</v>
      </c>
      <c r="B6194" t="s">
        <v>454</v>
      </c>
      <c r="C6194">
        <v>27</v>
      </c>
      <c r="D6194" t="str">
        <f>VLOOKUP(B6194,Products!$A:$E,2,FALSE)</f>
        <v>Product_223</v>
      </c>
      <c r="E6194" t="str">
        <f>VLOOKUP(B6194,Products!$A:$E,3,FALSE)</f>
        <v>Storage</v>
      </c>
    </row>
    <row r="6195" spans="1:5" x14ac:dyDescent="0.3">
      <c r="A6195" t="s">
        <v>12207</v>
      </c>
      <c r="B6195" t="s">
        <v>134</v>
      </c>
      <c r="C6195">
        <v>42</v>
      </c>
      <c r="D6195" t="str">
        <f>VLOOKUP(B6195,Products!$A:$E,2,FALSE)</f>
        <v>Product_63</v>
      </c>
      <c r="E6195" t="str">
        <f>VLOOKUP(B6195,Products!$A:$E,3,FALSE)</f>
        <v>Accessories</v>
      </c>
    </row>
    <row r="6196" spans="1:5" x14ac:dyDescent="0.3">
      <c r="A6196" t="s">
        <v>12208</v>
      </c>
      <c r="B6196" t="s">
        <v>694</v>
      </c>
      <c r="C6196">
        <v>43</v>
      </c>
      <c r="D6196" t="str">
        <f>VLOOKUP(B6196,Products!$A:$E,2,FALSE)</f>
        <v>Product_343</v>
      </c>
      <c r="E6196" t="str">
        <f>VLOOKUP(B6196,Products!$A:$E,3,FALSE)</f>
        <v>Office Supplies</v>
      </c>
    </row>
    <row r="6197" spans="1:5" x14ac:dyDescent="0.3">
      <c r="A6197" t="s">
        <v>12209</v>
      </c>
      <c r="B6197" t="s">
        <v>574</v>
      </c>
      <c r="C6197">
        <v>47</v>
      </c>
      <c r="D6197" t="str">
        <f>VLOOKUP(B6197,Products!$A:$E,2,FALSE)</f>
        <v>Product_283</v>
      </c>
      <c r="E6197" t="str">
        <f>VLOOKUP(B6197,Products!$A:$E,3,FALSE)</f>
        <v>Networking</v>
      </c>
    </row>
    <row r="6198" spans="1:5" x14ac:dyDescent="0.3">
      <c r="A6198" t="s">
        <v>12210</v>
      </c>
      <c r="B6198" t="s">
        <v>610</v>
      </c>
      <c r="C6198">
        <v>20</v>
      </c>
      <c r="D6198" t="str">
        <f>VLOOKUP(B6198,Products!$A:$E,2,FALSE)</f>
        <v>Product_301</v>
      </c>
      <c r="E6198" t="str">
        <f>VLOOKUP(B6198,Products!$A:$E,3,FALSE)</f>
        <v>Networking</v>
      </c>
    </row>
    <row r="6199" spans="1:5" x14ac:dyDescent="0.3">
      <c r="A6199" t="s">
        <v>12211</v>
      </c>
      <c r="B6199" t="s">
        <v>968</v>
      </c>
      <c r="C6199">
        <v>46</v>
      </c>
      <c r="D6199" t="str">
        <f>VLOOKUP(B6199,Products!$A:$E,2,FALSE)</f>
        <v>Product_480</v>
      </c>
      <c r="E6199" t="str">
        <f>VLOOKUP(B6199,Products!$A:$E,3,FALSE)</f>
        <v>Accessories</v>
      </c>
    </row>
    <row r="6200" spans="1:5" x14ac:dyDescent="0.3">
      <c r="A6200" t="s">
        <v>12212</v>
      </c>
      <c r="B6200" t="s">
        <v>224</v>
      </c>
      <c r="C6200">
        <v>31</v>
      </c>
      <c r="D6200" t="str">
        <f>VLOOKUP(B6200,Products!$A:$E,2,FALSE)</f>
        <v>Product_108</v>
      </c>
      <c r="E6200" t="str">
        <f>VLOOKUP(B6200,Products!$A:$E,3,FALSE)</f>
        <v>Networking</v>
      </c>
    </row>
    <row r="6201" spans="1:5" x14ac:dyDescent="0.3">
      <c r="A6201" t="s">
        <v>12213</v>
      </c>
      <c r="B6201" t="s">
        <v>680</v>
      </c>
      <c r="C6201">
        <v>3</v>
      </c>
      <c r="D6201" t="str">
        <f>VLOOKUP(B6201,Products!$A:$E,2,FALSE)</f>
        <v>Product_336</v>
      </c>
      <c r="E6201" t="str">
        <f>VLOOKUP(B6201,Products!$A:$E,3,FALSE)</f>
        <v>Storage</v>
      </c>
    </row>
    <row r="6202" spans="1:5" x14ac:dyDescent="0.3">
      <c r="A6202" t="s">
        <v>12214</v>
      </c>
      <c r="B6202" t="s">
        <v>382</v>
      </c>
      <c r="C6202">
        <v>11</v>
      </c>
      <c r="D6202" t="str">
        <f>VLOOKUP(B6202,Products!$A:$E,2,FALSE)</f>
        <v>Product_187</v>
      </c>
      <c r="E6202" t="str">
        <f>VLOOKUP(B6202,Products!$A:$E,3,FALSE)</f>
        <v>Electronics</v>
      </c>
    </row>
    <row r="6203" spans="1:5" x14ac:dyDescent="0.3">
      <c r="A6203" t="s">
        <v>12215</v>
      </c>
      <c r="B6203" t="s">
        <v>410</v>
      </c>
      <c r="C6203">
        <v>13</v>
      </c>
      <c r="D6203" t="str">
        <f>VLOOKUP(B6203,Products!$A:$E,2,FALSE)</f>
        <v>Product_201</v>
      </c>
      <c r="E6203" t="str">
        <f>VLOOKUP(B6203,Products!$A:$E,3,FALSE)</f>
        <v>Networking</v>
      </c>
    </row>
    <row r="6204" spans="1:5" x14ac:dyDescent="0.3">
      <c r="A6204" t="s">
        <v>12216</v>
      </c>
      <c r="B6204" t="s">
        <v>362</v>
      </c>
      <c r="C6204">
        <v>5</v>
      </c>
      <c r="D6204" t="str">
        <f>VLOOKUP(B6204,Products!$A:$E,2,FALSE)</f>
        <v>Product_177</v>
      </c>
      <c r="E6204" t="str">
        <f>VLOOKUP(B6204,Products!$A:$E,3,FALSE)</f>
        <v>Office Supplies</v>
      </c>
    </row>
    <row r="6205" spans="1:5" x14ac:dyDescent="0.3">
      <c r="A6205" t="s">
        <v>12217</v>
      </c>
      <c r="B6205" t="s">
        <v>60</v>
      </c>
      <c r="C6205">
        <v>3</v>
      </c>
      <c r="D6205" t="str">
        <f>VLOOKUP(B6205,Products!$A:$E,2,FALSE)</f>
        <v>Product_26</v>
      </c>
      <c r="E6205" t="str">
        <f>VLOOKUP(B6205,Products!$A:$E,3,FALSE)</f>
        <v>Office Supplies</v>
      </c>
    </row>
    <row r="6206" spans="1:5" x14ac:dyDescent="0.3">
      <c r="A6206" t="s">
        <v>12218</v>
      </c>
      <c r="B6206" t="s">
        <v>870</v>
      </c>
      <c r="C6206">
        <v>17</v>
      </c>
      <c r="D6206" t="str">
        <f>VLOOKUP(B6206,Products!$A:$E,2,FALSE)</f>
        <v>Product_431</v>
      </c>
      <c r="E6206" t="str">
        <f>VLOOKUP(B6206,Products!$A:$E,3,FALSE)</f>
        <v>Electronics</v>
      </c>
    </row>
    <row r="6207" spans="1:5" x14ac:dyDescent="0.3">
      <c r="A6207" t="s">
        <v>12219</v>
      </c>
      <c r="B6207" t="s">
        <v>408</v>
      </c>
      <c r="C6207">
        <v>12</v>
      </c>
      <c r="D6207" t="str">
        <f>VLOOKUP(B6207,Products!$A:$E,2,FALSE)</f>
        <v>Product_200</v>
      </c>
      <c r="E6207" t="str">
        <f>VLOOKUP(B6207,Products!$A:$E,3,FALSE)</f>
        <v>Office Supplies</v>
      </c>
    </row>
    <row r="6208" spans="1:5" x14ac:dyDescent="0.3">
      <c r="A6208" t="s">
        <v>12220</v>
      </c>
      <c r="B6208" t="s">
        <v>842</v>
      </c>
      <c r="C6208">
        <v>32</v>
      </c>
      <c r="D6208" t="str">
        <f>VLOOKUP(B6208,Products!$A:$E,2,FALSE)</f>
        <v>Product_417</v>
      </c>
      <c r="E6208" t="str">
        <f>VLOOKUP(B6208,Products!$A:$E,3,FALSE)</f>
        <v>Accessories</v>
      </c>
    </row>
    <row r="6209" spans="1:5" x14ac:dyDescent="0.3">
      <c r="A6209" t="s">
        <v>12221</v>
      </c>
      <c r="B6209" t="s">
        <v>484</v>
      </c>
      <c r="C6209">
        <v>43</v>
      </c>
      <c r="D6209" t="str">
        <f>VLOOKUP(B6209,Products!$A:$E,2,FALSE)</f>
        <v>Product_238</v>
      </c>
      <c r="E6209" t="str">
        <f>VLOOKUP(B6209,Products!$A:$E,3,FALSE)</f>
        <v>Accessories</v>
      </c>
    </row>
    <row r="6210" spans="1:5" x14ac:dyDescent="0.3">
      <c r="A6210" t="s">
        <v>12222</v>
      </c>
      <c r="B6210" t="s">
        <v>998</v>
      </c>
      <c r="C6210">
        <v>26</v>
      </c>
      <c r="D6210" t="str">
        <f>VLOOKUP(B6210,Products!$A:$E,2,FALSE)</f>
        <v>Product_495</v>
      </c>
      <c r="E6210" t="str">
        <f>VLOOKUP(B6210,Products!$A:$E,3,FALSE)</f>
        <v>Networking</v>
      </c>
    </row>
    <row r="6211" spans="1:5" x14ac:dyDescent="0.3">
      <c r="A6211" t="s">
        <v>12223</v>
      </c>
      <c r="B6211" t="s">
        <v>812</v>
      </c>
      <c r="C6211">
        <v>46</v>
      </c>
      <c r="D6211" t="str">
        <f>VLOOKUP(B6211,Products!$A:$E,2,FALSE)</f>
        <v>Product_402</v>
      </c>
      <c r="E6211" t="str">
        <f>VLOOKUP(B6211,Products!$A:$E,3,FALSE)</f>
        <v>Accessories</v>
      </c>
    </row>
    <row r="6212" spans="1:5" x14ac:dyDescent="0.3">
      <c r="A6212" t="s">
        <v>12224</v>
      </c>
      <c r="B6212" t="s">
        <v>892</v>
      </c>
      <c r="C6212">
        <v>21</v>
      </c>
      <c r="D6212" t="str">
        <f>VLOOKUP(B6212,Products!$A:$E,2,FALSE)</f>
        <v>Product_442</v>
      </c>
      <c r="E6212" t="str">
        <f>VLOOKUP(B6212,Products!$A:$E,3,FALSE)</f>
        <v>Networking</v>
      </c>
    </row>
    <row r="6213" spans="1:5" x14ac:dyDescent="0.3">
      <c r="A6213" t="s">
        <v>12225</v>
      </c>
      <c r="B6213" t="s">
        <v>470</v>
      </c>
      <c r="C6213">
        <v>9</v>
      </c>
      <c r="D6213" t="str">
        <f>VLOOKUP(B6213,Products!$A:$E,2,FALSE)</f>
        <v>Product_231</v>
      </c>
      <c r="E6213" t="str">
        <f>VLOOKUP(B6213,Products!$A:$E,3,FALSE)</f>
        <v>Accessories</v>
      </c>
    </row>
    <row r="6214" spans="1:5" x14ac:dyDescent="0.3">
      <c r="A6214" t="s">
        <v>12226</v>
      </c>
      <c r="B6214" t="s">
        <v>844</v>
      </c>
      <c r="C6214">
        <v>21</v>
      </c>
      <c r="D6214" t="str">
        <f>VLOOKUP(B6214,Products!$A:$E,2,FALSE)</f>
        <v>Product_418</v>
      </c>
      <c r="E6214" t="str">
        <f>VLOOKUP(B6214,Products!$A:$E,3,FALSE)</f>
        <v>Office Supplies</v>
      </c>
    </row>
    <row r="6215" spans="1:5" x14ac:dyDescent="0.3">
      <c r="A6215" t="s">
        <v>12227</v>
      </c>
      <c r="B6215" t="s">
        <v>772</v>
      </c>
      <c r="C6215">
        <v>46</v>
      </c>
      <c r="D6215" t="str">
        <f>VLOOKUP(B6215,Products!$A:$E,2,FALSE)</f>
        <v>Product_382</v>
      </c>
      <c r="E6215" t="str">
        <f>VLOOKUP(B6215,Products!$A:$E,3,FALSE)</f>
        <v>Storage</v>
      </c>
    </row>
    <row r="6216" spans="1:5" x14ac:dyDescent="0.3">
      <c r="A6216" t="s">
        <v>12228</v>
      </c>
      <c r="B6216" t="s">
        <v>442</v>
      </c>
      <c r="C6216">
        <v>43</v>
      </c>
      <c r="D6216" t="str">
        <f>VLOOKUP(B6216,Products!$A:$E,2,FALSE)</f>
        <v>Product_217</v>
      </c>
      <c r="E6216" t="str">
        <f>VLOOKUP(B6216,Products!$A:$E,3,FALSE)</f>
        <v>Networking</v>
      </c>
    </row>
    <row r="6217" spans="1:5" x14ac:dyDescent="0.3">
      <c r="A6217" t="s">
        <v>12229</v>
      </c>
      <c r="B6217" t="s">
        <v>332</v>
      </c>
      <c r="C6217">
        <v>49</v>
      </c>
      <c r="D6217" t="str">
        <f>VLOOKUP(B6217,Products!$A:$E,2,FALSE)</f>
        <v>Product_162</v>
      </c>
      <c r="E6217" t="str">
        <f>VLOOKUP(B6217,Products!$A:$E,3,FALSE)</f>
        <v>Accessories</v>
      </c>
    </row>
    <row r="6218" spans="1:5" x14ac:dyDescent="0.3">
      <c r="A6218" t="s">
        <v>12230</v>
      </c>
      <c r="B6218" t="s">
        <v>590</v>
      </c>
      <c r="C6218">
        <v>45</v>
      </c>
      <c r="D6218" t="str">
        <f>VLOOKUP(B6218,Products!$A:$E,2,FALSE)</f>
        <v>Product_291</v>
      </c>
      <c r="E6218" t="str">
        <f>VLOOKUP(B6218,Products!$A:$E,3,FALSE)</f>
        <v>Networking</v>
      </c>
    </row>
    <row r="6219" spans="1:5" x14ac:dyDescent="0.3">
      <c r="A6219" t="s">
        <v>12231</v>
      </c>
      <c r="B6219" t="s">
        <v>198</v>
      </c>
      <c r="C6219">
        <v>1</v>
      </c>
      <c r="D6219" t="str">
        <f>VLOOKUP(B6219,Products!$A:$E,2,FALSE)</f>
        <v>Product_95</v>
      </c>
      <c r="E6219" t="str">
        <f>VLOOKUP(B6219,Products!$A:$E,3,FALSE)</f>
        <v>Electronics</v>
      </c>
    </row>
    <row r="6220" spans="1:5" x14ac:dyDescent="0.3">
      <c r="A6220" t="s">
        <v>12232</v>
      </c>
      <c r="B6220" t="s">
        <v>900</v>
      </c>
      <c r="C6220">
        <v>11</v>
      </c>
      <c r="D6220" t="str">
        <f>VLOOKUP(B6220,Products!$A:$E,2,FALSE)</f>
        <v>Product_446</v>
      </c>
      <c r="E6220" t="str">
        <f>VLOOKUP(B6220,Products!$A:$E,3,FALSE)</f>
        <v>Accessories</v>
      </c>
    </row>
    <row r="6221" spans="1:5" x14ac:dyDescent="0.3">
      <c r="A6221" t="s">
        <v>12233</v>
      </c>
      <c r="B6221" t="s">
        <v>986</v>
      </c>
      <c r="C6221">
        <v>17</v>
      </c>
      <c r="D6221" t="str">
        <f>VLOOKUP(B6221,Products!$A:$E,2,FALSE)</f>
        <v>Product_489</v>
      </c>
      <c r="E6221" t="str">
        <f>VLOOKUP(B6221,Products!$A:$E,3,FALSE)</f>
        <v>Networking</v>
      </c>
    </row>
    <row r="6222" spans="1:5" x14ac:dyDescent="0.3">
      <c r="A6222" t="s">
        <v>12234</v>
      </c>
      <c r="B6222" t="s">
        <v>434</v>
      </c>
      <c r="C6222">
        <v>6</v>
      </c>
      <c r="D6222" t="str">
        <f>VLOOKUP(B6222,Products!$A:$E,2,FALSE)</f>
        <v>Product_213</v>
      </c>
      <c r="E6222" t="str">
        <f>VLOOKUP(B6222,Products!$A:$E,3,FALSE)</f>
        <v>Accessories</v>
      </c>
    </row>
    <row r="6223" spans="1:5" x14ac:dyDescent="0.3">
      <c r="A6223" t="s">
        <v>12235</v>
      </c>
      <c r="B6223" t="s">
        <v>508</v>
      </c>
      <c r="C6223">
        <v>22</v>
      </c>
      <c r="D6223" t="str">
        <f>VLOOKUP(B6223,Products!$A:$E,2,FALSE)</f>
        <v>Product_250</v>
      </c>
      <c r="E6223" t="str">
        <f>VLOOKUP(B6223,Products!$A:$E,3,FALSE)</f>
        <v>Networking</v>
      </c>
    </row>
    <row r="6224" spans="1:5" x14ac:dyDescent="0.3">
      <c r="A6224" t="s">
        <v>12236</v>
      </c>
      <c r="B6224" t="s">
        <v>160</v>
      </c>
      <c r="C6224">
        <v>3</v>
      </c>
      <c r="D6224" t="str">
        <f>VLOOKUP(B6224,Products!$A:$E,2,FALSE)</f>
        <v>Product_76</v>
      </c>
      <c r="E6224" t="str">
        <f>VLOOKUP(B6224,Products!$A:$E,3,FALSE)</f>
        <v>Accessories</v>
      </c>
    </row>
    <row r="6225" spans="1:5" x14ac:dyDescent="0.3">
      <c r="A6225" t="s">
        <v>12237</v>
      </c>
      <c r="B6225" t="s">
        <v>914</v>
      </c>
      <c r="C6225">
        <v>9</v>
      </c>
      <c r="D6225" t="str">
        <f>VLOOKUP(B6225,Products!$A:$E,2,FALSE)</f>
        <v>Product_453</v>
      </c>
      <c r="E6225" t="str">
        <f>VLOOKUP(B6225,Products!$A:$E,3,FALSE)</f>
        <v>Office Supplies</v>
      </c>
    </row>
    <row r="6226" spans="1:5" x14ac:dyDescent="0.3">
      <c r="A6226" t="s">
        <v>12238</v>
      </c>
      <c r="B6226" t="s">
        <v>254</v>
      </c>
      <c r="C6226">
        <v>33</v>
      </c>
      <c r="D6226" t="str">
        <f>VLOOKUP(B6226,Products!$A:$E,2,FALSE)</f>
        <v>Product_123</v>
      </c>
      <c r="E6226" t="str">
        <f>VLOOKUP(B6226,Products!$A:$E,3,FALSE)</f>
        <v>Electronics</v>
      </c>
    </row>
    <row r="6227" spans="1:5" x14ac:dyDescent="0.3">
      <c r="A6227" t="s">
        <v>12239</v>
      </c>
      <c r="B6227" t="s">
        <v>628</v>
      </c>
      <c r="C6227">
        <v>32</v>
      </c>
      <c r="D6227" t="str">
        <f>VLOOKUP(B6227,Products!$A:$E,2,FALSE)</f>
        <v>Product_310</v>
      </c>
      <c r="E6227" t="str">
        <f>VLOOKUP(B6227,Products!$A:$E,3,FALSE)</f>
        <v>Office Supplies</v>
      </c>
    </row>
    <row r="6228" spans="1:5" x14ac:dyDescent="0.3">
      <c r="A6228" t="s">
        <v>12240</v>
      </c>
      <c r="B6228" t="s">
        <v>990</v>
      </c>
      <c r="C6228">
        <v>18</v>
      </c>
      <c r="D6228" t="str">
        <f>VLOOKUP(B6228,Products!$A:$E,2,FALSE)</f>
        <v>Product_491</v>
      </c>
      <c r="E6228" t="str">
        <f>VLOOKUP(B6228,Products!$A:$E,3,FALSE)</f>
        <v>Accessories</v>
      </c>
    </row>
    <row r="6229" spans="1:5" x14ac:dyDescent="0.3">
      <c r="A6229" t="s">
        <v>12241</v>
      </c>
      <c r="B6229" t="s">
        <v>938</v>
      </c>
      <c r="C6229">
        <v>13</v>
      </c>
      <c r="D6229" t="str">
        <f>VLOOKUP(B6229,Products!$A:$E,2,FALSE)</f>
        <v>Product_465</v>
      </c>
      <c r="E6229" t="str">
        <f>VLOOKUP(B6229,Products!$A:$E,3,FALSE)</f>
        <v>Electronics</v>
      </c>
    </row>
    <row r="6230" spans="1:5" x14ac:dyDescent="0.3">
      <c r="A6230" t="s">
        <v>12242</v>
      </c>
      <c r="B6230" t="s">
        <v>748</v>
      </c>
      <c r="C6230">
        <v>12</v>
      </c>
      <c r="D6230" t="str">
        <f>VLOOKUP(B6230,Products!$A:$E,2,FALSE)</f>
        <v>Product_370</v>
      </c>
      <c r="E6230" t="str">
        <f>VLOOKUP(B6230,Products!$A:$E,3,FALSE)</f>
        <v>Networking</v>
      </c>
    </row>
    <row r="6231" spans="1:5" x14ac:dyDescent="0.3">
      <c r="A6231" t="s">
        <v>12243</v>
      </c>
      <c r="B6231" t="s">
        <v>436</v>
      </c>
      <c r="C6231">
        <v>3</v>
      </c>
      <c r="D6231" t="str">
        <f>VLOOKUP(B6231,Products!$A:$E,2,FALSE)</f>
        <v>Product_214</v>
      </c>
      <c r="E6231" t="str">
        <f>VLOOKUP(B6231,Products!$A:$E,3,FALSE)</f>
        <v>Electronics</v>
      </c>
    </row>
    <row r="6232" spans="1:5" x14ac:dyDescent="0.3">
      <c r="A6232" t="s">
        <v>12244</v>
      </c>
      <c r="B6232" t="s">
        <v>798</v>
      </c>
      <c r="C6232">
        <v>1</v>
      </c>
      <c r="D6232" t="str">
        <f>VLOOKUP(B6232,Products!$A:$E,2,FALSE)</f>
        <v>Product_395</v>
      </c>
      <c r="E6232" t="str">
        <f>VLOOKUP(B6232,Products!$A:$E,3,FALSE)</f>
        <v>Accessories</v>
      </c>
    </row>
    <row r="6233" spans="1:5" x14ac:dyDescent="0.3">
      <c r="A6233" t="s">
        <v>12245</v>
      </c>
      <c r="B6233" t="s">
        <v>656</v>
      </c>
      <c r="C6233">
        <v>24</v>
      </c>
      <c r="D6233" t="str">
        <f>VLOOKUP(B6233,Products!$A:$E,2,FALSE)</f>
        <v>Product_324</v>
      </c>
      <c r="E6233" t="str">
        <f>VLOOKUP(B6233,Products!$A:$E,3,FALSE)</f>
        <v>Accessories</v>
      </c>
    </row>
    <row r="6234" spans="1:5" x14ac:dyDescent="0.3">
      <c r="A6234" t="s">
        <v>12246</v>
      </c>
      <c r="B6234" t="s">
        <v>738</v>
      </c>
      <c r="C6234">
        <v>22</v>
      </c>
      <c r="D6234" t="str">
        <f>VLOOKUP(B6234,Products!$A:$E,2,FALSE)</f>
        <v>Product_365</v>
      </c>
      <c r="E6234" t="str">
        <f>VLOOKUP(B6234,Products!$A:$E,3,FALSE)</f>
        <v>Storage</v>
      </c>
    </row>
    <row r="6235" spans="1:5" x14ac:dyDescent="0.3">
      <c r="A6235" t="s">
        <v>12247</v>
      </c>
      <c r="B6235" t="s">
        <v>828</v>
      </c>
      <c r="C6235">
        <v>40</v>
      </c>
      <c r="D6235" t="str">
        <f>VLOOKUP(B6235,Products!$A:$E,2,FALSE)</f>
        <v>Product_410</v>
      </c>
      <c r="E6235" t="str">
        <f>VLOOKUP(B6235,Products!$A:$E,3,FALSE)</f>
        <v>Storage</v>
      </c>
    </row>
    <row r="6236" spans="1:5" x14ac:dyDescent="0.3">
      <c r="A6236" t="s">
        <v>12248</v>
      </c>
      <c r="B6236" t="s">
        <v>390</v>
      </c>
      <c r="C6236">
        <v>22</v>
      </c>
      <c r="D6236" t="str">
        <f>VLOOKUP(B6236,Products!$A:$E,2,FALSE)</f>
        <v>Product_191</v>
      </c>
      <c r="E6236" t="str">
        <f>VLOOKUP(B6236,Products!$A:$E,3,FALSE)</f>
        <v>Networking</v>
      </c>
    </row>
    <row r="6237" spans="1:5" x14ac:dyDescent="0.3">
      <c r="A6237" t="s">
        <v>12249</v>
      </c>
      <c r="B6237" t="s">
        <v>8</v>
      </c>
      <c r="C6237">
        <v>7</v>
      </c>
      <c r="D6237" t="str">
        <f>VLOOKUP(B6237,Products!$A:$E,2,FALSE)</f>
        <v>Product_2</v>
      </c>
      <c r="E6237" t="str">
        <f>VLOOKUP(B6237,Products!$A:$E,3,FALSE)</f>
        <v>Office Supplies</v>
      </c>
    </row>
    <row r="6238" spans="1:5" x14ac:dyDescent="0.3">
      <c r="A6238" t="s">
        <v>12250</v>
      </c>
      <c r="B6238" t="s">
        <v>504</v>
      </c>
      <c r="C6238">
        <v>50</v>
      </c>
      <c r="D6238" t="str">
        <f>VLOOKUP(B6238,Products!$A:$E,2,FALSE)</f>
        <v>Product_248</v>
      </c>
      <c r="E6238" t="str">
        <f>VLOOKUP(B6238,Products!$A:$E,3,FALSE)</f>
        <v>Networking</v>
      </c>
    </row>
    <row r="6239" spans="1:5" x14ac:dyDescent="0.3">
      <c r="A6239" t="s">
        <v>12251</v>
      </c>
      <c r="B6239" t="s">
        <v>854</v>
      </c>
      <c r="C6239">
        <v>33</v>
      </c>
      <c r="D6239" t="str">
        <f>VLOOKUP(B6239,Products!$A:$E,2,FALSE)</f>
        <v>Product_423</v>
      </c>
      <c r="E6239" t="str">
        <f>VLOOKUP(B6239,Products!$A:$E,3,FALSE)</f>
        <v>Office Supplies</v>
      </c>
    </row>
    <row r="6240" spans="1:5" x14ac:dyDescent="0.3">
      <c r="A6240" t="s">
        <v>12252</v>
      </c>
      <c r="B6240" t="s">
        <v>216</v>
      </c>
      <c r="C6240">
        <v>14</v>
      </c>
      <c r="D6240" t="str">
        <f>VLOOKUP(B6240,Products!$A:$E,2,FALSE)</f>
        <v>Product_104</v>
      </c>
      <c r="E6240" t="str">
        <f>VLOOKUP(B6240,Products!$A:$E,3,FALSE)</f>
        <v>Networking</v>
      </c>
    </row>
    <row r="6241" spans="1:5" x14ac:dyDescent="0.3">
      <c r="A6241" t="s">
        <v>12253</v>
      </c>
      <c r="B6241" t="s">
        <v>160</v>
      </c>
      <c r="C6241">
        <v>22</v>
      </c>
      <c r="D6241" t="str">
        <f>VLOOKUP(B6241,Products!$A:$E,2,FALSE)</f>
        <v>Product_76</v>
      </c>
      <c r="E6241" t="str">
        <f>VLOOKUP(B6241,Products!$A:$E,3,FALSE)</f>
        <v>Accessories</v>
      </c>
    </row>
    <row r="6242" spans="1:5" x14ac:dyDescent="0.3">
      <c r="A6242" t="s">
        <v>12254</v>
      </c>
      <c r="B6242" t="s">
        <v>706</v>
      </c>
      <c r="C6242">
        <v>43</v>
      </c>
      <c r="D6242" t="str">
        <f>VLOOKUP(B6242,Products!$A:$E,2,FALSE)</f>
        <v>Product_349</v>
      </c>
      <c r="E6242" t="str">
        <f>VLOOKUP(B6242,Products!$A:$E,3,FALSE)</f>
        <v>Office Supplies</v>
      </c>
    </row>
    <row r="6243" spans="1:5" x14ac:dyDescent="0.3">
      <c r="A6243" t="s">
        <v>12255</v>
      </c>
      <c r="B6243" t="s">
        <v>888</v>
      </c>
      <c r="C6243">
        <v>48</v>
      </c>
      <c r="D6243" t="str">
        <f>VLOOKUP(B6243,Products!$A:$E,2,FALSE)</f>
        <v>Product_440</v>
      </c>
      <c r="E6243" t="str">
        <f>VLOOKUP(B6243,Products!$A:$E,3,FALSE)</f>
        <v>Accessories</v>
      </c>
    </row>
    <row r="6244" spans="1:5" x14ac:dyDescent="0.3">
      <c r="A6244" t="s">
        <v>12256</v>
      </c>
      <c r="B6244" t="s">
        <v>770</v>
      </c>
      <c r="C6244">
        <v>33</v>
      </c>
      <c r="D6244" t="str">
        <f>VLOOKUP(B6244,Products!$A:$E,2,FALSE)</f>
        <v>Product_381</v>
      </c>
      <c r="E6244" t="str">
        <f>VLOOKUP(B6244,Products!$A:$E,3,FALSE)</f>
        <v>Storage</v>
      </c>
    </row>
    <row r="6245" spans="1:5" x14ac:dyDescent="0.3">
      <c r="A6245" t="s">
        <v>12257</v>
      </c>
      <c r="B6245" t="s">
        <v>290</v>
      </c>
      <c r="C6245">
        <v>34</v>
      </c>
      <c r="D6245" t="str">
        <f>VLOOKUP(B6245,Products!$A:$E,2,FALSE)</f>
        <v>Product_141</v>
      </c>
      <c r="E6245" t="str">
        <f>VLOOKUP(B6245,Products!$A:$E,3,FALSE)</f>
        <v>Electronics</v>
      </c>
    </row>
    <row r="6246" spans="1:5" x14ac:dyDescent="0.3">
      <c r="A6246" t="s">
        <v>12258</v>
      </c>
      <c r="B6246" t="s">
        <v>410</v>
      </c>
      <c r="C6246">
        <v>34</v>
      </c>
      <c r="D6246" t="str">
        <f>VLOOKUP(B6246,Products!$A:$E,2,FALSE)</f>
        <v>Product_201</v>
      </c>
      <c r="E6246" t="str">
        <f>VLOOKUP(B6246,Products!$A:$E,3,FALSE)</f>
        <v>Networking</v>
      </c>
    </row>
    <row r="6247" spans="1:5" x14ac:dyDescent="0.3">
      <c r="A6247" t="s">
        <v>12259</v>
      </c>
      <c r="B6247" t="s">
        <v>614</v>
      </c>
      <c r="C6247">
        <v>40</v>
      </c>
      <c r="D6247" t="str">
        <f>VLOOKUP(B6247,Products!$A:$E,2,FALSE)</f>
        <v>Product_303</v>
      </c>
      <c r="E6247" t="str">
        <f>VLOOKUP(B6247,Products!$A:$E,3,FALSE)</f>
        <v>Networking</v>
      </c>
    </row>
    <row r="6248" spans="1:5" x14ac:dyDescent="0.3">
      <c r="A6248" t="s">
        <v>12260</v>
      </c>
      <c r="B6248" t="s">
        <v>958</v>
      </c>
      <c r="C6248">
        <v>40</v>
      </c>
      <c r="D6248" t="str">
        <f>VLOOKUP(B6248,Products!$A:$E,2,FALSE)</f>
        <v>Product_475</v>
      </c>
      <c r="E6248" t="str">
        <f>VLOOKUP(B6248,Products!$A:$E,3,FALSE)</f>
        <v>Electronics</v>
      </c>
    </row>
    <row r="6249" spans="1:5" x14ac:dyDescent="0.3">
      <c r="A6249" t="s">
        <v>12261</v>
      </c>
      <c r="B6249" t="s">
        <v>210</v>
      </c>
      <c r="C6249">
        <v>28</v>
      </c>
      <c r="D6249" t="str">
        <f>VLOOKUP(B6249,Products!$A:$E,2,FALSE)</f>
        <v>Product_101</v>
      </c>
      <c r="E6249" t="str">
        <f>VLOOKUP(B6249,Products!$A:$E,3,FALSE)</f>
        <v>Storage</v>
      </c>
    </row>
    <row r="6250" spans="1:5" x14ac:dyDescent="0.3">
      <c r="A6250" t="s">
        <v>12262</v>
      </c>
      <c r="B6250" t="s">
        <v>798</v>
      </c>
      <c r="C6250">
        <v>47</v>
      </c>
      <c r="D6250" t="str">
        <f>VLOOKUP(B6250,Products!$A:$E,2,FALSE)</f>
        <v>Product_395</v>
      </c>
      <c r="E6250" t="str">
        <f>VLOOKUP(B6250,Products!$A:$E,3,FALSE)</f>
        <v>Accessories</v>
      </c>
    </row>
    <row r="6251" spans="1:5" x14ac:dyDescent="0.3">
      <c r="A6251" t="s">
        <v>12263</v>
      </c>
      <c r="B6251" t="s">
        <v>828</v>
      </c>
      <c r="C6251">
        <v>3</v>
      </c>
      <c r="D6251" t="str">
        <f>VLOOKUP(B6251,Products!$A:$E,2,FALSE)</f>
        <v>Product_410</v>
      </c>
      <c r="E6251" t="str">
        <f>VLOOKUP(B6251,Products!$A:$E,3,FALSE)</f>
        <v>Storage</v>
      </c>
    </row>
    <row r="6252" spans="1:5" x14ac:dyDescent="0.3">
      <c r="A6252" t="s">
        <v>12264</v>
      </c>
      <c r="B6252" t="s">
        <v>474</v>
      </c>
      <c r="C6252">
        <v>47</v>
      </c>
      <c r="D6252" t="str">
        <f>VLOOKUP(B6252,Products!$A:$E,2,FALSE)</f>
        <v>Product_233</v>
      </c>
      <c r="E6252" t="str">
        <f>VLOOKUP(B6252,Products!$A:$E,3,FALSE)</f>
        <v>Accessories</v>
      </c>
    </row>
    <row r="6253" spans="1:5" x14ac:dyDescent="0.3">
      <c r="A6253" t="s">
        <v>12265</v>
      </c>
      <c r="B6253" t="s">
        <v>614</v>
      </c>
      <c r="C6253">
        <v>36</v>
      </c>
      <c r="D6253" t="str">
        <f>VLOOKUP(B6253,Products!$A:$E,2,FALSE)</f>
        <v>Product_303</v>
      </c>
      <c r="E6253" t="str">
        <f>VLOOKUP(B6253,Products!$A:$E,3,FALSE)</f>
        <v>Networking</v>
      </c>
    </row>
    <row r="6254" spans="1:5" x14ac:dyDescent="0.3">
      <c r="A6254" t="s">
        <v>12266</v>
      </c>
      <c r="B6254" t="s">
        <v>306</v>
      </c>
      <c r="C6254">
        <v>35</v>
      </c>
      <c r="D6254" t="str">
        <f>VLOOKUP(B6254,Products!$A:$E,2,FALSE)</f>
        <v>Product_149</v>
      </c>
      <c r="E6254" t="str">
        <f>VLOOKUP(B6254,Products!$A:$E,3,FALSE)</f>
        <v>Accessories</v>
      </c>
    </row>
    <row r="6255" spans="1:5" x14ac:dyDescent="0.3">
      <c r="A6255" t="s">
        <v>12267</v>
      </c>
      <c r="B6255" t="s">
        <v>782</v>
      </c>
      <c r="C6255">
        <v>30</v>
      </c>
      <c r="D6255" t="str">
        <f>VLOOKUP(B6255,Products!$A:$E,2,FALSE)</f>
        <v>Product_387</v>
      </c>
      <c r="E6255" t="str">
        <f>VLOOKUP(B6255,Products!$A:$E,3,FALSE)</f>
        <v>Storage</v>
      </c>
    </row>
    <row r="6256" spans="1:5" x14ac:dyDescent="0.3">
      <c r="A6256" t="s">
        <v>12268</v>
      </c>
      <c r="B6256" t="s">
        <v>54</v>
      </c>
      <c r="C6256">
        <v>19</v>
      </c>
      <c r="D6256" t="str">
        <f>VLOOKUP(B6256,Products!$A:$E,2,FALSE)</f>
        <v>Product_23</v>
      </c>
      <c r="E6256" t="str">
        <f>VLOOKUP(B6256,Products!$A:$E,3,FALSE)</f>
        <v>Accessories</v>
      </c>
    </row>
    <row r="6257" spans="1:5" x14ac:dyDescent="0.3">
      <c r="A6257" t="s">
        <v>12269</v>
      </c>
      <c r="B6257" t="s">
        <v>350</v>
      </c>
      <c r="C6257">
        <v>2</v>
      </c>
      <c r="D6257" t="str">
        <f>VLOOKUP(B6257,Products!$A:$E,2,FALSE)</f>
        <v>Product_171</v>
      </c>
      <c r="E6257" t="str">
        <f>VLOOKUP(B6257,Products!$A:$E,3,FALSE)</f>
        <v>Electronics</v>
      </c>
    </row>
    <row r="6258" spans="1:5" x14ac:dyDescent="0.3">
      <c r="A6258" t="s">
        <v>12270</v>
      </c>
      <c r="B6258" t="s">
        <v>426</v>
      </c>
      <c r="C6258">
        <v>38</v>
      </c>
      <c r="D6258" t="str">
        <f>VLOOKUP(B6258,Products!$A:$E,2,FALSE)</f>
        <v>Product_209</v>
      </c>
      <c r="E6258" t="str">
        <f>VLOOKUP(B6258,Products!$A:$E,3,FALSE)</f>
        <v>Networking</v>
      </c>
    </row>
    <row r="6259" spans="1:5" x14ac:dyDescent="0.3">
      <c r="A6259" t="s">
        <v>12271</v>
      </c>
      <c r="B6259" t="s">
        <v>652</v>
      </c>
      <c r="C6259">
        <v>5</v>
      </c>
      <c r="D6259" t="str">
        <f>VLOOKUP(B6259,Products!$A:$E,2,FALSE)</f>
        <v>Product_322</v>
      </c>
      <c r="E6259" t="str">
        <f>VLOOKUP(B6259,Products!$A:$E,3,FALSE)</f>
        <v>Accessories</v>
      </c>
    </row>
    <row r="6260" spans="1:5" x14ac:dyDescent="0.3">
      <c r="A6260" t="s">
        <v>12272</v>
      </c>
      <c r="B6260" t="s">
        <v>494</v>
      </c>
      <c r="C6260">
        <v>27</v>
      </c>
      <c r="D6260" t="str">
        <f>VLOOKUP(B6260,Products!$A:$E,2,FALSE)</f>
        <v>Product_243</v>
      </c>
      <c r="E6260" t="str">
        <f>VLOOKUP(B6260,Products!$A:$E,3,FALSE)</f>
        <v>Storage</v>
      </c>
    </row>
    <row r="6261" spans="1:5" x14ac:dyDescent="0.3">
      <c r="A6261" t="s">
        <v>12273</v>
      </c>
      <c r="B6261" t="s">
        <v>960</v>
      </c>
      <c r="C6261">
        <v>30</v>
      </c>
      <c r="D6261" t="str">
        <f>VLOOKUP(B6261,Products!$A:$E,2,FALSE)</f>
        <v>Product_476</v>
      </c>
      <c r="E6261" t="str">
        <f>VLOOKUP(B6261,Products!$A:$E,3,FALSE)</f>
        <v>Office Supplies</v>
      </c>
    </row>
    <row r="6262" spans="1:5" x14ac:dyDescent="0.3">
      <c r="A6262" t="s">
        <v>12274</v>
      </c>
      <c r="B6262" t="s">
        <v>946</v>
      </c>
      <c r="C6262">
        <v>39</v>
      </c>
      <c r="D6262" t="str">
        <f>VLOOKUP(B6262,Products!$A:$E,2,FALSE)</f>
        <v>Product_469</v>
      </c>
      <c r="E6262" t="str">
        <f>VLOOKUP(B6262,Products!$A:$E,3,FALSE)</f>
        <v>Office Supplies</v>
      </c>
    </row>
    <row r="6263" spans="1:5" x14ac:dyDescent="0.3">
      <c r="A6263" t="s">
        <v>12275</v>
      </c>
      <c r="B6263" t="s">
        <v>594</v>
      </c>
      <c r="C6263">
        <v>15</v>
      </c>
      <c r="D6263" t="str">
        <f>VLOOKUP(B6263,Products!$A:$E,2,FALSE)</f>
        <v>Product_293</v>
      </c>
      <c r="E6263" t="str">
        <f>VLOOKUP(B6263,Products!$A:$E,3,FALSE)</f>
        <v>Networking</v>
      </c>
    </row>
    <row r="6264" spans="1:5" x14ac:dyDescent="0.3">
      <c r="A6264" t="s">
        <v>12276</v>
      </c>
      <c r="B6264" t="s">
        <v>954</v>
      </c>
      <c r="C6264">
        <v>21</v>
      </c>
      <c r="D6264" t="str">
        <f>VLOOKUP(B6264,Products!$A:$E,2,FALSE)</f>
        <v>Product_473</v>
      </c>
      <c r="E6264" t="str">
        <f>VLOOKUP(B6264,Products!$A:$E,3,FALSE)</f>
        <v>Accessories</v>
      </c>
    </row>
    <row r="6265" spans="1:5" x14ac:dyDescent="0.3">
      <c r="A6265" t="s">
        <v>12277</v>
      </c>
      <c r="B6265" t="s">
        <v>864</v>
      </c>
      <c r="C6265">
        <v>38</v>
      </c>
      <c r="D6265" t="str">
        <f>VLOOKUP(B6265,Products!$A:$E,2,FALSE)</f>
        <v>Product_428</v>
      </c>
      <c r="E6265" t="str">
        <f>VLOOKUP(B6265,Products!$A:$E,3,FALSE)</f>
        <v>Storage</v>
      </c>
    </row>
    <row r="6266" spans="1:5" x14ac:dyDescent="0.3">
      <c r="A6266" t="s">
        <v>12278</v>
      </c>
      <c r="B6266" t="s">
        <v>238</v>
      </c>
      <c r="C6266">
        <v>29</v>
      </c>
      <c r="D6266" t="str">
        <f>VLOOKUP(B6266,Products!$A:$E,2,FALSE)</f>
        <v>Product_115</v>
      </c>
      <c r="E6266" t="str">
        <f>VLOOKUP(B6266,Products!$A:$E,3,FALSE)</f>
        <v>Networking</v>
      </c>
    </row>
    <row r="6267" spans="1:5" x14ac:dyDescent="0.3">
      <c r="A6267" t="s">
        <v>12279</v>
      </c>
      <c r="B6267" t="s">
        <v>280</v>
      </c>
      <c r="C6267">
        <v>20</v>
      </c>
      <c r="D6267" t="str">
        <f>VLOOKUP(B6267,Products!$A:$E,2,FALSE)</f>
        <v>Product_136</v>
      </c>
      <c r="E6267" t="str">
        <f>VLOOKUP(B6267,Products!$A:$E,3,FALSE)</f>
        <v>Storage</v>
      </c>
    </row>
    <row r="6268" spans="1:5" x14ac:dyDescent="0.3">
      <c r="A6268" t="s">
        <v>12280</v>
      </c>
      <c r="B6268" t="s">
        <v>922</v>
      </c>
      <c r="C6268">
        <v>42</v>
      </c>
      <c r="D6268" t="str">
        <f>VLOOKUP(B6268,Products!$A:$E,2,FALSE)</f>
        <v>Product_457</v>
      </c>
      <c r="E6268" t="str">
        <f>VLOOKUP(B6268,Products!$A:$E,3,FALSE)</f>
        <v>Networking</v>
      </c>
    </row>
    <row r="6269" spans="1:5" x14ac:dyDescent="0.3">
      <c r="A6269" t="s">
        <v>12281</v>
      </c>
      <c r="B6269" t="s">
        <v>882</v>
      </c>
      <c r="C6269">
        <v>3</v>
      </c>
      <c r="D6269" t="str">
        <f>VLOOKUP(B6269,Products!$A:$E,2,FALSE)</f>
        <v>Product_437</v>
      </c>
      <c r="E6269" t="str">
        <f>VLOOKUP(B6269,Products!$A:$E,3,FALSE)</f>
        <v>Accessories</v>
      </c>
    </row>
    <row r="6270" spans="1:5" x14ac:dyDescent="0.3">
      <c r="A6270" t="s">
        <v>12282</v>
      </c>
      <c r="B6270" t="s">
        <v>846</v>
      </c>
      <c r="C6270">
        <v>15</v>
      </c>
      <c r="D6270" t="str">
        <f>VLOOKUP(B6270,Products!$A:$E,2,FALSE)</f>
        <v>Product_419</v>
      </c>
      <c r="E6270" t="str">
        <f>VLOOKUP(B6270,Products!$A:$E,3,FALSE)</f>
        <v>Networking</v>
      </c>
    </row>
    <row r="6271" spans="1:5" x14ac:dyDescent="0.3">
      <c r="A6271" t="s">
        <v>12283</v>
      </c>
      <c r="B6271" t="s">
        <v>694</v>
      </c>
      <c r="C6271">
        <v>38</v>
      </c>
      <c r="D6271" t="str">
        <f>VLOOKUP(B6271,Products!$A:$E,2,FALSE)</f>
        <v>Product_343</v>
      </c>
      <c r="E6271" t="str">
        <f>VLOOKUP(B6271,Products!$A:$E,3,FALSE)</f>
        <v>Office Supplies</v>
      </c>
    </row>
    <row r="6272" spans="1:5" x14ac:dyDescent="0.3">
      <c r="A6272" t="s">
        <v>12284</v>
      </c>
      <c r="B6272" t="s">
        <v>270</v>
      </c>
      <c r="C6272">
        <v>26</v>
      </c>
      <c r="D6272" t="str">
        <f>VLOOKUP(B6272,Products!$A:$E,2,FALSE)</f>
        <v>Product_131</v>
      </c>
      <c r="E6272" t="str">
        <f>VLOOKUP(B6272,Products!$A:$E,3,FALSE)</f>
        <v>Electronics</v>
      </c>
    </row>
    <row r="6273" spans="1:5" x14ac:dyDescent="0.3">
      <c r="A6273" t="s">
        <v>12285</v>
      </c>
      <c r="B6273" t="s">
        <v>280</v>
      </c>
      <c r="C6273">
        <v>1</v>
      </c>
      <c r="D6273" t="str">
        <f>VLOOKUP(B6273,Products!$A:$E,2,FALSE)</f>
        <v>Product_136</v>
      </c>
      <c r="E6273" t="str">
        <f>VLOOKUP(B6273,Products!$A:$E,3,FALSE)</f>
        <v>Storage</v>
      </c>
    </row>
    <row r="6274" spans="1:5" x14ac:dyDescent="0.3">
      <c r="A6274" t="s">
        <v>12286</v>
      </c>
      <c r="B6274" t="s">
        <v>552</v>
      </c>
      <c r="C6274">
        <v>15</v>
      </c>
      <c r="D6274" t="str">
        <f>VLOOKUP(B6274,Products!$A:$E,2,FALSE)</f>
        <v>Product_272</v>
      </c>
      <c r="E6274" t="str">
        <f>VLOOKUP(B6274,Products!$A:$E,3,FALSE)</f>
        <v>Office Supplies</v>
      </c>
    </row>
    <row r="6275" spans="1:5" x14ac:dyDescent="0.3">
      <c r="A6275" t="s">
        <v>12287</v>
      </c>
      <c r="B6275" t="s">
        <v>50</v>
      </c>
      <c r="C6275">
        <v>15</v>
      </c>
      <c r="D6275" t="str">
        <f>VLOOKUP(B6275,Products!$A:$E,2,FALSE)</f>
        <v>Product_21</v>
      </c>
      <c r="E6275" t="str">
        <f>VLOOKUP(B6275,Products!$A:$E,3,FALSE)</f>
        <v>Office Supplies</v>
      </c>
    </row>
    <row r="6276" spans="1:5" x14ac:dyDescent="0.3">
      <c r="A6276" t="s">
        <v>12288</v>
      </c>
      <c r="B6276" t="s">
        <v>984</v>
      </c>
      <c r="C6276">
        <v>29</v>
      </c>
      <c r="D6276" t="str">
        <f>VLOOKUP(B6276,Products!$A:$E,2,FALSE)</f>
        <v>Product_488</v>
      </c>
      <c r="E6276" t="str">
        <f>VLOOKUP(B6276,Products!$A:$E,3,FALSE)</f>
        <v>Accessories</v>
      </c>
    </row>
    <row r="6277" spans="1:5" x14ac:dyDescent="0.3">
      <c r="A6277" t="s">
        <v>12289</v>
      </c>
      <c r="B6277" t="s">
        <v>254</v>
      </c>
      <c r="C6277">
        <v>26</v>
      </c>
      <c r="D6277" t="str">
        <f>VLOOKUP(B6277,Products!$A:$E,2,FALSE)</f>
        <v>Product_123</v>
      </c>
      <c r="E6277" t="str">
        <f>VLOOKUP(B6277,Products!$A:$E,3,FALSE)</f>
        <v>Electronics</v>
      </c>
    </row>
    <row r="6278" spans="1:5" x14ac:dyDescent="0.3">
      <c r="A6278" t="s">
        <v>12290</v>
      </c>
      <c r="B6278" t="s">
        <v>8</v>
      </c>
      <c r="C6278">
        <v>28</v>
      </c>
      <c r="D6278" t="str">
        <f>VLOOKUP(B6278,Products!$A:$E,2,FALSE)</f>
        <v>Product_2</v>
      </c>
      <c r="E6278" t="str">
        <f>VLOOKUP(B6278,Products!$A:$E,3,FALSE)</f>
        <v>Office Supplies</v>
      </c>
    </row>
    <row r="6279" spans="1:5" x14ac:dyDescent="0.3">
      <c r="A6279" t="s">
        <v>12291</v>
      </c>
      <c r="B6279" t="s">
        <v>58</v>
      </c>
      <c r="C6279">
        <v>5</v>
      </c>
      <c r="D6279" t="str">
        <f>VLOOKUP(B6279,Products!$A:$E,2,FALSE)</f>
        <v>Product_25</v>
      </c>
      <c r="E6279" t="str">
        <f>VLOOKUP(B6279,Products!$A:$E,3,FALSE)</f>
        <v>Office Supplies</v>
      </c>
    </row>
    <row r="6280" spans="1:5" x14ac:dyDescent="0.3">
      <c r="A6280" t="s">
        <v>12292</v>
      </c>
      <c r="B6280" t="s">
        <v>830</v>
      </c>
      <c r="C6280">
        <v>18</v>
      </c>
      <c r="D6280" t="str">
        <f>VLOOKUP(B6280,Products!$A:$E,2,FALSE)</f>
        <v>Product_411</v>
      </c>
      <c r="E6280" t="str">
        <f>VLOOKUP(B6280,Products!$A:$E,3,FALSE)</f>
        <v>Office Supplies</v>
      </c>
    </row>
    <row r="6281" spans="1:5" x14ac:dyDescent="0.3">
      <c r="A6281" t="s">
        <v>12293</v>
      </c>
      <c r="B6281" t="s">
        <v>558</v>
      </c>
      <c r="C6281">
        <v>35</v>
      </c>
      <c r="D6281" t="str">
        <f>VLOOKUP(B6281,Products!$A:$E,2,FALSE)</f>
        <v>Product_275</v>
      </c>
      <c r="E6281" t="str">
        <f>VLOOKUP(B6281,Products!$A:$E,3,FALSE)</f>
        <v>Accessories</v>
      </c>
    </row>
    <row r="6282" spans="1:5" x14ac:dyDescent="0.3">
      <c r="A6282" t="s">
        <v>12294</v>
      </c>
      <c r="B6282" t="s">
        <v>972</v>
      </c>
      <c r="C6282">
        <v>27</v>
      </c>
      <c r="D6282" t="str">
        <f>VLOOKUP(B6282,Products!$A:$E,2,FALSE)</f>
        <v>Product_482</v>
      </c>
      <c r="E6282" t="str">
        <f>VLOOKUP(B6282,Products!$A:$E,3,FALSE)</f>
        <v>Storage</v>
      </c>
    </row>
    <row r="6283" spans="1:5" x14ac:dyDescent="0.3">
      <c r="A6283" t="s">
        <v>12295</v>
      </c>
      <c r="B6283" t="s">
        <v>26</v>
      </c>
      <c r="C6283">
        <v>33</v>
      </c>
      <c r="D6283" t="str">
        <f>VLOOKUP(B6283,Products!$A:$E,2,FALSE)</f>
        <v>Product_9</v>
      </c>
      <c r="E6283" t="str">
        <f>VLOOKUP(B6283,Products!$A:$E,3,FALSE)</f>
        <v>Storage</v>
      </c>
    </row>
    <row r="6284" spans="1:5" x14ac:dyDescent="0.3">
      <c r="A6284" t="s">
        <v>12296</v>
      </c>
      <c r="B6284" t="s">
        <v>898</v>
      </c>
      <c r="C6284">
        <v>47</v>
      </c>
      <c r="D6284" t="str">
        <f>VLOOKUP(B6284,Products!$A:$E,2,FALSE)</f>
        <v>Product_445</v>
      </c>
      <c r="E6284" t="str">
        <f>VLOOKUP(B6284,Products!$A:$E,3,FALSE)</f>
        <v>Office Supplies</v>
      </c>
    </row>
    <row r="6285" spans="1:5" x14ac:dyDescent="0.3">
      <c r="A6285" t="s">
        <v>12297</v>
      </c>
      <c r="B6285" t="s">
        <v>822</v>
      </c>
      <c r="C6285">
        <v>50</v>
      </c>
      <c r="D6285" t="str">
        <f>VLOOKUP(B6285,Products!$A:$E,2,FALSE)</f>
        <v>Product_407</v>
      </c>
      <c r="E6285" t="str">
        <f>VLOOKUP(B6285,Products!$A:$E,3,FALSE)</f>
        <v>Networking</v>
      </c>
    </row>
    <row r="6286" spans="1:5" x14ac:dyDescent="0.3">
      <c r="A6286" t="s">
        <v>12298</v>
      </c>
      <c r="B6286" t="s">
        <v>664</v>
      </c>
      <c r="C6286">
        <v>20</v>
      </c>
      <c r="D6286" t="str">
        <f>VLOOKUP(B6286,Products!$A:$E,2,FALSE)</f>
        <v>Product_328</v>
      </c>
      <c r="E6286" t="str">
        <f>VLOOKUP(B6286,Products!$A:$E,3,FALSE)</f>
        <v>Office Supplies</v>
      </c>
    </row>
    <row r="6287" spans="1:5" x14ac:dyDescent="0.3">
      <c r="A6287" t="s">
        <v>12299</v>
      </c>
      <c r="B6287" t="s">
        <v>796</v>
      </c>
      <c r="C6287">
        <v>39</v>
      </c>
      <c r="D6287" t="str">
        <f>VLOOKUP(B6287,Products!$A:$E,2,FALSE)</f>
        <v>Product_394</v>
      </c>
      <c r="E6287" t="str">
        <f>VLOOKUP(B6287,Products!$A:$E,3,FALSE)</f>
        <v>Electronics</v>
      </c>
    </row>
    <row r="6288" spans="1:5" x14ac:dyDescent="0.3">
      <c r="A6288" t="s">
        <v>12300</v>
      </c>
      <c r="B6288" t="s">
        <v>688</v>
      </c>
      <c r="C6288">
        <v>4</v>
      </c>
      <c r="D6288" t="str">
        <f>VLOOKUP(B6288,Products!$A:$E,2,FALSE)</f>
        <v>Product_340</v>
      </c>
      <c r="E6288" t="str">
        <f>VLOOKUP(B6288,Products!$A:$E,3,FALSE)</f>
        <v>Storage</v>
      </c>
    </row>
    <row r="6289" spans="1:5" x14ac:dyDescent="0.3">
      <c r="A6289" t="s">
        <v>12301</v>
      </c>
      <c r="B6289" t="s">
        <v>518</v>
      </c>
      <c r="C6289">
        <v>38</v>
      </c>
      <c r="D6289" t="str">
        <f>VLOOKUP(B6289,Products!$A:$E,2,FALSE)</f>
        <v>Product_255</v>
      </c>
      <c r="E6289" t="str">
        <f>VLOOKUP(B6289,Products!$A:$E,3,FALSE)</f>
        <v>Accessories</v>
      </c>
    </row>
    <row r="6290" spans="1:5" x14ac:dyDescent="0.3">
      <c r="A6290" t="s">
        <v>12302</v>
      </c>
      <c r="B6290" t="s">
        <v>228</v>
      </c>
      <c r="C6290">
        <v>35</v>
      </c>
      <c r="D6290" t="str">
        <f>VLOOKUP(B6290,Products!$A:$E,2,FALSE)</f>
        <v>Product_110</v>
      </c>
      <c r="E6290" t="str">
        <f>VLOOKUP(B6290,Products!$A:$E,3,FALSE)</f>
        <v>Networking</v>
      </c>
    </row>
    <row r="6291" spans="1:5" x14ac:dyDescent="0.3">
      <c r="A6291" t="s">
        <v>12303</v>
      </c>
      <c r="B6291" t="s">
        <v>686</v>
      </c>
      <c r="C6291">
        <v>36</v>
      </c>
      <c r="D6291" t="str">
        <f>VLOOKUP(B6291,Products!$A:$E,2,FALSE)</f>
        <v>Product_339</v>
      </c>
      <c r="E6291" t="str">
        <f>VLOOKUP(B6291,Products!$A:$E,3,FALSE)</f>
        <v>Storage</v>
      </c>
    </row>
    <row r="6292" spans="1:5" x14ac:dyDescent="0.3">
      <c r="A6292" t="s">
        <v>12304</v>
      </c>
      <c r="B6292" t="s">
        <v>304</v>
      </c>
      <c r="C6292">
        <v>50</v>
      </c>
      <c r="D6292" t="str">
        <f>VLOOKUP(B6292,Products!$A:$E,2,FALSE)</f>
        <v>Product_148</v>
      </c>
      <c r="E6292" t="str">
        <f>VLOOKUP(B6292,Products!$A:$E,3,FALSE)</f>
        <v>Electronics</v>
      </c>
    </row>
    <row r="6293" spans="1:5" x14ac:dyDescent="0.3">
      <c r="A6293" t="s">
        <v>12305</v>
      </c>
      <c r="B6293" t="s">
        <v>128</v>
      </c>
      <c r="C6293">
        <v>16</v>
      </c>
      <c r="D6293" t="str">
        <f>VLOOKUP(B6293,Products!$A:$E,2,FALSE)</f>
        <v>Product_60</v>
      </c>
      <c r="E6293" t="str">
        <f>VLOOKUP(B6293,Products!$A:$E,3,FALSE)</f>
        <v>Electronics</v>
      </c>
    </row>
    <row r="6294" spans="1:5" x14ac:dyDescent="0.3">
      <c r="A6294" t="s">
        <v>12306</v>
      </c>
      <c r="B6294" t="s">
        <v>956</v>
      </c>
      <c r="C6294">
        <v>25</v>
      </c>
      <c r="D6294" t="str">
        <f>VLOOKUP(B6294,Products!$A:$E,2,FALSE)</f>
        <v>Product_474</v>
      </c>
      <c r="E6294" t="str">
        <f>VLOOKUP(B6294,Products!$A:$E,3,FALSE)</f>
        <v>Networking</v>
      </c>
    </row>
    <row r="6295" spans="1:5" x14ac:dyDescent="0.3">
      <c r="A6295" t="s">
        <v>12307</v>
      </c>
      <c r="B6295" t="s">
        <v>584</v>
      </c>
      <c r="C6295">
        <v>47</v>
      </c>
      <c r="D6295" t="str">
        <f>VLOOKUP(B6295,Products!$A:$E,2,FALSE)</f>
        <v>Product_288</v>
      </c>
      <c r="E6295" t="str">
        <f>VLOOKUP(B6295,Products!$A:$E,3,FALSE)</f>
        <v>Networking</v>
      </c>
    </row>
    <row r="6296" spans="1:5" x14ac:dyDescent="0.3">
      <c r="A6296" t="s">
        <v>12308</v>
      </c>
      <c r="B6296" t="s">
        <v>346</v>
      </c>
      <c r="C6296">
        <v>12</v>
      </c>
      <c r="D6296" t="str">
        <f>VLOOKUP(B6296,Products!$A:$E,2,FALSE)</f>
        <v>Product_169</v>
      </c>
      <c r="E6296" t="str">
        <f>VLOOKUP(B6296,Products!$A:$E,3,FALSE)</f>
        <v>Accessories</v>
      </c>
    </row>
    <row r="6297" spans="1:5" x14ac:dyDescent="0.3">
      <c r="A6297" t="s">
        <v>12309</v>
      </c>
      <c r="B6297" t="s">
        <v>568</v>
      </c>
      <c r="C6297">
        <v>42</v>
      </c>
      <c r="D6297" t="str">
        <f>VLOOKUP(B6297,Products!$A:$E,2,FALSE)</f>
        <v>Product_280</v>
      </c>
      <c r="E6297" t="str">
        <f>VLOOKUP(B6297,Products!$A:$E,3,FALSE)</f>
        <v>Electronics</v>
      </c>
    </row>
    <row r="6298" spans="1:5" x14ac:dyDescent="0.3">
      <c r="A6298" t="s">
        <v>12310</v>
      </c>
      <c r="B6298" t="s">
        <v>214</v>
      </c>
      <c r="C6298">
        <v>1</v>
      </c>
      <c r="D6298" t="str">
        <f>VLOOKUP(B6298,Products!$A:$E,2,FALSE)</f>
        <v>Product_103</v>
      </c>
      <c r="E6298" t="str">
        <f>VLOOKUP(B6298,Products!$A:$E,3,FALSE)</f>
        <v>Accessories</v>
      </c>
    </row>
    <row r="6299" spans="1:5" x14ac:dyDescent="0.3">
      <c r="A6299" t="s">
        <v>12311</v>
      </c>
      <c r="B6299" t="s">
        <v>710</v>
      </c>
      <c r="C6299">
        <v>28</v>
      </c>
      <c r="D6299" t="str">
        <f>VLOOKUP(B6299,Products!$A:$E,2,FALSE)</f>
        <v>Product_351</v>
      </c>
      <c r="E6299" t="str">
        <f>VLOOKUP(B6299,Products!$A:$E,3,FALSE)</f>
        <v>Accessories</v>
      </c>
    </row>
    <row r="6300" spans="1:5" x14ac:dyDescent="0.3">
      <c r="A6300" t="s">
        <v>12312</v>
      </c>
      <c r="B6300" t="s">
        <v>90</v>
      </c>
      <c r="C6300">
        <v>22</v>
      </c>
      <c r="D6300" t="str">
        <f>VLOOKUP(B6300,Products!$A:$E,2,FALSE)</f>
        <v>Product_41</v>
      </c>
      <c r="E6300" t="str">
        <f>VLOOKUP(B6300,Products!$A:$E,3,FALSE)</f>
        <v>Accessories</v>
      </c>
    </row>
    <row r="6301" spans="1:5" x14ac:dyDescent="0.3">
      <c r="A6301" t="s">
        <v>12313</v>
      </c>
      <c r="B6301" t="s">
        <v>672</v>
      </c>
      <c r="C6301">
        <v>16</v>
      </c>
      <c r="D6301" t="str">
        <f>VLOOKUP(B6301,Products!$A:$E,2,FALSE)</f>
        <v>Product_332</v>
      </c>
      <c r="E6301" t="str">
        <f>VLOOKUP(B6301,Products!$A:$E,3,FALSE)</f>
        <v>Electronics</v>
      </c>
    </row>
    <row r="6302" spans="1:5" x14ac:dyDescent="0.3">
      <c r="A6302" t="s">
        <v>12314</v>
      </c>
      <c r="B6302" t="s">
        <v>978</v>
      </c>
      <c r="C6302">
        <v>31</v>
      </c>
      <c r="D6302" t="str">
        <f>VLOOKUP(B6302,Products!$A:$E,2,FALSE)</f>
        <v>Product_485</v>
      </c>
      <c r="E6302" t="str">
        <f>VLOOKUP(B6302,Products!$A:$E,3,FALSE)</f>
        <v>Networking</v>
      </c>
    </row>
    <row r="6303" spans="1:5" x14ac:dyDescent="0.3">
      <c r="A6303" t="s">
        <v>12315</v>
      </c>
      <c r="B6303" t="s">
        <v>30</v>
      </c>
      <c r="C6303">
        <v>7</v>
      </c>
      <c r="D6303" t="str">
        <f>VLOOKUP(B6303,Products!$A:$E,2,FALSE)</f>
        <v>Product_11</v>
      </c>
      <c r="E6303" t="str">
        <f>VLOOKUP(B6303,Products!$A:$E,3,FALSE)</f>
        <v>Electronics</v>
      </c>
    </row>
    <row r="6304" spans="1:5" x14ac:dyDescent="0.3">
      <c r="A6304" t="s">
        <v>12316</v>
      </c>
      <c r="B6304" t="s">
        <v>142</v>
      </c>
      <c r="C6304">
        <v>48</v>
      </c>
      <c r="D6304" t="str">
        <f>VLOOKUP(B6304,Products!$A:$E,2,FALSE)</f>
        <v>Product_67</v>
      </c>
      <c r="E6304" t="str">
        <f>VLOOKUP(B6304,Products!$A:$E,3,FALSE)</f>
        <v>Office Supplies</v>
      </c>
    </row>
    <row r="6305" spans="1:5" x14ac:dyDescent="0.3">
      <c r="A6305" t="s">
        <v>12317</v>
      </c>
      <c r="B6305" t="s">
        <v>758</v>
      </c>
      <c r="C6305">
        <v>17</v>
      </c>
      <c r="D6305" t="str">
        <f>VLOOKUP(B6305,Products!$A:$E,2,FALSE)</f>
        <v>Product_375</v>
      </c>
      <c r="E6305" t="str">
        <f>VLOOKUP(B6305,Products!$A:$E,3,FALSE)</f>
        <v>Accessories</v>
      </c>
    </row>
    <row r="6306" spans="1:5" x14ac:dyDescent="0.3">
      <c r="A6306" t="s">
        <v>12318</v>
      </c>
      <c r="B6306" t="s">
        <v>182</v>
      </c>
      <c r="C6306">
        <v>43</v>
      </c>
      <c r="D6306" t="str">
        <f>VLOOKUP(B6306,Products!$A:$E,2,FALSE)</f>
        <v>Product_87</v>
      </c>
      <c r="E6306" t="str">
        <f>VLOOKUP(B6306,Products!$A:$E,3,FALSE)</f>
        <v>Networking</v>
      </c>
    </row>
    <row r="6307" spans="1:5" x14ac:dyDescent="0.3">
      <c r="A6307" t="s">
        <v>12319</v>
      </c>
      <c r="B6307" t="s">
        <v>308</v>
      </c>
      <c r="C6307">
        <v>43</v>
      </c>
      <c r="D6307" t="str">
        <f>VLOOKUP(B6307,Products!$A:$E,2,FALSE)</f>
        <v>Product_150</v>
      </c>
      <c r="E6307" t="str">
        <f>VLOOKUP(B6307,Products!$A:$E,3,FALSE)</f>
        <v>Accessories</v>
      </c>
    </row>
    <row r="6308" spans="1:5" x14ac:dyDescent="0.3">
      <c r="A6308" t="s">
        <v>12320</v>
      </c>
      <c r="B6308" t="s">
        <v>272</v>
      </c>
      <c r="C6308">
        <v>27</v>
      </c>
      <c r="D6308" t="str">
        <f>VLOOKUP(B6308,Products!$A:$E,2,FALSE)</f>
        <v>Product_132</v>
      </c>
      <c r="E6308" t="str">
        <f>VLOOKUP(B6308,Products!$A:$E,3,FALSE)</f>
        <v>Storage</v>
      </c>
    </row>
    <row r="6309" spans="1:5" x14ac:dyDescent="0.3">
      <c r="A6309" t="s">
        <v>12321</v>
      </c>
      <c r="B6309" t="s">
        <v>174</v>
      </c>
      <c r="C6309">
        <v>28</v>
      </c>
      <c r="D6309" t="str">
        <f>VLOOKUP(B6309,Products!$A:$E,2,FALSE)</f>
        <v>Product_83</v>
      </c>
      <c r="E6309" t="str">
        <f>VLOOKUP(B6309,Products!$A:$E,3,FALSE)</f>
        <v>Accessories</v>
      </c>
    </row>
    <row r="6310" spans="1:5" x14ac:dyDescent="0.3">
      <c r="A6310" t="s">
        <v>12322</v>
      </c>
      <c r="B6310" t="s">
        <v>218</v>
      </c>
      <c r="C6310">
        <v>47</v>
      </c>
      <c r="D6310" t="str">
        <f>VLOOKUP(B6310,Products!$A:$E,2,FALSE)</f>
        <v>Product_105</v>
      </c>
      <c r="E6310" t="str">
        <f>VLOOKUP(B6310,Products!$A:$E,3,FALSE)</f>
        <v>Networking</v>
      </c>
    </row>
    <row r="6311" spans="1:5" x14ac:dyDescent="0.3">
      <c r="A6311" t="s">
        <v>12323</v>
      </c>
      <c r="B6311" t="s">
        <v>176</v>
      </c>
      <c r="C6311">
        <v>24</v>
      </c>
      <c r="D6311" t="str">
        <f>VLOOKUP(B6311,Products!$A:$E,2,FALSE)</f>
        <v>Product_84</v>
      </c>
      <c r="E6311" t="str">
        <f>VLOOKUP(B6311,Products!$A:$E,3,FALSE)</f>
        <v>Electronics</v>
      </c>
    </row>
    <row r="6312" spans="1:5" x14ac:dyDescent="0.3">
      <c r="A6312" t="s">
        <v>12324</v>
      </c>
      <c r="B6312" t="s">
        <v>108</v>
      </c>
      <c r="C6312">
        <v>49</v>
      </c>
      <c r="D6312" t="str">
        <f>VLOOKUP(B6312,Products!$A:$E,2,FALSE)</f>
        <v>Product_50</v>
      </c>
      <c r="E6312" t="str">
        <f>VLOOKUP(B6312,Products!$A:$E,3,FALSE)</f>
        <v>Networking</v>
      </c>
    </row>
    <row r="6313" spans="1:5" x14ac:dyDescent="0.3">
      <c r="A6313" t="s">
        <v>12325</v>
      </c>
      <c r="B6313" t="s">
        <v>964</v>
      </c>
      <c r="C6313">
        <v>19</v>
      </c>
      <c r="D6313" t="str">
        <f>VLOOKUP(B6313,Products!$A:$E,2,FALSE)</f>
        <v>Product_478</v>
      </c>
      <c r="E6313" t="str">
        <f>VLOOKUP(B6313,Products!$A:$E,3,FALSE)</f>
        <v>Office Supplies</v>
      </c>
    </row>
    <row r="6314" spans="1:5" x14ac:dyDescent="0.3">
      <c r="A6314" t="s">
        <v>12326</v>
      </c>
      <c r="B6314" t="s">
        <v>326</v>
      </c>
      <c r="C6314">
        <v>35</v>
      </c>
      <c r="D6314" t="str">
        <f>VLOOKUP(B6314,Products!$A:$E,2,FALSE)</f>
        <v>Product_159</v>
      </c>
      <c r="E6314" t="str">
        <f>VLOOKUP(B6314,Products!$A:$E,3,FALSE)</f>
        <v>Accessories</v>
      </c>
    </row>
    <row r="6315" spans="1:5" x14ac:dyDescent="0.3">
      <c r="A6315" t="s">
        <v>12327</v>
      </c>
      <c r="B6315" t="s">
        <v>718</v>
      </c>
      <c r="C6315">
        <v>36</v>
      </c>
      <c r="D6315" t="str">
        <f>VLOOKUP(B6315,Products!$A:$E,2,FALSE)</f>
        <v>Product_355</v>
      </c>
      <c r="E6315" t="str">
        <f>VLOOKUP(B6315,Products!$A:$E,3,FALSE)</f>
        <v>Accessories</v>
      </c>
    </row>
    <row r="6316" spans="1:5" x14ac:dyDescent="0.3">
      <c r="A6316" t="s">
        <v>12328</v>
      </c>
      <c r="B6316" t="s">
        <v>664</v>
      </c>
      <c r="C6316">
        <v>5</v>
      </c>
      <c r="D6316" t="str">
        <f>VLOOKUP(B6316,Products!$A:$E,2,FALSE)</f>
        <v>Product_328</v>
      </c>
      <c r="E6316" t="str">
        <f>VLOOKUP(B6316,Products!$A:$E,3,FALSE)</f>
        <v>Office Supplies</v>
      </c>
    </row>
    <row r="6317" spans="1:5" x14ac:dyDescent="0.3">
      <c r="A6317" t="s">
        <v>12329</v>
      </c>
      <c r="B6317" t="s">
        <v>88</v>
      </c>
      <c r="C6317">
        <v>10</v>
      </c>
      <c r="D6317" t="str">
        <f>VLOOKUP(B6317,Products!$A:$E,2,FALSE)</f>
        <v>Product_40</v>
      </c>
      <c r="E6317" t="str">
        <f>VLOOKUP(B6317,Products!$A:$E,3,FALSE)</f>
        <v>Accessories</v>
      </c>
    </row>
    <row r="6318" spans="1:5" x14ac:dyDescent="0.3">
      <c r="A6318" t="s">
        <v>12330</v>
      </c>
      <c r="B6318" t="s">
        <v>904</v>
      </c>
      <c r="C6318">
        <v>8</v>
      </c>
      <c r="D6318" t="str">
        <f>VLOOKUP(B6318,Products!$A:$E,2,FALSE)</f>
        <v>Product_448</v>
      </c>
      <c r="E6318" t="str">
        <f>VLOOKUP(B6318,Products!$A:$E,3,FALSE)</f>
        <v>Networking</v>
      </c>
    </row>
    <row r="6319" spans="1:5" x14ac:dyDescent="0.3">
      <c r="A6319" t="s">
        <v>12331</v>
      </c>
      <c r="B6319" t="s">
        <v>882</v>
      </c>
      <c r="C6319">
        <v>1</v>
      </c>
      <c r="D6319" t="str">
        <f>VLOOKUP(B6319,Products!$A:$E,2,FALSE)</f>
        <v>Product_437</v>
      </c>
      <c r="E6319" t="str">
        <f>VLOOKUP(B6319,Products!$A:$E,3,FALSE)</f>
        <v>Accessories</v>
      </c>
    </row>
    <row r="6320" spans="1:5" x14ac:dyDescent="0.3">
      <c r="A6320" t="s">
        <v>12332</v>
      </c>
      <c r="B6320" t="s">
        <v>986</v>
      </c>
      <c r="C6320">
        <v>16</v>
      </c>
      <c r="D6320" t="str">
        <f>VLOOKUP(B6320,Products!$A:$E,2,FALSE)</f>
        <v>Product_489</v>
      </c>
      <c r="E6320" t="str">
        <f>VLOOKUP(B6320,Products!$A:$E,3,FALSE)</f>
        <v>Networking</v>
      </c>
    </row>
    <row r="6321" spans="1:5" x14ac:dyDescent="0.3">
      <c r="A6321" t="s">
        <v>12333</v>
      </c>
      <c r="B6321" t="s">
        <v>76</v>
      </c>
      <c r="C6321">
        <v>50</v>
      </c>
      <c r="D6321" t="str">
        <f>VLOOKUP(B6321,Products!$A:$E,2,FALSE)</f>
        <v>Product_34</v>
      </c>
      <c r="E6321" t="str">
        <f>VLOOKUP(B6321,Products!$A:$E,3,FALSE)</f>
        <v>Office Supplies</v>
      </c>
    </row>
    <row r="6322" spans="1:5" x14ac:dyDescent="0.3">
      <c r="A6322" t="s">
        <v>12334</v>
      </c>
      <c r="B6322" t="s">
        <v>798</v>
      </c>
      <c r="C6322">
        <v>49</v>
      </c>
      <c r="D6322" t="str">
        <f>VLOOKUP(B6322,Products!$A:$E,2,FALSE)</f>
        <v>Product_395</v>
      </c>
      <c r="E6322" t="str">
        <f>VLOOKUP(B6322,Products!$A:$E,3,FALSE)</f>
        <v>Accessories</v>
      </c>
    </row>
    <row r="6323" spans="1:5" x14ac:dyDescent="0.3">
      <c r="A6323" t="s">
        <v>12335</v>
      </c>
      <c r="B6323" t="s">
        <v>976</v>
      </c>
      <c r="C6323">
        <v>18</v>
      </c>
      <c r="D6323" t="str">
        <f>VLOOKUP(B6323,Products!$A:$E,2,FALSE)</f>
        <v>Product_484</v>
      </c>
      <c r="E6323" t="str">
        <f>VLOOKUP(B6323,Products!$A:$E,3,FALSE)</f>
        <v>Networking</v>
      </c>
    </row>
    <row r="6324" spans="1:5" x14ac:dyDescent="0.3">
      <c r="A6324" t="s">
        <v>12336</v>
      </c>
      <c r="B6324" t="s">
        <v>998</v>
      </c>
      <c r="C6324">
        <v>12</v>
      </c>
      <c r="D6324" t="str">
        <f>VLOOKUP(B6324,Products!$A:$E,2,FALSE)</f>
        <v>Product_495</v>
      </c>
      <c r="E6324" t="str">
        <f>VLOOKUP(B6324,Products!$A:$E,3,FALSE)</f>
        <v>Networking</v>
      </c>
    </row>
    <row r="6325" spans="1:5" x14ac:dyDescent="0.3">
      <c r="A6325" t="s">
        <v>12337</v>
      </c>
      <c r="B6325" t="s">
        <v>126</v>
      </c>
      <c r="C6325">
        <v>49</v>
      </c>
      <c r="D6325" t="str">
        <f>VLOOKUP(B6325,Products!$A:$E,2,FALSE)</f>
        <v>Product_59</v>
      </c>
      <c r="E6325" t="str">
        <f>VLOOKUP(B6325,Products!$A:$E,3,FALSE)</f>
        <v>Accessories</v>
      </c>
    </row>
    <row r="6326" spans="1:5" x14ac:dyDescent="0.3">
      <c r="A6326" t="s">
        <v>12338</v>
      </c>
      <c r="B6326" t="s">
        <v>472</v>
      </c>
      <c r="C6326">
        <v>22</v>
      </c>
      <c r="D6326" t="str">
        <f>VLOOKUP(B6326,Products!$A:$E,2,FALSE)</f>
        <v>Product_232</v>
      </c>
      <c r="E6326" t="str">
        <f>VLOOKUP(B6326,Products!$A:$E,3,FALSE)</f>
        <v>Office Supplies</v>
      </c>
    </row>
    <row r="6327" spans="1:5" x14ac:dyDescent="0.3">
      <c r="A6327" t="s">
        <v>12339</v>
      </c>
      <c r="B6327" t="s">
        <v>134</v>
      </c>
      <c r="C6327">
        <v>33</v>
      </c>
      <c r="D6327" t="str">
        <f>VLOOKUP(B6327,Products!$A:$E,2,FALSE)</f>
        <v>Product_63</v>
      </c>
      <c r="E6327" t="str">
        <f>VLOOKUP(B6327,Products!$A:$E,3,FALSE)</f>
        <v>Accessories</v>
      </c>
    </row>
    <row r="6328" spans="1:5" x14ac:dyDescent="0.3">
      <c r="A6328" t="s">
        <v>12340</v>
      </c>
      <c r="B6328" t="s">
        <v>794</v>
      </c>
      <c r="C6328">
        <v>50</v>
      </c>
      <c r="D6328" t="str">
        <f>VLOOKUP(B6328,Products!$A:$E,2,FALSE)</f>
        <v>Product_393</v>
      </c>
      <c r="E6328" t="str">
        <f>VLOOKUP(B6328,Products!$A:$E,3,FALSE)</f>
        <v>Electronics</v>
      </c>
    </row>
    <row r="6329" spans="1:5" x14ac:dyDescent="0.3">
      <c r="A6329" t="s">
        <v>12341</v>
      </c>
      <c r="B6329" t="s">
        <v>556</v>
      </c>
      <c r="C6329">
        <v>30</v>
      </c>
      <c r="D6329" t="str">
        <f>VLOOKUP(B6329,Products!$A:$E,2,FALSE)</f>
        <v>Product_274</v>
      </c>
      <c r="E6329" t="str">
        <f>VLOOKUP(B6329,Products!$A:$E,3,FALSE)</f>
        <v>Accessories</v>
      </c>
    </row>
    <row r="6330" spans="1:5" x14ac:dyDescent="0.3">
      <c r="A6330" t="s">
        <v>12342</v>
      </c>
      <c r="B6330" t="s">
        <v>532</v>
      </c>
      <c r="C6330">
        <v>8</v>
      </c>
      <c r="D6330" t="str">
        <f>VLOOKUP(B6330,Products!$A:$E,2,FALSE)</f>
        <v>Product_262</v>
      </c>
      <c r="E6330" t="str">
        <f>VLOOKUP(B6330,Products!$A:$E,3,FALSE)</f>
        <v>Electronics</v>
      </c>
    </row>
    <row r="6331" spans="1:5" x14ac:dyDescent="0.3">
      <c r="A6331" t="s">
        <v>12343</v>
      </c>
      <c r="B6331" t="s">
        <v>502</v>
      </c>
      <c r="C6331">
        <v>43</v>
      </c>
      <c r="D6331" t="str">
        <f>VLOOKUP(B6331,Products!$A:$E,2,FALSE)</f>
        <v>Product_247</v>
      </c>
      <c r="E6331" t="str">
        <f>VLOOKUP(B6331,Products!$A:$E,3,FALSE)</f>
        <v>Networking</v>
      </c>
    </row>
    <row r="6332" spans="1:5" x14ac:dyDescent="0.3">
      <c r="A6332" t="s">
        <v>12344</v>
      </c>
      <c r="B6332" t="s">
        <v>638</v>
      </c>
      <c r="C6332">
        <v>18</v>
      </c>
      <c r="D6332" t="str">
        <f>VLOOKUP(B6332,Products!$A:$E,2,FALSE)</f>
        <v>Product_315</v>
      </c>
      <c r="E6332" t="str">
        <f>VLOOKUP(B6332,Products!$A:$E,3,FALSE)</f>
        <v>Accessories</v>
      </c>
    </row>
    <row r="6333" spans="1:5" x14ac:dyDescent="0.3">
      <c r="A6333" t="s">
        <v>12345</v>
      </c>
      <c r="B6333" t="s">
        <v>814</v>
      </c>
      <c r="C6333">
        <v>6</v>
      </c>
      <c r="D6333" t="str">
        <f>VLOOKUP(B6333,Products!$A:$E,2,FALSE)</f>
        <v>Product_403</v>
      </c>
      <c r="E6333" t="str">
        <f>VLOOKUP(B6333,Products!$A:$E,3,FALSE)</f>
        <v>Networking</v>
      </c>
    </row>
    <row r="6334" spans="1:5" x14ac:dyDescent="0.3">
      <c r="A6334" t="s">
        <v>12346</v>
      </c>
      <c r="B6334" t="s">
        <v>374</v>
      </c>
      <c r="C6334">
        <v>6</v>
      </c>
      <c r="D6334" t="str">
        <f>VLOOKUP(B6334,Products!$A:$E,2,FALSE)</f>
        <v>Product_183</v>
      </c>
      <c r="E6334" t="str">
        <f>VLOOKUP(B6334,Products!$A:$E,3,FALSE)</f>
        <v>Electronics</v>
      </c>
    </row>
    <row r="6335" spans="1:5" x14ac:dyDescent="0.3">
      <c r="A6335" t="s">
        <v>12347</v>
      </c>
      <c r="B6335" t="s">
        <v>370</v>
      </c>
      <c r="C6335">
        <v>12</v>
      </c>
      <c r="D6335" t="str">
        <f>VLOOKUP(B6335,Products!$A:$E,2,FALSE)</f>
        <v>Product_181</v>
      </c>
      <c r="E6335" t="str">
        <f>VLOOKUP(B6335,Products!$A:$E,3,FALSE)</f>
        <v>Storage</v>
      </c>
    </row>
    <row r="6336" spans="1:5" x14ac:dyDescent="0.3">
      <c r="A6336" t="s">
        <v>12348</v>
      </c>
      <c r="B6336" t="s">
        <v>406</v>
      </c>
      <c r="C6336">
        <v>13</v>
      </c>
      <c r="D6336" t="str">
        <f>VLOOKUP(B6336,Products!$A:$E,2,FALSE)</f>
        <v>Product_199</v>
      </c>
      <c r="E6336" t="str">
        <f>VLOOKUP(B6336,Products!$A:$E,3,FALSE)</f>
        <v>Storage</v>
      </c>
    </row>
    <row r="6337" spans="1:5" x14ac:dyDescent="0.3">
      <c r="A6337" t="s">
        <v>12349</v>
      </c>
      <c r="B6337" t="s">
        <v>568</v>
      </c>
      <c r="C6337">
        <v>17</v>
      </c>
      <c r="D6337" t="str">
        <f>VLOOKUP(B6337,Products!$A:$E,2,FALSE)</f>
        <v>Product_280</v>
      </c>
      <c r="E6337" t="str">
        <f>VLOOKUP(B6337,Products!$A:$E,3,FALSE)</f>
        <v>Electronics</v>
      </c>
    </row>
    <row r="6338" spans="1:5" x14ac:dyDescent="0.3">
      <c r="A6338" t="s">
        <v>12350</v>
      </c>
      <c r="B6338" t="s">
        <v>752</v>
      </c>
      <c r="C6338">
        <v>2</v>
      </c>
      <c r="D6338" t="str">
        <f>VLOOKUP(B6338,Products!$A:$E,2,FALSE)</f>
        <v>Product_372</v>
      </c>
      <c r="E6338" t="str">
        <f>VLOOKUP(B6338,Products!$A:$E,3,FALSE)</f>
        <v>Networking</v>
      </c>
    </row>
    <row r="6339" spans="1:5" x14ac:dyDescent="0.3">
      <c r="A6339" t="s">
        <v>12351</v>
      </c>
      <c r="B6339" t="s">
        <v>942</v>
      </c>
      <c r="C6339">
        <v>40</v>
      </c>
      <c r="D6339" t="str">
        <f>VLOOKUP(B6339,Products!$A:$E,2,FALSE)</f>
        <v>Product_467</v>
      </c>
      <c r="E6339" t="str">
        <f>VLOOKUP(B6339,Products!$A:$E,3,FALSE)</f>
        <v>Accessories</v>
      </c>
    </row>
    <row r="6340" spans="1:5" x14ac:dyDescent="0.3">
      <c r="A6340" t="s">
        <v>12352</v>
      </c>
      <c r="B6340" t="s">
        <v>832</v>
      </c>
      <c r="C6340">
        <v>50</v>
      </c>
      <c r="D6340" t="str">
        <f>VLOOKUP(B6340,Products!$A:$E,2,FALSE)</f>
        <v>Product_412</v>
      </c>
      <c r="E6340" t="str">
        <f>VLOOKUP(B6340,Products!$A:$E,3,FALSE)</f>
        <v>Accessories</v>
      </c>
    </row>
    <row r="6341" spans="1:5" x14ac:dyDescent="0.3">
      <c r="A6341" t="s">
        <v>12353</v>
      </c>
      <c r="B6341" t="s">
        <v>98</v>
      </c>
      <c r="C6341">
        <v>5</v>
      </c>
      <c r="D6341" t="str">
        <f>VLOOKUP(B6341,Products!$A:$E,2,FALSE)</f>
        <v>Product_45</v>
      </c>
      <c r="E6341" t="str">
        <f>VLOOKUP(B6341,Products!$A:$E,3,FALSE)</f>
        <v>Accessories</v>
      </c>
    </row>
    <row r="6342" spans="1:5" x14ac:dyDescent="0.3">
      <c r="A6342" t="s">
        <v>12354</v>
      </c>
      <c r="B6342" t="s">
        <v>176</v>
      </c>
      <c r="C6342">
        <v>10</v>
      </c>
      <c r="D6342" t="str">
        <f>VLOOKUP(B6342,Products!$A:$E,2,FALSE)</f>
        <v>Product_84</v>
      </c>
      <c r="E6342" t="str">
        <f>VLOOKUP(B6342,Products!$A:$E,3,FALSE)</f>
        <v>Electronics</v>
      </c>
    </row>
    <row r="6343" spans="1:5" x14ac:dyDescent="0.3">
      <c r="A6343" t="s">
        <v>12355</v>
      </c>
      <c r="B6343" t="s">
        <v>360</v>
      </c>
      <c r="C6343">
        <v>11</v>
      </c>
      <c r="D6343" t="str">
        <f>VLOOKUP(B6343,Products!$A:$E,2,FALSE)</f>
        <v>Product_176</v>
      </c>
      <c r="E6343" t="str">
        <f>VLOOKUP(B6343,Products!$A:$E,3,FALSE)</f>
        <v>Electronics</v>
      </c>
    </row>
    <row r="6344" spans="1:5" x14ac:dyDescent="0.3">
      <c r="A6344" t="s">
        <v>12356</v>
      </c>
      <c r="B6344" t="s">
        <v>544</v>
      </c>
      <c r="C6344">
        <v>45</v>
      </c>
      <c r="D6344" t="str">
        <f>VLOOKUP(B6344,Products!$A:$E,2,FALSE)</f>
        <v>Product_268</v>
      </c>
      <c r="E6344" t="str">
        <f>VLOOKUP(B6344,Products!$A:$E,3,FALSE)</f>
        <v>Office Supplies</v>
      </c>
    </row>
    <row r="6345" spans="1:5" x14ac:dyDescent="0.3">
      <c r="A6345" t="s">
        <v>12357</v>
      </c>
      <c r="B6345" t="s">
        <v>556</v>
      </c>
      <c r="C6345">
        <v>13</v>
      </c>
      <c r="D6345" t="str">
        <f>VLOOKUP(B6345,Products!$A:$E,2,FALSE)</f>
        <v>Product_274</v>
      </c>
      <c r="E6345" t="str">
        <f>VLOOKUP(B6345,Products!$A:$E,3,FALSE)</f>
        <v>Accessories</v>
      </c>
    </row>
    <row r="6346" spans="1:5" x14ac:dyDescent="0.3">
      <c r="A6346" t="s">
        <v>12358</v>
      </c>
      <c r="B6346" t="s">
        <v>500</v>
      </c>
      <c r="C6346">
        <v>49</v>
      </c>
      <c r="D6346" t="str">
        <f>VLOOKUP(B6346,Products!$A:$E,2,FALSE)</f>
        <v>Product_246</v>
      </c>
      <c r="E6346" t="str">
        <f>VLOOKUP(B6346,Products!$A:$E,3,FALSE)</f>
        <v>Electronics</v>
      </c>
    </row>
    <row r="6347" spans="1:5" x14ac:dyDescent="0.3">
      <c r="A6347" t="s">
        <v>12359</v>
      </c>
      <c r="B6347" t="s">
        <v>656</v>
      </c>
      <c r="C6347">
        <v>23</v>
      </c>
      <c r="D6347" t="str">
        <f>VLOOKUP(B6347,Products!$A:$E,2,FALSE)</f>
        <v>Product_324</v>
      </c>
      <c r="E6347" t="str">
        <f>VLOOKUP(B6347,Products!$A:$E,3,FALSE)</f>
        <v>Accessories</v>
      </c>
    </row>
    <row r="6348" spans="1:5" x14ac:dyDescent="0.3">
      <c r="A6348" t="s">
        <v>12360</v>
      </c>
      <c r="B6348" t="s">
        <v>40</v>
      </c>
      <c r="C6348">
        <v>22</v>
      </c>
      <c r="D6348" t="str">
        <f>VLOOKUP(B6348,Products!$A:$E,2,FALSE)</f>
        <v>Product_16</v>
      </c>
      <c r="E6348" t="str">
        <f>VLOOKUP(B6348,Products!$A:$E,3,FALSE)</f>
        <v>Office Supplies</v>
      </c>
    </row>
    <row r="6349" spans="1:5" x14ac:dyDescent="0.3">
      <c r="A6349" t="s">
        <v>12361</v>
      </c>
      <c r="B6349" t="s">
        <v>882</v>
      </c>
      <c r="C6349">
        <v>25</v>
      </c>
      <c r="D6349" t="str">
        <f>VLOOKUP(B6349,Products!$A:$E,2,FALSE)</f>
        <v>Product_437</v>
      </c>
      <c r="E6349" t="str">
        <f>VLOOKUP(B6349,Products!$A:$E,3,FALSE)</f>
        <v>Accessories</v>
      </c>
    </row>
    <row r="6350" spans="1:5" x14ac:dyDescent="0.3">
      <c r="A6350" t="s">
        <v>12362</v>
      </c>
      <c r="B6350" t="s">
        <v>820</v>
      </c>
      <c r="C6350">
        <v>49</v>
      </c>
      <c r="D6350" t="str">
        <f>VLOOKUP(B6350,Products!$A:$E,2,FALSE)</f>
        <v>Product_406</v>
      </c>
      <c r="E6350" t="str">
        <f>VLOOKUP(B6350,Products!$A:$E,3,FALSE)</f>
        <v>Office Supplies</v>
      </c>
    </row>
    <row r="6351" spans="1:5" x14ac:dyDescent="0.3">
      <c r="A6351" t="s">
        <v>12363</v>
      </c>
      <c r="B6351" t="s">
        <v>452</v>
      </c>
      <c r="C6351">
        <v>7</v>
      </c>
      <c r="D6351" t="str">
        <f>VLOOKUP(B6351,Products!$A:$E,2,FALSE)</f>
        <v>Product_222</v>
      </c>
      <c r="E6351" t="str">
        <f>VLOOKUP(B6351,Products!$A:$E,3,FALSE)</f>
        <v>Networking</v>
      </c>
    </row>
    <row r="6352" spans="1:5" x14ac:dyDescent="0.3">
      <c r="A6352" t="s">
        <v>12364</v>
      </c>
      <c r="B6352" t="s">
        <v>836</v>
      </c>
      <c r="C6352">
        <v>33</v>
      </c>
      <c r="D6352" t="str">
        <f>VLOOKUP(B6352,Products!$A:$E,2,FALSE)</f>
        <v>Product_414</v>
      </c>
      <c r="E6352" t="str">
        <f>VLOOKUP(B6352,Products!$A:$E,3,FALSE)</f>
        <v>Office Supplies</v>
      </c>
    </row>
    <row r="6353" spans="1:5" x14ac:dyDescent="0.3">
      <c r="A6353" t="s">
        <v>12365</v>
      </c>
      <c r="B6353" t="s">
        <v>804</v>
      </c>
      <c r="C6353">
        <v>26</v>
      </c>
      <c r="D6353" t="str">
        <f>VLOOKUP(B6353,Products!$A:$E,2,FALSE)</f>
        <v>Product_398</v>
      </c>
      <c r="E6353" t="str">
        <f>VLOOKUP(B6353,Products!$A:$E,3,FALSE)</f>
        <v>Networking</v>
      </c>
    </row>
    <row r="6354" spans="1:5" x14ac:dyDescent="0.3">
      <c r="A6354" t="s">
        <v>12366</v>
      </c>
      <c r="B6354" t="s">
        <v>226</v>
      </c>
      <c r="C6354">
        <v>11</v>
      </c>
      <c r="D6354" t="str">
        <f>VLOOKUP(B6354,Products!$A:$E,2,FALSE)</f>
        <v>Product_109</v>
      </c>
      <c r="E6354" t="str">
        <f>VLOOKUP(B6354,Products!$A:$E,3,FALSE)</f>
        <v>Storage</v>
      </c>
    </row>
    <row r="6355" spans="1:5" x14ac:dyDescent="0.3">
      <c r="A6355" t="s">
        <v>12367</v>
      </c>
      <c r="B6355" t="s">
        <v>204</v>
      </c>
      <c r="C6355">
        <v>40</v>
      </c>
      <c r="D6355" t="str">
        <f>VLOOKUP(B6355,Products!$A:$E,2,FALSE)</f>
        <v>Product_98</v>
      </c>
      <c r="E6355" t="str">
        <f>VLOOKUP(B6355,Products!$A:$E,3,FALSE)</f>
        <v>Networking</v>
      </c>
    </row>
    <row r="6356" spans="1:5" x14ac:dyDescent="0.3">
      <c r="A6356" t="s">
        <v>12368</v>
      </c>
      <c r="B6356" t="s">
        <v>662</v>
      </c>
      <c r="C6356">
        <v>31</v>
      </c>
      <c r="D6356" t="str">
        <f>VLOOKUP(B6356,Products!$A:$E,2,FALSE)</f>
        <v>Product_327</v>
      </c>
      <c r="E6356" t="str">
        <f>VLOOKUP(B6356,Products!$A:$E,3,FALSE)</f>
        <v>Networking</v>
      </c>
    </row>
    <row r="6357" spans="1:5" x14ac:dyDescent="0.3">
      <c r="A6357" t="s">
        <v>12369</v>
      </c>
      <c r="B6357" t="s">
        <v>802</v>
      </c>
      <c r="C6357">
        <v>38</v>
      </c>
      <c r="D6357" t="str">
        <f>VLOOKUP(B6357,Products!$A:$E,2,FALSE)</f>
        <v>Product_397</v>
      </c>
      <c r="E6357" t="str">
        <f>VLOOKUP(B6357,Products!$A:$E,3,FALSE)</f>
        <v>Office Supplies</v>
      </c>
    </row>
    <row r="6358" spans="1:5" x14ac:dyDescent="0.3">
      <c r="A6358" t="s">
        <v>12370</v>
      </c>
      <c r="B6358" t="s">
        <v>774</v>
      </c>
      <c r="C6358">
        <v>45</v>
      </c>
      <c r="D6358" t="str">
        <f>VLOOKUP(B6358,Products!$A:$E,2,FALSE)</f>
        <v>Product_383</v>
      </c>
      <c r="E6358" t="str">
        <f>VLOOKUP(B6358,Products!$A:$E,3,FALSE)</f>
        <v>Electronics</v>
      </c>
    </row>
    <row r="6359" spans="1:5" x14ac:dyDescent="0.3">
      <c r="A6359" t="s">
        <v>12371</v>
      </c>
      <c r="B6359" t="s">
        <v>78</v>
      </c>
      <c r="C6359">
        <v>48</v>
      </c>
      <c r="D6359" t="str">
        <f>VLOOKUP(B6359,Products!$A:$E,2,FALSE)</f>
        <v>Product_35</v>
      </c>
      <c r="E6359" t="str">
        <f>VLOOKUP(B6359,Products!$A:$E,3,FALSE)</f>
        <v>Electronics</v>
      </c>
    </row>
    <row r="6360" spans="1:5" x14ac:dyDescent="0.3">
      <c r="A6360" t="s">
        <v>12372</v>
      </c>
      <c r="B6360" t="s">
        <v>242</v>
      </c>
      <c r="C6360">
        <v>43</v>
      </c>
      <c r="D6360" t="str">
        <f>VLOOKUP(B6360,Products!$A:$E,2,FALSE)</f>
        <v>Product_117</v>
      </c>
      <c r="E6360" t="str">
        <f>VLOOKUP(B6360,Products!$A:$E,3,FALSE)</f>
        <v>Storage</v>
      </c>
    </row>
    <row r="6361" spans="1:5" x14ac:dyDescent="0.3">
      <c r="A6361" t="s">
        <v>12373</v>
      </c>
      <c r="B6361" t="s">
        <v>966</v>
      </c>
      <c r="C6361">
        <v>50</v>
      </c>
      <c r="D6361" t="str">
        <f>VLOOKUP(B6361,Products!$A:$E,2,FALSE)</f>
        <v>Product_479</v>
      </c>
      <c r="E6361" t="str">
        <f>VLOOKUP(B6361,Products!$A:$E,3,FALSE)</f>
        <v>Office Supplies</v>
      </c>
    </row>
    <row r="6362" spans="1:5" x14ac:dyDescent="0.3">
      <c r="A6362" t="s">
        <v>12374</v>
      </c>
      <c r="B6362" t="s">
        <v>516</v>
      </c>
      <c r="C6362">
        <v>36</v>
      </c>
      <c r="D6362" t="str">
        <f>VLOOKUP(B6362,Products!$A:$E,2,FALSE)</f>
        <v>Product_254</v>
      </c>
      <c r="E6362" t="str">
        <f>VLOOKUP(B6362,Products!$A:$E,3,FALSE)</f>
        <v>Office Supplies</v>
      </c>
    </row>
    <row r="6363" spans="1:5" x14ac:dyDescent="0.3">
      <c r="A6363" t="s">
        <v>12375</v>
      </c>
      <c r="B6363" t="s">
        <v>798</v>
      </c>
      <c r="C6363">
        <v>30</v>
      </c>
      <c r="D6363" t="str">
        <f>VLOOKUP(B6363,Products!$A:$E,2,FALSE)</f>
        <v>Product_395</v>
      </c>
      <c r="E6363" t="str">
        <f>VLOOKUP(B6363,Products!$A:$E,3,FALSE)</f>
        <v>Accessories</v>
      </c>
    </row>
    <row r="6364" spans="1:5" x14ac:dyDescent="0.3">
      <c r="A6364" t="s">
        <v>12376</v>
      </c>
      <c r="B6364" t="s">
        <v>406</v>
      </c>
      <c r="C6364">
        <v>21</v>
      </c>
      <c r="D6364" t="str">
        <f>VLOOKUP(B6364,Products!$A:$E,2,FALSE)</f>
        <v>Product_199</v>
      </c>
      <c r="E6364" t="str">
        <f>VLOOKUP(B6364,Products!$A:$E,3,FALSE)</f>
        <v>Storage</v>
      </c>
    </row>
    <row r="6365" spans="1:5" x14ac:dyDescent="0.3">
      <c r="A6365" t="s">
        <v>12377</v>
      </c>
      <c r="B6365" t="s">
        <v>666</v>
      </c>
      <c r="C6365">
        <v>24</v>
      </c>
      <c r="D6365" t="str">
        <f>VLOOKUP(B6365,Products!$A:$E,2,FALSE)</f>
        <v>Product_329</v>
      </c>
      <c r="E6365" t="str">
        <f>VLOOKUP(B6365,Products!$A:$E,3,FALSE)</f>
        <v>Office Supplies</v>
      </c>
    </row>
    <row r="6366" spans="1:5" x14ac:dyDescent="0.3">
      <c r="A6366" t="s">
        <v>12378</v>
      </c>
      <c r="B6366" t="s">
        <v>212</v>
      </c>
      <c r="C6366">
        <v>3</v>
      </c>
      <c r="D6366" t="str">
        <f>VLOOKUP(B6366,Products!$A:$E,2,FALSE)</f>
        <v>Product_102</v>
      </c>
      <c r="E6366" t="str">
        <f>VLOOKUP(B6366,Products!$A:$E,3,FALSE)</f>
        <v>Storage</v>
      </c>
    </row>
    <row r="6367" spans="1:5" x14ac:dyDescent="0.3">
      <c r="A6367" t="s">
        <v>12379</v>
      </c>
      <c r="B6367" t="s">
        <v>46</v>
      </c>
      <c r="C6367">
        <v>29</v>
      </c>
      <c r="D6367" t="str">
        <f>VLOOKUP(B6367,Products!$A:$E,2,FALSE)</f>
        <v>Product_19</v>
      </c>
      <c r="E6367" t="str">
        <f>VLOOKUP(B6367,Products!$A:$E,3,FALSE)</f>
        <v>Networking</v>
      </c>
    </row>
    <row r="6368" spans="1:5" x14ac:dyDescent="0.3">
      <c r="A6368" t="s">
        <v>12380</v>
      </c>
      <c r="B6368" t="s">
        <v>202</v>
      </c>
      <c r="C6368">
        <v>1</v>
      </c>
      <c r="D6368" t="str">
        <f>VLOOKUP(B6368,Products!$A:$E,2,FALSE)</f>
        <v>Product_97</v>
      </c>
      <c r="E6368" t="str">
        <f>VLOOKUP(B6368,Products!$A:$E,3,FALSE)</f>
        <v>Accessories</v>
      </c>
    </row>
    <row r="6369" spans="1:5" x14ac:dyDescent="0.3">
      <c r="A6369" t="s">
        <v>12381</v>
      </c>
      <c r="B6369" t="s">
        <v>594</v>
      </c>
      <c r="C6369">
        <v>23</v>
      </c>
      <c r="D6369" t="str">
        <f>VLOOKUP(B6369,Products!$A:$E,2,FALSE)</f>
        <v>Product_293</v>
      </c>
      <c r="E6369" t="str">
        <f>VLOOKUP(B6369,Products!$A:$E,3,FALSE)</f>
        <v>Networking</v>
      </c>
    </row>
    <row r="6370" spans="1:5" x14ac:dyDescent="0.3">
      <c r="A6370" t="s">
        <v>12382</v>
      </c>
      <c r="B6370" t="s">
        <v>26</v>
      </c>
      <c r="C6370">
        <v>43</v>
      </c>
      <c r="D6370" t="str">
        <f>VLOOKUP(B6370,Products!$A:$E,2,FALSE)</f>
        <v>Product_9</v>
      </c>
      <c r="E6370" t="str">
        <f>VLOOKUP(B6370,Products!$A:$E,3,FALSE)</f>
        <v>Storage</v>
      </c>
    </row>
    <row r="6371" spans="1:5" x14ac:dyDescent="0.3">
      <c r="A6371" t="s">
        <v>12383</v>
      </c>
      <c r="B6371" t="s">
        <v>966</v>
      </c>
      <c r="C6371">
        <v>24</v>
      </c>
      <c r="D6371" t="str">
        <f>VLOOKUP(B6371,Products!$A:$E,2,FALSE)</f>
        <v>Product_479</v>
      </c>
      <c r="E6371" t="str">
        <f>VLOOKUP(B6371,Products!$A:$E,3,FALSE)</f>
        <v>Office Supplies</v>
      </c>
    </row>
    <row r="6372" spans="1:5" x14ac:dyDescent="0.3">
      <c r="A6372" t="s">
        <v>12384</v>
      </c>
      <c r="B6372" t="s">
        <v>674</v>
      </c>
      <c r="C6372">
        <v>22</v>
      </c>
      <c r="D6372" t="str">
        <f>VLOOKUP(B6372,Products!$A:$E,2,FALSE)</f>
        <v>Product_333</v>
      </c>
      <c r="E6372" t="str">
        <f>VLOOKUP(B6372,Products!$A:$E,3,FALSE)</f>
        <v>Storage</v>
      </c>
    </row>
    <row r="6373" spans="1:5" x14ac:dyDescent="0.3">
      <c r="A6373" t="s">
        <v>12385</v>
      </c>
      <c r="B6373" t="s">
        <v>434</v>
      </c>
      <c r="C6373">
        <v>48</v>
      </c>
      <c r="D6373" t="str">
        <f>VLOOKUP(B6373,Products!$A:$E,2,FALSE)</f>
        <v>Product_213</v>
      </c>
      <c r="E6373" t="str">
        <f>VLOOKUP(B6373,Products!$A:$E,3,FALSE)</f>
        <v>Accessories</v>
      </c>
    </row>
    <row r="6374" spans="1:5" x14ac:dyDescent="0.3">
      <c r="A6374" t="s">
        <v>12386</v>
      </c>
      <c r="B6374" t="s">
        <v>866</v>
      </c>
      <c r="C6374">
        <v>1</v>
      </c>
      <c r="D6374" t="str">
        <f>VLOOKUP(B6374,Products!$A:$E,2,FALSE)</f>
        <v>Product_429</v>
      </c>
      <c r="E6374" t="str">
        <f>VLOOKUP(B6374,Products!$A:$E,3,FALSE)</f>
        <v>Office Supplies</v>
      </c>
    </row>
    <row r="6375" spans="1:5" x14ac:dyDescent="0.3">
      <c r="A6375" t="s">
        <v>12387</v>
      </c>
      <c r="B6375" t="s">
        <v>1002</v>
      </c>
      <c r="C6375">
        <v>21</v>
      </c>
      <c r="D6375" t="str">
        <f>VLOOKUP(B6375,Products!$A:$E,2,FALSE)</f>
        <v>Product_497</v>
      </c>
      <c r="E6375" t="str">
        <f>VLOOKUP(B6375,Products!$A:$E,3,FALSE)</f>
        <v>Office Supplies</v>
      </c>
    </row>
    <row r="6376" spans="1:5" x14ac:dyDescent="0.3">
      <c r="A6376" t="s">
        <v>12388</v>
      </c>
      <c r="B6376" t="s">
        <v>892</v>
      </c>
      <c r="C6376">
        <v>30</v>
      </c>
      <c r="D6376" t="str">
        <f>VLOOKUP(B6376,Products!$A:$E,2,FALSE)</f>
        <v>Product_442</v>
      </c>
      <c r="E6376" t="str">
        <f>VLOOKUP(B6376,Products!$A:$E,3,FALSE)</f>
        <v>Networking</v>
      </c>
    </row>
    <row r="6377" spans="1:5" x14ac:dyDescent="0.3">
      <c r="A6377" t="s">
        <v>12389</v>
      </c>
      <c r="B6377" t="s">
        <v>96</v>
      </c>
      <c r="C6377">
        <v>9</v>
      </c>
      <c r="D6377" t="str">
        <f>VLOOKUP(B6377,Products!$A:$E,2,FALSE)</f>
        <v>Product_44</v>
      </c>
      <c r="E6377" t="str">
        <f>VLOOKUP(B6377,Products!$A:$E,3,FALSE)</f>
        <v>Storage</v>
      </c>
    </row>
    <row r="6378" spans="1:5" x14ac:dyDescent="0.3">
      <c r="A6378" t="s">
        <v>12390</v>
      </c>
      <c r="B6378" t="s">
        <v>872</v>
      </c>
      <c r="C6378">
        <v>7</v>
      </c>
      <c r="D6378" t="str">
        <f>VLOOKUP(B6378,Products!$A:$E,2,FALSE)</f>
        <v>Product_432</v>
      </c>
      <c r="E6378" t="str">
        <f>VLOOKUP(B6378,Products!$A:$E,3,FALSE)</f>
        <v>Office Supplies</v>
      </c>
    </row>
    <row r="6379" spans="1:5" x14ac:dyDescent="0.3">
      <c r="A6379" t="s">
        <v>12391</v>
      </c>
      <c r="B6379" t="s">
        <v>618</v>
      </c>
      <c r="C6379">
        <v>34</v>
      </c>
      <c r="D6379" t="str">
        <f>VLOOKUP(B6379,Products!$A:$E,2,FALSE)</f>
        <v>Product_305</v>
      </c>
      <c r="E6379" t="str">
        <f>VLOOKUP(B6379,Products!$A:$E,3,FALSE)</f>
        <v>Accessories</v>
      </c>
    </row>
    <row r="6380" spans="1:5" x14ac:dyDescent="0.3">
      <c r="A6380" t="s">
        <v>12392</v>
      </c>
      <c r="B6380" t="s">
        <v>584</v>
      </c>
      <c r="C6380">
        <v>50</v>
      </c>
      <c r="D6380" t="str">
        <f>VLOOKUP(B6380,Products!$A:$E,2,FALSE)</f>
        <v>Product_288</v>
      </c>
      <c r="E6380" t="str">
        <f>VLOOKUP(B6380,Products!$A:$E,3,FALSE)</f>
        <v>Networking</v>
      </c>
    </row>
    <row r="6381" spans="1:5" x14ac:dyDescent="0.3">
      <c r="A6381" t="s">
        <v>12393</v>
      </c>
      <c r="B6381" t="s">
        <v>128</v>
      </c>
      <c r="C6381">
        <v>38</v>
      </c>
      <c r="D6381" t="str">
        <f>VLOOKUP(B6381,Products!$A:$E,2,FALSE)</f>
        <v>Product_60</v>
      </c>
      <c r="E6381" t="str">
        <f>VLOOKUP(B6381,Products!$A:$E,3,FALSE)</f>
        <v>Electronics</v>
      </c>
    </row>
    <row r="6382" spans="1:5" x14ac:dyDescent="0.3">
      <c r="A6382" t="s">
        <v>12394</v>
      </c>
      <c r="B6382" t="s">
        <v>148</v>
      </c>
      <c r="C6382">
        <v>31</v>
      </c>
      <c r="D6382" t="str">
        <f>VLOOKUP(B6382,Products!$A:$E,2,FALSE)</f>
        <v>Product_70</v>
      </c>
      <c r="E6382" t="str">
        <f>VLOOKUP(B6382,Products!$A:$E,3,FALSE)</f>
        <v>Electronics</v>
      </c>
    </row>
    <row r="6383" spans="1:5" x14ac:dyDescent="0.3">
      <c r="A6383" t="s">
        <v>12395</v>
      </c>
      <c r="B6383" t="s">
        <v>516</v>
      </c>
      <c r="C6383">
        <v>36</v>
      </c>
      <c r="D6383" t="str">
        <f>VLOOKUP(B6383,Products!$A:$E,2,FALSE)</f>
        <v>Product_254</v>
      </c>
      <c r="E6383" t="str">
        <f>VLOOKUP(B6383,Products!$A:$E,3,FALSE)</f>
        <v>Office Supplies</v>
      </c>
    </row>
    <row r="6384" spans="1:5" x14ac:dyDescent="0.3">
      <c r="A6384" t="s">
        <v>12396</v>
      </c>
      <c r="B6384" t="s">
        <v>574</v>
      </c>
      <c r="C6384">
        <v>47</v>
      </c>
      <c r="D6384" t="str">
        <f>VLOOKUP(B6384,Products!$A:$E,2,FALSE)</f>
        <v>Product_283</v>
      </c>
      <c r="E6384" t="str">
        <f>VLOOKUP(B6384,Products!$A:$E,3,FALSE)</f>
        <v>Networking</v>
      </c>
    </row>
    <row r="6385" spans="1:5" x14ac:dyDescent="0.3">
      <c r="A6385" t="s">
        <v>12397</v>
      </c>
      <c r="B6385" t="s">
        <v>788</v>
      </c>
      <c r="C6385">
        <v>22</v>
      </c>
      <c r="D6385" t="str">
        <f>VLOOKUP(B6385,Products!$A:$E,2,FALSE)</f>
        <v>Product_390</v>
      </c>
      <c r="E6385" t="str">
        <f>VLOOKUP(B6385,Products!$A:$E,3,FALSE)</f>
        <v>Storage</v>
      </c>
    </row>
    <row r="6386" spans="1:5" x14ac:dyDescent="0.3">
      <c r="A6386" t="s">
        <v>12398</v>
      </c>
      <c r="B6386" t="s">
        <v>132</v>
      </c>
      <c r="C6386">
        <v>40</v>
      </c>
      <c r="D6386" t="str">
        <f>VLOOKUP(B6386,Products!$A:$E,2,FALSE)</f>
        <v>Product_62</v>
      </c>
      <c r="E6386" t="str">
        <f>VLOOKUP(B6386,Products!$A:$E,3,FALSE)</f>
        <v>Accessories</v>
      </c>
    </row>
    <row r="6387" spans="1:5" x14ac:dyDescent="0.3">
      <c r="A6387" t="s">
        <v>12399</v>
      </c>
      <c r="B6387" t="s">
        <v>840</v>
      </c>
      <c r="C6387">
        <v>3</v>
      </c>
      <c r="D6387" t="str">
        <f>VLOOKUP(B6387,Products!$A:$E,2,FALSE)</f>
        <v>Product_416</v>
      </c>
      <c r="E6387" t="str">
        <f>VLOOKUP(B6387,Products!$A:$E,3,FALSE)</f>
        <v>Accessories</v>
      </c>
    </row>
    <row r="6388" spans="1:5" x14ac:dyDescent="0.3">
      <c r="A6388" t="s">
        <v>12400</v>
      </c>
      <c r="B6388" t="s">
        <v>814</v>
      </c>
      <c r="C6388">
        <v>41</v>
      </c>
      <c r="D6388" t="str">
        <f>VLOOKUP(B6388,Products!$A:$E,2,FALSE)</f>
        <v>Product_403</v>
      </c>
      <c r="E6388" t="str">
        <f>VLOOKUP(B6388,Products!$A:$E,3,FALSE)</f>
        <v>Networking</v>
      </c>
    </row>
    <row r="6389" spans="1:5" x14ac:dyDescent="0.3">
      <c r="A6389" t="s">
        <v>12401</v>
      </c>
      <c r="B6389" t="s">
        <v>334</v>
      </c>
      <c r="C6389">
        <v>16</v>
      </c>
      <c r="D6389" t="str">
        <f>VLOOKUP(B6389,Products!$A:$E,2,FALSE)</f>
        <v>Product_163</v>
      </c>
      <c r="E6389" t="str">
        <f>VLOOKUP(B6389,Products!$A:$E,3,FALSE)</f>
        <v>Accessories</v>
      </c>
    </row>
    <row r="6390" spans="1:5" x14ac:dyDescent="0.3">
      <c r="A6390" t="s">
        <v>12402</v>
      </c>
      <c r="B6390" t="s">
        <v>328</v>
      </c>
      <c r="C6390">
        <v>35</v>
      </c>
      <c r="D6390" t="str">
        <f>VLOOKUP(B6390,Products!$A:$E,2,FALSE)</f>
        <v>Product_160</v>
      </c>
      <c r="E6390" t="str">
        <f>VLOOKUP(B6390,Products!$A:$E,3,FALSE)</f>
        <v>Office Supplies</v>
      </c>
    </row>
    <row r="6391" spans="1:5" x14ac:dyDescent="0.3">
      <c r="A6391" t="s">
        <v>12403</v>
      </c>
      <c r="B6391" t="s">
        <v>850</v>
      </c>
      <c r="C6391">
        <v>28</v>
      </c>
      <c r="D6391" t="str">
        <f>VLOOKUP(B6391,Products!$A:$E,2,FALSE)</f>
        <v>Product_421</v>
      </c>
      <c r="E6391" t="str">
        <f>VLOOKUP(B6391,Products!$A:$E,3,FALSE)</f>
        <v>Accessories</v>
      </c>
    </row>
    <row r="6392" spans="1:5" x14ac:dyDescent="0.3">
      <c r="A6392" t="s">
        <v>12404</v>
      </c>
      <c r="B6392" t="s">
        <v>310</v>
      </c>
      <c r="C6392">
        <v>3</v>
      </c>
      <c r="D6392" t="str">
        <f>VLOOKUP(B6392,Products!$A:$E,2,FALSE)</f>
        <v>Product_151</v>
      </c>
      <c r="E6392" t="str">
        <f>VLOOKUP(B6392,Products!$A:$E,3,FALSE)</f>
        <v>Storage</v>
      </c>
    </row>
    <row r="6393" spans="1:5" x14ac:dyDescent="0.3">
      <c r="A6393" t="s">
        <v>12405</v>
      </c>
      <c r="B6393" t="s">
        <v>888</v>
      </c>
      <c r="C6393">
        <v>7</v>
      </c>
      <c r="D6393" t="str">
        <f>VLOOKUP(B6393,Products!$A:$E,2,FALSE)</f>
        <v>Product_440</v>
      </c>
      <c r="E6393" t="str">
        <f>VLOOKUP(B6393,Products!$A:$E,3,FALSE)</f>
        <v>Accessories</v>
      </c>
    </row>
    <row r="6394" spans="1:5" x14ac:dyDescent="0.3">
      <c r="A6394" t="s">
        <v>12406</v>
      </c>
      <c r="B6394" t="s">
        <v>66</v>
      </c>
      <c r="C6394">
        <v>20</v>
      </c>
      <c r="D6394" t="str">
        <f>VLOOKUP(B6394,Products!$A:$E,2,FALSE)</f>
        <v>Product_29</v>
      </c>
      <c r="E6394" t="str">
        <f>VLOOKUP(B6394,Products!$A:$E,3,FALSE)</f>
        <v>Electronics</v>
      </c>
    </row>
    <row r="6395" spans="1:5" x14ac:dyDescent="0.3">
      <c r="A6395" t="s">
        <v>12407</v>
      </c>
      <c r="B6395" t="s">
        <v>690</v>
      </c>
      <c r="C6395">
        <v>9</v>
      </c>
      <c r="D6395" t="str">
        <f>VLOOKUP(B6395,Products!$A:$E,2,FALSE)</f>
        <v>Product_341</v>
      </c>
      <c r="E6395" t="str">
        <f>VLOOKUP(B6395,Products!$A:$E,3,FALSE)</f>
        <v>Storage</v>
      </c>
    </row>
    <row r="6396" spans="1:5" x14ac:dyDescent="0.3">
      <c r="A6396" t="s">
        <v>12408</v>
      </c>
      <c r="B6396" t="s">
        <v>722</v>
      </c>
      <c r="C6396">
        <v>17</v>
      </c>
      <c r="D6396" t="str">
        <f>VLOOKUP(B6396,Products!$A:$E,2,FALSE)</f>
        <v>Product_357</v>
      </c>
      <c r="E6396" t="str">
        <f>VLOOKUP(B6396,Products!$A:$E,3,FALSE)</f>
        <v>Accessories</v>
      </c>
    </row>
    <row r="6397" spans="1:5" x14ac:dyDescent="0.3">
      <c r="A6397" t="s">
        <v>12409</v>
      </c>
      <c r="B6397" t="s">
        <v>844</v>
      </c>
      <c r="C6397">
        <v>25</v>
      </c>
      <c r="D6397" t="str">
        <f>VLOOKUP(B6397,Products!$A:$E,2,FALSE)</f>
        <v>Product_418</v>
      </c>
      <c r="E6397" t="str">
        <f>VLOOKUP(B6397,Products!$A:$E,3,FALSE)</f>
        <v>Office Supplies</v>
      </c>
    </row>
    <row r="6398" spans="1:5" x14ac:dyDescent="0.3">
      <c r="A6398" t="s">
        <v>12410</v>
      </c>
      <c r="B6398" t="s">
        <v>166</v>
      </c>
      <c r="C6398">
        <v>18</v>
      </c>
      <c r="D6398" t="str">
        <f>VLOOKUP(B6398,Products!$A:$E,2,FALSE)</f>
        <v>Product_79</v>
      </c>
      <c r="E6398" t="str">
        <f>VLOOKUP(B6398,Products!$A:$E,3,FALSE)</f>
        <v>Storage</v>
      </c>
    </row>
    <row r="6399" spans="1:5" x14ac:dyDescent="0.3">
      <c r="A6399" t="s">
        <v>12411</v>
      </c>
      <c r="B6399" t="s">
        <v>358</v>
      </c>
      <c r="C6399">
        <v>27</v>
      </c>
      <c r="D6399" t="str">
        <f>VLOOKUP(B6399,Products!$A:$E,2,FALSE)</f>
        <v>Product_175</v>
      </c>
      <c r="E6399" t="str">
        <f>VLOOKUP(B6399,Products!$A:$E,3,FALSE)</f>
        <v>Storage</v>
      </c>
    </row>
    <row r="6400" spans="1:5" x14ac:dyDescent="0.3">
      <c r="A6400" t="s">
        <v>12412</v>
      </c>
      <c r="B6400" t="s">
        <v>86</v>
      </c>
      <c r="C6400">
        <v>34</v>
      </c>
      <c r="D6400" t="str">
        <f>VLOOKUP(B6400,Products!$A:$E,2,FALSE)</f>
        <v>Product_39</v>
      </c>
      <c r="E6400" t="str">
        <f>VLOOKUP(B6400,Products!$A:$E,3,FALSE)</f>
        <v>Networking</v>
      </c>
    </row>
    <row r="6401" spans="1:5" x14ac:dyDescent="0.3">
      <c r="A6401" t="s">
        <v>12413</v>
      </c>
      <c r="B6401" t="s">
        <v>382</v>
      </c>
      <c r="C6401">
        <v>5</v>
      </c>
      <c r="D6401" t="str">
        <f>VLOOKUP(B6401,Products!$A:$E,2,FALSE)</f>
        <v>Product_187</v>
      </c>
      <c r="E6401" t="str">
        <f>VLOOKUP(B6401,Products!$A:$E,3,FALSE)</f>
        <v>Electronics</v>
      </c>
    </row>
    <row r="6402" spans="1:5" x14ac:dyDescent="0.3">
      <c r="A6402" t="s">
        <v>12414</v>
      </c>
      <c r="B6402" t="s">
        <v>520</v>
      </c>
      <c r="C6402">
        <v>20</v>
      </c>
      <c r="D6402" t="str">
        <f>VLOOKUP(B6402,Products!$A:$E,2,FALSE)</f>
        <v>Product_256</v>
      </c>
      <c r="E6402" t="str">
        <f>VLOOKUP(B6402,Products!$A:$E,3,FALSE)</f>
        <v>Office Supplies</v>
      </c>
    </row>
    <row r="6403" spans="1:5" x14ac:dyDescent="0.3">
      <c r="A6403" t="s">
        <v>12415</v>
      </c>
      <c r="B6403" t="s">
        <v>766</v>
      </c>
      <c r="C6403">
        <v>20</v>
      </c>
      <c r="D6403" t="str">
        <f>VLOOKUP(B6403,Products!$A:$E,2,FALSE)</f>
        <v>Product_379</v>
      </c>
      <c r="E6403" t="str">
        <f>VLOOKUP(B6403,Products!$A:$E,3,FALSE)</f>
        <v>Office Supplies</v>
      </c>
    </row>
    <row r="6404" spans="1:5" x14ac:dyDescent="0.3">
      <c r="A6404" t="s">
        <v>12416</v>
      </c>
      <c r="B6404" t="s">
        <v>426</v>
      </c>
      <c r="C6404">
        <v>2</v>
      </c>
      <c r="D6404" t="str">
        <f>VLOOKUP(B6404,Products!$A:$E,2,FALSE)</f>
        <v>Product_209</v>
      </c>
      <c r="E6404" t="str">
        <f>VLOOKUP(B6404,Products!$A:$E,3,FALSE)</f>
        <v>Networking</v>
      </c>
    </row>
    <row r="6405" spans="1:5" x14ac:dyDescent="0.3">
      <c r="A6405" t="s">
        <v>12417</v>
      </c>
      <c r="B6405" t="s">
        <v>36</v>
      </c>
      <c r="C6405">
        <v>19</v>
      </c>
      <c r="D6405" t="str">
        <f>VLOOKUP(B6405,Products!$A:$E,2,FALSE)</f>
        <v>Product_14</v>
      </c>
      <c r="E6405" t="str">
        <f>VLOOKUP(B6405,Products!$A:$E,3,FALSE)</f>
        <v>Accessories</v>
      </c>
    </row>
    <row r="6406" spans="1:5" x14ac:dyDescent="0.3">
      <c r="A6406" t="s">
        <v>12418</v>
      </c>
      <c r="B6406" t="s">
        <v>344</v>
      </c>
      <c r="C6406">
        <v>12</v>
      </c>
      <c r="D6406" t="str">
        <f>VLOOKUP(B6406,Products!$A:$E,2,FALSE)</f>
        <v>Product_168</v>
      </c>
      <c r="E6406" t="str">
        <f>VLOOKUP(B6406,Products!$A:$E,3,FALSE)</f>
        <v>Electronics</v>
      </c>
    </row>
    <row r="6407" spans="1:5" x14ac:dyDescent="0.3">
      <c r="A6407" t="s">
        <v>12419</v>
      </c>
      <c r="B6407" t="s">
        <v>738</v>
      </c>
      <c r="C6407">
        <v>6</v>
      </c>
      <c r="D6407" t="str">
        <f>VLOOKUP(B6407,Products!$A:$E,2,FALSE)</f>
        <v>Product_365</v>
      </c>
      <c r="E6407" t="str">
        <f>VLOOKUP(B6407,Products!$A:$E,3,FALSE)</f>
        <v>Storage</v>
      </c>
    </row>
    <row r="6408" spans="1:5" x14ac:dyDescent="0.3">
      <c r="A6408" t="s">
        <v>12420</v>
      </c>
      <c r="B6408" t="s">
        <v>900</v>
      </c>
      <c r="C6408">
        <v>9</v>
      </c>
      <c r="D6408" t="str">
        <f>VLOOKUP(B6408,Products!$A:$E,2,FALSE)</f>
        <v>Product_446</v>
      </c>
      <c r="E6408" t="str">
        <f>VLOOKUP(B6408,Products!$A:$E,3,FALSE)</f>
        <v>Accessories</v>
      </c>
    </row>
    <row r="6409" spans="1:5" x14ac:dyDescent="0.3">
      <c r="A6409" t="s">
        <v>12421</v>
      </c>
      <c r="B6409" t="s">
        <v>962</v>
      </c>
      <c r="C6409">
        <v>34</v>
      </c>
      <c r="D6409" t="str">
        <f>VLOOKUP(B6409,Products!$A:$E,2,FALSE)</f>
        <v>Product_477</v>
      </c>
      <c r="E6409" t="str">
        <f>VLOOKUP(B6409,Products!$A:$E,3,FALSE)</f>
        <v>Networking</v>
      </c>
    </row>
    <row r="6410" spans="1:5" x14ac:dyDescent="0.3">
      <c r="A6410" t="s">
        <v>12422</v>
      </c>
      <c r="B6410" t="s">
        <v>626</v>
      </c>
      <c r="C6410">
        <v>39</v>
      </c>
      <c r="D6410" t="str">
        <f>VLOOKUP(B6410,Products!$A:$E,2,FALSE)</f>
        <v>Product_309</v>
      </c>
      <c r="E6410" t="str">
        <f>VLOOKUP(B6410,Products!$A:$E,3,FALSE)</f>
        <v>Networking</v>
      </c>
    </row>
    <row r="6411" spans="1:5" x14ac:dyDescent="0.3">
      <c r="A6411" t="s">
        <v>12423</v>
      </c>
      <c r="B6411" t="s">
        <v>882</v>
      </c>
      <c r="C6411">
        <v>7</v>
      </c>
      <c r="D6411" t="str">
        <f>VLOOKUP(B6411,Products!$A:$E,2,FALSE)</f>
        <v>Product_437</v>
      </c>
      <c r="E6411" t="str">
        <f>VLOOKUP(B6411,Products!$A:$E,3,FALSE)</f>
        <v>Accessories</v>
      </c>
    </row>
    <row r="6412" spans="1:5" x14ac:dyDescent="0.3">
      <c r="A6412" t="s">
        <v>12424</v>
      </c>
      <c r="B6412" t="s">
        <v>380</v>
      </c>
      <c r="C6412">
        <v>8</v>
      </c>
      <c r="D6412" t="str">
        <f>VLOOKUP(B6412,Products!$A:$E,2,FALSE)</f>
        <v>Product_186</v>
      </c>
      <c r="E6412" t="str">
        <f>VLOOKUP(B6412,Products!$A:$E,3,FALSE)</f>
        <v>Accessories</v>
      </c>
    </row>
    <row r="6413" spans="1:5" x14ac:dyDescent="0.3">
      <c r="A6413" t="s">
        <v>12425</v>
      </c>
      <c r="B6413" t="s">
        <v>106</v>
      </c>
      <c r="C6413">
        <v>17</v>
      </c>
      <c r="D6413" t="str">
        <f>VLOOKUP(B6413,Products!$A:$E,2,FALSE)</f>
        <v>Product_49</v>
      </c>
      <c r="E6413" t="str">
        <f>VLOOKUP(B6413,Products!$A:$E,3,FALSE)</f>
        <v>Storage</v>
      </c>
    </row>
    <row r="6414" spans="1:5" x14ac:dyDescent="0.3">
      <c r="A6414" t="s">
        <v>12426</v>
      </c>
      <c r="B6414" t="s">
        <v>796</v>
      </c>
      <c r="C6414">
        <v>22</v>
      </c>
      <c r="D6414" t="str">
        <f>VLOOKUP(B6414,Products!$A:$E,2,FALSE)</f>
        <v>Product_394</v>
      </c>
      <c r="E6414" t="str">
        <f>VLOOKUP(B6414,Products!$A:$E,3,FALSE)</f>
        <v>Electronics</v>
      </c>
    </row>
    <row r="6415" spans="1:5" x14ac:dyDescent="0.3">
      <c r="A6415" t="s">
        <v>12427</v>
      </c>
      <c r="B6415" t="s">
        <v>334</v>
      </c>
      <c r="C6415">
        <v>8</v>
      </c>
      <c r="D6415" t="str">
        <f>VLOOKUP(B6415,Products!$A:$E,2,FALSE)</f>
        <v>Product_163</v>
      </c>
      <c r="E6415" t="str">
        <f>VLOOKUP(B6415,Products!$A:$E,3,FALSE)</f>
        <v>Accessories</v>
      </c>
    </row>
    <row r="6416" spans="1:5" x14ac:dyDescent="0.3">
      <c r="A6416" t="s">
        <v>12428</v>
      </c>
      <c r="B6416" t="s">
        <v>196</v>
      </c>
      <c r="C6416">
        <v>37</v>
      </c>
      <c r="D6416" t="str">
        <f>VLOOKUP(B6416,Products!$A:$E,2,FALSE)</f>
        <v>Product_94</v>
      </c>
      <c r="E6416" t="str">
        <f>VLOOKUP(B6416,Products!$A:$E,3,FALSE)</f>
        <v>Networking</v>
      </c>
    </row>
    <row r="6417" spans="1:5" x14ac:dyDescent="0.3">
      <c r="A6417" t="s">
        <v>12429</v>
      </c>
      <c r="B6417" t="s">
        <v>226</v>
      </c>
      <c r="C6417">
        <v>38</v>
      </c>
      <c r="D6417" t="str">
        <f>VLOOKUP(B6417,Products!$A:$E,2,FALSE)</f>
        <v>Product_109</v>
      </c>
      <c r="E6417" t="str">
        <f>VLOOKUP(B6417,Products!$A:$E,3,FALSE)</f>
        <v>Storage</v>
      </c>
    </row>
    <row r="6418" spans="1:5" x14ac:dyDescent="0.3">
      <c r="A6418" t="s">
        <v>12430</v>
      </c>
      <c r="B6418" t="s">
        <v>828</v>
      </c>
      <c r="C6418">
        <v>6</v>
      </c>
      <c r="D6418" t="str">
        <f>VLOOKUP(B6418,Products!$A:$E,2,FALSE)</f>
        <v>Product_410</v>
      </c>
      <c r="E6418" t="str">
        <f>VLOOKUP(B6418,Products!$A:$E,3,FALSE)</f>
        <v>Storage</v>
      </c>
    </row>
    <row r="6419" spans="1:5" x14ac:dyDescent="0.3">
      <c r="A6419" t="s">
        <v>12431</v>
      </c>
      <c r="B6419" t="s">
        <v>246</v>
      </c>
      <c r="C6419">
        <v>4</v>
      </c>
      <c r="D6419" t="str">
        <f>VLOOKUP(B6419,Products!$A:$E,2,FALSE)</f>
        <v>Product_119</v>
      </c>
      <c r="E6419" t="str">
        <f>VLOOKUP(B6419,Products!$A:$E,3,FALSE)</f>
        <v>Electronics</v>
      </c>
    </row>
    <row r="6420" spans="1:5" x14ac:dyDescent="0.3">
      <c r="A6420" t="s">
        <v>12432</v>
      </c>
      <c r="B6420" t="s">
        <v>292</v>
      </c>
      <c r="C6420">
        <v>20</v>
      </c>
      <c r="D6420" t="str">
        <f>VLOOKUP(B6420,Products!$A:$E,2,FALSE)</f>
        <v>Product_142</v>
      </c>
      <c r="E6420" t="str">
        <f>VLOOKUP(B6420,Products!$A:$E,3,FALSE)</f>
        <v>Storage</v>
      </c>
    </row>
    <row r="6421" spans="1:5" x14ac:dyDescent="0.3">
      <c r="A6421" t="s">
        <v>12433</v>
      </c>
      <c r="B6421" t="s">
        <v>870</v>
      </c>
      <c r="C6421">
        <v>49</v>
      </c>
      <c r="D6421" t="str">
        <f>VLOOKUP(B6421,Products!$A:$E,2,FALSE)</f>
        <v>Product_431</v>
      </c>
      <c r="E6421" t="str">
        <f>VLOOKUP(B6421,Products!$A:$E,3,FALSE)</f>
        <v>Electronics</v>
      </c>
    </row>
    <row r="6422" spans="1:5" x14ac:dyDescent="0.3">
      <c r="A6422" t="s">
        <v>12434</v>
      </c>
      <c r="B6422" t="s">
        <v>572</v>
      </c>
      <c r="C6422">
        <v>49</v>
      </c>
      <c r="D6422" t="str">
        <f>VLOOKUP(B6422,Products!$A:$E,2,FALSE)</f>
        <v>Product_282</v>
      </c>
      <c r="E6422" t="str">
        <f>VLOOKUP(B6422,Products!$A:$E,3,FALSE)</f>
        <v>Networking</v>
      </c>
    </row>
    <row r="6423" spans="1:5" x14ac:dyDescent="0.3">
      <c r="A6423" t="s">
        <v>12435</v>
      </c>
      <c r="B6423" t="s">
        <v>564</v>
      </c>
      <c r="C6423">
        <v>6</v>
      </c>
      <c r="D6423" t="str">
        <f>VLOOKUP(B6423,Products!$A:$E,2,FALSE)</f>
        <v>Product_278</v>
      </c>
      <c r="E6423" t="str">
        <f>VLOOKUP(B6423,Products!$A:$E,3,FALSE)</f>
        <v>Electronics</v>
      </c>
    </row>
    <row r="6424" spans="1:5" x14ac:dyDescent="0.3">
      <c r="A6424" t="s">
        <v>12436</v>
      </c>
      <c r="B6424" t="s">
        <v>840</v>
      </c>
      <c r="C6424">
        <v>46</v>
      </c>
      <c r="D6424" t="str">
        <f>VLOOKUP(B6424,Products!$A:$E,2,FALSE)</f>
        <v>Product_416</v>
      </c>
      <c r="E6424" t="str">
        <f>VLOOKUP(B6424,Products!$A:$E,3,FALSE)</f>
        <v>Accessories</v>
      </c>
    </row>
    <row r="6425" spans="1:5" x14ac:dyDescent="0.3">
      <c r="A6425" t="s">
        <v>12437</v>
      </c>
      <c r="B6425" t="s">
        <v>572</v>
      </c>
      <c r="C6425">
        <v>37</v>
      </c>
      <c r="D6425" t="str">
        <f>VLOOKUP(B6425,Products!$A:$E,2,FALSE)</f>
        <v>Product_282</v>
      </c>
      <c r="E6425" t="str">
        <f>VLOOKUP(B6425,Products!$A:$E,3,FALSE)</f>
        <v>Networking</v>
      </c>
    </row>
    <row r="6426" spans="1:5" x14ac:dyDescent="0.3">
      <c r="A6426" t="s">
        <v>12438</v>
      </c>
      <c r="B6426" t="s">
        <v>900</v>
      </c>
      <c r="C6426">
        <v>45</v>
      </c>
      <c r="D6426" t="str">
        <f>VLOOKUP(B6426,Products!$A:$E,2,FALSE)</f>
        <v>Product_446</v>
      </c>
      <c r="E6426" t="str">
        <f>VLOOKUP(B6426,Products!$A:$E,3,FALSE)</f>
        <v>Accessories</v>
      </c>
    </row>
    <row r="6427" spans="1:5" x14ac:dyDescent="0.3">
      <c r="A6427" t="s">
        <v>12439</v>
      </c>
      <c r="B6427" t="s">
        <v>568</v>
      </c>
      <c r="C6427">
        <v>20</v>
      </c>
      <c r="D6427" t="str">
        <f>VLOOKUP(B6427,Products!$A:$E,2,FALSE)</f>
        <v>Product_280</v>
      </c>
      <c r="E6427" t="str">
        <f>VLOOKUP(B6427,Products!$A:$E,3,FALSE)</f>
        <v>Electronics</v>
      </c>
    </row>
    <row r="6428" spans="1:5" x14ac:dyDescent="0.3">
      <c r="A6428" t="s">
        <v>12440</v>
      </c>
      <c r="B6428" t="s">
        <v>938</v>
      </c>
      <c r="C6428">
        <v>36</v>
      </c>
      <c r="D6428" t="str">
        <f>VLOOKUP(B6428,Products!$A:$E,2,FALSE)</f>
        <v>Product_465</v>
      </c>
      <c r="E6428" t="str">
        <f>VLOOKUP(B6428,Products!$A:$E,3,FALSE)</f>
        <v>Electronics</v>
      </c>
    </row>
    <row r="6429" spans="1:5" x14ac:dyDescent="0.3">
      <c r="A6429" t="s">
        <v>12441</v>
      </c>
      <c r="B6429" t="s">
        <v>682</v>
      </c>
      <c r="C6429">
        <v>20</v>
      </c>
      <c r="D6429" t="str">
        <f>VLOOKUP(B6429,Products!$A:$E,2,FALSE)</f>
        <v>Product_337</v>
      </c>
      <c r="E6429" t="str">
        <f>VLOOKUP(B6429,Products!$A:$E,3,FALSE)</f>
        <v>Storage</v>
      </c>
    </row>
    <row r="6430" spans="1:5" x14ac:dyDescent="0.3">
      <c r="A6430" t="s">
        <v>12442</v>
      </c>
      <c r="B6430" t="s">
        <v>112</v>
      </c>
      <c r="C6430">
        <v>26</v>
      </c>
      <c r="D6430" t="str">
        <f>VLOOKUP(B6430,Products!$A:$E,2,FALSE)</f>
        <v>Product_52</v>
      </c>
      <c r="E6430" t="str">
        <f>VLOOKUP(B6430,Products!$A:$E,3,FALSE)</f>
        <v>Electronics</v>
      </c>
    </row>
    <row r="6431" spans="1:5" x14ac:dyDescent="0.3">
      <c r="A6431" t="s">
        <v>12443</v>
      </c>
      <c r="B6431" t="s">
        <v>780</v>
      </c>
      <c r="C6431">
        <v>3</v>
      </c>
      <c r="D6431" t="str">
        <f>VLOOKUP(B6431,Products!$A:$E,2,FALSE)</f>
        <v>Product_386</v>
      </c>
      <c r="E6431" t="str">
        <f>VLOOKUP(B6431,Products!$A:$E,3,FALSE)</f>
        <v>Electronics</v>
      </c>
    </row>
    <row r="6432" spans="1:5" x14ac:dyDescent="0.3">
      <c r="A6432" t="s">
        <v>12444</v>
      </c>
      <c r="B6432" t="s">
        <v>328</v>
      </c>
      <c r="C6432">
        <v>27</v>
      </c>
      <c r="D6432" t="str">
        <f>VLOOKUP(B6432,Products!$A:$E,2,FALSE)</f>
        <v>Product_160</v>
      </c>
      <c r="E6432" t="str">
        <f>VLOOKUP(B6432,Products!$A:$E,3,FALSE)</f>
        <v>Office Supplies</v>
      </c>
    </row>
    <row r="6433" spans="1:5" x14ac:dyDescent="0.3">
      <c r="A6433" t="s">
        <v>12445</v>
      </c>
      <c r="B6433" t="s">
        <v>104</v>
      </c>
      <c r="C6433">
        <v>43</v>
      </c>
      <c r="D6433" t="str">
        <f>VLOOKUP(B6433,Products!$A:$E,2,FALSE)</f>
        <v>Product_48</v>
      </c>
      <c r="E6433" t="str">
        <f>VLOOKUP(B6433,Products!$A:$E,3,FALSE)</f>
        <v>Accessories</v>
      </c>
    </row>
    <row r="6434" spans="1:5" x14ac:dyDescent="0.3">
      <c r="A6434" t="s">
        <v>12446</v>
      </c>
      <c r="B6434" t="s">
        <v>350</v>
      </c>
      <c r="C6434">
        <v>18</v>
      </c>
      <c r="D6434" t="str">
        <f>VLOOKUP(B6434,Products!$A:$E,2,FALSE)</f>
        <v>Product_171</v>
      </c>
      <c r="E6434" t="str">
        <f>VLOOKUP(B6434,Products!$A:$E,3,FALSE)</f>
        <v>Electronics</v>
      </c>
    </row>
    <row r="6435" spans="1:5" x14ac:dyDescent="0.3">
      <c r="A6435" t="s">
        <v>12447</v>
      </c>
      <c r="B6435" t="s">
        <v>768</v>
      </c>
      <c r="C6435">
        <v>4</v>
      </c>
      <c r="D6435" t="str">
        <f>VLOOKUP(B6435,Products!$A:$E,2,FALSE)</f>
        <v>Product_380</v>
      </c>
      <c r="E6435" t="str">
        <f>VLOOKUP(B6435,Products!$A:$E,3,FALSE)</f>
        <v>Electronics</v>
      </c>
    </row>
    <row r="6436" spans="1:5" x14ac:dyDescent="0.3">
      <c r="A6436" t="s">
        <v>12448</v>
      </c>
      <c r="B6436" t="s">
        <v>150</v>
      </c>
      <c r="C6436">
        <v>5</v>
      </c>
      <c r="D6436" t="str">
        <f>VLOOKUP(B6436,Products!$A:$E,2,FALSE)</f>
        <v>Product_71</v>
      </c>
      <c r="E6436" t="str">
        <f>VLOOKUP(B6436,Products!$A:$E,3,FALSE)</f>
        <v>Accessories</v>
      </c>
    </row>
    <row r="6437" spans="1:5" x14ac:dyDescent="0.3">
      <c r="A6437" t="s">
        <v>12449</v>
      </c>
      <c r="B6437" t="s">
        <v>106</v>
      </c>
      <c r="C6437">
        <v>38</v>
      </c>
      <c r="D6437" t="str">
        <f>VLOOKUP(B6437,Products!$A:$E,2,FALSE)</f>
        <v>Product_49</v>
      </c>
      <c r="E6437" t="str">
        <f>VLOOKUP(B6437,Products!$A:$E,3,FALSE)</f>
        <v>Storage</v>
      </c>
    </row>
    <row r="6438" spans="1:5" x14ac:dyDescent="0.3">
      <c r="A6438" t="s">
        <v>12450</v>
      </c>
      <c r="B6438" t="s">
        <v>11</v>
      </c>
      <c r="C6438">
        <v>7</v>
      </c>
      <c r="D6438" t="str">
        <f>VLOOKUP(B6438,Products!$A:$E,2,FALSE)</f>
        <v>Product_3</v>
      </c>
      <c r="E6438" t="str">
        <f>VLOOKUP(B6438,Products!$A:$E,3,FALSE)</f>
        <v>Accessories</v>
      </c>
    </row>
    <row r="6439" spans="1:5" x14ac:dyDescent="0.3">
      <c r="A6439" t="s">
        <v>12451</v>
      </c>
      <c r="B6439" t="s">
        <v>922</v>
      </c>
      <c r="C6439">
        <v>31</v>
      </c>
      <c r="D6439" t="str">
        <f>VLOOKUP(B6439,Products!$A:$E,2,FALSE)</f>
        <v>Product_457</v>
      </c>
      <c r="E6439" t="str">
        <f>VLOOKUP(B6439,Products!$A:$E,3,FALSE)</f>
        <v>Networking</v>
      </c>
    </row>
    <row r="6440" spans="1:5" x14ac:dyDescent="0.3">
      <c r="A6440" t="s">
        <v>12452</v>
      </c>
      <c r="B6440" t="s">
        <v>52</v>
      </c>
      <c r="C6440">
        <v>31</v>
      </c>
      <c r="D6440" t="str">
        <f>VLOOKUP(B6440,Products!$A:$E,2,FALSE)</f>
        <v>Product_22</v>
      </c>
      <c r="E6440" t="str">
        <f>VLOOKUP(B6440,Products!$A:$E,3,FALSE)</f>
        <v>Electronics</v>
      </c>
    </row>
    <row r="6441" spans="1:5" x14ac:dyDescent="0.3">
      <c r="A6441" t="s">
        <v>12453</v>
      </c>
      <c r="B6441" t="s">
        <v>838</v>
      </c>
      <c r="C6441">
        <v>24</v>
      </c>
      <c r="D6441" t="str">
        <f>VLOOKUP(B6441,Products!$A:$E,2,FALSE)</f>
        <v>Product_415</v>
      </c>
      <c r="E6441" t="str">
        <f>VLOOKUP(B6441,Products!$A:$E,3,FALSE)</f>
        <v>Networking</v>
      </c>
    </row>
    <row r="6442" spans="1:5" x14ac:dyDescent="0.3">
      <c r="A6442" t="s">
        <v>12454</v>
      </c>
      <c r="B6442" t="s">
        <v>424</v>
      </c>
      <c r="C6442">
        <v>35</v>
      </c>
      <c r="D6442" t="str">
        <f>VLOOKUP(B6442,Products!$A:$E,2,FALSE)</f>
        <v>Product_208</v>
      </c>
      <c r="E6442" t="str">
        <f>VLOOKUP(B6442,Products!$A:$E,3,FALSE)</f>
        <v>Electronics</v>
      </c>
    </row>
    <row r="6443" spans="1:5" x14ac:dyDescent="0.3">
      <c r="A6443" t="s">
        <v>12455</v>
      </c>
      <c r="B6443" t="s">
        <v>118</v>
      </c>
      <c r="C6443">
        <v>17</v>
      </c>
      <c r="D6443" t="str">
        <f>VLOOKUP(B6443,Products!$A:$E,2,FALSE)</f>
        <v>Product_55</v>
      </c>
      <c r="E6443" t="str">
        <f>VLOOKUP(B6443,Products!$A:$E,3,FALSE)</f>
        <v>Office Supplies</v>
      </c>
    </row>
    <row r="6444" spans="1:5" x14ac:dyDescent="0.3">
      <c r="A6444" t="s">
        <v>12456</v>
      </c>
      <c r="B6444" t="s">
        <v>172</v>
      </c>
      <c r="C6444">
        <v>38</v>
      </c>
      <c r="D6444" t="str">
        <f>VLOOKUP(B6444,Products!$A:$E,2,FALSE)</f>
        <v>Product_82</v>
      </c>
      <c r="E6444" t="str">
        <f>VLOOKUP(B6444,Products!$A:$E,3,FALSE)</f>
        <v>Storage</v>
      </c>
    </row>
    <row r="6445" spans="1:5" x14ac:dyDescent="0.3">
      <c r="A6445" t="s">
        <v>12457</v>
      </c>
      <c r="B6445" t="s">
        <v>972</v>
      </c>
      <c r="C6445">
        <v>36</v>
      </c>
      <c r="D6445" t="str">
        <f>VLOOKUP(B6445,Products!$A:$E,2,FALSE)</f>
        <v>Product_482</v>
      </c>
      <c r="E6445" t="str">
        <f>VLOOKUP(B6445,Products!$A:$E,3,FALSE)</f>
        <v>Storage</v>
      </c>
    </row>
    <row r="6446" spans="1:5" x14ac:dyDescent="0.3">
      <c r="A6446" t="s">
        <v>12458</v>
      </c>
      <c r="B6446" t="s">
        <v>926</v>
      </c>
      <c r="C6446">
        <v>16</v>
      </c>
      <c r="D6446" t="str">
        <f>VLOOKUP(B6446,Products!$A:$E,2,FALSE)</f>
        <v>Product_459</v>
      </c>
      <c r="E6446" t="str">
        <f>VLOOKUP(B6446,Products!$A:$E,3,FALSE)</f>
        <v>Office Supplies</v>
      </c>
    </row>
    <row r="6447" spans="1:5" x14ac:dyDescent="0.3">
      <c r="A6447" t="s">
        <v>12459</v>
      </c>
      <c r="B6447" t="s">
        <v>92</v>
      </c>
      <c r="C6447">
        <v>22</v>
      </c>
      <c r="D6447" t="str">
        <f>VLOOKUP(B6447,Products!$A:$E,2,FALSE)</f>
        <v>Product_42</v>
      </c>
      <c r="E6447" t="str">
        <f>VLOOKUP(B6447,Products!$A:$E,3,FALSE)</f>
        <v>Storage</v>
      </c>
    </row>
    <row r="6448" spans="1:5" x14ac:dyDescent="0.3">
      <c r="A6448" t="s">
        <v>12460</v>
      </c>
      <c r="B6448" t="s">
        <v>182</v>
      </c>
      <c r="C6448">
        <v>12</v>
      </c>
      <c r="D6448" t="str">
        <f>VLOOKUP(B6448,Products!$A:$E,2,FALSE)</f>
        <v>Product_87</v>
      </c>
      <c r="E6448" t="str">
        <f>VLOOKUP(B6448,Products!$A:$E,3,FALSE)</f>
        <v>Networking</v>
      </c>
    </row>
    <row r="6449" spans="1:5" x14ac:dyDescent="0.3">
      <c r="A6449" t="s">
        <v>12461</v>
      </c>
      <c r="B6449" t="s">
        <v>674</v>
      </c>
      <c r="C6449">
        <v>37</v>
      </c>
      <c r="D6449" t="str">
        <f>VLOOKUP(B6449,Products!$A:$E,2,FALSE)</f>
        <v>Product_333</v>
      </c>
      <c r="E6449" t="str">
        <f>VLOOKUP(B6449,Products!$A:$E,3,FALSE)</f>
        <v>Storage</v>
      </c>
    </row>
    <row r="6450" spans="1:5" x14ac:dyDescent="0.3">
      <c r="A6450" t="s">
        <v>12462</v>
      </c>
      <c r="B6450" t="s">
        <v>726</v>
      </c>
      <c r="C6450">
        <v>7</v>
      </c>
      <c r="D6450" t="str">
        <f>VLOOKUP(B6450,Products!$A:$E,2,FALSE)</f>
        <v>Product_359</v>
      </c>
      <c r="E6450" t="str">
        <f>VLOOKUP(B6450,Products!$A:$E,3,FALSE)</f>
        <v>Electronics</v>
      </c>
    </row>
    <row r="6451" spans="1:5" x14ac:dyDescent="0.3">
      <c r="A6451" t="s">
        <v>12463</v>
      </c>
      <c r="B6451" t="s">
        <v>654</v>
      </c>
      <c r="C6451">
        <v>2</v>
      </c>
      <c r="D6451" t="str">
        <f>VLOOKUP(B6451,Products!$A:$E,2,FALSE)</f>
        <v>Product_323</v>
      </c>
      <c r="E6451" t="str">
        <f>VLOOKUP(B6451,Products!$A:$E,3,FALSE)</f>
        <v>Electronics</v>
      </c>
    </row>
    <row r="6452" spans="1:5" x14ac:dyDescent="0.3">
      <c r="A6452" t="s">
        <v>12464</v>
      </c>
      <c r="B6452" t="s">
        <v>490</v>
      </c>
      <c r="C6452">
        <v>14</v>
      </c>
      <c r="D6452" t="str">
        <f>VLOOKUP(B6452,Products!$A:$E,2,FALSE)</f>
        <v>Product_241</v>
      </c>
      <c r="E6452" t="str">
        <f>VLOOKUP(B6452,Products!$A:$E,3,FALSE)</f>
        <v>Electronics</v>
      </c>
    </row>
    <row r="6453" spans="1:5" x14ac:dyDescent="0.3">
      <c r="A6453" t="s">
        <v>12465</v>
      </c>
      <c r="B6453" t="s">
        <v>756</v>
      </c>
      <c r="C6453">
        <v>46</v>
      </c>
      <c r="D6453" t="str">
        <f>VLOOKUP(B6453,Products!$A:$E,2,FALSE)</f>
        <v>Product_374</v>
      </c>
      <c r="E6453" t="str">
        <f>VLOOKUP(B6453,Products!$A:$E,3,FALSE)</f>
        <v>Office Supplies</v>
      </c>
    </row>
    <row r="6454" spans="1:5" x14ac:dyDescent="0.3">
      <c r="A6454" t="s">
        <v>12466</v>
      </c>
      <c r="B6454" t="s">
        <v>138</v>
      </c>
      <c r="C6454">
        <v>11</v>
      </c>
      <c r="D6454" t="str">
        <f>VLOOKUP(B6454,Products!$A:$E,2,FALSE)</f>
        <v>Product_65</v>
      </c>
      <c r="E6454" t="str">
        <f>VLOOKUP(B6454,Products!$A:$E,3,FALSE)</f>
        <v>Office Supplies</v>
      </c>
    </row>
    <row r="6455" spans="1:5" x14ac:dyDescent="0.3">
      <c r="A6455" t="s">
        <v>12467</v>
      </c>
      <c r="B6455" t="s">
        <v>764</v>
      </c>
      <c r="C6455">
        <v>44</v>
      </c>
      <c r="D6455" t="str">
        <f>VLOOKUP(B6455,Products!$A:$E,2,FALSE)</f>
        <v>Product_378</v>
      </c>
      <c r="E6455" t="str">
        <f>VLOOKUP(B6455,Products!$A:$E,3,FALSE)</f>
        <v>Electronics</v>
      </c>
    </row>
    <row r="6456" spans="1:5" x14ac:dyDescent="0.3">
      <c r="A6456" t="s">
        <v>12468</v>
      </c>
      <c r="B6456" t="s">
        <v>530</v>
      </c>
      <c r="C6456">
        <v>16</v>
      </c>
      <c r="D6456" t="str">
        <f>VLOOKUP(B6456,Products!$A:$E,2,FALSE)</f>
        <v>Product_261</v>
      </c>
      <c r="E6456" t="str">
        <f>VLOOKUP(B6456,Products!$A:$E,3,FALSE)</f>
        <v>Accessories</v>
      </c>
    </row>
    <row r="6457" spans="1:5" x14ac:dyDescent="0.3">
      <c r="A6457" t="s">
        <v>12469</v>
      </c>
      <c r="B6457" t="s">
        <v>426</v>
      </c>
      <c r="C6457">
        <v>1</v>
      </c>
      <c r="D6457" t="str">
        <f>VLOOKUP(B6457,Products!$A:$E,2,FALSE)</f>
        <v>Product_209</v>
      </c>
      <c r="E6457" t="str">
        <f>VLOOKUP(B6457,Products!$A:$E,3,FALSE)</f>
        <v>Networking</v>
      </c>
    </row>
    <row r="6458" spans="1:5" x14ac:dyDescent="0.3">
      <c r="A6458" t="s">
        <v>12470</v>
      </c>
      <c r="B6458" t="s">
        <v>706</v>
      </c>
      <c r="C6458">
        <v>34</v>
      </c>
      <c r="D6458" t="str">
        <f>VLOOKUP(B6458,Products!$A:$E,2,FALSE)</f>
        <v>Product_349</v>
      </c>
      <c r="E6458" t="str">
        <f>VLOOKUP(B6458,Products!$A:$E,3,FALSE)</f>
        <v>Office Supplies</v>
      </c>
    </row>
    <row r="6459" spans="1:5" x14ac:dyDescent="0.3">
      <c r="A6459" t="s">
        <v>12471</v>
      </c>
      <c r="B6459" t="s">
        <v>906</v>
      </c>
      <c r="C6459">
        <v>18</v>
      </c>
      <c r="D6459" t="str">
        <f>VLOOKUP(B6459,Products!$A:$E,2,FALSE)</f>
        <v>Product_449</v>
      </c>
      <c r="E6459" t="str">
        <f>VLOOKUP(B6459,Products!$A:$E,3,FALSE)</f>
        <v>Networking</v>
      </c>
    </row>
    <row r="6460" spans="1:5" x14ac:dyDescent="0.3">
      <c r="A6460" t="s">
        <v>12472</v>
      </c>
      <c r="B6460" t="s">
        <v>600</v>
      </c>
      <c r="C6460">
        <v>47</v>
      </c>
      <c r="D6460" t="str">
        <f>VLOOKUP(B6460,Products!$A:$E,2,FALSE)</f>
        <v>Product_296</v>
      </c>
      <c r="E6460" t="str">
        <f>VLOOKUP(B6460,Products!$A:$E,3,FALSE)</f>
        <v>Office Supplies</v>
      </c>
    </row>
    <row r="6461" spans="1:5" x14ac:dyDescent="0.3">
      <c r="A6461" t="s">
        <v>12473</v>
      </c>
      <c r="B6461" t="s">
        <v>804</v>
      </c>
      <c r="C6461">
        <v>13</v>
      </c>
      <c r="D6461" t="str">
        <f>VLOOKUP(B6461,Products!$A:$E,2,FALSE)</f>
        <v>Product_398</v>
      </c>
      <c r="E6461" t="str">
        <f>VLOOKUP(B6461,Products!$A:$E,3,FALSE)</f>
        <v>Networking</v>
      </c>
    </row>
    <row r="6462" spans="1:5" x14ac:dyDescent="0.3">
      <c r="A6462" t="s">
        <v>12474</v>
      </c>
      <c r="B6462" t="s">
        <v>514</v>
      </c>
      <c r="C6462">
        <v>36</v>
      </c>
      <c r="D6462" t="str">
        <f>VLOOKUP(B6462,Products!$A:$E,2,FALSE)</f>
        <v>Product_253</v>
      </c>
      <c r="E6462" t="str">
        <f>VLOOKUP(B6462,Products!$A:$E,3,FALSE)</f>
        <v>Networking</v>
      </c>
    </row>
    <row r="6463" spans="1:5" x14ac:dyDescent="0.3">
      <c r="A6463" t="s">
        <v>12475</v>
      </c>
      <c r="B6463" t="s">
        <v>252</v>
      </c>
      <c r="C6463">
        <v>4</v>
      </c>
      <c r="D6463" t="str">
        <f>VLOOKUP(B6463,Products!$A:$E,2,FALSE)</f>
        <v>Product_122</v>
      </c>
      <c r="E6463" t="str">
        <f>VLOOKUP(B6463,Products!$A:$E,3,FALSE)</f>
        <v>Storage</v>
      </c>
    </row>
    <row r="6464" spans="1:5" x14ac:dyDescent="0.3">
      <c r="A6464" t="s">
        <v>12476</v>
      </c>
      <c r="B6464" t="s">
        <v>450</v>
      </c>
      <c r="C6464">
        <v>14</v>
      </c>
      <c r="D6464" t="str">
        <f>VLOOKUP(B6464,Products!$A:$E,2,FALSE)</f>
        <v>Product_221</v>
      </c>
      <c r="E6464" t="str">
        <f>VLOOKUP(B6464,Products!$A:$E,3,FALSE)</f>
        <v>Office Supplies</v>
      </c>
    </row>
    <row r="6465" spans="1:5" x14ac:dyDescent="0.3">
      <c r="A6465" t="s">
        <v>12477</v>
      </c>
      <c r="B6465" t="s">
        <v>636</v>
      </c>
      <c r="C6465">
        <v>43</v>
      </c>
      <c r="D6465" t="str">
        <f>VLOOKUP(B6465,Products!$A:$E,2,FALSE)</f>
        <v>Product_314</v>
      </c>
      <c r="E6465" t="str">
        <f>VLOOKUP(B6465,Products!$A:$E,3,FALSE)</f>
        <v>Storage</v>
      </c>
    </row>
    <row r="6466" spans="1:5" x14ac:dyDescent="0.3">
      <c r="A6466" t="s">
        <v>12478</v>
      </c>
      <c r="B6466" t="s">
        <v>406</v>
      </c>
      <c r="C6466">
        <v>13</v>
      </c>
      <c r="D6466" t="str">
        <f>VLOOKUP(B6466,Products!$A:$E,2,FALSE)</f>
        <v>Product_199</v>
      </c>
      <c r="E6466" t="str">
        <f>VLOOKUP(B6466,Products!$A:$E,3,FALSE)</f>
        <v>Storage</v>
      </c>
    </row>
    <row r="6467" spans="1:5" x14ac:dyDescent="0.3">
      <c r="A6467" t="s">
        <v>12479</v>
      </c>
      <c r="B6467" t="s">
        <v>854</v>
      </c>
      <c r="C6467">
        <v>34</v>
      </c>
      <c r="D6467" t="str">
        <f>VLOOKUP(B6467,Products!$A:$E,2,FALSE)</f>
        <v>Product_423</v>
      </c>
      <c r="E6467" t="str">
        <f>VLOOKUP(B6467,Products!$A:$E,3,FALSE)</f>
        <v>Office Supplies</v>
      </c>
    </row>
    <row r="6468" spans="1:5" x14ac:dyDescent="0.3">
      <c r="A6468" t="s">
        <v>12480</v>
      </c>
      <c r="B6468" t="s">
        <v>308</v>
      </c>
      <c r="C6468">
        <v>23</v>
      </c>
      <c r="D6468" t="str">
        <f>VLOOKUP(B6468,Products!$A:$E,2,FALSE)</f>
        <v>Product_150</v>
      </c>
      <c r="E6468" t="str">
        <f>VLOOKUP(B6468,Products!$A:$E,3,FALSE)</f>
        <v>Accessories</v>
      </c>
    </row>
    <row r="6469" spans="1:5" x14ac:dyDescent="0.3">
      <c r="A6469" t="s">
        <v>12481</v>
      </c>
      <c r="B6469" t="s">
        <v>148</v>
      </c>
      <c r="C6469">
        <v>26</v>
      </c>
      <c r="D6469" t="str">
        <f>VLOOKUP(B6469,Products!$A:$E,2,FALSE)</f>
        <v>Product_70</v>
      </c>
      <c r="E6469" t="str">
        <f>VLOOKUP(B6469,Products!$A:$E,3,FALSE)</f>
        <v>Electronics</v>
      </c>
    </row>
    <row r="6470" spans="1:5" x14ac:dyDescent="0.3">
      <c r="A6470" t="s">
        <v>12482</v>
      </c>
      <c r="B6470" t="s">
        <v>1006</v>
      </c>
      <c r="C6470">
        <v>38</v>
      </c>
      <c r="D6470" t="str">
        <f>VLOOKUP(B6470,Products!$A:$E,2,FALSE)</f>
        <v>Product_499</v>
      </c>
      <c r="E6470" t="str">
        <f>VLOOKUP(B6470,Products!$A:$E,3,FALSE)</f>
        <v>Office Supplies</v>
      </c>
    </row>
    <row r="6471" spans="1:5" x14ac:dyDescent="0.3">
      <c r="A6471" t="s">
        <v>12483</v>
      </c>
      <c r="B6471" t="s">
        <v>430</v>
      </c>
      <c r="C6471">
        <v>38</v>
      </c>
      <c r="D6471" t="str">
        <f>VLOOKUP(B6471,Products!$A:$E,2,FALSE)</f>
        <v>Product_211</v>
      </c>
      <c r="E6471" t="str">
        <f>VLOOKUP(B6471,Products!$A:$E,3,FALSE)</f>
        <v>Storage</v>
      </c>
    </row>
    <row r="6472" spans="1:5" x14ac:dyDescent="0.3">
      <c r="A6472" t="s">
        <v>12484</v>
      </c>
      <c r="B6472" t="s">
        <v>304</v>
      </c>
      <c r="C6472">
        <v>18</v>
      </c>
      <c r="D6472" t="str">
        <f>VLOOKUP(B6472,Products!$A:$E,2,FALSE)</f>
        <v>Product_148</v>
      </c>
      <c r="E6472" t="str">
        <f>VLOOKUP(B6472,Products!$A:$E,3,FALSE)</f>
        <v>Electronics</v>
      </c>
    </row>
    <row r="6473" spans="1:5" x14ac:dyDescent="0.3">
      <c r="A6473" t="s">
        <v>12485</v>
      </c>
      <c r="B6473" t="s">
        <v>264</v>
      </c>
      <c r="C6473">
        <v>40</v>
      </c>
      <c r="D6473" t="str">
        <f>VLOOKUP(B6473,Products!$A:$E,2,FALSE)</f>
        <v>Product_128</v>
      </c>
      <c r="E6473" t="str">
        <f>VLOOKUP(B6473,Products!$A:$E,3,FALSE)</f>
        <v>Office Supplies</v>
      </c>
    </row>
    <row r="6474" spans="1:5" x14ac:dyDescent="0.3">
      <c r="A6474" t="s">
        <v>12486</v>
      </c>
      <c r="B6474" t="s">
        <v>886</v>
      </c>
      <c r="C6474">
        <v>8</v>
      </c>
      <c r="D6474" t="str">
        <f>VLOOKUP(B6474,Products!$A:$E,2,FALSE)</f>
        <v>Product_439</v>
      </c>
      <c r="E6474" t="str">
        <f>VLOOKUP(B6474,Products!$A:$E,3,FALSE)</f>
        <v>Networking</v>
      </c>
    </row>
    <row r="6475" spans="1:5" x14ac:dyDescent="0.3">
      <c r="A6475" t="s">
        <v>12487</v>
      </c>
      <c r="B6475" t="s">
        <v>732</v>
      </c>
      <c r="C6475">
        <v>27</v>
      </c>
      <c r="D6475" t="str">
        <f>VLOOKUP(B6475,Products!$A:$E,2,FALSE)</f>
        <v>Product_362</v>
      </c>
      <c r="E6475" t="str">
        <f>VLOOKUP(B6475,Products!$A:$E,3,FALSE)</f>
        <v>Networking</v>
      </c>
    </row>
    <row r="6476" spans="1:5" x14ac:dyDescent="0.3">
      <c r="A6476" t="s">
        <v>12488</v>
      </c>
      <c r="B6476" t="s">
        <v>270</v>
      </c>
      <c r="C6476">
        <v>42</v>
      </c>
      <c r="D6476" t="str">
        <f>VLOOKUP(B6476,Products!$A:$E,2,FALSE)</f>
        <v>Product_131</v>
      </c>
      <c r="E6476" t="str">
        <f>VLOOKUP(B6476,Products!$A:$E,3,FALSE)</f>
        <v>Electronics</v>
      </c>
    </row>
    <row r="6477" spans="1:5" x14ac:dyDescent="0.3">
      <c r="A6477" t="s">
        <v>12489</v>
      </c>
      <c r="B6477" t="s">
        <v>628</v>
      </c>
      <c r="C6477">
        <v>32</v>
      </c>
      <c r="D6477" t="str">
        <f>VLOOKUP(B6477,Products!$A:$E,2,FALSE)</f>
        <v>Product_310</v>
      </c>
      <c r="E6477" t="str">
        <f>VLOOKUP(B6477,Products!$A:$E,3,FALSE)</f>
        <v>Office Supplies</v>
      </c>
    </row>
    <row r="6478" spans="1:5" x14ac:dyDescent="0.3">
      <c r="A6478" t="s">
        <v>12490</v>
      </c>
      <c r="B6478" t="s">
        <v>5</v>
      </c>
      <c r="C6478">
        <v>8</v>
      </c>
      <c r="D6478" t="str">
        <f>VLOOKUP(B6478,Products!$A:$E,2,FALSE)</f>
        <v>Product_1</v>
      </c>
      <c r="E6478" t="str">
        <f>VLOOKUP(B6478,Products!$A:$E,3,FALSE)</f>
        <v>Electronics</v>
      </c>
    </row>
    <row r="6479" spans="1:5" x14ac:dyDescent="0.3">
      <c r="A6479" t="s">
        <v>12491</v>
      </c>
      <c r="B6479" t="s">
        <v>424</v>
      </c>
      <c r="C6479">
        <v>38</v>
      </c>
      <c r="D6479" t="str">
        <f>VLOOKUP(B6479,Products!$A:$E,2,FALSE)</f>
        <v>Product_208</v>
      </c>
      <c r="E6479" t="str">
        <f>VLOOKUP(B6479,Products!$A:$E,3,FALSE)</f>
        <v>Electronics</v>
      </c>
    </row>
    <row r="6480" spans="1:5" x14ac:dyDescent="0.3">
      <c r="A6480" t="s">
        <v>12492</v>
      </c>
      <c r="B6480" t="s">
        <v>204</v>
      </c>
      <c r="C6480">
        <v>48</v>
      </c>
      <c r="D6480" t="str">
        <f>VLOOKUP(B6480,Products!$A:$E,2,FALSE)</f>
        <v>Product_98</v>
      </c>
      <c r="E6480" t="str">
        <f>VLOOKUP(B6480,Products!$A:$E,3,FALSE)</f>
        <v>Networking</v>
      </c>
    </row>
    <row r="6481" spans="1:5" x14ac:dyDescent="0.3">
      <c r="A6481" t="s">
        <v>12493</v>
      </c>
      <c r="B6481" t="s">
        <v>268</v>
      </c>
      <c r="C6481">
        <v>45</v>
      </c>
      <c r="D6481" t="str">
        <f>VLOOKUP(B6481,Products!$A:$E,2,FALSE)</f>
        <v>Product_130</v>
      </c>
      <c r="E6481" t="str">
        <f>VLOOKUP(B6481,Products!$A:$E,3,FALSE)</f>
        <v>Storage</v>
      </c>
    </row>
    <row r="6482" spans="1:5" x14ac:dyDescent="0.3">
      <c r="A6482" t="s">
        <v>12494</v>
      </c>
      <c r="B6482" t="s">
        <v>140</v>
      </c>
      <c r="C6482">
        <v>37</v>
      </c>
      <c r="D6482" t="str">
        <f>VLOOKUP(B6482,Products!$A:$E,2,FALSE)</f>
        <v>Product_66</v>
      </c>
      <c r="E6482" t="str">
        <f>VLOOKUP(B6482,Products!$A:$E,3,FALSE)</f>
        <v>Electronics</v>
      </c>
    </row>
    <row r="6483" spans="1:5" x14ac:dyDescent="0.3">
      <c r="A6483" t="s">
        <v>12495</v>
      </c>
      <c r="B6483" t="s">
        <v>198</v>
      </c>
      <c r="C6483">
        <v>42</v>
      </c>
      <c r="D6483" t="str">
        <f>VLOOKUP(B6483,Products!$A:$E,2,FALSE)</f>
        <v>Product_95</v>
      </c>
      <c r="E6483" t="str">
        <f>VLOOKUP(B6483,Products!$A:$E,3,FALSE)</f>
        <v>Electronics</v>
      </c>
    </row>
    <row r="6484" spans="1:5" x14ac:dyDescent="0.3">
      <c r="A6484" t="s">
        <v>12496</v>
      </c>
      <c r="B6484" t="s">
        <v>604</v>
      </c>
      <c r="C6484">
        <v>8</v>
      </c>
      <c r="D6484" t="str">
        <f>VLOOKUP(B6484,Products!$A:$E,2,FALSE)</f>
        <v>Product_298</v>
      </c>
      <c r="E6484" t="str">
        <f>VLOOKUP(B6484,Products!$A:$E,3,FALSE)</f>
        <v>Office Supplies</v>
      </c>
    </row>
    <row r="6485" spans="1:5" x14ac:dyDescent="0.3">
      <c r="A6485" t="s">
        <v>12497</v>
      </c>
      <c r="B6485" t="s">
        <v>1000</v>
      </c>
      <c r="C6485">
        <v>43</v>
      </c>
      <c r="D6485" t="str">
        <f>VLOOKUP(B6485,Products!$A:$E,2,FALSE)</f>
        <v>Product_496</v>
      </c>
      <c r="E6485" t="str">
        <f>VLOOKUP(B6485,Products!$A:$E,3,FALSE)</f>
        <v>Office Supplies</v>
      </c>
    </row>
    <row r="6486" spans="1:5" x14ac:dyDescent="0.3">
      <c r="A6486" t="s">
        <v>12498</v>
      </c>
      <c r="B6486" t="s">
        <v>264</v>
      </c>
      <c r="C6486">
        <v>9</v>
      </c>
      <c r="D6486" t="str">
        <f>VLOOKUP(B6486,Products!$A:$E,2,FALSE)</f>
        <v>Product_128</v>
      </c>
      <c r="E6486" t="str">
        <f>VLOOKUP(B6486,Products!$A:$E,3,FALSE)</f>
        <v>Office Supplies</v>
      </c>
    </row>
    <row r="6487" spans="1:5" x14ac:dyDescent="0.3">
      <c r="A6487" t="s">
        <v>12499</v>
      </c>
      <c r="B6487" t="s">
        <v>738</v>
      </c>
      <c r="C6487">
        <v>3</v>
      </c>
      <c r="D6487" t="str">
        <f>VLOOKUP(B6487,Products!$A:$E,2,FALSE)</f>
        <v>Product_365</v>
      </c>
      <c r="E6487" t="str">
        <f>VLOOKUP(B6487,Products!$A:$E,3,FALSE)</f>
        <v>Storage</v>
      </c>
    </row>
    <row r="6488" spans="1:5" x14ac:dyDescent="0.3">
      <c r="A6488" t="s">
        <v>12500</v>
      </c>
      <c r="B6488" t="s">
        <v>246</v>
      </c>
      <c r="C6488">
        <v>16</v>
      </c>
      <c r="D6488" t="str">
        <f>VLOOKUP(B6488,Products!$A:$E,2,FALSE)</f>
        <v>Product_119</v>
      </c>
      <c r="E6488" t="str">
        <f>VLOOKUP(B6488,Products!$A:$E,3,FALSE)</f>
        <v>Electronics</v>
      </c>
    </row>
    <row r="6489" spans="1:5" x14ac:dyDescent="0.3">
      <c r="A6489" t="s">
        <v>12501</v>
      </c>
      <c r="B6489" t="s">
        <v>772</v>
      </c>
      <c r="C6489">
        <v>3</v>
      </c>
      <c r="D6489" t="str">
        <f>VLOOKUP(B6489,Products!$A:$E,2,FALSE)</f>
        <v>Product_382</v>
      </c>
      <c r="E6489" t="str">
        <f>VLOOKUP(B6489,Products!$A:$E,3,FALSE)</f>
        <v>Storage</v>
      </c>
    </row>
    <row r="6490" spans="1:5" x14ac:dyDescent="0.3">
      <c r="A6490" t="s">
        <v>12502</v>
      </c>
      <c r="B6490" t="s">
        <v>758</v>
      </c>
      <c r="C6490">
        <v>5</v>
      </c>
      <c r="D6490" t="str">
        <f>VLOOKUP(B6490,Products!$A:$E,2,FALSE)</f>
        <v>Product_375</v>
      </c>
      <c r="E6490" t="str">
        <f>VLOOKUP(B6490,Products!$A:$E,3,FALSE)</f>
        <v>Accessories</v>
      </c>
    </row>
    <row r="6491" spans="1:5" x14ac:dyDescent="0.3">
      <c r="A6491" t="s">
        <v>12503</v>
      </c>
      <c r="B6491" t="s">
        <v>710</v>
      </c>
      <c r="C6491">
        <v>26</v>
      </c>
      <c r="D6491" t="str">
        <f>VLOOKUP(B6491,Products!$A:$E,2,FALSE)</f>
        <v>Product_351</v>
      </c>
      <c r="E6491" t="str">
        <f>VLOOKUP(B6491,Products!$A:$E,3,FALSE)</f>
        <v>Accessories</v>
      </c>
    </row>
    <row r="6492" spans="1:5" x14ac:dyDescent="0.3">
      <c r="A6492" t="s">
        <v>12504</v>
      </c>
      <c r="B6492" t="s">
        <v>146</v>
      </c>
      <c r="C6492">
        <v>14</v>
      </c>
      <c r="D6492" t="str">
        <f>VLOOKUP(B6492,Products!$A:$E,2,FALSE)</f>
        <v>Product_69</v>
      </c>
      <c r="E6492" t="str">
        <f>VLOOKUP(B6492,Products!$A:$E,3,FALSE)</f>
        <v>Electronics</v>
      </c>
    </row>
    <row r="6493" spans="1:5" x14ac:dyDescent="0.3">
      <c r="A6493" t="s">
        <v>12505</v>
      </c>
      <c r="B6493" t="s">
        <v>292</v>
      </c>
      <c r="C6493">
        <v>8</v>
      </c>
      <c r="D6493" t="str">
        <f>VLOOKUP(B6493,Products!$A:$E,2,FALSE)</f>
        <v>Product_142</v>
      </c>
      <c r="E6493" t="str">
        <f>VLOOKUP(B6493,Products!$A:$E,3,FALSE)</f>
        <v>Storage</v>
      </c>
    </row>
    <row r="6494" spans="1:5" x14ac:dyDescent="0.3">
      <c r="A6494" t="s">
        <v>12506</v>
      </c>
      <c r="B6494" t="s">
        <v>598</v>
      </c>
      <c r="C6494">
        <v>1</v>
      </c>
      <c r="D6494" t="str">
        <f>VLOOKUP(B6494,Products!$A:$E,2,FALSE)</f>
        <v>Product_295</v>
      </c>
      <c r="E6494" t="str">
        <f>VLOOKUP(B6494,Products!$A:$E,3,FALSE)</f>
        <v>Networking</v>
      </c>
    </row>
    <row r="6495" spans="1:5" x14ac:dyDescent="0.3">
      <c r="A6495" t="s">
        <v>12507</v>
      </c>
      <c r="B6495" t="s">
        <v>676</v>
      </c>
      <c r="C6495">
        <v>14</v>
      </c>
      <c r="D6495" t="str">
        <f>VLOOKUP(B6495,Products!$A:$E,2,FALSE)</f>
        <v>Product_334</v>
      </c>
      <c r="E6495" t="str">
        <f>VLOOKUP(B6495,Products!$A:$E,3,FALSE)</f>
        <v>Accessories</v>
      </c>
    </row>
    <row r="6496" spans="1:5" x14ac:dyDescent="0.3">
      <c r="A6496" t="s">
        <v>12508</v>
      </c>
      <c r="B6496" t="s">
        <v>744</v>
      </c>
      <c r="C6496">
        <v>8</v>
      </c>
      <c r="D6496" t="str">
        <f>VLOOKUP(B6496,Products!$A:$E,2,FALSE)</f>
        <v>Product_368</v>
      </c>
      <c r="E6496" t="str">
        <f>VLOOKUP(B6496,Products!$A:$E,3,FALSE)</f>
        <v>Office Supplies</v>
      </c>
    </row>
    <row r="6497" spans="1:5" x14ac:dyDescent="0.3">
      <c r="A6497" t="s">
        <v>12509</v>
      </c>
      <c r="B6497" t="s">
        <v>858</v>
      </c>
      <c r="C6497">
        <v>45</v>
      </c>
      <c r="D6497" t="str">
        <f>VLOOKUP(B6497,Products!$A:$E,2,FALSE)</f>
        <v>Product_425</v>
      </c>
      <c r="E6497" t="str">
        <f>VLOOKUP(B6497,Products!$A:$E,3,FALSE)</f>
        <v>Office Supplies</v>
      </c>
    </row>
    <row r="6498" spans="1:5" x14ac:dyDescent="0.3">
      <c r="A6498" t="s">
        <v>12510</v>
      </c>
      <c r="B6498" t="s">
        <v>24</v>
      </c>
      <c r="C6498">
        <v>27</v>
      </c>
      <c r="D6498" t="str">
        <f>VLOOKUP(B6498,Products!$A:$E,2,FALSE)</f>
        <v>Product_8</v>
      </c>
      <c r="E6498" t="str">
        <f>VLOOKUP(B6498,Products!$A:$E,3,FALSE)</f>
        <v>Storage</v>
      </c>
    </row>
    <row r="6499" spans="1:5" x14ac:dyDescent="0.3">
      <c r="A6499" t="s">
        <v>12511</v>
      </c>
      <c r="B6499" t="s">
        <v>118</v>
      </c>
      <c r="C6499">
        <v>22</v>
      </c>
      <c r="D6499" t="str">
        <f>VLOOKUP(B6499,Products!$A:$E,2,FALSE)</f>
        <v>Product_55</v>
      </c>
      <c r="E6499" t="str">
        <f>VLOOKUP(B6499,Products!$A:$E,3,FALSE)</f>
        <v>Office Supplies</v>
      </c>
    </row>
    <row r="6500" spans="1:5" x14ac:dyDescent="0.3">
      <c r="A6500" t="s">
        <v>12512</v>
      </c>
      <c r="B6500" t="s">
        <v>220</v>
      </c>
      <c r="C6500">
        <v>29</v>
      </c>
      <c r="D6500" t="str">
        <f>VLOOKUP(B6500,Products!$A:$E,2,FALSE)</f>
        <v>Product_106</v>
      </c>
      <c r="E6500" t="str">
        <f>VLOOKUP(B6500,Products!$A:$E,3,FALSE)</f>
        <v>Networking</v>
      </c>
    </row>
    <row r="6501" spans="1:5" x14ac:dyDescent="0.3">
      <c r="A6501" t="s">
        <v>12513</v>
      </c>
      <c r="B6501" t="s">
        <v>156</v>
      </c>
      <c r="C6501">
        <v>10</v>
      </c>
      <c r="D6501" t="str">
        <f>VLOOKUP(B6501,Products!$A:$E,2,FALSE)</f>
        <v>Product_74</v>
      </c>
      <c r="E6501" t="str">
        <f>VLOOKUP(B6501,Products!$A:$E,3,FALSE)</f>
        <v>Storage</v>
      </c>
    </row>
    <row r="6502" spans="1:5" x14ac:dyDescent="0.3">
      <c r="A6502" t="s">
        <v>12514</v>
      </c>
      <c r="B6502" t="s">
        <v>750</v>
      </c>
      <c r="C6502">
        <v>42</v>
      </c>
      <c r="D6502" t="str">
        <f>VLOOKUP(B6502,Products!$A:$E,2,FALSE)</f>
        <v>Product_371</v>
      </c>
      <c r="E6502" t="str">
        <f>VLOOKUP(B6502,Products!$A:$E,3,FALSE)</f>
        <v>Storage</v>
      </c>
    </row>
    <row r="6503" spans="1:5" x14ac:dyDescent="0.3">
      <c r="A6503" t="s">
        <v>12515</v>
      </c>
      <c r="B6503" t="s">
        <v>814</v>
      </c>
      <c r="C6503">
        <v>8</v>
      </c>
      <c r="D6503" t="str">
        <f>VLOOKUP(B6503,Products!$A:$E,2,FALSE)</f>
        <v>Product_403</v>
      </c>
      <c r="E6503" t="str">
        <f>VLOOKUP(B6503,Products!$A:$E,3,FALSE)</f>
        <v>Networking</v>
      </c>
    </row>
    <row r="6504" spans="1:5" x14ac:dyDescent="0.3">
      <c r="A6504" t="s">
        <v>12516</v>
      </c>
      <c r="B6504" t="s">
        <v>898</v>
      </c>
      <c r="C6504">
        <v>24</v>
      </c>
      <c r="D6504" t="str">
        <f>VLOOKUP(B6504,Products!$A:$E,2,FALSE)</f>
        <v>Product_445</v>
      </c>
      <c r="E6504" t="str">
        <f>VLOOKUP(B6504,Products!$A:$E,3,FALSE)</f>
        <v>Office Supplies</v>
      </c>
    </row>
    <row r="6505" spans="1:5" x14ac:dyDescent="0.3">
      <c r="A6505" t="s">
        <v>12517</v>
      </c>
      <c r="B6505" t="s">
        <v>342</v>
      </c>
      <c r="C6505">
        <v>27</v>
      </c>
      <c r="D6505" t="str">
        <f>VLOOKUP(B6505,Products!$A:$E,2,FALSE)</f>
        <v>Product_167</v>
      </c>
      <c r="E6505" t="str">
        <f>VLOOKUP(B6505,Products!$A:$E,3,FALSE)</f>
        <v>Electronics</v>
      </c>
    </row>
    <row r="6506" spans="1:5" x14ac:dyDescent="0.3">
      <c r="A6506" t="s">
        <v>12518</v>
      </c>
      <c r="B6506" t="s">
        <v>396</v>
      </c>
      <c r="C6506">
        <v>43</v>
      </c>
      <c r="D6506" t="str">
        <f>VLOOKUP(B6506,Products!$A:$E,2,FALSE)</f>
        <v>Product_194</v>
      </c>
      <c r="E6506" t="str">
        <f>VLOOKUP(B6506,Products!$A:$E,3,FALSE)</f>
        <v>Networking</v>
      </c>
    </row>
    <row r="6507" spans="1:5" x14ac:dyDescent="0.3">
      <c r="A6507" t="s">
        <v>12519</v>
      </c>
      <c r="B6507" t="s">
        <v>540</v>
      </c>
      <c r="C6507">
        <v>44</v>
      </c>
      <c r="D6507" t="str">
        <f>VLOOKUP(B6507,Products!$A:$E,2,FALSE)</f>
        <v>Product_266</v>
      </c>
      <c r="E6507" t="str">
        <f>VLOOKUP(B6507,Products!$A:$E,3,FALSE)</f>
        <v>Electronics</v>
      </c>
    </row>
    <row r="6508" spans="1:5" x14ac:dyDescent="0.3">
      <c r="A6508" t="s">
        <v>12520</v>
      </c>
      <c r="B6508" t="s">
        <v>290</v>
      </c>
      <c r="C6508">
        <v>29</v>
      </c>
      <c r="D6508" t="str">
        <f>VLOOKUP(B6508,Products!$A:$E,2,FALSE)</f>
        <v>Product_141</v>
      </c>
      <c r="E6508" t="str">
        <f>VLOOKUP(B6508,Products!$A:$E,3,FALSE)</f>
        <v>Electronics</v>
      </c>
    </row>
    <row r="6509" spans="1:5" x14ac:dyDescent="0.3">
      <c r="A6509" t="s">
        <v>12521</v>
      </c>
      <c r="B6509" t="s">
        <v>688</v>
      </c>
      <c r="C6509">
        <v>13</v>
      </c>
      <c r="D6509" t="str">
        <f>VLOOKUP(B6509,Products!$A:$E,2,FALSE)</f>
        <v>Product_340</v>
      </c>
      <c r="E6509" t="str">
        <f>VLOOKUP(B6509,Products!$A:$E,3,FALSE)</f>
        <v>Storage</v>
      </c>
    </row>
    <row r="6510" spans="1:5" x14ac:dyDescent="0.3">
      <c r="A6510" t="s">
        <v>12522</v>
      </c>
      <c r="B6510" t="s">
        <v>888</v>
      </c>
      <c r="C6510">
        <v>41</v>
      </c>
      <c r="D6510" t="str">
        <f>VLOOKUP(B6510,Products!$A:$E,2,FALSE)</f>
        <v>Product_440</v>
      </c>
      <c r="E6510" t="str">
        <f>VLOOKUP(B6510,Products!$A:$E,3,FALSE)</f>
        <v>Accessories</v>
      </c>
    </row>
    <row r="6511" spans="1:5" x14ac:dyDescent="0.3">
      <c r="A6511" t="s">
        <v>12523</v>
      </c>
      <c r="B6511" t="s">
        <v>158</v>
      </c>
      <c r="C6511">
        <v>14</v>
      </c>
      <c r="D6511" t="str">
        <f>VLOOKUP(B6511,Products!$A:$E,2,FALSE)</f>
        <v>Product_75</v>
      </c>
      <c r="E6511" t="str">
        <f>VLOOKUP(B6511,Products!$A:$E,3,FALSE)</f>
        <v>Storage</v>
      </c>
    </row>
    <row r="6512" spans="1:5" x14ac:dyDescent="0.3">
      <c r="A6512" t="s">
        <v>12524</v>
      </c>
      <c r="B6512" t="s">
        <v>408</v>
      </c>
      <c r="C6512">
        <v>23</v>
      </c>
      <c r="D6512" t="str">
        <f>VLOOKUP(B6512,Products!$A:$E,2,FALSE)</f>
        <v>Product_200</v>
      </c>
      <c r="E6512" t="str">
        <f>VLOOKUP(B6512,Products!$A:$E,3,FALSE)</f>
        <v>Office Supplies</v>
      </c>
    </row>
    <row r="6513" spans="1:5" x14ac:dyDescent="0.3">
      <c r="A6513" t="s">
        <v>12525</v>
      </c>
      <c r="B6513" t="s">
        <v>202</v>
      </c>
      <c r="C6513">
        <v>43</v>
      </c>
      <c r="D6513" t="str">
        <f>VLOOKUP(B6513,Products!$A:$E,2,FALSE)</f>
        <v>Product_97</v>
      </c>
      <c r="E6513" t="str">
        <f>VLOOKUP(B6513,Products!$A:$E,3,FALSE)</f>
        <v>Accessories</v>
      </c>
    </row>
    <row r="6514" spans="1:5" x14ac:dyDescent="0.3">
      <c r="A6514" t="s">
        <v>12526</v>
      </c>
      <c r="B6514" t="s">
        <v>888</v>
      </c>
      <c r="C6514">
        <v>43</v>
      </c>
      <c r="D6514" t="str">
        <f>VLOOKUP(B6514,Products!$A:$E,2,FALSE)</f>
        <v>Product_440</v>
      </c>
      <c r="E6514" t="str">
        <f>VLOOKUP(B6514,Products!$A:$E,3,FALSE)</f>
        <v>Accessories</v>
      </c>
    </row>
    <row r="6515" spans="1:5" x14ac:dyDescent="0.3">
      <c r="A6515" t="s">
        <v>12527</v>
      </c>
      <c r="B6515" t="s">
        <v>258</v>
      </c>
      <c r="C6515">
        <v>32</v>
      </c>
      <c r="D6515" t="str">
        <f>VLOOKUP(B6515,Products!$A:$E,2,FALSE)</f>
        <v>Product_125</v>
      </c>
      <c r="E6515" t="str">
        <f>VLOOKUP(B6515,Products!$A:$E,3,FALSE)</f>
        <v>Office Supplies</v>
      </c>
    </row>
    <row r="6516" spans="1:5" x14ac:dyDescent="0.3">
      <c r="A6516" t="s">
        <v>12528</v>
      </c>
      <c r="B6516" t="s">
        <v>510</v>
      </c>
      <c r="C6516">
        <v>18</v>
      </c>
      <c r="D6516" t="str">
        <f>VLOOKUP(B6516,Products!$A:$E,2,FALSE)</f>
        <v>Product_251</v>
      </c>
      <c r="E6516" t="str">
        <f>VLOOKUP(B6516,Products!$A:$E,3,FALSE)</f>
        <v>Electronics</v>
      </c>
    </row>
    <row r="6517" spans="1:5" x14ac:dyDescent="0.3">
      <c r="A6517" t="s">
        <v>12529</v>
      </c>
      <c r="B6517" t="s">
        <v>456</v>
      </c>
      <c r="C6517">
        <v>4</v>
      </c>
      <c r="D6517" t="str">
        <f>VLOOKUP(B6517,Products!$A:$E,2,FALSE)</f>
        <v>Product_224</v>
      </c>
      <c r="E6517" t="str">
        <f>VLOOKUP(B6517,Products!$A:$E,3,FALSE)</f>
        <v>Storage</v>
      </c>
    </row>
    <row r="6518" spans="1:5" x14ac:dyDescent="0.3">
      <c r="A6518" t="s">
        <v>12530</v>
      </c>
      <c r="B6518" t="s">
        <v>268</v>
      </c>
      <c r="C6518">
        <v>1</v>
      </c>
      <c r="D6518" t="str">
        <f>VLOOKUP(B6518,Products!$A:$E,2,FALSE)</f>
        <v>Product_130</v>
      </c>
      <c r="E6518" t="str">
        <f>VLOOKUP(B6518,Products!$A:$E,3,FALSE)</f>
        <v>Storage</v>
      </c>
    </row>
    <row r="6519" spans="1:5" x14ac:dyDescent="0.3">
      <c r="A6519" t="s">
        <v>12531</v>
      </c>
      <c r="B6519" t="s">
        <v>452</v>
      </c>
      <c r="C6519">
        <v>30</v>
      </c>
      <c r="D6519" t="str">
        <f>VLOOKUP(B6519,Products!$A:$E,2,FALSE)</f>
        <v>Product_222</v>
      </c>
      <c r="E6519" t="str">
        <f>VLOOKUP(B6519,Products!$A:$E,3,FALSE)</f>
        <v>Networking</v>
      </c>
    </row>
    <row r="6520" spans="1:5" x14ac:dyDescent="0.3">
      <c r="A6520" t="s">
        <v>12532</v>
      </c>
      <c r="B6520" t="s">
        <v>172</v>
      </c>
      <c r="C6520">
        <v>4</v>
      </c>
      <c r="D6520" t="str">
        <f>VLOOKUP(B6520,Products!$A:$E,2,FALSE)</f>
        <v>Product_82</v>
      </c>
      <c r="E6520" t="str">
        <f>VLOOKUP(B6520,Products!$A:$E,3,FALSE)</f>
        <v>Storage</v>
      </c>
    </row>
    <row r="6521" spans="1:5" x14ac:dyDescent="0.3">
      <c r="A6521" t="s">
        <v>12533</v>
      </c>
      <c r="B6521" t="s">
        <v>810</v>
      </c>
      <c r="C6521">
        <v>4</v>
      </c>
      <c r="D6521" t="str">
        <f>VLOOKUP(B6521,Products!$A:$E,2,FALSE)</f>
        <v>Product_401</v>
      </c>
      <c r="E6521" t="str">
        <f>VLOOKUP(B6521,Products!$A:$E,3,FALSE)</f>
        <v>Storage</v>
      </c>
    </row>
    <row r="6522" spans="1:5" x14ac:dyDescent="0.3">
      <c r="A6522" t="s">
        <v>12534</v>
      </c>
      <c r="B6522" t="s">
        <v>776</v>
      </c>
      <c r="C6522">
        <v>30</v>
      </c>
      <c r="D6522" t="str">
        <f>VLOOKUP(B6522,Products!$A:$E,2,FALSE)</f>
        <v>Product_384</v>
      </c>
      <c r="E6522" t="str">
        <f>VLOOKUP(B6522,Products!$A:$E,3,FALSE)</f>
        <v>Office Supplies</v>
      </c>
    </row>
    <row r="6523" spans="1:5" x14ac:dyDescent="0.3">
      <c r="A6523" t="s">
        <v>12535</v>
      </c>
      <c r="B6523" t="s">
        <v>546</v>
      </c>
      <c r="C6523">
        <v>19</v>
      </c>
      <c r="D6523" t="str">
        <f>VLOOKUP(B6523,Products!$A:$E,2,FALSE)</f>
        <v>Product_269</v>
      </c>
      <c r="E6523" t="str">
        <f>VLOOKUP(B6523,Products!$A:$E,3,FALSE)</f>
        <v>Storage</v>
      </c>
    </row>
    <row r="6524" spans="1:5" x14ac:dyDescent="0.3">
      <c r="A6524" t="s">
        <v>12536</v>
      </c>
      <c r="B6524" t="s">
        <v>218</v>
      </c>
      <c r="C6524">
        <v>27</v>
      </c>
      <c r="D6524" t="str">
        <f>VLOOKUP(B6524,Products!$A:$E,2,FALSE)</f>
        <v>Product_105</v>
      </c>
      <c r="E6524" t="str">
        <f>VLOOKUP(B6524,Products!$A:$E,3,FALSE)</f>
        <v>Networking</v>
      </c>
    </row>
    <row r="6525" spans="1:5" x14ac:dyDescent="0.3">
      <c r="A6525" t="s">
        <v>12537</v>
      </c>
      <c r="B6525" t="s">
        <v>122</v>
      </c>
      <c r="C6525">
        <v>19</v>
      </c>
      <c r="D6525" t="str">
        <f>VLOOKUP(B6525,Products!$A:$E,2,FALSE)</f>
        <v>Product_57</v>
      </c>
      <c r="E6525" t="str">
        <f>VLOOKUP(B6525,Products!$A:$E,3,FALSE)</f>
        <v>Electronics</v>
      </c>
    </row>
    <row r="6526" spans="1:5" x14ac:dyDescent="0.3">
      <c r="A6526" t="s">
        <v>12538</v>
      </c>
      <c r="B6526" t="s">
        <v>154</v>
      </c>
      <c r="C6526">
        <v>19</v>
      </c>
      <c r="D6526" t="str">
        <f>VLOOKUP(B6526,Products!$A:$E,2,FALSE)</f>
        <v>Product_73</v>
      </c>
      <c r="E6526" t="str">
        <f>VLOOKUP(B6526,Products!$A:$E,3,FALSE)</f>
        <v>Office Supplies</v>
      </c>
    </row>
    <row r="6527" spans="1:5" x14ac:dyDescent="0.3">
      <c r="A6527" t="s">
        <v>12539</v>
      </c>
      <c r="B6527" t="s">
        <v>296</v>
      </c>
      <c r="C6527">
        <v>12</v>
      </c>
      <c r="D6527" t="str">
        <f>VLOOKUP(B6527,Products!$A:$E,2,FALSE)</f>
        <v>Product_144</v>
      </c>
      <c r="E6527" t="str">
        <f>VLOOKUP(B6527,Products!$A:$E,3,FALSE)</f>
        <v>Office Supplies</v>
      </c>
    </row>
    <row r="6528" spans="1:5" x14ac:dyDescent="0.3">
      <c r="A6528" t="s">
        <v>12540</v>
      </c>
      <c r="B6528" t="s">
        <v>446</v>
      </c>
      <c r="C6528">
        <v>50</v>
      </c>
      <c r="D6528" t="str">
        <f>VLOOKUP(B6528,Products!$A:$E,2,FALSE)</f>
        <v>Product_219</v>
      </c>
      <c r="E6528" t="str">
        <f>VLOOKUP(B6528,Products!$A:$E,3,FALSE)</f>
        <v>Accessories</v>
      </c>
    </row>
    <row r="6529" spans="1:5" x14ac:dyDescent="0.3">
      <c r="A6529" t="s">
        <v>12541</v>
      </c>
      <c r="B6529" t="s">
        <v>24</v>
      </c>
      <c r="C6529">
        <v>31</v>
      </c>
      <c r="D6529" t="str">
        <f>VLOOKUP(B6529,Products!$A:$E,2,FALSE)</f>
        <v>Product_8</v>
      </c>
      <c r="E6529" t="str">
        <f>VLOOKUP(B6529,Products!$A:$E,3,FALSE)</f>
        <v>Storage</v>
      </c>
    </row>
    <row r="6530" spans="1:5" x14ac:dyDescent="0.3">
      <c r="A6530" t="s">
        <v>12542</v>
      </c>
      <c r="B6530" t="s">
        <v>814</v>
      </c>
      <c r="C6530">
        <v>49</v>
      </c>
      <c r="D6530" t="str">
        <f>VLOOKUP(B6530,Products!$A:$E,2,FALSE)</f>
        <v>Product_403</v>
      </c>
      <c r="E6530" t="str">
        <f>VLOOKUP(B6530,Products!$A:$E,3,FALSE)</f>
        <v>Networking</v>
      </c>
    </row>
    <row r="6531" spans="1:5" x14ac:dyDescent="0.3">
      <c r="A6531" t="s">
        <v>12543</v>
      </c>
      <c r="B6531" t="s">
        <v>552</v>
      </c>
      <c r="C6531">
        <v>5</v>
      </c>
      <c r="D6531" t="str">
        <f>VLOOKUP(B6531,Products!$A:$E,2,FALSE)</f>
        <v>Product_272</v>
      </c>
      <c r="E6531" t="str">
        <f>VLOOKUP(B6531,Products!$A:$E,3,FALSE)</f>
        <v>Office Supplies</v>
      </c>
    </row>
    <row r="6532" spans="1:5" x14ac:dyDescent="0.3">
      <c r="A6532" t="s">
        <v>12544</v>
      </c>
      <c r="B6532" t="s">
        <v>610</v>
      </c>
      <c r="C6532">
        <v>30</v>
      </c>
      <c r="D6532" t="str">
        <f>VLOOKUP(B6532,Products!$A:$E,2,FALSE)</f>
        <v>Product_301</v>
      </c>
      <c r="E6532" t="str">
        <f>VLOOKUP(B6532,Products!$A:$E,3,FALSE)</f>
        <v>Networking</v>
      </c>
    </row>
    <row r="6533" spans="1:5" x14ac:dyDescent="0.3">
      <c r="A6533" t="s">
        <v>12545</v>
      </c>
      <c r="B6533" t="s">
        <v>366</v>
      </c>
      <c r="C6533">
        <v>20</v>
      </c>
      <c r="D6533" t="str">
        <f>VLOOKUP(B6533,Products!$A:$E,2,FALSE)</f>
        <v>Product_179</v>
      </c>
      <c r="E6533" t="str">
        <f>VLOOKUP(B6533,Products!$A:$E,3,FALSE)</f>
        <v>Storage</v>
      </c>
    </row>
    <row r="6534" spans="1:5" x14ac:dyDescent="0.3">
      <c r="A6534" t="s">
        <v>12546</v>
      </c>
      <c r="B6534" t="s">
        <v>668</v>
      </c>
      <c r="C6534">
        <v>15</v>
      </c>
      <c r="D6534" t="str">
        <f>VLOOKUP(B6534,Products!$A:$E,2,FALSE)</f>
        <v>Product_330</v>
      </c>
      <c r="E6534" t="str">
        <f>VLOOKUP(B6534,Products!$A:$E,3,FALSE)</f>
        <v>Electronics</v>
      </c>
    </row>
    <row r="6535" spans="1:5" x14ac:dyDescent="0.3">
      <c r="A6535" t="s">
        <v>12547</v>
      </c>
      <c r="B6535" t="s">
        <v>470</v>
      </c>
      <c r="C6535">
        <v>13</v>
      </c>
      <c r="D6535" t="str">
        <f>VLOOKUP(B6535,Products!$A:$E,2,FALSE)</f>
        <v>Product_231</v>
      </c>
      <c r="E6535" t="str">
        <f>VLOOKUP(B6535,Products!$A:$E,3,FALSE)</f>
        <v>Accessories</v>
      </c>
    </row>
    <row r="6536" spans="1:5" x14ac:dyDescent="0.3">
      <c r="A6536" t="s">
        <v>12548</v>
      </c>
      <c r="B6536" t="s">
        <v>714</v>
      </c>
      <c r="C6536">
        <v>18</v>
      </c>
      <c r="D6536" t="str">
        <f>VLOOKUP(B6536,Products!$A:$E,2,FALSE)</f>
        <v>Product_353</v>
      </c>
      <c r="E6536" t="str">
        <f>VLOOKUP(B6536,Products!$A:$E,3,FALSE)</f>
        <v>Accessories</v>
      </c>
    </row>
    <row r="6537" spans="1:5" x14ac:dyDescent="0.3">
      <c r="A6537" t="s">
        <v>12549</v>
      </c>
      <c r="B6537" t="s">
        <v>868</v>
      </c>
      <c r="C6537">
        <v>31</v>
      </c>
      <c r="D6537" t="str">
        <f>VLOOKUP(B6537,Products!$A:$E,2,FALSE)</f>
        <v>Product_430</v>
      </c>
      <c r="E6537" t="str">
        <f>VLOOKUP(B6537,Products!$A:$E,3,FALSE)</f>
        <v>Electronics</v>
      </c>
    </row>
    <row r="6538" spans="1:5" x14ac:dyDescent="0.3">
      <c r="A6538" t="s">
        <v>12550</v>
      </c>
      <c r="B6538" t="s">
        <v>996</v>
      </c>
      <c r="C6538">
        <v>25</v>
      </c>
      <c r="D6538" t="str">
        <f>VLOOKUP(B6538,Products!$A:$E,2,FALSE)</f>
        <v>Product_494</v>
      </c>
      <c r="E6538" t="str">
        <f>VLOOKUP(B6538,Products!$A:$E,3,FALSE)</f>
        <v>Office Supplies</v>
      </c>
    </row>
    <row r="6539" spans="1:5" x14ac:dyDescent="0.3">
      <c r="A6539" t="s">
        <v>12551</v>
      </c>
      <c r="B6539" t="s">
        <v>286</v>
      </c>
      <c r="C6539">
        <v>11</v>
      </c>
      <c r="D6539" t="str">
        <f>VLOOKUP(B6539,Products!$A:$E,2,FALSE)</f>
        <v>Product_139</v>
      </c>
      <c r="E6539" t="str">
        <f>VLOOKUP(B6539,Products!$A:$E,3,FALSE)</f>
        <v>Storage</v>
      </c>
    </row>
    <row r="6540" spans="1:5" x14ac:dyDescent="0.3">
      <c r="A6540" t="s">
        <v>12552</v>
      </c>
      <c r="B6540" t="s">
        <v>500</v>
      </c>
      <c r="C6540">
        <v>15</v>
      </c>
      <c r="D6540" t="str">
        <f>VLOOKUP(B6540,Products!$A:$E,2,FALSE)</f>
        <v>Product_246</v>
      </c>
      <c r="E6540" t="str">
        <f>VLOOKUP(B6540,Products!$A:$E,3,FALSE)</f>
        <v>Electronics</v>
      </c>
    </row>
    <row r="6541" spans="1:5" x14ac:dyDescent="0.3">
      <c r="A6541" t="s">
        <v>12553</v>
      </c>
      <c r="B6541" t="s">
        <v>458</v>
      </c>
      <c r="C6541">
        <v>9</v>
      </c>
      <c r="D6541" t="str">
        <f>VLOOKUP(B6541,Products!$A:$E,2,FALSE)</f>
        <v>Product_225</v>
      </c>
      <c r="E6541" t="str">
        <f>VLOOKUP(B6541,Products!$A:$E,3,FALSE)</f>
        <v>Accessories</v>
      </c>
    </row>
    <row r="6542" spans="1:5" x14ac:dyDescent="0.3">
      <c r="A6542" t="s">
        <v>12554</v>
      </c>
      <c r="B6542" t="s">
        <v>26</v>
      </c>
      <c r="C6542">
        <v>50</v>
      </c>
      <c r="D6542" t="str">
        <f>VLOOKUP(B6542,Products!$A:$E,2,FALSE)</f>
        <v>Product_9</v>
      </c>
      <c r="E6542" t="str">
        <f>VLOOKUP(B6542,Products!$A:$E,3,FALSE)</f>
        <v>Storage</v>
      </c>
    </row>
    <row r="6543" spans="1:5" x14ac:dyDescent="0.3">
      <c r="A6543" t="s">
        <v>12555</v>
      </c>
      <c r="B6543" t="s">
        <v>250</v>
      </c>
      <c r="C6543">
        <v>42</v>
      </c>
      <c r="D6543" t="str">
        <f>VLOOKUP(B6543,Products!$A:$E,2,FALSE)</f>
        <v>Product_121</v>
      </c>
      <c r="E6543" t="str">
        <f>VLOOKUP(B6543,Products!$A:$E,3,FALSE)</f>
        <v>Storage</v>
      </c>
    </row>
    <row r="6544" spans="1:5" x14ac:dyDescent="0.3">
      <c r="A6544" t="s">
        <v>12556</v>
      </c>
      <c r="B6544" t="s">
        <v>506</v>
      </c>
      <c r="C6544">
        <v>25</v>
      </c>
      <c r="D6544" t="str">
        <f>VLOOKUP(B6544,Products!$A:$E,2,FALSE)</f>
        <v>Product_249</v>
      </c>
      <c r="E6544" t="str">
        <f>VLOOKUP(B6544,Products!$A:$E,3,FALSE)</f>
        <v>Storage</v>
      </c>
    </row>
    <row r="6545" spans="1:5" x14ac:dyDescent="0.3">
      <c r="A6545" t="s">
        <v>12557</v>
      </c>
      <c r="B6545" t="s">
        <v>234</v>
      </c>
      <c r="C6545">
        <v>36</v>
      </c>
      <c r="D6545" t="str">
        <f>VLOOKUP(B6545,Products!$A:$E,2,FALSE)</f>
        <v>Product_113</v>
      </c>
      <c r="E6545" t="str">
        <f>VLOOKUP(B6545,Products!$A:$E,3,FALSE)</f>
        <v>Electronics</v>
      </c>
    </row>
    <row r="6546" spans="1:5" x14ac:dyDescent="0.3">
      <c r="A6546" t="s">
        <v>12558</v>
      </c>
      <c r="B6546" t="s">
        <v>530</v>
      </c>
      <c r="C6546">
        <v>42</v>
      </c>
      <c r="D6546" t="str">
        <f>VLOOKUP(B6546,Products!$A:$E,2,FALSE)</f>
        <v>Product_261</v>
      </c>
      <c r="E6546" t="str">
        <f>VLOOKUP(B6546,Products!$A:$E,3,FALSE)</f>
        <v>Accessories</v>
      </c>
    </row>
    <row r="6547" spans="1:5" x14ac:dyDescent="0.3">
      <c r="A6547" t="s">
        <v>12559</v>
      </c>
      <c r="B6547" t="s">
        <v>966</v>
      </c>
      <c r="C6547">
        <v>10</v>
      </c>
      <c r="D6547" t="str">
        <f>VLOOKUP(B6547,Products!$A:$E,2,FALSE)</f>
        <v>Product_479</v>
      </c>
      <c r="E6547" t="str">
        <f>VLOOKUP(B6547,Products!$A:$E,3,FALSE)</f>
        <v>Office Supplies</v>
      </c>
    </row>
    <row r="6548" spans="1:5" x14ac:dyDescent="0.3">
      <c r="A6548" t="s">
        <v>12560</v>
      </c>
      <c r="B6548" t="s">
        <v>122</v>
      </c>
      <c r="C6548">
        <v>18</v>
      </c>
      <c r="D6548" t="str">
        <f>VLOOKUP(B6548,Products!$A:$E,2,FALSE)</f>
        <v>Product_57</v>
      </c>
      <c r="E6548" t="str">
        <f>VLOOKUP(B6548,Products!$A:$E,3,FALSE)</f>
        <v>Electronics</v>
      </c>
    </row>
    <row r="6549" spans="1:5" x14ac:dyDescent="0.3">
      <c r="A6549" t="s">
        <v>12561</v>
      </c>
      <c r="B6549" t="s">
        <v>748</v>
      </c>
      <c r="C6549">
        <v>24</v>
      </c>
      <c r="D6549" t="str">
        <f>VLOOKUP(B6549,Products!$A:$E,2,FALSE)</f>
        <v>Product_370</v>
      </c>
      <c r="E6549" t="str">
        <f>VLOOKUP(B6549,Products!$A:$E,3,FALSE)</f>
        <v>Networking</v>
      </c>
    </row>
    <row r="6550" spans="1:5" x14ac:dyDescent="0.3">
      <c r="A6550" t="s">
        <v>12562</v>
      </c>
      <c r="B6550" t="s">
        <v>544</v>
      </c>
      <c r="C6550">
        <v>17</v>
      </c>
      <c r="D6550" t="str">
        <f>VLOOKUP(B6550,Products!$A:$E,2,FALSE)</f>
        <v>Product_268</v>
      </c>
      <c r="E6550" t="str">
        <f>VLOOKUP(B6550,Products!$A:$E,3,FALSE)</f>
        <v>Office Supplies</v>
      </c>
    </row>
    <row r="6551" spans="1:5" x14ac:dyDescent="0.3">
      <c r="A6551" t="s">
        <v>12563</v>
      </c>
      <c r="B6551" t="s">
        <v>716</v>
      </c>
      <c r="C6551">
        <v>7</v>
      </c>
      <c r="D6551" t="str">
        <f>VLOOKUP(B6551,Products!$A:$E,2,FALSE)</f>
        <v>Product_354</v>
      </c>
      <c r="E6551" t="str">
        <f>VLOOKUP(B6551,Products!$A:$E,3,FALSE)</f>
        <v>Storage</v>
      </c>
    </row>
    <row r="6552" spans="1:5" x14ac:dyDescent="0.3">
      <c r="A6552" t="s">
        <v>12564</v>
      </c>
      <c r="B6552" t="s">
        <v>288</v>
      </c>
      <c r="C6552">
        <v>43</v>
      </c>
      <c r="D6552" t="str">
        <f>VLOOKUP(B6552,Products!$A:$E,2,FALSE)</f>
        <v>Product_140</v>
      </c>
      <c r="E6552" t="str">
        <f>VLOOKUP(B6552,Products!$A:$E,3,FALSE)</f>
        <v>Electronics</v>
      </c>
    </row>
    <row r="6553" spans="1:5" x14ac:dyDescent="0.3">
      <c r="A6553" t="s">
        <v>12565</v>
      </c>
      <c r="B6553" t="s">
        <v>538</v>
      </c>
      <c r="C6553">
        <v>20</v>
      </c>
      <c r="D6553" t="str">
        <f>VLOOKUP(B6553,Products!$A:$E,2,FALSE)</f>
        <v>Product_265</v>
      </c>
      <c r="E6553" t="str">
        <f>VLOOKUP(B6553,Products!$A:$E,3,FALSE)</f>
        <v>Accessories</v>
      </c>
    </row>
    <row r="6554" spans="1:5" x14ac:dyDescent="0.3">
      <c r="A6554" t="s">
        <v>12566</v>
      </c>
      <c r="B6554" t="s">
        <v>774</v>
      </c>
      <c r="C6554">
        <v>26</v>
      </c>
      <c r="D6554" t="str">
        <f>VLOOKUP(B6554,Products!$A:$E,2,FALSE)</f>
        <v>Product_383</v>
      </c>
      <c r="E6554" t="str">
        <f>VLOOKUP(B6554,Products!$A:$E,3,FALSE)</f>
        <v>Electronics</v>
      </c>
    </row>
    <row r="6555" spans="1:5" x14ac:dyDescent="0.3">
      <c r="A6555" t="s">
        <v>12567</v>
      </c>
      <c r="B6555" t="s">
        <v>30</v>
      </c>
      <c r="C6555">
        <v>5</v>
      </c>
      <c r="D6555" t="str">
        <f>VLOOKUP(B6555,Products!$A:$E,2,FALSE)</f>
        <v>Product_11</v>
      </c>
      <c r="E6555" t="str">
        <f>VLOOKUP(B6555,Products!$A:$E,3,FALSE)</f>
        <v>Electronics</v>
      </c>
    </row>
    <row r="6556" spans="1:5" x14ac:dyDescent="0.3">
      <c r="A6556" t="s">
        <v>12568</v>
      </c>
      <c r="B6556" t="s">
        <v>590</v>
      </c>
      <c r="C6556">
        <v>7</v>
      </c>
      <c r="D6556" t="str">
        <f>VLOOKUP(B6556,Products!$A:$E,2,FALSE)</f>
        <v>Product_291</v>
      </c>
      <c r="E6556" t="str">
        <f>VLOOKUP(B6556,Products!$A:$E,3,FALSE)</f>
        <v>Networking</v>
      </c>
    </row>
    <row r="6557" spans="1:5" x14ac:dyDescent="0.3">
      <c r="A6557" t="s">
        <v>12569</v>
      </c>
      <c r="B6557" t="s">
        <v>256</v>
      </c>
      <c r="C6557">
        <v>19</v>
      </c>
      <c r="D6557" t="str">
        <f>VLOOKUP(B6557,Products!$A:$E,2,FALSE)</f>
        <v>Product_124</v>
      </c>
      <c r="E6557" t="str">
        <f>VLOOKUP(B6557,Products!$A:$E,3,FALSE)</f>
        <v>Storage</v>
      </c>
    </row>
    <row r="6558" spans="1:5" x14ac:dyDescent="0.3">
      <c r="A6558" t="s">
        <v>12570</v>
      </c>
      <c r="B6558" t="s">
        <v>268</v>
      </c>
      <c r="C6558">
        <v>16</v>
      </c>
      <c r="D6558" t="str">
        <f>VLOOKUP(B6558,Products!$A:$E,2,FALSE)</f>
        <v>Product_130</v>
      </c>
      <c r="E6558" t="str">
        <f>VLOOKUP(B6558,Products!$A:$E,3,FALSE)</f>
        <v>Storage</v>
      </c>
    </row>
    <row r="6559" spans="1:5" x14ac:dyDescent="0.3">
      <c r="A6559" t="s">
        <v>12571</v>
      </c>
      <c r="B6559" t="s">
        <v>784</v>
      </c>
      <c r="C6559">
        <v>43</v>
      </c>
      <c r="D6559" t="str">
        <f>VLOOKUP(B6559,Products!$A:$E,2,FALSE)</f>
        <v>Product_388</v>
      </c>
      <c r="E6559" t="str">
        <f>VLOOKUP(B6559,Products!$A:$E,3,FALSE)</f>
        <v>Office Supplies</v>
      </c>
    </row>
    <row r="6560" spans="1:5" x14ac:dyDescent="0.3">
      <c r="A6560" t="s">
        <v>12572</v>
      </c>
      <c r="B6560" t="s">
        <v>962</v>
      </c>
      <c r="C6560">
        <v>36</v>
      </c>
      <c r="D6560" t="str">
        <f>VLOOKUP(B6560,Products!$A:$E,2,FALSE)</f>
        <v>Product_477</v>
      </c>
      <c r="E6560" t="str">
        <f>VLOOKUP(B6560,Products!$A:$E,3,FALSE)</f>
        <v>Networking</v>
      </c>
    </row>
    <row r="6561" spans="1:5" x14ac:dyDescent="0.3">
      <c r="A6561" t="s">
        <v>12573</v>
      </c>
      <c r="B6561" t="s">
        <v>886</v>
      </c>
      <c r="C6561">
        <v>40</v>
      </c>
      <c r="D6561" t="str">
        <f>VLOOKUP(B6561,Products!$A:$E,2,FALSE)</f>
        <v>Product_439</v>
      </c>
      <c r="E6561" t="str">
        <f>VLOOKUP(B6561,Products!$A:$E,3,FALSE)</f>
        <v>Networking</v>
      </c>
    </row>
    <row r="6562" spans="1:5" x14ac:dyDescent="0.3">
      <c r="A6562" t="s">
        <v>12574</v>
      </c>
      <c r="B6562" t="s">
        <v>598</v>
      </c>
      <c r="C6562">
        <v>34</v>
      </c>
      <c r="D6562" t="str">
        <f>VLOOKUP(B6562,Products!$A:$E,2,FALSE)</f>
        <v>Product_295</v>
      </c>
      <c r="E6562" t="str">
        <f>VLOOKUP(B6562,Products!$A:$E,3,FALSE)</f>
        <v>Networking</v>
      </c>
    </row>
    <row r="6563" spans="1:5" x14ac:dyDescent="0.3">
      <c r="A6563" t="s">
        <v>12575</v>
      </c>
      <c r="B6563" t="s">
        <v>952</v>
      </c>
      <c r="C6563">
        <v>12</v>
      </c>
      <c r="D6563" t="str">
        <f>VLOOKUP(B6563,Products!$A:$E,2,FALSE)</f>
        <v>Product_472</v>
      </c>
      <c r="E6563" t="str">
        <f>VLOOKUP(B6563,Products!$A:$E,3,FALSE)</f>
        <v>Electronics</v>
      </c>
    </row>
    <row r="6564" spans="1:5" x14ac:dyDescent="0.3">
      <c r="A6564" t="s">
        <v>12576</v>
      </c>
      <c r="B6564" t="s">
        <v>652</v>
      </c>
      <c r="C6564">
        <v>32</v>
      </c>
      <c r="D6564" t="str">
        <f>VLOOKUP(B6564,Products!$A:$E,2,FALSE)</f>
        <v>Product_322</v>
      </c>
      <c r="E6564" t="str">
        <f>VLOOKUP(B6564,Products!$A:$E,3,FALSE)</f>
        <v>Accessories</v>
      </c>
    </row>
    <row r="6565" spans="1:5" x14ac:dyDescent="0.3">
      <c r="A6565" t="s">
        <v>12577</v>
      </c>
      <c r="B6565" t="s">
        <v>550</v>
      </c>
      <c r="C6565">
        <v>1</v>
      </c>
      <c r="D6565" t="str">
        <f>VLOOKUP(B6565,Products!$A:$E,2,FALSE)</f>
        <v>Product_271</v>
      </c>
      <c r="E6565" t="str">
        <f>VLOOKUP(B6565,Products!$A:$E,3,FALSE)</f>
        <v>Electronics</v>
      </c>
    </row>
    <row r="6566" spans="1:5" x14ac:dyDescent="0.3">
      <c r="A6566" t="s">
        <v>12578</v>
      </c>
      <c r="B6566" t="s">
        <v>162</v>
      </c>
      <c r="C6566">
        <v>2</v>
      </c>
      <c r="D6566" t="str">
        <f>VLOOKUP(B6566,Products!$A:$E,2,FALSE)</f>
        <v>Product_77</v>
      </c>
      <c r="E6566" t="str">
        <f>VLOOKUP(B6566,Products!$A:$E,3,FALSE)</f>
        <v>Networking</v>
      </c>
    </row>
    <row r="6567" spans="1:5" x14ac:dyDescent="0.3">
      <c r="A6567" t="s">
        <v>12579</v>
      </c>
      <c r="B6567" t="s">
        <v>344</v>
      </c>
      <c r="C6567">
        <v>50</v>
      </c>
      <c r="D6567" t="str">
        <f>VLOOKUP(B6567,Products!$A:$E,2,FALSE)</f>
        <v>Product_168</v>
      </c>
      <c r="E6567" t="str">
        <f>VLOOKUP(B6567,Products!$A:$E,3,FALSE)</f>
        <v>Electronics</v>
      </c>
    </row>
    <row r="6568" spans="1:5" x14ac:dyDescent="0.3">
      <c r="A6568" t="s">
        <v>12580</v>
      </c>
      <c r="B6568" t="s">
        <v>716</v>
      </c>
      <c r="C6568">
        <v>50</v>
      </c>
      <c r="D6568" t="str">
        <f>VLOOKUP(B6568,Products!$A:$E,2,FALSE)</f>
        <v>Product_354</v>
      </c>
      <c r="E6568" t="str">
        <f>VLOOKUP(B6568,Products!$A:$E,3,FALSE)</f>
        <v>Storage</v>
      </c>
    </row>
    <row r="6569" spans="1:5" x14ac:dyDescent="0.3">
      <c r="A6569" t="s">
        <v>12581</v>
      </c>
      <c r="B6569" t="s">
        <v>576</v>
      </c>
      <c r="C6569">
        <v>27</v>
      </c>
      <c r="D6569" t="str">
        <f>VLOOKUP(B6569,Products!$A:$E,2,FALSE)</f>
        <v>Product_284</v>
      </c>
      <c r="E6569" t="str">
        <f>VLOOKUP(B6569,Products!$A:$E,3,FALSE)</f>
        <v>Networking</v>
      </c>
    </row>
    <row r="6570" spans="1:5" x14ac:dyDescent="0.3">
      <c r="A6570" t="s">
        <v>12582</v>
      </c>
      <c r="B6570" t="s">
        <v>590</v>
      </c>
      <c r="C6570">
        <v>22</v>
      </c>
      <c r="D6570" t="str">
        <f>VLOOKUP(B6570,Products!$A:$E,2,FALSE)</f>
        <v>Product_291</v>
      </c>
      <c r="E6570" t="str">
        <f>VLOOKUP(B6570,Products!$A:$E,3,FALSE)</f>
        <v>Networking</v>
      </c>
    </row>
    <row r="6571" spans="1:5" x14ac:dyDescent="0.3">
      <c r="A6571" t="s">
        <v>12583</v>
      </c>
      <c r="B6571" t="s">
        <v>5</v>
      </c>
      <c r="C6571">
        <v>31</v>
      </c>
      <c r="D6571" t="str">
        <f>VLOOKUP(B6571,Products!$A:$E,2,FALSE)</f>
        <v>Product_1</v>
      </c>
      <c r="E6571" t="str">
        <f>VLOOKUP(B6571,Products!$A:$E,3,FALSE)</f>
        <v>Electronics</v>
      </c>
    </row>
    <row r="6572" spans="1:5" x14ac:dyDescent="0.3">
      <c r="A6572" t="s">
        <v>12584</v>
      </c>
      <c r="B6572" t="s">
        <v>208</v>
      </c>
      <c r="C6572">
        <v>12</v>
      </c>
      <c r="D6572" t="str">
        <f>VLOOKUP(B6572,Products!$A:$E,2,FALSE)</f>
        <v>Product_100</v>
      </c>
      <c r="E6572" t="str">
        <f>VLOOKUP(B6572,Products!$A:$E,3,FALSE)</f>
        <v>Accessories</v>
      </c>
    </row>
    <row r="6573" spans="1:5" x14ac:dyDescent="0.3">
      <c r="A6573" t="s">
        <v>12585</v>
      </c>
      <c r="B6573" t="s">
        <v>120</v>
      </c>
      <c r="C6573">
        <v>47</v>
      </c>
      <c r="D6573" t="str">
        <f>VLOOKUP(B6573,Products!$A:$E,2,FALSE)</f>
        <v>Product_56</v>
      </c>
      <c r="E6573" t="str">
        <f>VLOOKUP(B6573,Products!$A:$E,3,FALSE)</f>
        <v>Networking</v>
      </c>
    </row>
    <row r="6574" spans="1:5" x14ac:dyDescent="0.3">
      <c r="A6574" t="s">
        <v>12586</v>
      </c>
      <c r="B6574" t="s">
        <v>322</v>
      </c>
      <c r="C6574">
        <v>47</v>
      </c>
      <c r="D6574" t="str">
        <f>VLOOKUP(B6574,Products!$A:$E,2,FALSE)</f>
        <v>Product_157</v>
      </c>
      <c r="E6574" t="str">
        <f>VLOOKUP(B6574,Products!$A:$E,3,FALSE)</f>
        <v>Electronics</v>
      </c>
    </row>
    <row r="6575" spans="1:5" x14ac:dyDescent="0.3">
      <c r="A6575" t="s">
        <v>12587</v>
      </c>
      <c r="B6575" t="s">
        <v>792</v>
      </c>
      <c r="C6575">
        <v>28</v>
      </c>
      <c r="D6575" t="str">
        <f>VLOOKUP(B6575,Products!$A:$E,2,FALSE)</f>
        <v>Product_392</v>
      </c>
      <c r="E6575" t="str">
        <f>VLOOKUP(B6575,Products!$A:$E,3,FALSE)</f>
        <v>Electronics</v>
      </c>
    </row>
    <row r="6576" spans="1:5" x14ac:dyDescent="0.3">
      <c r="A6576" t="s">
        <v>12588</v>
      </c>
      <c r="B6576" t="s">
        <v>266</v>
      </c>
      <c r="C6576">
        <v>45</v>
      </c>
      <c r="D6576" t="str">
        <f>VLOOKUP(B6576,Products!$A:$E,2,FALSE)</f>
        <v>Product_129</v>
      </c>
      <c r="E6576" t="str">
        <f>VLOOKUP(B6576,Products!$A:$E,3,FALSE)</f>
        <v>Electronics</v>
      </c>
    </row>
    <row r="6577" spans="1:5" x14ac:dyDescent="0.3">
      <c r="A6577" t="s">
        <v>12589</v>
      </c>
      <c r="B6577" t="s">
        <v>832</v>
      </c>
      <c r="C6577">
        <v>18</v>
      </c>
      <c r="D6577" t="str">
        <f>VLOOKUP(B6577,Products!$A:$E,2,FALSE)</f>
        <v>Product_412</v>
      </c>
      <c r="E6577" t="str">
        <f>VLOOKUP(B6577,Products!$A:$E,3,FALSE)</f>
        <v>Accessories</v>
      </c>
    </row>
    <row r="6578" spans="1:5" x14ac:dyDescent="0.3">
      <c r="A6578" t="s">
        <v>12590</v>
      </c>
      <c r="B6578" t="s">
        <v>610</v>
      </c>
      <c r="C6578">
        <v>13</v>
      </c>
      <c r="D6578" t="str">
        <f>VLOOKUP(B6578,Products!$A:$E,2,FALSE)</f>
        <v>Product_301</v>
      </c>
      <c r="E6578" t="str">
        <f>VLOOKUP(B6578,Products!$A:$E,3,FALSE)</f>
        <v>Networking</v>
      </c>
    </row>
    <row r="6579" spans="1:5" x14ac:dyDescent="0.3">
      <c r="A6579" t="s">
        <v>12591</v>
      </c>
      <c r="B6579" t="s">
        <v>652</v>
      </c>
      <c r="C6579">
        <v>26</v>
      </c>
      <c r="D6579" t="str">
        <f>VLOOKUP(B6579,Products!$A:$E,2,FALSE)</f>
        <v>Product_322</v>
      </c>
      <c r="E6579" t="str">
        <f>VLOOKUP(B6579,Products!$A:$E,3,FALSE)</f>
        <v>Accessories</v>
      </c>
    </row>
    <row r="6580" spans="1:5" x14ac:dyDescent="0.3">
      <c r="A6580" t="s">
        <v>12592</v>
      </c>
      <c r="B6580" t="s">
        <v>694</v>
      </c>
      <c r="C6580">
        <v>39</v>
      </c>
      <c r="D6580" t="str">
        <f>VLOOKUP(B6580,Products!$A:$E,2,FALSE)</f>
        <v>Product_343</v>
      </c>
      <c r="E6580" t="str">
        <f>VLOOKUP(B6580,Products!$A:$E,3,FALSE)</f>
        <v>Office Supplies</v>
      </c>
    </row>
    <row r="6581" spans="1:5" x14ac:dyDescent="0.3">
      <c r="A6581" t="s">
        <v>12593</v>
      </c>
      <c r="B6581" t="s">
        <v>588</v>
      </c>
      <c r="C6581">
        <v>37</v>
      </c>
      <c r="D6581" t="str">
        <f>VLOOKUP(B6581,Products!$A:$E,2,FALSE)</f>
        <v>Product_290</v>
      </c>
      <c r="E6581" t="str">
        <f>VLOOKUP(B6581,Products!$A:$E,3,FALSE)</f>
        <v>Accessories</v>
      </c>
    </row>
    <row r="6582" spans="1:5" x14ac:dyDescent="0.3">
      <c r="A6582" t="s">
        <v>12594</v>
      </c>
      <c r="B6582" t="s">
        <v>374</v>
      </c>
      <c r="C6582">
        <v>7</v>
      </c>
      <c r="D6582" t="str">
        <f>VLOOKUP(B6582,Products!$A:$E,2,FALSE)</f>
        <v>Product_183</v>
      </c>
      <c r="E6582" t="str">
        <f>VLOOKUP(B6582,Products!$A:$E,3,FALSE)</f>
        <v>Electronics</v>
      </c>
    </row>
    <row r="6583" spans="1:5" x14ac:dyDescent="0.3">
      <c r="A6583" t="s">
        <v>12595</v>
      </c>
      <c r="B6583" t="s">
        <v>398</v>
      </c>
      <c r="C6583">
        <v>31</v>
      </c>
      <c r="D6583" t="str">
        <f>VLOOKUP(B6583,Products!$A:$E,2,FALSE)</f>
        <v>Product_195</v>
      </c>
      <c r="E6583" t="str">
        <f>VLOOKUP(B6583,Products!$A:$E,3,FALSE)</f>
        <v>Accessories</v>
      </c>
    </row>
    <row r="6584" spans="1:5" x14ac:dyDescent="0.3">
      <c r="A6584" t="s">
        <v>12596</v>
      </c>
      <c r="B6584" t="s">
        <v>648</v>
      </c>
      <c r="C6584">
        <v>13</v>
      </c>
      <c r="D6584" t="str">
        <f>VLOOKUP(B6584,Products!$A:$E,2,FALSE)</f>
        <v>Product_320</v>
      </c>
      <c r="E6584" t="str">
        <f>VLOOKUP(B6584,Products!$A:$E,3,FALSE)</f>
        <v>Office Supplies</v>
      </c>
    </row>
    <row r="6585" spans="1:5" x14ac:dyDescent="0.3">
      <c r="A6585" t="s">
        <v>12597</v>
      </c>
      <c r="B6585" t="s">
        <v>920</v>
      </c>
      <c r="C6585">
        <v>16</v>
      </c>
      <c r="D6585" t="str">
        <f>VLOOKUP(B6585,Products!$A:$E,2,FALSE)</f>
        <v>Product_456</v>
      </c>
      <c r="E6585" t="str">
        <f>VLOOKUP(B6585,Products!$A:$E,3,FALSE)</f>
        <v>Electronics</v>
      </c>
    </row>
    <row r="6586" spans="1:5" x14ac:dyDescent="0.3">
      <c r="A6586" t="s">
        <v>12598</v>
      </c>
      <c r="B6586" t="s">
        <v>342</v>
      </c>
      <c r="C6586">
        <v>3</v>
      </c>
      <c r="D6586" t="str">
        <f>VLOOKUP(B6586,Products!$A:$E,2,FALSE)</f>
        <v>Product_167</v>
      </c>
      <c r="E6586" t="str">
        <f>VLOOKUP(B6586,Products!$A:$E,3,FALSE)</f>
        <v>Electronics</v>
      </c>
    </row>
    <row r="6587" spans="1:5" x14ac:dyDescent="0.3">
      <c r="A6587" t="s">
        <v>12599</v>
      </c>
      <c r="B6587" t="s">
        <v>888</v>
      </c>
      <c r="C6587">
        <v>22</v>
      </c>
      <c r="D6587" t="str">
        <f>VLOOKUP(B6587,Products!$A:$E,2,FALSE)</f>
        <v>Product_440</v>
      </c>
      <c r="E6587" t="str">
        <f>VLOOKUP(B6587,Products!$A:$E,3,FALSE)</f>
        <v>Accessories</v>
      </c>
    </row>
    <row r="6588" spans="1:5" x14ac:dyDescent="0.3">
      <c r="A6588" t="s">
        <v>12600</v>
      </c>
      <c r="B6588" t="s">
        <v>374</v>
      </c>
      <c r="C6588">
        <v>31</v>
      </c>
      <c r="D6588" t="str">
        <f>VLOOKUP(B6588,Products!$A:$E,2,FALSE)</f>
        <v>Product_183</v>
      </c>
      <c r="E6588" t="str">
        <f>VLOOKUP(B6588,Products!$A:$E,3,FALSE)</f>
        <v>Electronics</v>
      </c>
    </row>
    <row r="6589" spans="1:5" x14ac:dyDescent="0.3">
      <c r="A6589" t="s">
        <v>12601</v>
      </c>
      <c r="B6589" t="s">
        <v>786</v>
      </c>
      <c r="C6589">
        <v>16</v>
      </c>
      <c r="D6589" t="str">
        <f>VLOOKUP(B6589,Products!$A:$E,2,FALSE)</f>
        <v>Product_389</v>
      </c>
      <c r="E6589" t="str">
        <f>VLOOKUP(B6589,Products!$A:$E,3,FALSE)</f>
        <v>Networking</v>
      </c>
    </row>
    <row r="6590" spans="1:5" x14ac:dyDescent="0.3">
      <c r="A6590" t="s">
        <v>12602</v>
      </c>
      <c r="B6590" t="s">
        <v>554</v>
      </c>
      <c r="C6590">
        <v>22</v>
      </c>
      <c r="D6590" t="str">
        <f>VLOOKUP(B6590,Products!$A:$E,2,FALSE)</f>
        <v>Product_273</v>
      </c>
      <c r="E6590" t="str">
        <f>VLOOKUP(B6590,Products!$A:$E,3,FALSE)</f>
        <v>Networking</v>
      </c>
    </row>
    <row r="6591" spans="1:5" x14ac:dyDescent="0.3">
      <c r="A6591" t="s">
        <v>12603</v>
      </c>
      <c r="B6591" t="s">
        <v>514</v>
      </c>
      <c r="C6591">
        <v>15</v>
      </c>
      <c r="D6591" t="str">
        <f>VLOOKUP(B6591,Products!$A:$E,2,FALSE)</f>
        <v>Product_253</v>
      </c>
      <c r="E6591" t="str">
        <f>VLOOKUP(B6591,Products!$A:$E,3,FALSE)</f>
        <v>Networking</v>
      </c>
    </row>
    <row r="6592" spans="1:5" x14ac:dyDescent="0.3">
      <c r="A6592" t="s">
        <v>12604</v>
      </c>
      <c r="B6592" t="s">
        <v>450</v>
      </c>
      <c r="C6592">
        <v>36</v>
      </c>
      <c r="D6592" t="str">
        <f>VLOOKUP(B6592,Products!$A:$E,2,FALSE)</f>
        <v>Product_221</v>
      </c>
      <c r="E6592" t="str">
        <f>VLOOKUP(B6592,Products!$A:$E,3,FALSE)</f>
        <v>Office Supplies</v>
      </c>
    </row>
    <row r="6593" spans="1:5" x14ac:dyDescent="0.3">
      <c r="A6593" t="s">
        <v>12605</v>
      </c>
      <c r="B6593" t="s">
        <v>26</v>
      </c>
      <c r="C6593">
        <v>45</v>
      </c>
      <c r="D6593" t="str">
        <f>VLOOKUP(B6593,Products!$A:$E,2,FALSE)</f>
        <v>Product_9</v>
      </c>
      <c r="E6593" t="str">
        <f>VLOOKUP(B6593,Products!$A:$E,3,FALSE)</f>
        <v>Storage</v>
      </c>
    </row>
    <row r="6594" spans="1:5" x14ac:dyDescent="0.3">
      <c r="A6594" t="s">
        <v>12606</v>
      </c>
      <c r="B6594" t="s">
        <v>88</v>
      </c>
      <c r="C6594">
        <v>7</v>
      </c>
      <c r="D6594" t="str">
        <f>VLOOKUP(B6594,Products!$A:$E,2,FALSE)</f>
        <v>Product_40</v>
      </c>
      <c r="E6594" t="str">
        <f>VLOOKUP(B6594,Products!$A:$E,3,FALSE)</f>
        <v>Accessories</v>
      </c>
    </row>
    <row r="6595" spans="1:5" x14ac:dyDescent="0.3">
      <c r="A6595" t="s">
        <v>12607</v>
      </c>
      <c r="B6595" t="s">
        <v>588</v>
      </c>
      <c r="C6595">
        <v>9</v>
      </c>
      <c r="D6595" t="str">
        <f>VLOOKUP(B6595,Products!$A:$E,2,FALSE)</f>
        <v>Product_290</v>
      </c>
      <c r="E6595" t="str">
        <f>VLOOKUP(B6595,Products!$A:$E,3,FALSE)</f>
        <v>Accessories</v>
      </c>
    </row>
    <row r="6596" spans="1:5" x14ac:dyDescent="0.3">
      <c r="A6596" t="s">
        <v>12608</v>
      </c>
      <c r="B6596" t="s">
        <v>246</v>
      </c>
      <c r="C6596">
        <v>27</v>
      </c>
      <c r="D6596" t="str">
        <f>VLOOKUP(B6596,Products!$A:$E,2,FALSE)</f>
        <v>Product_119</v>
      </c>
      <c r="E6596" t="str">
        <f>VLOOKUP(B6596,Products!$A:$E,3,FALSE)</f>
        <v>Electronics</v>
      </c>
    </row>
    <row r="6597" spans="1:5" x14ac:dyDescent="0.3">
      <c r="A6597" t="s">
        <v>12609</v>
      </c>
      <c r="B6597" t="s">
        <v>896</v>
      </c>
      <c r="C6597">
        <v>3</v>
      </c>
      <c r="D6597" t="str">
        <f>VLOOKUP(B6597,Products!$A:$E,2,FALSE)</f>
        <v>Product_444</v>
      </c>
      <c r="E6597" t="str">
        <f>VLOOKUP(B6597,Products!$A:$E,3,FALSE)</f>
        <v>Electronics</v>
      </c>
    </row>
    <row r="6598" spans="1:5" x14ac:dyDescent="0.3">
      <c r="A6598" t="s">
        <v>12610</v>
      </c>
      <c r="B6598" t="s">
        <v>218</v>
      </c>
      <c r="C6598">
        <v>30</v>
      </c>
      <c r="D6598" t="str">
        <f>VLOOKUP(B6598,Products!$A:$E,2,FALSE)</f>
        <v>Product_105</v>
      </c>
      <c r="E6598" t="str">
        <f>VLOOKUP(B6598,Products!$A:$E,3,FALSE)</f>
        <v>Networking</v>
      </c>
    </row>
    <row r="6599" spans="1:5" x14ac:dyDescent="0.3">
      <c r="A6599" t="s">
        <v>12611</v>
      </c>
      <c r="B6599" t="s">
        <v>432</v>
      </c>
      <c r="C6599">
        <v>35</v>
      </c>
      <c r="D6599" t="str">
        <f>VLOOKUP(B6599,Products!$A:$E,2,FALSE)</f>
        <v>Product_212</v>
      </c>
      <c r="E6599" t="str">
        <f>VLOOKUP(B6599,Products!$A:$E,3,FALSE)</f>
        <v>Networking</v>
      </c>
    </row>
    <row r="6600" spans="1:5" x14ac:dyDescent="0.3">
      <c r="A6600" t="s">
        <v>12612</v>
      </c>
      <c r="B6600" t="s">
        <v>766</v>
      </c>
      <c r="C6600">
        <v>5</v>
      </c>
      <c r="D6600" t="str">
        <f>VLOOKUP(B6600,Products!$A:$E,2,FALSE)</f>
        <v>Product_379</v>
      </c>
      <c r="E6600" t="str">
        <f>VLOOKUP(B6600,Products!$A:$E,3,FALSE)</f>
        <v>Office Supplies</v>
      </c>
    </row>
    <row r="6601" spans="1:5" x14ac:dyDescent="0.3">
      <c r="A6601" t="s">
        <v>12613</v>
      </c>
      <c r="B6601" t="s">
        <v>114</v>
      </c>
      <c r="C6601">
        <v>44</v>
      </c>
      <c r="D6601" t="str">
        <f>VLOOKUP(B6601,Products!$A:$E,2,FALSE)</f>
        <v>Product_53</v>
      </c>
      <c r="E6601" t="str">
        <f>VLOOKUP(B6601,Products!$A:$E,3,FALSE)</f>
        <v>Electronics</v>
      </c>
    </row>
    <row r="6602" spans="1:5" x14ac:dyDescent="0.3">
      <c r="A6602" t="s">
        <v>12614</v>
      </c>
      <c r="B6602" t="s">
        <v>1008</v>
      </c>
      <c r="C6602">
        <v>36</v>
      </c>
      <c r="D6602" t="str">
        <f>VLOOKUP(B6602,Products!$A:$E,2,FALSE)</f>
        <v>Product_500</v>
      </c>
      <c r="E6602" t="str">
        <f>VLOOKUP(B6602,Products!$A:$E,3,FALSE)</f>
        <v>Networking</v>
      </c>
    </row>
    <row r="6603" spans="1:5" x14ac:dyDescent="0.3">
      <c r="A6603" t="s">
        <v>12615</v>
      </c>
      <c r="B6603" t="s">
        <v>460</v>
      </c>
      <c r="C6603">
        <v>46</v>
      </c>
      <c r="D6603" t="str">
        <f>VLOOKUP(B6603,Products!$A:$E,2,FALSE)</f>
        <v>Product_226</v>
      </c>
      <c r="E6603" t="str">
        <f>VLOOKUP(B6603,Products!$A:$E,3,FALSE)</f>
        <v>Networking</v>
      </c>
    </row>
    <row r="6604" spans="1:5" x14ac:dyDescent="0.3">
      <c r="A6604" t="s">
        <v>12616</v>
      </c>
      <c r="B6604" t="s">
        <v>148</v>
      </c>
      <c r="C6604">
        <v>15</v>
      </c>
      <c r="D6604" t="str">
        <f>VLOOKUP(B6604,Products!$A:$E,2,FALSE)</f>
        <v>Product_70</v>
      </c>
      <c r="E6604" t="str">
        <f>VLOOKUP(B6604,Products!$A:$E,3,FALSE)</f>
        <v>Electronics</v>
      </c>
    </row>
    <row r="6605" spans="1:5" x14ac:dyDescent="0.3">
      <c r="A6605" t="s">
        <v>12617</v>
      </c>
      <c r="B6605" t="s">
        <v>764</v>
      </c>
      <c r="C6605">
        <v>14</v>
      </c>
      <c r="D6605" t="str">
        <f>VLOOKUP(B6605,Products!$A:$E,2,FALSE)</f>
        <v>Product_378</v>
      </c>
      <c r="E6605" t="str">
        <f>VLOOKUP(B6605,Products!$A:$E,3,FALSE)</f>
        <v>Electronics</v>
      </c>
    </row>
    <row r="6606" spans="1:5" x14ac:dyDescent="0.3">
      <c r="A6606" t="s">
        <v>12618</v>
      </c>
      <c r="B6606" t="s">
        <v>232</v>
      </c>
      <c r="C6606">
        <v>24</v>
      </c>
      <c r="D6606" t="str">
        <f>VLOOKUP(B6606,Products!$A:$E,2,FALSE)</f>
        <v>Product_112</v>
      </c>
      <c r="E6606" t="str">
        <f>VLOOKUP(B6606,Products!$A:$E,3,FALSE)</f>
        <v>Storage</v>
      </c>
    </row>
    <row r="6607" spans="1:5" x14ac:dyDescent="0.3">
      <c r="A6607" t="s">
        <v>12619</v>
      </c>
      <c r="B6607" t="s">
        <v>108</v>
      </c>
      <c r="C6607">
        <v>3</v>
      </c>
      <c r="D6607" t="str">
        <f>VLOOKUP(B6607,Products!$A:$E,2,FALSE)</f>
        <v>Product_50</v>
      </c>
      <c r="E6607" t="str">
        <f>VLOOKUP(B6607,Products!$A:$E,3,FALSE)</f>
        <v>Networking</v>
      </c>
    </row>
    <row r="6608" spans="1:5" x14ac:dyDescent="0.3">
      <c r="A6608" t="s">
        <v>12620</v>
      </c>
      <c r="B6608" t="s">
        <v>272</v>
      </c>
      <c r="C6608">
        <v>1</v>
      </c>
      <c r="D6608" t="str">
        <f>VLOOKUP(B6608,Products!$A:$E,2,FALSE)</f>
        <v>Product_132</v>
      </c>
      <c r="E6608" t="str">
        <f>VLOOKUP(B6608,Products!$A:$E,3,FALSE)</f>
        <v>Storage</v>
      </c>
    </row>
    <row r="6609" spans="1:5" x14ac:dyDescent="0.3">
      <c r="A6609" t="s">
        <v>12621</v>
      </c>
      <c r="B6609" t="s">
        <v>950</v>
      </c>
      <c r="C6609">
        <v>38</v>
      </c>
      <c r="D6609" t="str">
        <f>VLOOKUP(B6609,Products!$A:$E,2,FALSE)</f>
        <v>Product_471</v>
      </c>
      <c r="E6609" t="str">
        <f>VLOOKUP(B6609,Products!$A:$E,3,FALSE)</f>
        <v>Office Supplies</v>
      </c>
    </row>
    <row r="6610" spans="1:5" x14ac:dyDescent="0.3">
      <c r="A6610" t="s">
        <v>12622</v>
      </c>
      <c r="B6610" t="s">
        <v>428</v>
      </c>
      <c r="C6610">
        <v>8</v>
      </c>
      <c r="D6610" t="str">
        <f>VLOOKUP(B6610,Products!$A:$E,2,FALSE)</f>
        <v>Product_210</v>
      </c>
      <c r="E6610" t="str">
        <f>VLOOKUP(B6610,Products!$A:$E,3,FALSE)</f>
        <v>Electronics</v>
      </c>
    </row>
    <row r="6611" spans="1:5" x14ac:dyDescent="0.3">
      <c r="A6611" t="s">
        <v>12623</v>
      </c>
      <c r="B6611" t="s">
        <v>296</v>
      </c>
      <c r="C6611">
        <v>42</v>
      </c>
      <c r="D6611" t="str">
        <f>VLOOKUP(B6611,Products!$A:$E,2,FALSE)</f>
        <v>Product_144</v>
      </c>
      <c r="E6611" t="str">
        <f>VLOOKUP(B6611,Products!$A:$E,3,FALSE)</f>
        <v>Office Supplies</v>
      </c>
    </row>
    <row r="6612" spans="1:5" x14ac:dyDescent="0.3">
      <c r="A6612" t="s">
        <v>12624</v>
      </c>
      <c r="B6612" t="s">
        <v>612</v>
      </c>
      <c r="C6612">
        <v>29</v>
      </c>
      <c r="D6612" t="str">
        <f>VLOOKUP(B6612,Products!$A:$E,2,FALSE)</f>
        <v>Product_302</v>
      </c>
      <c r="E6612" t="str">
        <f>VLOOKUP(B6612,Products!$A:$E,3,FALSE)</f>
        <v>Accessories</v>
      </c>
    </row>
    <row r="6613" spans="1:5" x14ac:dyDescent="0.3">
      <c r="A6613" t="s">
        <v>12625</v>
      </c>
      <c r="B6613" t="s">
        <v>924</v>
      </c>
      <c r="C6613">
        <v>14</v>
      </c>
      <c r="D6613" t="str">
        <f>VLOOKUP(B6613,Products!$A:$E,2,FALSE)</f>
        <v>Product_458</v>
      </c>
      <c r="E6613" t="str">
        <f>VLOOKUP(B6613,Products!$A:$E,3,FALSE)</f>
        <v>Accessories</v>
      </c>
    </row>
    <row r="6614" spans="1:5" x14ac:dyDescent="0.3">
      <c r="A6614" t="s">
        <v>12626</v>
      </c>
      <c r="B6614" t="s">
        <v>104</v>
      </c>
      <c r="C6614">
        <v>22</v>
      </c>
      <c r="D6614" t="str">
        <f>VLOOKUP(B6614,Products!$A:$E,2,FALSE)</f>
        <v>Product_48</v>
      </c>
      <c r="E6614" t="str">
        <f>VLOOKUP(B6614,Products!$A:$E,3,FALSE)</f>
        <v>Accessories</v>
      </c>
    </row>
    <row r="6615" spans="1:5" x14ac:dyDescent="0.3">
      <c r="A6615" t="s">
        <v>12627</v>
      </c>
      <c r="B6615" t="s">
        <v>954</v>
      </c>
      <c r="C6615">
        <v>16</v>
      </c>
      <c r="D6615" t="str">
        <f>VLOOKUP(B6615,Products!$A:$E,2,FALSE)</f>
        <v>Product_473</v>
      </c>
      <c r="E6615" t="str">
        <f>VLOOKUP(B6615,Products!$A:$E,3,FALSE)</f>
        <v>Accessories</v>
      </c>
    </row>
    <row r="6616" spans="1:5" x14ac:dyDescent="0.3">
      <c r="A6616" t="s">
        <v>12628</v>
      </c>
      <c r="B6616" t="s">
        <v>636</v>
      </c>
      <c r="C6616">
        <v>8</v>
      </c>
      <c r="D6616" t="str">
        <f>VLOOKUP(B6616,Products!$A:$E,2,FALSE)</f>
        <v>Product_314</v>
      </c>
      <c r="E6616" t="str">
        <f>VLOOKUP(B6616,Products!$A:$E,3,FALSE)</f>
        <v>Storage</v>
      </c>
    </row>
    <row r="6617" spans="1:5" x14ac:dyDescent="0.3">
      <c r="A6617" t="s">
        <v>12629</v>
      </c>
      <c r="B6617" t="s">
        <v>104</v>
      </c>
      <c r="C6617">
        <v>17</v>
      </c>
      <c r="D6617" t="str">
        <f>VLOOKUP(B6617,Products!$A:$E,2,FALSE)</f>
        <v>Product_48</v>
      </c>
      <c r="E6617" t="str">
        <f>VLOOKUP(B6617,Products!$A:$E,3,FALSE)</f>
        <v>Accessories</v>
      </c>
    </row>
    <row r="6618" spans="1:5" x14ac:dyDescent="0.3">
      <c r="A6618" t="s">
        <v>12630</v>
      </c>
      <c r="B6618" t="s">
        <v>820</v>
      </c>
      <c r="C6618">
        <v>39</v>
      </c>
      <c r="D6618" t="str">
        <f>VLOOKUP(B6618,Products!$A:$E,2,FALSE)</f>
        <v>Product_406</v>
      </c>
      <c r="E6618" t="str">
        <f>VLOOKUP(B6618,Products!$A:$E,3,FALSE)</f>
        <v>Office Supplies</v>
      </c>
    </row>
    <row r="6619" spans="1:5" x14ac:dyDescent="0.3">
      <c r="A6619" t="s">
        <v>12631</v>
      </c>
      <c r="B6619" t="s">
        <v>558</v>
      </c>
      <c r="C6619">
        <v>48</v>
      </c>
      <c r="D6619" t="str">
        <f>VLOOKUP(B6619,Products!$A:$E,2,FALSE)</f>
        <v>Product_275</v>
      </c>
      <c r="E6619" t="str">
        <f>VLOOKUP(B6619,Products!$A:$E,3,FALSE)</f>
        <v>Accessories</v>
      </c>
    </row>
    <row r="6620" spans="1:5" x14ac:dyDescent="0.3">
      <c r="A6620" t="s">
        <v>12632</v>
      </c>
      <c r="B6620" t="s">
        <v>654</v>
      </c>
      <c r="C6620">
        <v>49</v>
      </c>
      <c r="D6620" t="str">
        <f>VLOOKUP(B6620,Products!$A:$E,2,FALSE)</f>
        <v>Product_323</v>
      </c>
      <c r="E6620" t="str">
        <f>VLOOKUP(B6620,Products!$A:$E,3,FALSE)</f>
        <v>Electronics</v>
      </c>
    </row>
    <row r="6621" spans="1:5" x14ac:dyDescent="0.3">
      <c r="A6621" t="s">
        <v>12633</v>
      </c>
      <c r="B6621" t="s">
        <v>256</v>
      </c>
      <c r="C6621">
        <v>3</v>
      </c>
      <c r="D6621" t="str">
        <f>VLOOKUP(B6621,Products!$A:$E,2,FALSE)</f>
        <v>Product_124</v>
      </c>
      <c r="E6621" t="str">
        <f>VLOOKUP(B6621,Products!$A:$E,3,FALSE)</f>
        <v>Storage</v>
      </c>
    </row>
    <row r="6622" spans="1:5" x14ac:dyDescent="0.3">
      <c r="A6622" t="s">
        <v>12634</v>
      </c>
      <c r="B6622" t="s">
        <v>496</v>
      </c>
      <c r="C6622">
        <v>45</v>
      </c>
      <c r="D6622" t="str">
        <f>VLOOKUP(B6622,Products!$A:$E,2,FALSE)</f>
        <v>Product_244</v>
      </c>
      <c r="E6622" t="str">
        <f>VLOOKUP(B6622,Products!$A:$E,3,FALSE)</f>
        <v>Accessories</v>
      </c>
    </row>
    <row r="6623" spans="1:5" x14ac:dyDescent="0.3">
      <c r="A6623" t="s">
        <v>12635</v>
      </c>
      <c r="B6623" t="s">
        <v>292</v>
      </c>
      <c r="C6623">
        <v>35</v>
      </c>
      <c r="D6623" t="str">
        <f>VLOOKUP(B6623,Products!$A:$E,2,FALSE)</f>
        <v>Product_142</v>
      </c>
      <c r="E6623" t="str">
        <f>VLOOKUP(B6623,Products!$A:$E,3,FALSE)</f>
        <v>Storage</v>
      </c>
    </row>
    <row r="6624" spans="1:5" x14ac:dyDescent="0.3">
      <c r="A6624" t="s">
        <v>12636</v>
      </c>
      <c r="B6624" t="s">
        <v>180</v>
      </c>
      <c r="C6624">
        <v>43</v>
      </c>
      <c r="D6624" t="str">
        <f>VLOOKUP(B6624,Products!$A:$E,2,FALSE)</f>
        <v>Product_86</v>
      </c>
      <c r="E6624" t="str">
        <f>VLOOKUP(B6624,Products!$A:$E,3,FALSE)</f>
        <v>Storage</v>
      </c>
    </row>
    <row r="6625" spans="1:5" x14ac:dyDescent="0.3">
      <c r="A6625" t="s">
        <v>12637</v>
      </c>
      <c r="B6625" t="s">
        <v>784</v>
      </c>
      <c r="C6625">
        <v>45</v>
      </c>
      <c r="D6625" t="str">
        <f>VLOOKUP(B6625,Products!$A:$E,2,FALSE)</f>
        <v>Product_388</v>
      </c>
      <c r="E6625" t="str">
        <f>VLOOKUP(B6625,Products!$A:$E,3,FALSE)</f>
        <v>Office Supplies</v>
      </c>
    </row>
    <row r="6626" spans="1:5" x14ac:dyDescent="0.3">
      <c r="A6626" t="s">
        <v>12638</v>
      </c>
      <c r="B6626" t="s">
        <v>756</v>
      </c>
      <c r="C6626">
        <v>1</v>
      </c>
      <c r="D6626" t="str">
        <f>VLOOKUP(B6626,Products!$A:$E,2,FALSE)</f>
        <v>Product_374</v>
      </c>
      <c r="E6626" t="str">
        <f>VLOOKUP(B6626,Products!$A:$E,3,FALSE)</f>
        <v>Office Supplies</v>
      </c>
    </row>
    <row r="6627" spans="1:5" x14ac:dyDescent="0.3">
      <c r="A6627" t="s">
        <v>12639</v>
      </c>
      <c r="B6627" t="s">
        <v>958</v>
      </c>
      <c r="C6627">
        <v>32</v>
      </c>
      <c r="D6627" t="str">
        <f>VLOOKUP(B6627,Products!$A:$E,2,FALSE)</f>
        <v>Product_475</v>
      </c>
      <c r="E6627" t="str">
        <f>VLOOKUP(B6627,Products!$A:$E,3,FALSE)</f>
        <v>Electronics</v>
      </c>
    </row>
    <row r="6628" spans="1:5" x14ac:dyDescent="0.3">
      <c r="A6628" t="s">
        <v>12640</v>
      </c>
      <c r="B6628" t="s">
        <v>846</v>
      </c>
      <c r="C6628">
        <v>14</v>
      </c>
      <c r="D6628" t="str">
        <f>VLOOKUP(B6628,Products!$A:$E,2,FALSE)</f>
        <v>Product_419</v>
      </c>
      <c r="E6628" t="str">
        <f>VLOOKUP(B6628,Products!$A:$E,3,FALSE)</f>
        <v>Networking</v>
      </c>
    </row>
    <row r="6629" spans="1:5" x14ac:dyDescent="0.3">
      <c r="A6629" t="s">
        <v>12641</v>
      </c>
      <c r="B6629" t="s">
        <v>824</v>
      </c>
      <c r="C6629">
        <v>27</v>
      </c>
      <c r="D6629" t="str">
        <f>VLOOKUP(B6629,Products!$A:$E,2,FALSE)</f>
        <v>Product_408</v>
      </c>
      <c r="E6629" t="str">
        <f>VLOOKUP(B6629,Products!$A:$E,3,FALSE)</f>
        <v>Storage</v>
      </c>
    </row>
    <row r="6630" spans="1:5" x14ac:dyDescent="0.3">
      <c r="A6630" t="s">
        <v>12642</v>
      </c>
      <c r="B6630" t="s">
        <v>918</v>
      </c>
      <c r="C6630">
        <v>22</v>
      </c>
      <c r="D6630" t="str">
        <f>VLOOKUP(B6630,Products!$A:$E,2,FALSE)</f>
        <v>Product_455</v>
      </c>
      <c r="E6630" t="str">
        <f>VLOOKUP(B6630,Products!$A:$E,3,FALSE)</f>
        <v>Storage</v>
      </c>
    </row>
    <row r="6631" spans="1:5" x14ac:dyDescent="0.3">
      <c r="A6631" t="s">
        <v>12643</v>
      </c>
      <c r="B6631" t="s">
        <v>112</v>
      </c>
      <c r="C6631">
        <v>6</v>
      </c>
      <c r="D6631" t="str">
        <f>VLOOKUP(B6631,Products!$A:$E,2,FALSE)</f>
        <v>Product_52</v>
      </c>
      <c r="E6631" t="str">
        <f>VLOOKUP(B6631,Products!$A:$E,3,FALSE)</f>
        <v>Electronics</v>
      </c>
    </row>
    <row r="6632" spans="1:5" x14ac:dyDescent="0.3">
      <c r="A6632" t="s">
        <v>12644</v>
      </c>
      <c r="B6632" t="s">
        <v>524</v>
      </c>
      <c r="C6632">
        <v>38</v>
      </c>
      <c r="D6632" t="str">
        <f>VLOOKUP(B6632,Products!$A:$E,2,FALSE)</f>
        <v>Product_258</v>
      </c>
      <c r="E6632" t="str">
        <f>VLOOKUP(B6632,Products!$A:$E,3,FALSE)</f>
        <v>Networking</v>
      </c>
    </row>
    <row r="6633" spans="1:5" x14ac:dyDescent="0.3">
      <c r="A6633" t="s">
        <v>12645</v>
      </c>
      <c r="B6633" t="s">
        <v>244</v>
      </c>
      <c r="C6633">
        <v>37</v>
      </c>
      <c r="D6633" t="str">
        <f>VLOOKUP(B6633,Products!$A:$E,2,FALSE)</f>
        <v>Product_118</v>
      </c>
      <c r="E6633" t="str">
        <f>VLOOKUP(B6633,Products!$A:$E,3,FALSE)</f>
        <v>Accessories</v>
      </c>
    </row>
    <row r="6634" spans="1:5" x14ac:dyDescent="0.3">
      <c r="A6634" t="s">
        <v>12646</v>
      </c>
      <c r="B6634" t="s">
        <v>294</v>
      </c>
      <c r="C6634">
        <v>1</v>
      </c>
      <c r="D6634" t="str">
        <f>VLOOKUP(B6634,Products!$A:$E,2,FALSE)</f>
        <v>Product_143</v>
      </c>
      <c r="E6634" t="str">
        <f>VLOOKUP(B6634,Products!$A:$E,3,FALSE)</f>
        <v>Office Supplies</v>
      </c>
    </row>
    <row r="6635" spans="1:5" x14ac:dyDescent="0.3">
      <c r="A6635" t="s">
        <v>12647</v>
      </c>
      <c r="B6635" t="s">
        <v>446</v>
      </c>
      <c r="C6635">
        <v>45</v>
      </c>
      <c r="D6635" t="str">
        <f>VLOOKUP(B6635,Products!$A:$E,2,FALSE)</f>
        <v>Product_219</v>
      </c>
      <c r="E6635" t="str">
        <f>VLOOKUP(B6635,Products!$A:$E,3,FALSE)</f>
        <v>Accessories</v>
      </c>
    </row>
    <row r="6636" spans="1:5" x14ac:dyDescent="0.3">
      <c r="A6636" t="s">
        <v>12648</v>
      </c>
      <c r="B6636" t="s">
        <v>366</v>
      </c>
      <c r="C6636">
        <v>23</v>
      </c>
      <c r="D6636" t="str">
        <f>VLOOKUP(B6636,Products!$A:$E,2,FALSE)</f>
        <v>Product_179</v>
      </c>
      <c r="E6636" t="str">
        <f>VLOOKUP(B6636,Products!$A:$E,3,FALSE)</f>
        <v>Storage</v>
      </c>
    </row>
    <row r="6637" spans="1:5" x14ac:dyDescent="0.3">
      <c r="A6637" t="s">
        <v>12649</v>
      </c>
      <c r="B6637" t="s">
        <v>780</v>
      </c>
      <c r="C6637">
        <v>29</v>
      </c>
      <c r="D6637" t="str">
        <f>VLOOKUP(B6637,Products!$A:$E,2,FALSE)</f>
        <v>Product_386</v>
      </c>
      <c r="E6637" t="str">
        <f>VLOOKUP(B6637,Products!$A:$E,3,FALSE)</f>
        <v>Electronics</v>
      </c>
    </row>
    <row r="6638" spans="1:5" x14ac:dyDescent="0.3">
      <c r="A6638" t="s">
        <v>12650</v>
      </c>
      <c r="B6638" t="s">
        <v>578</v>
      </c>
      <c r="C6638">
        <v>45</v>
      </c>
      <c r="D6638" t="str">
        <f>VLOOKUP(B6638,Products!$A:$E,2,FALSE)</f>
        <v>Product_285</v>
      </c>
      <c r="E6638" t="str">
        <f>VLOOKUP(B6638,Products!$A:$E,3,FALSE)</f>
        <v>Networking</v>
      </c>
    </row>
    <row r="6639" spans="1:5" x14ac:dyDescent="0.3">
      <c r="A6639" t="s">
        <v>12651</v>
      </c>
      <c r="B6639" t="s">
        <v>178</v>
      </c>
      <c r="C6639">
        <v>2</v>
      </c>
      <c r="D6639" t="str">
        <f>VLOOKUP(B6639,Products!$A:$E,2,FALSE)</f>
        <v>Product_85</v>
      </c>
      <c r="E6639" t="str">
        <f>VLOOKUP(B6639,Products!$A:$E,3,FALSE)</f>
        <v>Electronics</v>
      </c>
    </row>
    <row r="6640" spans="1:5" x14ac:dyDescent="0.3">
      <c r="A6640" t="s">
        <v>12652</v>
      </c>
      <c r="B6640" t="s">
        <v>766</v>
      </c>
      <c r="C6640">
        <v>7</v>
      </c>
      <c r="D6640" t="str">
        <f>VLOOKUP(B6640,Products!$A:$E,2,FALSE)</f>
        <v>Product_379</v>
      </c>
      <c r="E6640" t="str">
        <f>VLOOKUP(B6640,Products!$A:$E,3,FALSE)</f>
        <v>Office Supplies</v>
      </c>
    </row>
    <row r="6641" spans="1:5" x14ac:dyDescent="0.3">
      <c r="A6641" t="s">
        <v>12653</v>
      </c>
      <c r="B6641" t="s">
        <v>652</v>
      </c>
      <c r="C6641">
        <v>37</v>
      </c>
      <c r="D6641" t="str">
        <f>VLOOKUP(B6641,Products!$A:$E,2,FALSE)</f>
        <v>Product_322</v>
      </c>
      <c r="E6641" t="str">
        <f>VLOOKUP(B6641,Products!$A:$E,3,FALSE)</f>
        <v>Accessories</v>
      </c>
    </row>
    <row r="6642" spans="1:5" x14ac:dyDescent="0.3">
      <c r="A6642" t="s">
        <v>12654</v>
      </c>
      <c r="B6642" t="s">
        <v>30</v>
      </c>
      <c r="C6642">
        <v>43</v>
      </c>
      <c r="D6642" t="str">
        <f>VLOOKUP(B6642,Products!$A:$E,2,FALSE)</f>
        <v>Product_11</v>
      </c>
      <c r="E6642" t="str">
        <f>VLOOKUP(B6642,Products!$A:$E,3,FALSE)</f>
        <v>Electronics</v>
      </c>
    </row>
    <row r="6643" spans="1:5" x14ac:dyDescent="0.3">
      <c r="A6643" t="s">
        <v>12655</v>
      </c>
      <c r="B6643" t="s">
        <v>290</v>
      </c>
      <c r="C6643">
        <v>13</v>
      </c>
      <c r="D6643" t="str">
        <f>VLOOKUP(B6643,Products!$A:$E,2,FALSE)</f>
        <v>Product_141</v>
      </c>
      <c r="E6643" t="str">
        <f>VLOOKUP(B6643,Products!$A:$E,3,FALSE)</f>
        <v>Electronics</v>
      </c>
    </row>
    <row r="6644" spans="1:5" x14ac:dyDescent="0.3">
      <c r="A6644" t="s">
        <v>12656</v>
      </c>
      <c r="B6644" t="s">
        <v>186</v>
      </c>
      <c r="C6644">
        <v>11</v>
      </c>
      <c r="D6644" t="str">
        <f>VLOOKUP(B6644,Products!$A:$E,2,FALSE)</f>
        <v>Product_89</v>
      </c>
      <c r="E6644" t="str">
        <f>VLOOKUP(B6644,Products!$A:$E,3,FALSE)</f>
        <v>Storage</v>
      </c>
    </row>
    <row r="6645" spans="1:5" x14ac:dyDescent="0.3">
      <c r="A6645" t="s">
        <v>12657</v>
      </c>
      <c r="B6645" t="s">
        <v>248</v>
      </c>
      <c r="C6645">
        <v>48</v>
      </c>
      <c r="D6645" t="str">
        <f>VLOOKUP(B6645,Products!$A:$E,2,FALSE)</f>
        <v>Product_120</v>
      </c>
      <c r="E6645" t="str">
        <f>VLOOKUP(B6645,Products!$A:$E,3,FALSE)</f>
        <v>Accessories</v>
      </c>
    </row>
    <row r="6646" spans="1:5" x14ac:dyDescent="0.3">
      <c r="A6646" t="s">
        <v>12658</v>
      </c>
      <c r="B6646" t="s">
        <v>56</v>
      </c>
      <c r="C6646">
        <v>47</v>
      </c>
      <c r="D6646" t="str">
        <f>VLOOKUP(B6646,Products!$A:$E,2,FALSE)</f>
        <v>Product_24</v>
      </c>
      <c r="E6646" t="str">
        <f>VLOOKUP(B6646,Products!$A:$E,3,FALSE)</f>
        <v>Accessories</v>
      </c>
    </row>
    <row r="6647" spans="1:5" x14ac:dyDescent="0.3">
      <c r="A6647" t="s">
        <v>12659</v>
      </c>
      <c r="B6647" t="s">
        <v>192</v>
      </c>
      <c r="C6647">
        <v>13</v>
      </c>
      <c r="D6647" t="str">
        <f>VLOOKUP(B6647,Products!$A:$E,2,FALSE)</f>
        <v>Product_92</v>
      </c>
      <c r="E6647" t="str">
        <f>VLOOKUP(B6647,Products!$A:$E,3,FALSE)</f>
        <v>Electronics</v>
      </c>
    </row>
    <row r="6648" spans="1:5" x14ac:dyDescent="0.3">
      <c r="A6648" t="s">
        <v>12660</v>
      </c>
      <c r="B6648" t="s">
        <v>856</v>
      </c>
      <c r="C6648">
        <v>14</v>
      </c>
      <c r="D6648" t="str">
        <f>VLOOKUP(B6648,Products!$A:$E,2,FALSE)</f>
        <v>Product_424</v>
      </c>
      <c r="E6648" t="str">
        <f>VLOOKUP(B6648,Products!$A:$E,3,FALSE)</f>
        <v>Networking</v>
      </c>
    </row>
    <row r="6649" spans="1:5" x14ac:dyDescent="0.3">
      <c r="A6649" t="s">
        <v>12661</v>
      </c>
      <c r="B6649" t="s">
        <v>212</v>
      </c>
      <c r="C6649">
        <v>9</v>
      </c>
      <c r="D6649" t="str">
        <f>VLOOKUP(B6649,Products!$A:$E,2,FALSE)</f>
        <v>Product_102</v>
      </c>
      <c r="E6649" t="str">
        <f>VLOOKUP(B6649,Products!$A:$E,3,FALSE)</f>
        <v>Storage</v>
      </c>
    </row>
    <row r="6650" spans="1:5" x14ac:dyDescent="0.3">
      <c r="A6650" t="s">
        <v>12662</v>
      </c>
      <c r="B6650" t="s">
        <v>312</v>
      </c>
      <c r="C6650">
        <v>30</v>
      </c>
      <c r="D6650" t="str">
        <f>VLOOKUP(B6650,Products!$A:$E,2,FALSE)</f>
        <v>Product_152</v>
      </c>
      <c r="E6650" t="str">
        <f>VLOOKUP(B6650,Products!$A:$E,3,FALSE)</f>
        <v>Storage</v>
      </c>
    </row>
    <row r="6651" spans="1:5" x14ac:dyDescent="0.3">
      <c r="A6651" t="s">
        <v>12663</v>
      </c>
      <c r="B6651" t="s">
        <v>72</v>
      </c>
      <c r="C6651">
        <v>43</v>
      </c>
      <c r="D6651" t="str">
        <f>VLOOKUP(B6651,Products!$A:$E,2,FALSE)</f>
        <v>Product_32</v>
      </c>
      <c r="E6651" t="str">
        <f>VLOOKUP(B6651,Products!$A:$E,3,FALSE)</f>
        <v>Networking</v>
      </c>
    </row>
    <row r="6652" spans="1:5" x14ac:dyDescent="0.3">
      <c r="A6652" t="s">
        <v>12664</v>
      </c>
      <c r="B6652" t="s">
        <v>470</v>
      </c>
      <c r="C6652">
        <v>15</v>
      </c>
      <c r="D6652" t="str">
        <f>VLOOKUP(B6652,Products!$A:$E,2,FALSE)</f>
        <v>Product_231</v>
      </c>
      <c r="E6652" t="str">
        <f>VLOOKUP(B6652,Products!$A:$E,3,FALSE)</f>
        <v>Accessories</v>
      </c>
    </row>
    <row r="6653" spans="1:5" x14ac:dyDescent="0.3">
      <c r="A6653" t="s">
        <v>12665</v>
      </c>
      <c r="B6653" t="s">
        <v>642</v>
      </c>
      <c r="C6653">
        <v>9</v>
      </c>
      <c r="D6653" t="str">
        <f>VLOOKUP(B6653,Products!$A:$E,2,FALSE)</f>
        <v>Product_317</v>
      </c>
      <c r="E6653" t="str">
        <f>VLOOKUP(B6653,Products!$A:$E,3,FALSE)</f>
        <v>Storage</v>
      </c>
    </row>
    <row r="6654" spans="1:5" x14ac:dyDescent="0.3">
      <c r="A6654" t="s">
        <v>12666</v>
      </c>
      <c r="B6654" t="s">
        <v>42</v>
      </c>
      <c r="C6654">
        <v>8</v>
      </c>
      <c r="D6654" t="str">
        <f>VLOOKUP(B6654,Products!$A:$E,2,FALSE)</f>
        <v>Product_17</v>
      </c>
      <c r="E6654" t="str">
        <f>VLOOKUP(B6654,Products!$A:$E,3,FALSE)</f>
        <v>Office Supplies</v>
      </c>
    </row>
    <row r="6655" spans="1:5" x14ac:dyDescent="0.3">
      <c r="A6655" t="s">
        <v>12667</v>
      </c>
      <c r="B6655" t="s">
        <v>752</v>
      </c>
      <c r="C6655">
        <v>47</v>
      </c>
      <c r="D6655" t="str">
        <f>VLOOKUP(B6655,Products!$A:$E,2,FALSE)</f>
        <v>Product_372</v>
      </c>
      <c r="E6655" t="str">
        <f>VLOOKUP(B6655,Products!$A:$E,3,FALSE)</f>
        <v>Networking</v>
      </c>
    </row>
    <row r="6656" spans="1:5" x14ac:dyDescent="0.3">
      <c r="A6656" t="s">
        <v>12668</v>
      </c>
      <c r="B6656" t="s">
        <v>218</v>
      </c>
      <c r="C6656">
        <v>24</v>
      </c>
      <c r="D6656" t="str">
        <f>VLOOKUP(B6656,Products!$A:$E,2,FALSE)</f>
        <v>Product_105</v>
      </c>
      <c r="E6656" t="str">
        <f>VLOOKUP(B6656,Products!$A:$E,3,FALSE)</f>
        <v>Networking</v>
      </c>
    </row>
    <row r="6657" spans="1:5" x14ac:dyDescent="0.3">
      <c r="A6657" t="s">
        <v>12669</v>
      </c>
      <c r="B6657" t="s">
        <v>652</v>
      </c>
      <c r="C6657">
        <v>49</v>
      </c>
      <c r="D6657" t="str">
        <f>VLOOKUP(B6657,Products!$A:$E,2,FALSE)</f>
        <v>Product_322</v>
      </c>
      <c r="E6657" t="str">
        <f>VLOOKUP(B6657,Products!$A:$E,3,FALSE)</f>
        <v>Accessories</v>
      </c>
    </row>
    <row r="6658" spans="1:5" x14ac:dyDescent="0.3">
      <c r="A6658" t="s">
        <v>12670</v>
      </c>
      <c r="B6658" t="s">
        <v>910</v>
      </c>
      <c r="C6658">
        <v>49</v>
      </c>
      <c r="D6658" t="str">
        <f>VLOOKUP(B6658,Products!$A:$E,2,FALSE)</f>
        <v>Product_451</v>
      </c>
      <c r="E6658" t="str">
        <f>VLOOKUP(B6658,Products!$A:$E,3,FALSE)</f>
        <v>Accessories</v>
      </c>
    </row>
    <row r="6659" spans="1:5" x14ac:dyDescent="0.3">
      <c r="A6659" t="s">
        <v>12671</v>
      </c>
      <c r="B6659" t="s">
        <v>316</v>
      </c>
      <c r="C6659">
        <v>44</v>
      </c>
      <c r="D6659" t="str">
        <f>VLOOKUP(B6659,Products!$A:$E,2,FALSE)</f>
        <v>Product_154</v>
      </c>
      <c r="E6659" t="str">
        <f>VLOOKUP(B6659,Products!$A:$E,3,FALSE)</f>
        <v>Accessories</v>
      </c>
    </row>
    <row r="6660" spans="1:5" x14ac:dyDescent="0.3">
      <c r="A6660" t="s">
        <v>12672</v>
      </c>
      <c r="B6660" t="s">
        <v>452</v>
      </c>
      <c r="C6660">
        <v>10</v>
      </c>
      <c r="D6660" t="str">
        <f>VLOOKUP(B6660,Products!$A:$E,2,FALSE)</f>
        <v>Product_222</v>
      </c>
      <c r="E6660" t="str">
        <f>VLOOKUP(B6660,Products!$A:$E,3,FALSE)</f>
        <v>Networking</v>
      </c>
    </row>
    <row r="6661" spans="1:5" x14ac:dyDescent="0.3">
      <c r="A6661" t="s">
        <v>12673</v>
      </c>
      <c r="B6661" t="s">
        <v>714</v>
      </c>
      <c r="C6661">
        <v>5</v>
      </c>
      <c r="D6661" t="str">
        <f>VLOOKUP(B6661,Products!$A:$E,2,FALSE)</f>
        <v>Product_353</v>
      </c>
      <c r="E6661" t="str">
        <f>VLOOKUP(B6661,Products!$A:$E,3,FALSE)</f>
        <v>Accessories</v>
      </c>
    </row>
    <row r="6662" spans="1:5" x14ac:dyDescent="0.3">
      <c r="A6662" t="s">
        <v>12674</v>
      </c>
      <c r="B6662" t="s">
        <v>862</v>
      </c>
      <c r="C6662">
        <v>11</v>
      </c>
      <c r="D6662" t="str">
        <f>VLOOKUP(B6662,Products!$A:$E,2,FALSE)</f>
        <v>Product_427</v>
      </c>
      <c r="E6662" t="str">
        <f>VLOOKUP(B6662,Products!$A:$E,3,FALSE)</f>
        <v>Networking</v>
      </c>
    </row>
    <row r="6663" spans="1:5" x14ac:dyDescent="0.3">
      <c r="A6663" t="s">
        <v>12675</v>
      </c>
      <c r="B6663" t="s">
        <v>494</v>
      </c>
      <c r="C6663">
        <v>25</v>
      </c>
      <c r="D6663" t="str">
        <f>VLOOKUP(B6663,Products!$A:$E,2,FALSE)</f>
        <v>Product_243</v>
      </c>
      <c r="E6663" t="str">
        <f>VLOOKUP(B6663,Products!$A:$E,3,FALSE)</f>
        <v>Storage</v>
      </c>
    </row>
    <row r="6664" spans="1:5" x14ac:dyDescent="0.3">
      <c r="A6664" t="s">
        <v>12676</v>
      </c>
      <c r="B6664" t="s">
        <v>14</v>
      </c>
      <c r="C6664">
        <v>11</v>
      </c>
      <c r="D6664" t="str">
        <f>VLOOKUP(B6664,Products!$A:$E,2,FALSE)</f>
        <v>Product_4</v>
      </c>
      <c r="E6664" t="str">
        <f>VLOOKUP(B6664,Products!$A:$E,3,FALSE)</f>
        <v>Storage</v>
      </c>
    </row>
    <row r="6665" spans="1:5" x14ac:dyDescent="0.3">
      <c r="A6665" t="s">
        <v>12677</v>
      </c>
      <c r="B6665" t="s">
        <v>392</v>
      </c>
      <c r="C6665">
        <v>3</v>
      </c>
      <c r="D6665" t="str">
        <f>VLOOKUP(B6665,Products!$A:$E,2,FALSE)</f>
        <v>Product_192</v>
      </c>
      <c r="E6665" t="str">
        <f>VLOOKUP(B6665,Products!$A:$E,3,FALSE)</f>
        <v>Office Supplies</v>
      </c>
    </row>
    <row r="6666" spans="1:5" x14ac:dyDescent="0.3">
      <c r="A6666" t="s">
        <v>12678</v>
      </c>
      <c r="B6666" t="s">
        <v>554</v>
      </c>
      <c r="C6666">
        <v>12</v>
      </c>
      <c r="D6666" t="str">
        <f>VLOOKUP(B6666,Products!$A:$E,2,FALSE)</f>
        <v>Product_273</v>
      </c>
      <c r="E6666" t="str">
        <f>VLOOKUP(B6666,Products!$A:$E,3,FALSE)</f>
        <v>Networking</v>
      </c>
    </row>
    <row r="6667" spans="1:5" x14ac:dyDescent="0.3">
      <c r="A6667" t="s">
        <v>12679</v>
      </c>
      <c r="B6667" t="s">
        <v>710</v>
      </c>
      <c r="C6667">
        <v>27</v>
      </c>
      <c r="D6667" t="str">
        <f>VLOOKUP(B6667,Products!$A:$E,2,FALSE)</f>
        <v>Product_351</v>
      </c>
      <c r="E6667" t="str">
        <f>VLOOKUP(B6667,Products!$A:$E,3,FALSE)</f>
        <v>Accessories</v>
      </c>
    </row>
    <row r="6668" spans="1:5" x14ac:dyDescent="0.3">
      <c r="A6668" t="s">
        <v>12680</v>
      </c>
      <c r="B6668" t="s">
        <v>120</v>
      </c>
      <c r="C6668">
        <v>6</v>
      </c>
      <c r="D6668" t="str">
        <f>VLOOKUP(B6668,Products!$A:$E,2,FALSE)</f>
        <v>Product_56</v>
      </c>
      <c r="E6668" t="str">
        <f>VLOOKUP(B6668,Products!$A:$E,3,FALSE)</f>
        <v>Networking</v>
      </c>
    </row>
    <row r="6669" spans="1:5" x14ac:dyDescent="0.3">
      <c r="A6669" t="s">
        <v>12681</v>
      </c>
      <c r="B6669" t="s">
        <v>792</v>
      </c>
      <c r="C6669">
        <v>11</v>
      </c>
      <c r="D6669" t="str">
        <f>VLOOKUP(B6669,Products!$A:$E,2,FALSE)</f>
        <v>Product_392</v>
      </c>
      <c r="E6669" t="str">
        <f>VLOOKUP(B6669,Products!$A:$E,3,FALSE)</f>
        <v>Electronics</v>
      </c>
    </row>
    <row r="6670" spans="1:5" x14ac:dyDescent="0.3">
      <c r="A6670" t="s">
        <v>12682</v>
      </c>
      <c r="B6670" t="s">
        <v>226</v>
      </c>
      <c r="C6670">
        <v>5</v>
      </c>
      <c r="D6670" t="str">
        <f>VLOOKUP(B6670,Products!$A:$E,2,FALSE)</f>
        <v>Product_109</v>
      </c>
      <c r="E6670" t="str">
        <f>VLOOKUP(B6670,Products!$A:$E,3,FALSE)</f>
        <v>Storage</v>
      </c>
    </row>
    <row r="6671" spans="1:5" x14ac:dyDescent="0.3">
      <c r="A6671" t="s">
        <v>12683</v>
      </c>
      <c r="B6671" t="s">
        <v>166</v>
      </c>
      <c r="C6671">
        <v>27</v>
      </c>
      <c r="D6671" t="str">
        <f>VLOOKUP(B6671,Products!$A:$E,2,FALSE)</f>
        <v>Product_79</v>
      </c>
      <c r="E6671" t="str">
        <f>VLOOKUP(B6671,Products!$A:$E,3,FALSE)</f>
        <v>Storage</v>
      </c>
    </row>
    <row r="6672" spans="1:5" x14ac:dyDescent="0.3">
      <c r="A6672" t="s">
        <v>12684</v>
      </c>
      <c r="B6672" t="s">
        <v>120</v>
      </c>
      <c r="C6672">
        <v>28</v>
      </c>
      <c r="D6672" t="str">
        <f>VLOOKUP(B6672,Products!$A:$E,2,FALSE)</f>
        <v>Product_56</v>
      </c>
      <c r="E6672" t="str">
        <f>VLOOKUP(B6672,Products!$A:$E,3,FALSE)</f>
        <v>Networking</v>
      </c>
    </row>
    <row r="6673" spans="1:5" x14ac:dyDescent="0.3">
      <c r="A6673" t="s">
        <v>12685</v>
      </c>
      <c r="B6673" t="s">
        <v>244</v>
      </c>
      <c r="C6673">
        <v>45</v>
      </c>
      <c r="D6673" t="str">
        <f>VLOOKUP(B6673,Products!$A:$E,2,FALSE)</f>
        <v>Product_118</v>
      </c>
      <c r="E6673" t="str">
        <f>VLOOKUP(B6673,Products!$A:$E,3,FALSE)</f>
        <v>Accessories</v>
      </c>
    </row>
    <row r="6674" spans="1:5" x14ac:dyDescent="0.3">
      <c r="A6674" t="s">
        <v>12686</v>
      </c>
      <c r="B6674" t="s">
        <v>842</v>
      </c>
      <c r="C6674">
        <v>11</v>
      </c>
      <c r="D6674" t="str">
        <f>VLOOKUP(B6674,Products!$A:$E,2,FALSE)</f>
        <v>Product_417</v>
      </c>
      <c r="E6674" t="str">
        <f>VLOOKUP(B6674,Products!$A:$E,3,FALSE)</f>
        <v>Accessories</v>
      </c>
    </row>
    <row r="6675" spans="1:5" x14ac:dyDescent="0.3">
      <c r="A6675" t="s">
        <v>12687</v>
      </c>
      <c r="B6675" t="s">
        <v>282</v>
      </c>
      <c r="C6675">
        <v>46</v>
      </c>
      <c r="D6675" t="str">
        <f>VLOOKUP(B6675,Products!$A:$E,2,FALSE)</f>
        <v>Product_137</v>
      </c>
      <c r="E6675" t="str">
        <f>VLOOKUP(B6675,Products!$A:$E,3,FALSE)</f>
        <v>Storage</v>
      </c>
    </row>
    <row r="6676" spans="1:5" x14ac:dyDescent="0.3">
      <c r="A6676" t="s">
        <v>12688</v>
      </c>
      <c r="B6676" t="s">
        <v>542</v>
      </c>
      <c r="C6676">
        <v>46</v>
      </c>
      <c r="D6676" t="str">
        <f>VLOOKUP(B6676,Products!$A:$E,2,FALSE)</f>
        <v>Product_267</v>
      </c>
      <c r="E6676" t="str">
        <f>VLOOKUP(B6676,Products!$A:$E,3,FALSE)</f>
        <v>Networking</v>
      </c>
    </row>
    <row r="6677" spans="1:5" x14ac:dyDescent="0.3">
      <c r="A6677" t="s">
        <v>12689</v>
      </c>
      <c r="B6677" t="s">
        <v>578</v>
      </c>
      <c r="C6677">
        <v>44</v>
      </c>
      <c r="D6677" t="str">
        <f>VLOOKUP(B6677,Products!$A:$E,2,FALSE)</f>
        <v>Product_285</v>
      </c>
      <c r="E6677" t="str">
        <f>VLOOKUP(B6677,Products!$A:$E,3,FALSE)</f>
        <v>Networking</v>
      </c>
    </row>
    <row r="6678" spans="1:5" x14ac:dyDescent="0.3">
      <c r="A6678" t="s">
        <v>12690</v>
      </c>
      <c r="B6678" t="s">
        <v>552</v>
      </c>
      <c r="C6678">
        <v>38</v>
      </c>
      <c r="D6678" t="str">
        <f>VLOOKUP(B6678,Products!$A:$E,2,FALSE)</f>
        <v>Product_272</v>
      </c>
      <c r="E6678" t="str">
        <f>VLOOKUP(B6678,Products!$A:$E,3,FALSE)</f>
        <v>Office Supplies</v>
      </c>
    </row>
    <row r="6679" spans="1:5" x14ac:dyDescent="0.3">
      <c r="A6679" t="s">
        <v>12691</v>
      </c>
      <c r="B6679" t="s">
        <v>930</v>
      </c>
      <c r="C6679">
        <v>38</v>
      </c>
      <c r="D6679" t="str">
        <f>VLOOKUP(B6679,Products!$A:$E,2,FALSE)</f>
        <v>Product_461</v>
      </c>
      <c r="E6679" t="str">
        <f>VLOOKUP(B6679,Products!$A:$E,3,FALSE)</f>
        <v>Accessories</v>
      </c>
    </row>
    <row r="6680" spans="1:5" x14ac:dyDescent="0.3">
      <c r="A6680" t="s">
        <v>12692</v>
      </c>
      <c r="B6680" t="s">
        <v>346</v>
      </c>
      <c r="C6680">
        <v>29</v>
      </c>
      <c r="D6680" t="str">
        <f>VLOOKUP(B6680,Products!$A:$E,2,FALSE)</f>
        <v>Product_169</v>
      </c>
      <c r="E6680" t="str">
        <f>VLOOKUP(B6680,Products!$A:$E,3,FALSE)</f>
        <v>Accessories</v>
      </c>
    </row>
    <row r="6681" spans="1:5" x14ac:dyDescent="0.3">
      <c r="A6681" t="s">
        <v>12693</v>
      </c>
      <c r="B6681" t="s">
        <v>170</v>
      </c>
      <c r="C6681">
        <v>39</v>
      </c>
      <c r="D6681" t="str">
        <f>VLOOKUP(B6681,Products!$A:$E,2,FALSE)</f>
        <v>Product_81</v>
      </c>
      <c r="E6681" t="str">
        <f>VLOOKUP(B6681,Products!$A:$E,3,FALSE)</f>
        <v>Office Supplies</v>
      </c>
    </row>
    <row r="6682" spans="1:5" x14ac:dyDescent="0.3">
      <c r="A6682" t="s">
        <v>12694</v>
      </c>
      <c r="B6682" t="s">
        <v>554</v>
      </c>
      <c r="C6682">
        <v>43</v>
      </c>
      <c r="D6682" t="str">
        <f>VLOOKUP(B6682,Products!$A:$E,2,FALSE)</f>
        <v>Product_273</v>
      </c>
      <c r="E6682" t="str">
        <f>VLOOKUP(B6682,Products!$A:$E,3,FALSE)</f>
        <v>Networking</v>
      </c>
    </row>
    <row r="6683" spans="1:5" x14ac:dyDescent="0.3">
      <c r="A6683" t="s">
        <v>12695</v>
      </c>
      <c r="B6683" t="s">
        <v>590</v>
      </c>
      <c r="C6683">
        <v>14</v>
      </c>
      <c r="D6683" t="str">
        <f>VLOOKUP(B6683,Products!$A:$E,2,FALSE)</f>
        <v>Product_291</v>
      </c>
      <c r="E6683" t="str">
        <f>VLOOKUP(B6683,Products!$A:$E,3,FALSE)</f>
        <v>Networking</v>
      </c>
    </row>
    <row r="6684" spans="1:5" x14ac:dyDescent="0.3">
      <c r="A6684" t="s">
        <v>12696</v>
      </c>
      <c r="B6684" t="s">
        <v>986</v>
      </c>
      <c r="C6684">
        <v>29</v>
      </c>
      <c r="D6684" t="str">
        <f>VLOOKUP(B6684,Products!$A:$E,2,FALSE)</f>
        <v>Product_489</v>
      </c>
      <c r="E6684" t="str">
        <f>VLOOKUP(B6684,Products!$A:$E,3,FALSE)</f>
        <v>Networking</v>
      </c>
    </row>
    <row r="6685" spans="1:5" x14ac:dyDescent="0.3">
      <c r="A6685" t="s">
        <v>12697</v>
      </c>
      <c r="B6685" t="s">
        <v>444</v>
      </c>
      <c r="C6685">
        <v>12</v>
      </c>
      <c r="D6685" t="str">
        <f>VLOOKUP(B6685,Products!$A:$E,2,FALSE)</f>
        <v>Product_218</v>
      </c>
      <c r="E6685" t="str">
        <f>VLOOKUP(B6685,Products!$A:$E,3,FALSE)</f>
        <v>Accessories</v>
      </c>
    </row>
    <row r="6686" spans="1:5" x14ac:dyDescent="0.3">
      <c r="A6686" t="s">
        <v>12698</v>
      </c>
      <c r="B6686" t="s">
        <v>634</v>
      </c>
      <c r="C6686">
        <v>29</v>
      </c>
      <c r="D6686" t="str">
        <f>VLOOKUP(B6686,Products!$A:$E,2,FALSE)</f>
        <v>Product_313</v>
      </c>
      <c r="E6686" t="str">
        <f>VLOOKUP(B6686,Products!$A:$E,3,FALSE)</f>
        <v>Accessories</v>
      </c>
    </row>
    <row r="6687" spans="1:5" x14ac:dyDescent="0.3">
      <c r="A6687" t="s">
        <v>12699</v>
      </c>
      <c r="B6687" t="s">
        <v>294</v>
      </c>
      <c r="C6687">
        <v>21</v>
      </c>
      <c r="D6687" t="str">
        <f>VLOOKUP(B6687,Products!$A:$E,2,FALSE)</f>
        <v>Product_143</v>
      </c>
      <c r="E6687" t="str">
        <f>VLOOKUP(B6687,Products!$A:$E,3,FALSE)</f>
        <v>Office Supplies</v>
      </c>
    </row>
    <row r="6688" spans="1:5" x14ac:dyDescent="0.3">
      <c r="A6688" t="s">
        <v>12700</v>
      </c>
      <c r="B6688" t="s">
        <v>276</v>
      </c>
      <c r="C6688">
        <v>39</v>
      </c>
      <c r="D6688" t="str">
        <f>VLOOKUP(B6688,Products!$A:$E,2,FALSE)</f>
        <v>Product_134</v>
      </c>
      <c r="E6688" t="str">
        <f>VLOOKUP(B6688,Products!$A:$E,3,FALSE)</f>
        <v>Accessories</v>
      </c>
    </row>
    <row r="6689" spans="1:5" x14ac:dyDescent="0.3">
      <c r="A6689" t="s">
        <v>12701</v>
      </c>
      <c r="B6689" t="s">
        <v>228</v>
      </c>
      <c r="C6689">
        <v>47</v>
      </c>
      <c r="D6689" t="str">
        <f>VLOOKUP(B6689,Products!$A:$E,2,FALSE)</f>
        <v>Product_110</v>
      </c>
      <c r="E6689" t="str">
        <f>VLOOKUP(B6689,Products!$A:$E,3,FALSE)</f>
        <v>Networking</v>
      </c>
    </row>
    <row r="6690" spans="1:5" x14ac:dyDescent="0.3">
      <c r="A6690" t="s">
        <v>12702</v>
      </c>
      <c r="B6690" t="s">
        <v>826</v>
      </c>
      <c r="C6690">
        <v>50</v>
      </c>
      <c r="D6690" t="str">
        <f>VLOOKUP(B6690,Products!$A:$E,2,FALSE)</f>
        <v>Product_409</v>
      </c>
      <c r="E6690" t="str">
        <f>VLOOKUP(B6690,Products!$A:$E,3,FALSE)</f>
        <v>Office Supplies</v>
      </c>
    </row>
    <row r="6691" spans="1:5" x14ac:dyDescent="0.3">
      <c r="A6691" t="s">
        <v>12703</v>
      </c>
      <c r="B6691" t="s">
        <v>864</v>
      </c>
      <c r="C6691">
        <v>2</v>
      </c>
      <c r="D6691" t="str">
        <f>VLOOKUP(B6691,Products!$A:$E,2,FALSE)</f>
        <v>Product_428</v>
      </c>
      <c r="E6691" t="str">
        <f>VLOOKUP(B6691,Products!$A:$E,3,FALSE)</f>
        <v>Storage</v>
      </c>
    </row>
    <row r="6692" spans="1:5" x14ac:dyDescent="0.3">
      <c r="A6692" t="s">
        <v>12704</v>
      </c>
      <c r="B6692" t="s">
        <v>210</v>
      </c>
      <c r="C6692">
        <v>26</v>
      </c>
      <c r="D6692" t="str">
        <f>VLOOKUP(B6692,Products!$A:$E,2,FALSE)</f>
        <v>Product_101</v>
      </c>
      <c r="E6692" t="str">
        <f>VLOOKUP(B6692,Products!$A:$E,3,FALSE)</f>
        <v>Storage</v>
      </c>
    </row>
    <row r="6693" spans="1:5" x14ac:dyDescent="0.3">
      <c r="A6693" t="s">
        <v>12705</v>
      </c>
      <c r="B6693" t="s">
        <v>312</v>
      </c>
      <c r="C6693">
        <v>25</v>
      </c>
      <c r="D6693" t="str">
        <f>VLOOKUP(B6693,Products!$A:$E,2,FALSE)</f>
        <v>Product_152</v>
      </c>
      <c r="E6693" t="str">
        <f>VLOOKUP(B6693,Products!$A:$E,3,FALSE)</f>
        <v>Storage</v>
      </c>
    </row>
    <row r="6694" spans="1:5" x14ac:dyDescent="0.3">
      <c r="A6694" t="s">
        <v>12706</v>
      </c>
      <c r="B6694" t="s">
        <v>800</v>
      </c>
      <c r="C6694">
        <v>35</v>
      </c>
      <c r="D6694" t="str">
        <f>VLOOKUP(B6694,Products!$A:$E,2,FALSE)</f>
        <v>Product_396</v>
      </c>
      <c r="E6694" t="str">
        <f>VLOOKUP(B6694,Products!$A:$E,3,FALSE)</f>
        <v>Office Supplies</v>
      </c>
    </row>
    <row r="6695" spans="1:5" x14ac:dyDescent="0.3">
      <c r="A6695" t="s">
        <v>12707</v>
      </c>
      <c r="B6695" t="s">
        <v>486</v>
      </c>
      <c r="C6695">
        <v>6</v>
      </c>
      <c r="D6695" t="str">
        <f>VLOOKUP(B6695,Products!$A:$E,2,FALSE)</f>
        <v>Product_239</v>
      </c>
      <c r="E6695" t="str">
        <f>VLOOKUP(B6695,Products!$A:$E,3,FALSE)</f>
        <v>Storage</v>
      </c>
    </row>
    <row r="6696" spans="1:5" x14ac:dyDescent="0.3">
      <c r="A6696" t="s">
        <v>12708</v>
      </c>
      <c r="B6696" t="s">
        <v>904</v>
      </c>
      <c r="C6696">
        <v>38</v>
      </c>
      <c r="D6696" t="str">
        <f>VLOOKUP(B6696,Products!$A:$E,2,FALSE)</f>
        <v>Product_448</v>
      </c>
      <c r="E6696" t="str">
        <f>VLOOKUP(B6696,Products!$A:$E,3,FALSE)</f>
        <v>Networking</v>
      </c>
    </row>
    <row r="6697" spans="1:5" x14ac:dyDescent="0.3">
      <c r="A6697" t="s">
        <v>12709</v>
      </c>
      <c r="B6697" t="s">
        <v>128</v>
      </c>
      <c r="C6697">
        <v>45</v>
      </c>
      <c r="D6697" t="str">
        <f>VLOOKUP(B6697,Products!$A:$E,2,FALSE)</f>
        <v>Product_60</v>
      </c>
      <c r="E6697" t="str">
        <f>VLOOKUP(B6697,Products!$A:$E,3,FALSE)</f>
        <v>Electronics</v>
      </c>
    </row>
    <row r="6698" spans="1:5" x14ac:dyDescent="0.3">
      <c r="A6698" t="s">
        <v>12710</v>
      </c>
      <c r="B6698" t="s">
        <v>138</v>
      </c>
      <c r="C6698">
        <v>4</v>
      </c>
      <c r="D6698" t="str">
        <f>VLOOKUP(B6698,Products!$A:$E,2,FALSE)</f>
        <v>Product_65</v>
      </c>
      <c r="E6698" t="str">
        <f>VLOOKUP(B6698,Products!$A:$E,3,FALSE)</f>
        <v>Office Supplies</v>
      </c>
    </row>
    <row r="6699" spans="1:5" x14ac:dyDescent="0.3">
      <c r="A6699" t="s">
        <v>12711</v>
      </c>
      <c r="B6699" t="s">
        <v>244</v>
      </c>
      <c r="C6699">
        <v>48</v>
      </c>
      <c r="D6699" t="str">
        <f>VLOOKUP(B6699,Products!$A:$E,2,FALSE)</f>
        <v>Product_118</v>
      </c>
      <c r="E6699" t="str">
        <f>VLOOKUP(B6699,Products!$A:$E,3,FALSE)</f>
        <v>Accessories</v>
      </c>
    </row>
    <row r="6700" spans="1:5" x14ac:dyDescent="0.3">
      <c r="A6700" t="s">
        <v>12712</v>
      </c>
      <c r="B6700" t="s">
        <v>726</v>
      </c>
      <c r="C6700">
        <v>35</v>
      </c>
      <c r="D6700" t="str">
        <f>VLOOKUP(B6700,Products!$A:$E,2,FALSE)</f>
        <v>Product_359</v>
      </c>
      <c r="E6700" t="str">
        <f>VLOOKUP(B6700,Products!$A:$E,3,FALSE)</f>
        <v>Electronics</v>
      </c>
    </row>
    <row r="6701" spans="1:5" x14ac:dyDescent="0.3">
      <c r="A6701" t="s">
        <v>12713</v>
      </c>
      <c r="B6701" t="s">
        <v>982</v>
      </c>
      <c r="C6701">
        <v>8</v>
      </c>
      <c r="D6701" t="str">
        <f>VLOOKUP(B6701,Products!$A:$E,2,FALSE)</f>
        <v>Product_487</v>
      </c>
      <c r="E6701" t="str">
        <f>VLOOKUP(B6701,Products!$A:$E,3,FALSE)</f>
        <v>Networking</v>
      </c>
    </row>
    <row r="6702" spans="1:5" x14ac:dyDescent="0.3">
      <c r="A6702" t="s">
        <v>12714</v>
      </c>
      <c r="B6702" t="s">
        <v>582</v>
      </c>
      <c r="C6702">
        <v>31</v>
      </c>
      <c r="D6702" t="str">
        <f>VLOOKUP(B6702,Products!$A:$E,2,FALSE)</f>
        <v>Product_287</v>
      </c>
      <c r="E6702" t="str">
        <f>VLOOKUP(B6702,Products!$A:$E,3,FALSE)</f>
        <v>Storage</v>
      </c>
    </row>
    <row r="6703" spans="1:5" x14ac:dyDescent="0.3">
      <c r="A6703" t="s">
        <v>12715</v>
      </c>
      <c r="B6703" t="s">
        <v>414</v>
      </c>
      <c r="C6703">
        <v>42</v>
      </c>
      <c r="D6703" t="str">
        <f>VLOOKUP(B6703,Products!$A:$E,2,FALSE)</f>
        <v>Product_203</v>
      </c>
      <c r="E6703" t="str">
        <f>VLOOKUP(B6703,Products!$A:$E,3,FALSE)</f>
        <v>Accessories</v>
      </c>
    </row>
    <row r="6704" spans="1:5" x14ac:dyDescent="0.3">
      <c r="A6704" t="s">
        <v>12716</v>
      </c>
      <c r="B6704" t="s">
        <v>604</v>
      </c>
      <c r="C6704">
        <v>46</v>
      </c>
      <c r="D6704" t="str">
        <f>VLOOKUP(B6704,Products!$A:$E,2,FALSE)</f>
        <v>Product_298</v>
      </c>
      <c r="E6704" t="str">
        <f>VLOOKUP(B6704,Products!$A:$E,3,FALSE)</f>
        <v>Office Supplies</v>
      </c>
    </row>
    <row r="6705" spans="1:5" x14ac:dyDescent="0.3">
      <c r="A6705" t="s">
        <v>12717</v>
      </c>
      <c r="B6705" t="s">
        <v>764</v>
      </c>
      <c r="C6705">
        <v>9</v>
      </c>
      <c r="D6705" t="str">
        <f>VLOOKUP(B6705,Products!$A:$E,2,FALSE)</f>
        <v>Product_378</v>
      </c>
      <c r="E6705" t="str">
        <f>VLOOKUP(B6705,Products!$A:$E,3,FALSE)</f>
        <v>Electronics</v>
      </c>
    </row>
    <row r="6706" spans="1:5" x14ac:dyDescent="0.3">
      <c r="A6706" t="s">
        <v>12718</v>
      </c>
      <c r="B6706" t="s">
        <v>64</v>
      </c>
      <c r="C6706">
        <v>34</v>
      </c>
      <c r="D6706" t="str">
        <f>VLOOKUP(B6706,Products!$A:$E,2,FALSE)</f>
        <v>Product_28</v>
      </c>
      <c r="E6706" t="str">
        <f>VLOOKUP(B6706,Products!$A:$E,3,FALSE)</f>
        <v>Office Supplies</v>
      </c>
    </row>
    <row r="6707" spans="1:5" x14ac:dyDescent="0.3">
      <c r="A6707" t="s">
        <v>12719</v>
      </c>
      <c r="B6707" t="s">
        <v>194</v>
      </c>
      <c r="C6707">
        <v>35</v>
      </c>
      <c r="D6707" t="str">
        <f>VLOOKUP(B6707,Products!$A:$E,2,FALSE)</f>
        <v>Product_93</v>
      </c>
      <c r="E6707" t="str">
        <f>VLOOKUP(B6707,Products!$A:$E,3,FALSE)</f>
        <v>Office Supplies</v>
      </c>
    </row>
    <row r="6708" spans="1:5" x14ac:dyDescent="0.3">
      <c r="A6708" t="s">
        <v>12720</v>
      </c>
      <c r="B6708" t="s">
        <v>906</v>
      </c>
      <c r="C6708">
        <v>15</v>
      </c>
      <c r="D6708" t="str">
        <f>VLOOKUP(B6708,Products!$A:$E,2,FALSE)</f>
        <v>Product_449</v>
      </c>
      <c r="E6708" t="str">
        <f>VLOOKUP(B6708,Products!$A:$E,3,FALSE)</f>
        <v>Networking</v>
      </c>
    </row>
    <row r="6709" spans="1:5" x14ac:dyDescent="0.3">
      <c r="A6709" t="s">
        <v>12721</v>
      </c>
      <c r="B6709" t="s">
        <v>828</v>
      </c>
      <c r="C6709">
        <v>9</v>
      </c>
      <c r="D6709" t="str">
        <f>VLOOKUP(B6709,Products!$A:$E,2,FALSE)</f>
        <v>Product_410</v>
      </c>
      <c r="E6709" t="str">
        <f>VLOOKUP(B6709,Products!$A:$E,3,FALSE)</f>
        <v>Storage</v>
      </c>
    </row>
    <row r="6710" spans="1:5" x14ac:dyDescent="0.3">
      <c r="A6710" t="s">
        <v>12722</v>
      </c>
      <c r="B6710" t="s">
        <v>256</v>
      </c>
      <c r="C6710">
        <v>4</v>
      </c>
      <c r="D6710" t="str">
        <f>VLOOKUP(B6710,Products!$A:$E,2,FALSE)</f>
        <v>Product_124</v>
      </c>
      <c r="E6710" t="str">
        <f>VLOOKUP(B6710,Products!$A:$E,3,FALSE)</f>
        <v>Storage</v>
      </c>
    </row>
    <row r="6711" spans="1:5" x14ac:dyDescent="0.3">
      <c r="A6711" t="s">
        <v>12723</v>
      </c>
      <c r="B6711" t="s">
        <v>530</v>
      </c>
      <c r="C6711">
        <v>39</v>
      </c>
      <c r="D6711" t="str">
        <f>VLOOKUP(B6711,Products!$A:$E,2,FALSE)</f>
        <v>Product_261</v>
      </c>
      <c r="E6711" t="str">
        <f>VLOOKUP(B6711,Products!$A:$E,3,FALSE)</f>
        <v>Accessories</v>
      </c>
    </row>
    <row r="6712" spans="1:5" x14ac:dyDescent="0.3">
      <c r="A6712" t="s">
        <v>12724</v>
      </c>
      <c r="B6712" t="s">
        <v>566</v>
      </c>
      <c r="C6712">
        <v>5</v>
      </c>
      <c r="D6712" t="str">
        <f>VLOOKUP(B6712,Products!$A:$E,2,FALSE)</f>
        <v>Product_279</v>
      </c>
      <c r="E6712" t="str">
        <f>VLOOKUP(B6712,Products!$A:$E,3,FALSE)</f>
        <v>Networking</v>
      </c>
    </row>
    <row r="6713" spans="1:5" x14ac:dyDescent="0.3">
      <c r="A6713" t="s">
        <v>12725</v>
      </c>
      <c r="B6713" t="s">
        <v>256</v>
      </c>
      <c r="C6713">
        <v>35</v>
      </c>
      <c r="D6713" t="str">
        <f>VLOOKUP(B6713,Products!$A:$E,2,FALSE)</f>
        <v>Product_124</v>
      </c>
      <c r="E6713" t="str">
        <f>VLOOKUP(B6713,Products!$A:$E,3,FALSE)</f>
        <v>Storage</v>
      </c>
    </row>
    <row r="6714" spans="1:5" x14ac:dyDescent="0.3">
      <c r="A6714" t="s">
        <v>12726</v>
      </c>
      <c r="B6714" t="s">
        <v>574</v>
      </c>
      <c r="C6714">
        <v>6</v>
      </c>
      <c r="D6714" t="str">
        <f>VLOOKUP(B6714,Products!$A:$E,2,FALSE)</f>
        <v>Product_283</v>
      </c>
      <c r="E6714" t="str">
        <f>VLOOKUP(B6714,Products!$A:$E,3,FALSE)</f>
        <v>Networking</v>
      </c>
    </row>
    <row r="6715" spans="1:5" x14ac:dyDescent="0.3">
      <c r="A6715" t="s">
        <v>12727</v>
      </c>
      <c r="B6715" t="s">
        <v>356</v>
      </c>
      <c r="C6715">
        <v>34</v>
      </c>
      <c r="D6715" t="str">
        <f>VLOOKUP(B6715,Products!$A:$E,2,FALSE)</f>
        <v>Product_174</v>
      </c>
      <c r="E6715" t="str">
        <f>VLOOKUP(B6715,Products!$A:$E,3,FALSE)</f>
        <v>Storage</v>
      </c>
    </row>
    <row r="6716" spans="1:5" x14ac:dyDescent="0.3">
      <c r="A6716" t="s">
        <v>12728</v>
      </c>
      <c r="B6716" t="s">
        <v>560</v>
      </c>
      <c r="C6716">
        <v>6</v>
      </c>
      <c r="D6716" t="str">
        <f>VLOOKUP(B6716,Products!$A:$E,2,FALSE)</f>
        <v>Product_276</v>
      </c>
      <c r="E6716" t="str">
        <f>VLOOKUP(B6716,Products!$A:$E,3,FALSE)</f>
        <v>Office Supplies</v>
      </c>
    </row>
    <row r="6717" spans="1:5" x14ac:dyDescent="0.3">
      <c r="A6717" t="s">
        <v>12729</v>
      </c>
      <c r="B6717" t="s">
        <v>274</v>
      </c>
      <c r="C6717">
        <v>17</v>
      </c>
      <c r="D6717" t="str">
        <f>VLOOKUP(B6717,Products!$A:$E,2,FALSE)</f>
        <v>Product_133</v>
      </c>
      <c r="E6717" t="str">
        <f>VLOOKUP(B6717,Products!$A:$E,3,FALSE)</f>
        <v>Office Supplies</v>
      </c>
    </row>
    <row r="6718" spans="1:5" x14ac:dyDescent="0.3">
      <c r="A6718" t="s">
        <v>12730</v>
      </c>
      <c r="B6718" t="s">
        <v>350</v>
      </c>
      <c r="C6718">
        <v>36</v>
      </c>
      <c r="D6718" t="str">
        <f>VLOOKUP(B6718,Products!$A:$E,2,FALSE)</f>
        <v>Product_171</v>
      </c>
      <c r="E6718" t="str">
        <f>VLOOKUP(B6718,Products!$A:$E,3,FALSE)</f>
        <v>Electronics</v>
      </c>
    </row>
    <row r="6719" spans="1:5" x14ac:dyDescent="0.3">
      <c r="A6719" t="s">
        <v>12731</v>
      </c>
      <c r="B6719" t="s">
        <v>148</v>
      </c>
      <c r="C6719">
        <v>12</v>
      </c>
      <c r="D6719" t="str">
        <f>VLOOKUP(B6719,Products!$A:$E,2,FALSE)</f>
        <v>Product_70</v>
      </c>
      <c r="E6719" t="str">
        <f>VLOOKUP(B6719,Products!$A:$E,3,FALSE)</f>
        <v>Electronics</v>
      </c>
    </row>
    <row r="6720" spans="1:5" x14ac:dyDescent="0.3">
      <c r="A6720" t="s">
        <v>12732</v>
      </c>
      <c r="B6720" t="s">
        <v>54</v>
      </c>
      <c r="C6720">
        <v>28</v>
      </c>
      <c r="D6720" t="str">
        <f>VLOOKUP(B6720,Products!$A:$E,2,FALSE)</f>
        <v>Product_23</v>
      </c>
      <c r="E6720" t="str">
        <f>VLOOKUP(B6720,Products!$A:$E,3,FALSE)</f>
        <v>Accessories</v>
      </c>
    </row>
    <row r="6721" spans="1:5" x14ac:dyDescent="0.3">
      <c r="A6721" t="s">
        <v>12733</v>
      </c>
      <c r="B6721" t="s">
        <v>512</v>
      </c>
      <c r="C6721">
        <v>14</v>
      </c>
      <c r="D6721" t="str">
        <f>VLOOKUP(B6721,Products!$A:$E,2,FALSE)</f>
        <v>Product_252</v>
      </c>
      <c r="E6721" t="str">
        <f>VLOOKUP(B6721,Products!$A:$E,3,FALSE)</f>
        <v>Networking</v>
      </c>
    </row>
    <row r="6722" spans="1:5" x14ac:dyDescent="0.3">
      <c r="A6722" t="s">
        <v>12734</v>
      </c>
      <c r="B6722" t="s">
        <v>152</v>
      </c>
      <c r="C6722">
        <v>15</v>
      </c>
      <c r="D6722" t="str">
        <f>VLOOKUP(B6722,Products!$A:$E,2,FALSE)</f>
        <v>Product_72</v>
      </c>
      <c r="E6722" t="str">
        <f>VLOOKUP(B6722,Products!$A:$E,3,FALSE)</f>
        <v>Networking</v>
      </c>
    </row>
    <row r="6723" spans="1:5" x14ac:dyDescent="0.3">
      <c r="A6723" t="s">
        <v>12735</v>
      </c>
      <c r="B6723" t="s">
        <v>724</v>
      </c>
      <c r="C6723">
        <v>41</v>
      </c>
      <c r="D6723" t="str">
        <f>VLOOKUP(B6723,Products!$A:$E,2,FALSE)</f>
        <v>Product_358</v>
      </c>
      <c r="E6723" t="str">
        <f>VLOOKUP(B6723,Products!$A:$E,3,FALSE)</f>
        <v>Storage</v>
      </c>
    </row>
    <row r="6724" spans="1:5" x14ac:dyDescent="0.3">
      <c r="A6724" t="s">
        <v>12736</v>
      </c>
      <c r="B6724" t="s">
        <v>100</v>
      </c>
      <c r="C6724">
        <v>34</v>
      </c>
      <c r="D6724" t="str">
        <f>VLOOKUP(B6724,Products!$A:$E,2,FALSE)</f>
        <v>Product_46</v>
      </c>
      <c r="E6724" t="str">
        <f>VLOOKUP(B6724,Products!$A:$E,3,FALSE)</f>
        <v>Networking</v>
      </c>
    </row>
    <row r="6725" spans="1:5" x14ac:dyDescent="0.3">
      <c r="A6725" t="s">
        <v>12737</v>
      </c>
      <c r="B6725" t="s">
        <v>160</v>
      </c>
      <c r="C6725">
        <v>40</v>
      </c>
      <c r="D6725" t="str">
        <f>VLOOKUP(B6725,Products!$A:$E,2,FALSE)</f>
        <v>Product_76</v>
      </c>
      <c r="E6725" t="str">
        <f>VLOOKUP(B6725,Products!$A:$E,3,FALSE)</f>
        <v>Accessories</v>
      </c>
    </row>
    <row r="6726" spans="1:5" x14ac:dyDescent="0.3">
      <c r="A6726" t="s">
        <v>12738</v>
      </c>
      <c r="B6726" t="s">
        <v>462</v>
      </c>
      <c r="C6726">
        <v>5</v>
      </c>
      <c r="D6726" t="str">
        <f>VLOOKUP(B6726,Products!$A:$E,2,FALSE)</f>
        <v>Product_227</v>
      </c>
      <c r="E6726" t="str">
        <f>VLOOKUP(B6726,Products!$A:$E,3,FALSE)</f>
        <v>Accessories</v>
      </c>
    </row>
    <row r="6727" spans="1:5" x14ac:dyDescent="0.3">
      <c r="A6727" t="s">
        <v>12739</v>
      </c>
      <c r="B6727" t="s">
        <v>442</v>
      </c>
      <c r="C6727">
        <v>47</v>
      </c>
      <c r="D6727" t="str">
        <f>VLOOKUP(B6727,Products!$A:$E,2,FALSE)</f>
        <v>Product_217</v>
      </c>
      <c r="E6727" t="str">
        <f>VLOOKUP(B6727,Products!$A:$E,3,FALSE)</f>
        <v>Networking</v>
      </c>
    </row>
    <row r="6728" spans="1:5" x14ac:dyDescent="0.3">
      <c r="A6728" t="s">
        <v>12740</v>
      </c>
      <c r="B6728" t="s">
        <v>658</v>
      </c>
      <c r="C6728">
        <v>35</v>
      </c>
      <c r="D6728" t="str">
        <f>VLOOKUP(B6728,Products!$A:$E,2,FALSE)</f>
        <v>Product_325</v>
      </c>
      <c r="E6728" t="str">
        <f>VLOOKUP(B6728,Products!$A:$E,3,FALSE)</f>
        <v>Networking</v>
      </c>
    </row>
    <row r="6729" spans="1:5" x14ac:dyDescent="0.3">
      <c r="A6729" t="s">
        <v>12741</v>
      </c>
      <c r="B6729" t="s">
        <v>92</v>
      </c>
      <c r="C6729">
        <v>48</v>
      </c>
      <c r="D6729" t="str">
        <f>VLOOKUP(B6729,Products!$A:$E,2,FALSE)</f>
        <v>Product_42</v>
      </c>
      <c r="E6729" t="str">
        <f>VLOOKUP(B6729,Products!$A:$E,3,FALSE)</f>
        <v>Storage</v>
      </c>
    </row>
    <row r="6730" spans="1:5" x14ac:dyDescent="0.3">
      <c r="A6730" t="s">
        <v>12742</v>
      </c>
      <c r="B6730" t="s">
        <v>788</v>
      </c>
      <c r="C6730">
        <v>21</v>
      </c>
      <c r="D6730" t="str">
        <f>VLOOKUP(B6730,Products!$A:$E,2,FALSE)</f>
        <v>Product_390</v>
      </c>
      <c r="E6730" t="str">
        <f>VLOOKUP(B6730,Products!$A:$E,3,FALSE)</f>
        <v>Storage</v>
      </c>
    </row>
    <row r="6731" spans="1:5" x14ac:dyDescent="0.3">
      <c r="A6731" t="s">
        <v>12743</v>
      </c>
      <c r="B6731" t="s">
        <v>480</v>
      </c>
      <c r="C6731">
        <v>11</v>
      </c>
      <c r="D6731" t="str">
        <f>VLOOKUP(B6731,Products!$A:$E,2,FALSE)</f>
        <v>Product_236</v>
      </c>
      <c r="E6731" t="str">
        <f>VLOOKUP(B6731,Products!$A:$E,3,FALSE)</f>
        <v>Networking</v>
      </c>
    </row>
    <row r="6732" spans="1:5" x14ac:dyDescent="0.3">
      <c r="A6732" t="s">
        <v>12744</v>
      </c>
      <c r="B6732" t="s">
        <v>706</v>
      </c>
      <c r="C6732">
        <v>18</v>
      </c>
      <c r="D6732" t="str">
        <f>VLOOKUP(B6732,Products!$A:$E,2,FALSE)</f>
        <v>Product_349</v>
      </c>
      <c r="E6732" t="str">
        <f>VLOOKUP(B6732,Products!$A:$E,3,FALSE)</f>
        <v>Office Supplies</v>
      </c>
    </row>
    <row r="6733" spans="1:5" x14ac:dyDescent="0.3">
      <c r="A6733" t="s">
        <v>12745</v>
      </c>
      <c r="B6733" t="s">
        <v>876</v>
      </c>
      <c r="C6733">
        <v>22</v>
      </c>
      <c r="D6733" t="str">
        <f>VLOOKUP(B6733,Products!$A:$E,2,FALSE)</f>
        <v>Product_434</v>
      </c>
      <c r="E6733" t="str">
        <f>VLOOKUP(B6733,Products!$A:$E,3,FALSE)</f>
        <v>Office Supplies</v>
      </c>
    </row>
    <row r="6734" spans="1:5" x14ac:dyDescent="0.3">
      <c r="A6734" t="s">
        <v>12746</v>
      </c>
      <c r="B6734" t="s">
        <v>40</v>
      </c>
      <c r="C6734">
        <v>3</v>
      </c>
      <c r="D6734" t="str">
        <f>VLOOKUP(B6734,Products!$A:$E,2,FALSE)</f>
        <v>Product_16</v>
      </c>
      <c r="E6734" t="str">
        <f>VLOOKUP(B6734,Products!$A:$E,3,FALSE)</f>
        <v>Office Supplies</v>
      </c>
    </row>
    <row r="6735" spans="1:5" x14ac:dyDescent="0.3">
      <c r="A6735" t="s">
        <v>12747</v>
      </c>
      <c r="B6735" t="s">
        <v>792</v>
      </c>
      <c r="C6735">
        <v>1</v>
      </c>
      <c r="D6735" t="str">
        <f>VLOOKUP(B6735,Products!$A:$E,2,FALSE)</f>
        <v>Product_392</v>
      </c>
      <c r="E6735" t="str">
        <f>VLOOKUP(B6735,Products!$A:$E,3,FALSE)</f>
        <v>Electronics</v>
      </c>
    </row>
    <row r="6736" spans="1:5" x14ac:dyDescent="0.3">
      <c r="A6736" t="s">
        <v>12748</v>
      </c>
      <c r="B6736" t="s">
        <v>808</v>
      </c>
      <c r="C6736">
        <v>2</v>
      </c>
      <c r="D6736" t="str">
        <f>VLOOKUP(B6736,Products!$A:$E,2,FALSE)</f>
        <v>Product_400</v>
      </c>
      <c r="E6736" t="str">
        <f>VLOOKUP(B6736,Products!$A:$E,3,FALSE)</f>
        <v>Networking</v>
      </c>
    </row>
    <row r="6737" spans="1:5" x14ac:dyDescent="0.3">
      <c r="A6737" t="s">
        <v>12749</v>
      </c>
      <c r="B6737" t="s">
        <v>802</v>
      </c>
      <c r="C6737">
        <v>43</v>
      </c>
      <c r="D6737" t="str">
        <f>VLOOKUP(B6737,Products!$A:$E,2,FALSE)</f>
        <v>Product_397</v>
      </c>
      <c r="E6737" t="str">
        <f>VLOOKUP(B6737,Products!$A:$E,3,FALSE)</f>
        <v>Office Supplies</v>
      </c>
    </row>
    <row r="6738" spans="1:5" x14ac:dyDescent="0.3">
      <c r="A6738" t="s">
        <v>12750</v>
      </c>
      <c r="B6738" t="s">
        <v>716</v>
      </c>
      <c r="C6738">
        <v>2</v>
      </c>
      <c r="D6738" t="str">
        <f>VLOOKUP(B6738,Products!$A:$E,2,FALSE)</f>
        <v>Product_354</v>
      </c>
      <c r="E6738" t="str">
        <f>VLOOKUP(B6738,Products!$A:$E,3,FALSE)</f>
        <v>Storage</v>
      </c>
    </row>
    <row r="6739" spans="1:5" x14ac:dyDescent="0.3">
      <c r="A6739" t="s">
        <v>12751</v>
      </c>
      <c r="B6739" t="s">
        <v>892</v>
      </c>
      <c r="C6739">
        <v>47</v>
      </c>
      <c r="D6739" t="str">
        <f>VLOOKUP(B6739,Products!$A:$E,2,FALSE)</f>
        <v>Product_442</v>
      </c>
      <c r="E6739" t="str">
        <f>VLOOKUP(B6739,Products!$A:$E,3,FALSE)</f>
        <v>Networking</v>
      </c>
    </row>
    <row r="6740" spans="1:5" x14ac:dyDescent="0.3">
      <c r="A6740" t="s">
        <v>12752</v>
      </c>
      <c r="B6740" t="s">
        <v>40</v>
      </c>
      <c r="C6740">
        <v>6</v>
      </c>
      <c r="D6740" t="str">
        <f>VLOOKUP(B6740,Products!$A:$E,2,FALSE)</f>
        <v>Product_16</v>
      </c>
      <c r="E6740" t="str">
        <f>VLOOKUP(B6740,Products!$A:$E,3,FALSE)</f>
        <v>Office Supplies</v>
      </c>
    </row>
    <row r="6741" spans="1:5" x14ac:dyDescent="0.3">
      <c r="A6741" t="s">
        <v>12753</v>
      </c>
      <c r="B6741" t="s">
        <v>340</v>
      </c>
      <c r="C6741">
        <v>11</v>
      </c>
      <c r="D6741" t="str">
        <f>VLOOKUP(B6741,Products!$A:$E,2,FALSE)</f>
        <v>Product_166</v>
      </c>
      <c r="E6741" t="str">
        <f>VLOOKUP(B6741,Products!$A:$E,3,FALSE)</f>
        <v>Accessories</v>
      </c>
    </row>
    <row r="6742" spans="1:5" x14ac:dyDescent="0.3">
      <c r="A6742" t="s">
        <v>12754</v>
      </c>
      <c r="B6742" t="s">
        <v>784</v>
      </c>
      <c r="C6742">
        <v>48</v>
      </c>
      <c r="D6742" t="str">
        <f>VLOOKUP(B6742,Products!$A:$E,2,FALSE)</f>
        <v>Product_388</v>
      </c>
      <c r="E6742" t="str">
        <f>VLOOKUP(B6742,Products!$A:$E,3,FALSE)</f>
        <v>Office Supplies</v>
      </c>
    </row>
    <row r="6743" spans="1:5" x14ac:dyDescent="0.3">
      <c r="A6743" t="s">
        <v>12755</v>
      </c>
      <c r="B6743" t="s">
        <v>836</v>
      </c>
      <c r="C6743">
        <v>41</v>
      </c>
      <c r="D6743" t="str">
        <f>VLOOKUP(B6743,Products!$A:$E,2,FALSE)</f>
        <v>Product_414</v>
      </c>
      <c r="E6743" t="str">
        <f>VLOOKUP(B6743,Products!$A:$E,3,FALSE)</f>
        <v>Office Supplies</v>
      </c>
    </row>
    <row r="6744" spans="1:5" x14ac:dyDescent="0.3">
      <c r="A6744" t="s">
        <v>12756</v>
      </c>
      <c r="B6744" t="s">
        <v>608</v>
      </c>
      <c r="C6744">
        <v>6</v>
      </c>
      <c r="D6744" t="str">
        <f>VLOOKUP(B6744,Products!$A:$E,2,FALSE)</f>
        <v>Product_300</v>
      </c>
      <c r="E6744" t="str">
        <f>VLOOKUP(B6744,Products!$A:$E,3,FALSE)</f>
        <v>Accessories</v>
      </c>
    </row>
    <row r="6745" spans="1:5" x14ac:dyDescent="0.3">
      <c r="A6745" t="s">
        <v>12757</v>
      </c>
      <c r="B6745" t="s">
        <v>94</v>
      </c>
      <c r="C6745">
        <v>45</v>
      </c>
      <c r="D6745" t="str">
        <f>VLOOKUP(B6745,Products!$A:$E,2,FALSE)</f>
        <v>Product_43</v>
      </c>
      <c r="E6745" t="str">
        <f>VLOOKUP(B6745,Products!$A:$E,3,FALSE)</f>
        <v>Storage</v>
      </c>
    </row>
    <row r="6746" spans="1:5" x14ac:dyDescent="0.3">
      <c r="A6746" t="s">
        <v>12758</v>
      </c>
      <c r="B6746" t="s">
        <v>204</v>
      </c>
      <c r="C6746">
        <v>31</v>
      </c>
      <c r="D6746" t="str">
        <f>VLOOKUP(B6746,Products!$A:$E,2,FALSE)</f>
        <v>Product_98</v>
      </c>
      <c r="E6746" t="str">
        <f>VLOOKUP(B6746,Products!$A:$E,3,FALSE)</f>
        <v>Networking</v>
      </c>
    </row>
    <row r="6747" spans="1:5" x14ac:dyDescent="0.3">
      <c r="A6747" t="s">
        <v>12759</v>
      </c>
      <c r="B6747" t="s">
        <v>984</v>
      </c>
      <c r="C6747">
        <v>7</v>
      </c>
      <c r="D6747" t="str">
        <f>VLOOKUP(B6747,Products!$A:$E,2,FALSE)</f>
        <v>Product_488</v>
      </c>
      <c r="E6747" t="str">
        <f>VLOOKUP(B6747,Products!$A:$E,3,FALSE)</f>
        <v>Accessories</v>
      </c>
    </row>
    <row r="6748" spans="1:5" x14ac:dyDescent="0.3">
      <c r="A6748" t="s">
        <v>12760</v>
      </c>
      <c r="B6748" t="s">
        <v>458</v>
      </c>
      <c r="C6748">
        <v>35</v>
      </c>
      <c r="D6748" t="str">
        <f>VLOOKUP(B6748,Products!$A:$E,2,FALSE)</f>
        <v>Product_225</v>
      </c>
      <c r="E6748" t="str">
        <f>VLOOKUP(B6748,Products!$A:$E,3,FALSE)</f>
        <v>Accessories</v>
      </c>
    </row>
    <row r="6749" spans="1:5" x14ac:dyDescent="0.3">
      <c r="A6749" t="s">
        <v>12761</v>
      </c>
      <c r="B6749" t="s">
        <v>672</v>
      </c>
      <c r="C6749">
        <v>24</v>
      </c>
      <c r="D6749" t="str">
        <f>VLOOKUP(B6749,Products!$A:$E,2,FALSE)</f>
        <v>Product_332</v>
      </c>
      <c r="E6749" t="str">
        <f>VLOOKUP(B6749,Products!$A:$E,3,FALSE)</f>
        <v>Electronics</v>
      </c>
    </row>
    <row r="6750" spans="1:5" x14ac:dyDescent="0.3">
      <c r="A6750" t="s">
        <v>12762</v>
      </c>
      <c r="B6750" t="s">
        <v>68</v>
      </c>
      <c r="C6750">
        <v>41</v>
      </c>
      <c r="D6750" t="str">
        <f>VLOOKUP(B6750,Products!$A:$E,2,FALSE)</f>
        <v>Product_30</v>
      </c>
      <c r="E6750" t="str">
        <f>VLOOKUP(B6750,Products!$A:$E,3,FALSE)</f>
        <v>Accessories</v>
      </c>
    </row>
    <row r="6751" spans="1:5" x14ac:dyDescent="0.3">
      <c r="A6751" t="s">
        <v>12763</v>
      </c>
      <c r="B6751" t="s">
        <v>776</v>
      </c>
      <c r="C6751">
        <v>39</v>
      </c>
      <c r="D6751" t="str">
        <f>VLOOKUP(B6751,Products!$A:$E,2,FALSE)</f>
        <v>Product_384</v>
      </c>
      <c r="E6751" t="str">
        <f>VLOOKUP(B6751,Products!$A:$E,3,FALSE)</f>
        <v>Office Supplies</v>
      </c>
    </row>
    <row r="6752" spans="1:5" x14ac:dyDescent="0.3">
      <c r="A6752" t="s">
        <v>12764</v>
      </c>
      <c r="B6752" t="s">
        <v>36</v>
      </c>
      <c r="C6752">
        <v>47</v>
      </c>
      <c r="D6752" t="str">
        <f>VLOOKUP(B6752,Products!$A:$E,2,FALSE)</f>
        <v>Product_14</v>
      </c>
      <c r="E6752" t="str">
        <f>VLOOKUP(B6752,Products!$A:$E,3,FALSE)</f>
        <v>Accessories</v>
      </c>
    </row>
    <row r="6753" spans="1:5" x14ac:dyDescent="0.3">
      <c r="A6753" t="s">
        <v>12765</v>
      </c>
      <c r="B6753" t="s">
        <v>162</v>
      </c>
      <c r="C6753">
        <v>23</v>
      </c>
      <c r="D6753" t="str">
        <f>VLOOKUP(B6753,Products!$A:$E,2,FALSE)</f>
        <v>Product_77</v>
      </c>
      <c r="E6753" t="str">
        <f>VLOOKUP(B6753,Products!$A:$E,3,FALSE)</f>
        <v>Networking</v>
      </c>
    </row>
    <row r="6754" spans="1:5" x14ac:dyDescent="0.3">
      <c r="A6754" t="s">
        <v>12766</v>
      </c>
      <c r="B6754" t="s">
        <v>330</v>
      </c>
      <c r="C6754">
        <v>25</v>
      </c>
      <c r="D6754" t="str">
        <f>VLOOKUP(B6754,Products!$A:$E,2,FALSE)</f>
        <v>Product_161</v>
      </c>
      <c r="E6754" t="str">
        <f>VLOOKUP(B6754,Products!$A:$E,3,FALSE)</f>
        <v>Networking</v>
      </c>
    </row>
    <row r="6755" spans="1:5" x14ac:dyDescent="0.3">
      <c r="A6755" t="s">
        <v>12767</v>
      </c>
      <c r="B6755" t="s">
        <v>698</v>
      </c>
      <c r="C6755">
        <v>8</v>
      </c>
      <c r="D6755" t="str">
        <f>VLOOKUP(B6755,Products!$A:$E,2,FALSE)</f>
        <v>Product_345</v>
      </c>
      <c r="E6755" t="str">
        <f>VLOOKUP(B6755,Products!$A:$E,3,FALSE)</f>
        <v>Storage</v>
      </c>
    </row>
    <row r="6756" spans="1:5" x14ac:dyDescent="0.3">
      <c r="A6756" t="s">
        <v>12768</v>
      </c>
      <c r="B6756" t="s">
        <v>822</v>
      </c>
      <c r="C6756">
        <v>33</v>
      </c>
      <c r="D6756" t="str">
        <f>VLOOKUP(B6756,Products!$A:$E,2,FALSE)</f>
        <v>Product_407</v>
      </c>
      <c r="E6756" t="str">
        <f>VLOOKUP(B6756,Products!$A:$E,3,FALSE)</f>
        <v>Networking</v>
      </c>
    </row>
    <row r="6757" spans="1:5" x14ac:dyDescent="0.3">
      <c r="A6757" t="s">
        <v>12769</v>
      </c>
      <c r="B6757" t="s">
        <v>670</v>
      </c>
      <c r="C6757">
        <v>19</v>
      </c>
      <c r="D6757" t="str">
        <f>VLOOKUP(B6757,Products!$A:$E,2,FALSE)</f>
        <v>Product_331</v>
      </c>
      <c r="E6757" t="str">
        <f>VLOOKUP(B6757,Products!$A:$E,3,FALSE)</f>
        <v>Electronics</v>
      </c>
    </row>
    <row r="6758" spans="1:5" x14ac:dyDescent="0.3">
      <c r="A6758" t="s">
        <v>12770</v>
      </c>
      <c r="B6758" t="s">
        <v>780</v>
      </c>
      <c r="C6758">
        <v>19</v>
      </c>
      <c r="D6758" t="str">
        <f>VLOOKUP(B6758,Products!$A:$E,2,FALSE)</f>
        <v>Product_386</v>
      </c>
      <c r="E6758" t="str">
        <f>VLOOKUP(B6758,Products!$A:$E,3,FALSE)</f>
        <v>Electronics</v>
      </c>
    </row>
    <row r="6759" spans="1:5" x14ac:dyDescent="0.3">
      <c r="A6759" t="s">
        <v>12771</v>
      </c>
      <c r="B6759" t="s">
        <v>276</v>
      </c>
      <c r="C6759">
        <v>11</v>
      </c>
      <c r="D6759" t="str">
        <f>VLOOKUP(B6759,Products!$A:$E,2,FALSE)</f>
        <v>Product_134</v>
      </c>
      <c r="E6759" t="str">
        <f>VLOOKUP(B6759,Products!$A:$E,3,FALSE)</f>
        <v>Accessories</v>
      </c>
    </row>
    <row r="6760" spans="1:5" x14ac:dyDescent="0.3">
      <c r="A6760" t="s">
        <v>12772</v>
      </c>
      <c r="B6760" t="s">
        <v>96</v>
      </c>
      <c r="C6760">
        <v>35</v>
      </c>
      <c r="D6760" t="str">
        <f>VLOOKUP(B6760,Products!$A:$E,2,FALSE)</f>
        <v>Product_44</v>
      </c>
      <c r="E6760" t="str">
        <f>VLOOKUP(B6760,Products!$A:$E,3,FALSE)</f>
        <v>Storage</v>
      </c>
    </row>
    <row r="6761" spans="1:5" x14ac:dyDescent="0.3">
      <c r="A6761" t="s">
        <v>12773</v>
      </c>
      <c r="B6761" t="s">
        <v>842</v>
      </c>
      <c r="C6761">
        <v>10</v>
      </c>
      <c r="D6761" t="str">
        <f>VLOOKUP(B6761,Products!$A:$E,2,FALSE)</f>
        <v>Product_417</v>
      </c>
      <c r="E6761" t="str">
        <f>VLOOKUP(B6761,Products!$A:$E,3,FALSE)</f>
        <v>Accessories</v>
      </c>
    </row>
    <row r="6762" spans="1:5" x14ac:dyDescent="0.3">
      <c r="A6762" t="s">
        <v>12774</v>
      </c>
      <c r="B6762" t="s">
        <v>624</v>
      </c>
      <c r="C6762">
        <v>43</v>
      </c>
      <c r="D6762" t="str">
        <f>VLOOKUP(B6762,Products!$A:$E,2,FALSE)</f>
        <v>Product_308</v>
      </c>
      <c r="E6762" t="str">
        <f>VLOOKUP(B6762,Products!$A:$E,3,FALSE)</f>
        <v>Storage</v>
      </c>
    </row>
    <row r="6763" spans="1:5" x14ac:dyDescent="0.3">
      <c r="A6763" t="s">
        <v>12775</v>
      </c>
      <c r="B6763" t="s">
        <v>600</v>
      </c>
      <c r="C6763">
        <v>35</v>
      </c>
      <c r="D6763" t="str">
        <f>VLOOKUP(B6763,Products!$A:$E,2,FALSE)</f>
        <v>Product_296</v>
      </c>
      <c r="E6763" t="str">
        <f>VLOOKUP(B6763,Products!$A:$E,3,FALSE)</f>
        <v>Office Supplies</v>
      </c>
    </row>
    <row r="6764" spans="1:5" x14ac:dyDescent="0.3">
      <c r="A6764" t="s">
        <v>12776</v>
      </c>
      <c r="B6764" t="s">
        <v>498</v>
      </c>
      <c r="C6764">
        <v>19</v>
      </c>
      <c r="D6764" t="str">
        <f>VLOOKUP(B6764,Products!$A:$E,2,FALSE)</f>
        <v>Product_245</v>
      </c>
      <c r="E6764" t="str">
        <f>VLOOKUP(B6764,Products!$A:$E,3,FALSE)</f>
        <v>Office Supplies</v>
      </c>
    </row>
    <row r="6765" spans="1:5" x14ac:dyDescent="0.3">
      <c r="A6765" t="s">
        <v>12777</v>
      </c>
      <c r="B6765" t="s">
        <v>512</v>
      </c>
      <c r="C6765">
        <v>34</v>
      </c>
      <c r="D6765" t="str">
        <f>VLOOKUP(B6765,Products!$A:$E,2,FALSE)</f>
        <v>Product_252</v>
      </c>
      <c r="E6765" t="str">
        <f>VLOOKUP(B6765,Products!$A:$E,3,FALSE)</f>
        <v>Networking</v>
      </c>
    </row>
    <row r="6766" spans="1:5" x14ac:dyDescent="0.3">
      <c r="A6766" t="s">
        <v>12778</v>
      </c>
      <c r="B6766" t="s">
        <v>942</v>
      </c>
      <c r="C6766">
        <v>50</v>
      </c>
      <c r="D6766" t="str">
        <f>VLOOKUP(B6766,Products!$A:$E,2,FALSE)</f>
        <v>Product_467</v>
      </c>
      <c r="E6766" t="str">
        <f>VLOOKUP(B6766,Products!$A:$E,3,FALSE)</f>
        <v>Accessories</v>
      </c>
    </row>
    <row r="6767" spans="1:5" x14ac:dyDescent="0.3">
      <c r="A6767" t="s">
        <v>12779</v>
      </c>
      <c r="B6767" t="s">
        <v>88</v>
      </c>
      <c r="C6767">
        <v>10</v>
      </c>
      <c r="D6767" t="str">
        <f>VLOOKUP(B6767,Products!$A:$E,2,FALSE)</f>
        <v>Product_40</v>
      </c>
      <c r="E6767" t="str">
        <f>VLOOKUP(B6767,Products!$A:$E,3,FALSE)</f>
        <v>Accessories</v>
      </c>
    </row>
    <row r="6768" spans="1:5" x14ac:dyDescent="0.3">
      <c r="A6768" t="s">
        <v>12780</v>
      </c>
      <c r="B6768" t="s">
        <v>188</v>
      </c>
      <c r="C6768">
        <v>49</v>
      </c>
      <c r="D6768" t="str">
        <f>VLOOKUP(B6768,Products!$A:$E,2,FALSE)</f>
        <v>Product_90</v>
      </c>
      <c r="E6768" t="str">
        <f>VLOOKUP(B6768,Products!$A:$E,3,FALSE)</f>
        <v>Accessories</v>
      </c>
    </row>
    <row r="6769" spans="1:5" x14ac:dyDescent="0.3">
      <c r="A6769" t="s">
        <v>12781</v>
      </c>
      <c r="B6769" t="s">
        <v>304</v>
      </c>
      <c r="C6769">
        <v>33</v>
      </c>
      <c r="D6769" t="str">
        <f>VLOOKUP(B6769,Products!$A:$E,2,FALSE)</f>
        <v>Product_148</v>
      </c>
      <c r="E6769" t="str">
        <f>VLOOKUP(B6769,Products!$A:$E,3,FALSE)</f>
        <v>Electronics</v>
      </c>
    </row>
    <row r="6770" spans="1:5" x14ac:dyDescent="0.3">
      <c r="A6770" t="s">
        <v>12782</v>
      </c>
      <c r="B6770" t="s">
        <v>646</v>
      </c>
      <c r="C6770">
        <v>3</v>
      </c>
      <c r="D6770" t="str">
        <f>VLOOKUP(B6770,Products!$A:$E,2,FALSE)</f>
        <v>Product_319</v>
      </c>
      <c r="E6770" t="str">
        <f>VLOOKUP(B6770,Products!$A:$E,3,FALSE)</f>
        <v>Accessories</v>
      </c>
    </row>
    <row r="6771" spans="1:5" x14ac:dyDescent="0.3">
      <c r="A6771" t="s">
        <v>12783</v>
      </c>
      <c r="B6771" t="s">
        <v>330</v>
      </c>
      <c r="C6771">
        <v>25</v>
      </c>
      <c r="D6771" t="str">
        <f>VLOOKUP(B6771,Products!$A:$E,2,FALSE)</f>
        <v>Product_161</v>
      </c>
      <c r="E6771" t="str">
        <f>VLOOKUP(B6771,Products!$A:$E,3,FALSE)</f>
        <v>Networking</v>
      </c>
    </row>
    <row r="6772" spans="1:5" x14ac:dyDescent="0.3">
      <c r="A6772" t="s">
        <v>12784</v>
      </c>
      <c r="B6772" t="s">
        <v>490</v>
      </c>
      <c r="C6772">
        <v>3</v>
      </c>
      <c r="D6772" t="str">
        <f>VLOOKUP(B6772,Products!$A:$E,2,FALSE)</f>
        <v>Product_241</v>
      </c>
      <c r="E6772" t="str">
        <f>VLOOKUP(B6772,Products!$A:$E,3,FALSE)</f>
        <v>Electronics</v>
      </c>
    </row>
    <row r="6773" spans="1:5" x14ac:dyDescent="0.3">
      <c r="A6773" t="s">
        <v>12785</v>
      </c>
      <c r="B6773" t="s">
        <v>528</v>
      </c>
      <c r="C6773">
        <v>28</v>
      </c>
      <c r="D6773" t="str">
        <f>VLOOKUP(B6773,Products!$A:$E,2,FALSE)</f>
        <v>Product_260</v>
      </c>
      <c r="E6773" t="str">
        <f>VLOOKUP(B6773,Products!$A:$E,3,FALSE)</f>
        <v>Storage</v>
      </c>
    </row>
    <row r="6774" spans="1:5" x14ac:dyDescent="0.3">
      <c r="A6774" t="s">
        <v>12786</v>
      </c>
      <c r="B6774" t="s">
        <v>488</v>
      </c>
      <c r="C6774">
        <v>2</v>
      </c>
      <c r="D6774" t="str">
        <f>VLOOKUP(B6774,Products!$A:$E,2,FALSE)</f>
        <v>Product_240</v>
      </c>
      <c r="E6774" t="str">
        <f>VLOOKUP(B6774,Products!$A:$E,3,FALSE)</f>
        <v>Storage</v>
      </c>
    </row>
    <row r="6775" spans="1:5" x14ac:dyDescent="0.3">
      <c r="A6775" t="s">
        <v>12787</v>
      </c>
      <c r="B6775" t="s">
        <v>54</v>
      </c>
      <c r="C6775">
        <v>39</v>
      </c>
      <c r="D6775" t="str">
        <f>VLOOKUP(B6775,Products!$A:$E,2,FALSE)</f>
        <v>Product_23</v>
      </c>
      <c r="E6775" t="str">
        <f>VLOOKUP(B6775,Products!$A:$E,3,FALSE)</f>
        <v>Accessories</v>
      </c>
    </row>
    <row r="6776" spans="1:5" x14ac:dyDescent="0.3">
      <c r="A6776" t="s">
        <v>12788</v>
      </c>
      <c r="B6776" t="s">
        <v>60</v>
      </c>
      <c r="C6776">
        <v>1</v>
      </c>
      <c r="D6776" t="str">
        <f>VLOOKUP(B6776,Products!$A:$E,2,FALSE)</f>
        <v>Product_26</v>
      </c>
      <c r="E6776" t="str">
        <f>VLOOKUP(B6776,Products!$A:$E,3,FALSE)</f>
        <v>Office Supplies</v>
      </c>
    </row>
    <row r="6777" spans="1:5" x14ac:dyDescent="0.3">
      <c r="A6777" t="s">
        <v>12789</v>
      </c>
      <c r="B6777" t="s">
        <v>686</v>
      </c>
      <c r="C6777">
        <v>17</v>
      </c>
      <c r="D6777" t="str">
        <f>VLOOKUP(B6777,Products!$A:$E,2,FALSE)</f>
        <v>Product_339</v>
      </c>
      <c r="E6777" t="str">
        <f>VLOOKUP(B6777,Products!$A:$E,3,FALSE)</f>
        <v>Storage</v>
      </c>
    </row>
    <row r="6778" spans="1:5" x14ac:dyDescent="0.3">
      <c r="A6778" t="s">
        <v>12790</v>
      </c>
      <c r="B6778" t="s">
        <v>916</v>
      </c>
      <c r="C6778">
        <v>16</v>
      </c>
      <c r="D6778" t="str">
        <f>VLOOKUP(B6778,Products!$A:$E,2,FALSE)</f>
        <v>Product_454</v>
      </c>
      <c r="E6778" t="str">
        <f>VLOOKUP(B6778,Products!$A:$E,3,FALSE)</f>
        <v>Networking</v>
      </c>
    </row>
    <row r="6779" spans="1:5" x14ac:dyDescent="0.3">
      <c r="A6779" t="s">
        <v>12791</v>
      </c>
      <c r="B6779" t="s">
        <v>396</v>
      </c>
      <c r="C6779">
        <v>23</v>
      </c>
      <c r="D6779" t="str">
        <f>VLOOKUP(B6779,Products!$A:$E,2,FALSE)</f>
        <v>Product_194</v>
      </c>
      <c r="E6779" t="str">
        <f>VLOOKUP(B6779,Products!$A:$E,3,FALSE)</f>
        <v>Networking</v>
      </c>
    </row>
    <row r="6780" spans="1:5" x14ac:dyDescent="0.3">
      <c r="A6780" t="s">
        <v>12792</v>
      </c>
      <c r="B6780" t="s">
        <v>660</v>
      </c>
      <c r="C6780">
        <v>22</v>
      </c>
      <c r="D6780" t="str">
        <f>VLOOKUP(B6780,Products!$A:$E,2,FALSE)</f>
        <v>Product_326</v>
      </c>
      <c r="E6780" t="str">
        <f>VLOOKUP(B6780,Products!$A:$E,3,FALSE)</f>
        <v>Electronics</v>
      </c>
    </row>
    <row r="6781" spans="1:5" x14ac:dyDescent="0.3">
      <c r="A6781" t="s">
        <v>12793</v>
      </c>
      <c r="B6781" t="s">
        <v>100</v>
      </c>
      <c r="C6781">
        <v>24</v>
      </c>
      <c r="D6781" t="str">
        <f>VLOOKUP(B6781,Products!$A:$E,2,FALSE)</f>
        <v>Product_46</v>
      </c>
      <c r="E6781" t="str">
        <f>VLOOKUP(B6781,Products!$A:$E,3,FALSE)</f>
        <v>Networking</v>
      </c>
    </row>
    <row r="6782" spans="1:5" x14ac:dyDescent="0.3">
      <c r="A6782" t="s">
        <v>12794</v>
      </c>
      <c r="B6782" t="s">
        <v>750</v>
      </c>
      <c r="C6782">
        <v>34</v>
      </c>
      <c r="D6782" t="str">
        <f>VLOOKUP(B6782,Products!$A:$E,2,FALSE)</f>
        <v>Product_371</v>
      </c>
      <c r="E6782" t="str">
        <f>VLOOKUP(B6782,Products!$A:$E,3,FALSE)</f>
        <v>Storage</v>
      </c>
    </row>
    <row r="6783" spans="1:5" x14ac:dyDescent="0.3">
      <c r="A6783" t="s">
        <v>12795</v>
      </c>
      <c r="B6783" t="s">
        <v>290</v>
      </c>
      <c r="C6783">
        <v>34</v>
      </c>
      <c r="D6783" t="str">
        <f>VLOOKUP(B6783,Products!$A:$E,2,FALSE)</f>
        <v>Product_141</v>
      </c>
      <c r="E6783" t="str">
        <f>VLOOKUP(B6783,Products!$A:$E,3,FALSE)</f>
        <v>Electronics</v>
      </c>
    </row>
    <row r="6784" spans="1:5" x14ac:dyDescent="0.3">
      <c r="A6784" t="s">
        <v>12796</v>
      </c>
      <c r="B6784" t="s">
        <v>162</v>
      </c>
      <c r="C6784">
        <v>26</v>
      </c>
      <c r="D6784" t="str">
        <f>VLOOKUP(B6784,Products!$A:$E,2,FALSE)</f>
        <v>Product_77</v>
      </c>
      <c r="E6784" t="str">
        <f>VLOOKUP(B6784,Products!$A:$E,3,FALSE)</f>
        <v>Networking</v>
      </c>
    </row>
    <row r="6785" spans="1:5" x14ac:dyDescent="0.3">
      <c r="A6785" t="s">
        <v>12797</v>
      </c>
      <c r="B6785" t="s">
        <v>396</v>
      </c>
      <c r="C6785">
        <v>37</v>
      </c>
      <c r="D6785" t="str">
        <f>VLOOKUP(B6785,Products!$A:$E,2,FALSE)</f>
        <v>Product_194</v>
      </c>
      <c r="E6785" t="str">
        <f>VLOOKUP(B6785,Products!$A:$E,3,FALSE)</f>
        <v>Networking</v>
      </c>
    </row>
    <row r="6786" spans="1:5" x14ac:dyDescent="0.3">
      <c r="A6786" t="s">
        <v>12798</v>
      </c>
      <c r="B6786" t="s">
        <v>134</v>
      </c>
      <c r="C6786">
        <v>16</v>
      </c>
      <c r="D6786" t="str">
        <f>VLOOKUP(B6786,Products!$A:$E,2,FALSE)</f>
        <v>Product_63</v>
      </c>
      <c r="E6786" t="str">
        <f>VLOOKUP(B6786,Products!$A:$E,3,FALSE)</f>
        <v>Accessories</v>
      </c>
    </row>
    <row r="6787" spans="1:5" x14ac:dyDescent="0.3">
      <c r="A6787" t="s">
        <v>12799</v>
      </c>
      <c r="B6787" t="s">
        <v>432</v>
      </c>
      <c r="C6787">
        <v>10</v>
      </c>
      <c r="D6787" t="str">
        <f>VLOOKUP(B6787,Products!$A:$E,2,FALSE)</f>
        <v>Product_212</v>
      </c>
      <c r="E6787" t="str">
        <f>VLOOKUP(B6787,Products!$A:$E,3,FALSE)</f>
        <v>Networking</v>
      </c>
    </row>
    <row r="6788" spans="1:5" x14ac:dyDescent="0.3">
      <c r="A6788" t="s">
        <v>12800</v>
      </c>
      <c r="B6788" t="s">
        <v>826</v>
      </c>
      <c r="C6788">
        <v>18</v>
      </c>
      <c r="D6788" t="str">
        <f>VLOOKUP(B6788,Products!$A:$E,2,FALSE)</f>
        <v>Product_409</v>
      </c>
      <c r="E6788" t="str">
        <f>VLOOKUP(B6788,Products!$A:$E,3,FALSE)</f>
        <v>Office Supplies</v>
      </c>
    </row>
    <row r="6789" spans="1:5" x14ac:dyDescent="0.3">
      <c r="A6789" t="s">
        <v>12801</v>
      </c>
      <c r="B6789" t="s">
        <v>532</v>
      </c>
      <c r="C6789">
        <v>15</v>
      </c>
      <c r="D6789" t="str">
        <f>VLOOKUP(B6789,Products!$A:$E,2,FALSE)</f>
        <v>Product_262</v>
      </c>
      <c r="E6789" t="str">
        <f>VLOOKUP(B6789,Products!$A:$E,3,FALSE)</f>
        <v>Electronics</v>
      </c>
    </row>
    <row r="6790" spans="1:5" x14ac:dyDescent="0.3">
      <c r="A6790" t="s">
        <v>12802</v>
      </c>
      <c r="B6790" t="s">
        <v>338</v>
      </c>
      <c r="C6790">
        <v>24</v>
      </c>
      <c r="D6790" t="str">
        <f>VLOOKUP(B6790,Products!$A:$E,2,FALSE)</f>
        <v>Product_165</v>
      </c>
      <c r="E6790" t="str">
        <f>VLOOKUP(B6790,Products!$A:$E,3,FALSE)</f>
        <v>Office Supplies</v>
      </c>
    </row>
    <row r="6791" spans="1:5" x14ac:dyDescent="0.3">
      <c r="A6791" t="s">
        <v>12803</v>
      </c>
      <c r="B6791" t="s">
        <v>686</v>
      </c>
      <c r="C6791">
        <v>4</v>
      </c>
      <c r="D6791" t="str">
        <f>VLOOKUP(B6791,Products!$A:$E,2,FALSE)</f>
        <v>Product_339</v>
      </c>
      <c r="E6791" t="str">
        <f>VLOOKUP(B6791,Products!$A:$E,3,FALSE)</f>
        <v>Storage</v>
      </c>
    </row>
    <row r="6792" spans="1:5" x14ac:dyDescent="0.3">
      <c r="A6792" t="s">
        <v>12804</v>
      </c>
      <c r="B6792" t="s">
        <v>384</v>
      </c>
      <c r="C6792">
        <v>20</v>
      </c>
      <c r="D6792" t="str">
        <f>VLOOKUP(B6792,Products!$A:$E,2,FALSE)</f>
        <v>Product_188</v>
      </c>
      <c r="E6792" t="str">
        <f>VLOOKUP(B6792,Products!$A:$E,3,FALSE)</f>
        <v>Office Supplies</v>
      </c>
    </row>
    <row r="6793" spans="1:5" x14ac:dyDescent="0.3">
      <c r="A6793" t="s">
        <v>12805</v>
      </c>
      <c r="B6793" t="s">
        <v>850</v>
      </c>
      <c r="C6793">
        <v>11</v>
      </c>
      <c r="D6793" t="str">
        <f>VLOOKUP(B6793,Products!$A:$E,2,FALSE)</f>
        <v>Product_421</v>
      </c>
      <c r="E6793" t="str">
        <f>VLOOKUP(B6793,Products!$A:$E,3,FALSE)</f>
        <v>Accessories</v>
      </c>
    </row>
    <row r="6794" spans="1:5" x14ac:dyDescent="0.3">
      <c r="A6794" t="s">
        <v>12806</v>
      </c>
      <c r="B6794" t="s">
        <v>812</v>
      </c>
      <c r="C6794">
        <v>37</v>
      </c>
      <c r="D6794" t="str">
        <f>VLOOKUP(B6794,Products!$A:$E,2,FALSE)</f>
        <v>Product_402</v>
      </c>
      <c r="E6794" t="str">
        <f>VLOOKUP(B6794,Products!$A:$E,3,FALSE)</f>
        <v>Accessories</v>
      </c>
    </row>
    <row r="6795" spans="1:5" x14ac:dyDescent="0.3">
      <c r="A6795" t="s">
        <v>12807</v>
      </c>
      <c r="B6795" t="s">
        <v>394</v>
      </c>
      <c r="C6795">
        <v>47</v>
      </c>
      <c r="D6795" t="str">
        <f>VLOOKUP(B6795,Products!$A:$E,2,FALSE)</f>
        <v>Product_193</v>
      </c>
      <c r="E6795" t="str">
        <f>VLOOKUP(B6795,Products!$A:$E,3,FALSE)</f>
        <v>Accessories</v>
      </c>
    </row>
    <row r="6796" spans="1:5" x14ac:dyDescent="0.3">
      <c r="A6796" t="s">
        <v>12808</v>
      </c>
      <c r="B6796" t="s">
        <v>52</v>
      </c>
      <c r="C6796">
        <v>36</v>
      </c>
      <c r="D6796" t="str">
        <f>VLOOKUP(B6796,Products!$A:$E,2,FALSE)</f>
        <v>Product_22</v>
      </c>
      <c r="E6796" t="str">
        <f>VLOOKUP(B6796,Products!$A:$E,3,FALSE)</f>
        <v>Electronics</v>
      </c>
    </row>
    <row r="6797" spans="1:5" x14ac:dyDescent="0.3">
      <c r="A6797" t="s">
        <v>12809</v>
      </c>
      <c r="B6797" t="s">
        <v>740</v>
      </c>
      <c r="C6797">
        <v>3</v>
      </c>
      <c r="D6797" t="str">
        <f>VLOOKUP(B6797,Products!$A:$E,2,FALSE)</f>
        <v>Product_366</v>
      </c>
      <c r="E6797" t="str">
        <f>VLOOKUP(B6797,Products!$A:$E,3,FALSE)</f>
        <v>Electronics</v>
      </c>
    </row>
    <row r="6798" spans="1:5" x14ac:dyDescent="0.3">
      <c r="A6798" t="s">
        <v>12810</v>
      </c>
      <c r="B6798" t="s">
        <v>650</v>
      </c>
      <c r="C6798">
        <v>31</v>
      </c>
      <c r="D6798" t="str">
        <f>VLOOKUP(B6798,Products!$A:$E,2,FALSE)</f>
        <v>Product_321</v>
      </c>
      <c r="E6798" t="str">
        <f>VLOOKUP(B6798,Products!$A:$E,3,FALSE)</f>
        <v>Electronics</v>
      </c>
    </row>
    <row r="6799" spans="1:5" x14ac:dyDescent="0.3">
      <c r="A6799" t="s">
        <v>12811</v>
      </c>
      <c r="B6799" t="s">
        <v>64</v>
      </c>
      <c r="C6799">
        <v>27</v>
      </c>
      <c r="D6799" t="str">
        <f>VLOOKUP(B6799,Products!$A:$E,2,FALSE)</f>
        <v>Product_28</v>
      </c>
      <c r="E6799" t="str">
        <f>VLOOKUP(B6799,Products!$A:$E,3,FALSE)</f>
        <v>Office Supplies</v>
      </c>
    </row>
    <row r="6800" spans="1:5" x14ac:dyDescent="0.3">
      <c r="A6800" t="s">
        <v>12812</v>
      </c>
      <c r="B6800" t="s">
        <v>222</v>
      </c>
      <c r="C6800">
        <v>16</v>
      </c>
      <c r="D6800" t="str">
        <f>VLOOKUP(B6800,Products!$A:$E,2,FALSE)</f>
        <v>Product_107</v>
      </c>
      <c r="E6800" t="str">
        <f>VLOOKUP(B6800,Products!$A:$E,3,FALSE)</f>
        <v>Office Supplies</v>
      </c>
    </row>
    <row r="6801" spans="1:5" x14ac:dyDescent="0.3">
      <c r="A6801" t="s">
        <v>12813</v>
      </c>
      <c r="B6801" t="s">
        <v>430</v>
      </c>
      <c r="C6801">
        <v>39</v>
      </c>
      <c r="D6801" t="str">
        <f>VLOOKUP(B6801,Products!$A:$E,2,FALSE)</f>
        <v>Product_211</v>
      </c>
      <c r="E6801" t="str">
        <f>VLOOKUP(B6801,Products!$A:$E,3,FALSE)</f>
        <v>Storage</v>
      </c>
    </row>
    <row r="6802" spans="1:5" x14ac:dyDescent="0.3">
      <c r="A6802" t="s">
        <v>12814</v>
      </c>
      <c r="B6802" t="s">
        <v>886</v>
      </c>
      <c r="C6802">
        <v>40</v>
      </c>
      <c r="D6802" t="str">
        <f>VLOOKUP(B6802,Products!$A:$E,2,FALSE)</f>
        <v>Product_439</v>
      </c>
      <c r="E6802" t="str">
        <f>VLOOKUP(B6802,Products!$A:$E,3,FALSE)</f>
        <v>Networking</v>
      </c>
    </row>
    <row r="6803" spans="1:5" x14ac:dyDescent="0.3">
      <c r="A6803" t="s">
        <v>12815</v>
      </c>
      <c r="B6803" t="s">
        <v>580</v>
      </c>
      <c r="C6803">
        <v>30</v>
      </c>
      <c r="D6803" t="str">
        <f>VLOOKUP(B6803,Products!$A:$E,2,FALSE)</f>
        <v>Product_286</v>
      </c>
      <c r="E6803" t="str">
        <f>VLOOKUP(B6803,Products!$A:$E,3,FALSE)</f>
        <v>Storage</v>
      </c>
    </row>
    <row r="6804" spans="1:5" x14ac:dyDescent="0.3">
      <c r="A6804" t="s">
        <v>12816</v>
      </c>
      <c r="B6804" t="s">
        <v>642</v>
      </c>
      <c r="C6804">
        <v>23</v>
      </c>
      <c r="D6804" t="str">
        <f>VLOOKUP(B6804,Products!$A:$E,2,FALSE)</f>
        <v>Product_317</v>
      </c>
      <c r="E6804" t="str">
        <f>VLOOKUP(B6804,Products!$A:$E,3,FALSE)</f>
        <v>Storage</v>
      </c>
    </row>
    <row r="6805" spans="1:5" x14ac:dyDescent="0.3">
      <c r="A6805" t="s">
        <v>12817</v>
      </c>
      <c r="B6805" t="s">
        <v>814</v>
      </c>
      <c r="C6805">
        <v>2</v>
      </c>
      <c r="D6805" t="str">
        <f>VLOOKUP(B6805,Products!$A:$E,2,FALSE)</f>
        <v>Product_403</v>
      </c>
      <c r="E6805" t="str">
        <f>VLOOKUP(B6805,Products!$A:$E,3,FALSE)</f>
        <v>Networking</v>
      </c>
    </row>
    <row r="6806" spans="1:5" x14ac:dyDescent="0.3">
      <c r="A6806" t="s">
        <v>12818</v>
      </c>
      <c r="B6806" t="s">
        <v>800</v>
      </c>
      <c r="C6806">
        <v>40</v>
      </c>
      <c r="D6806" t="str">
        <f>VLOOKUP(B6806,Products!$A:$E,2,FALSE)</f>
        <v>Product_396</v>
      </c>
      <c r="E6806" t="str">
        <f>VLOOKUP(B6806,Products!$A:$E,3,FALSE)</f>
        <v>Office Supplies</v>
      </c>
    </row>
    <row r="6807" spans="1:5" x14ac:dyDescent="0.3">
      <c r="A6807" t="s">
        <v>12819</v>
      </c>
      <c r="B6807" t="s">
        <v>806</v>
      </c>
      <c r="C6807">
        <v>41</v>
      </c>
      <c r="D6807" t="str">
        <f>VLOOKUP(B6807,Products!$A:$E,2,FALSE)</f>
        <v>Product_399</v>
      </c>
      <c r="E6807" t="str">
        <f>VLOOKUP(B6807,Products!$A:$E,3,FALSE)</f>
        <v>Networking</v>
      </c>
    </row>
    <row r="6808" spans="1:5" x14ac:dyDescent="0.3">
      <c r="A6808" t="s">
        <v>12820</v>
      </c>
      <c r="B6808" t="s">
        <v>984</v>
      </c>
      <c r="C6808">
        <v>34</v>
      </c>
      <c r="D6808" t="str">
        <f>VLOOKUP(B6808,Products!$A:$E,2,FALSE)</f>
        <v>Product_488</v>
      </c>
      <c r="E6808" t="str">
        <f>VLOOKUP(B6808,Products!$A:$E,3,FALSE)</f>
        <v>Accessories</v>
      </c>
    </row>
    <row r="6809" spans="1:5" x14ac:dyDescent="0.3">
      <c r="A6809" t="s">
        <v>12821</v>
      </c>
      <c r="B6809" t="s">
        <v>198</v>
      </c>
      <c r="C6809">
        <v>9</v>
      </c>
      <c r="D6809" t="str">
        <f>VLOOKUP(B6809,Products!$A:$E,2,FALSE)</f>
        <v>Product_95</v>
      </c>
      <c r="E6809" t="str">
        <f>VLOOKUP(B6809,Products!$A:$E,3,FALSE)</f>
        <v>Electronics</v>
      </c>
    </row>
    <row r="6810" spans="1:5" x14ac:dyDescent="0.3">
      <c r="A6810" t="s">
        <v>12822</v>
      </c>
      <c r="B6810" t="s">
        <v>76</v>
      </c>
      <c r="C6810">
        <v>4</v>
      </c>
      <c r="D6810" t="str">
        <f>VLOOKUP(B6810,Products!$A:$E,2,FALSE)</f>
        <v>Product_34</v>
      </c>
      <c r="E6810" t="str">
        <f>VLOOKUP(B6810,Products!$A:$E,3,FALSE)</f>
        <v>Office Supplies</v>
      </c>
    </row>
    <row r="6811" spans="1:5" x14ac:dyDescent="0.3">
      <c r="A6811" t="s">
        <v>12823</v>
      </c>
      <c r="B6811" t="s">
        <v>284</v>
      </c>
      <c r="C6811">
        <v>4</v>
      </c>
      <c r="D6811" t="str">
        <f>VLOOKUP(B6811,Products!$A:$E,2,FALSE)</f>
        <v>Product_138</v>
      </c>
      <c r="E6811" t="str">
        <f>VLOOKUP(B6811,Products!$A:$E,3,FALSE)</f>
        <v>Electronics</v>
      </c>
    </row>
    <row r="6812" spans="1:5" x14ac:dyDescent="0.3">
      <c r="A6812" t="s">
        <v>12824</v>
      </c>
      <c r="B6812" t="s">
        <v>960</v>
      </c>
      <c r="C6812">
        <v>8</v>
      </c>
      <c r="D6812" t="str">
        <f>VLOOKUP(B6812,Products!$A:$E,2,FALSE)</f>
        <v>Product_476</v>
      </c>
      <c r="E6812" t="str">
        <f>VLOOKUP(B6812,Products!$A:$E,3,FALSE)</f>
        <v>Office Supplies</v>
      </c>
    </row>
    <row r="6813" spans="1:5" x14ac:dyDescent="0.3">
      <c r="A6813" t="s">
        <v>12825</v>
      </c>
      <c r="B6813" t="s">
        <v>896</v>
      </c>
      <c r="C6813">
        <v>26</v>
      </c>
      <c r="D6813" t="str">
        <f>VLOOKUP(B6813,Products!$A:$E,2,FALSE)</f>
        <v>Product_444</v>
      </c>
      <c r="E6813" t="str">
        <f>VLOOKUP(B6813,Products!$A:$E,3,FALSE)</f>
        <v>Electronics</v>
      </c>
    </row>
    <row r="6814" spans="1:5" x14ac:dyDescent="0.3">
      <c r="A6814" t="s">
        <v>12826</v>
      </c>
      <c r="B6814" t="s">
        <v>268</v>
      </c>
      <c r="C6814">
        <v>34</v>
      </c>
      <c r="D6814" t="str">
        <f>VLOOKUP(B6814,Products!$A:$E,2,FALSE)</f>
        <v>Product_130</v>
      </c>
      <c r="E6814" t="str">
        <f>VLOOKUP(B6814,Products!$A:$E,3,FALSE)</f>
        <v>Storage</v>
      </c>
    </row>
    <row r="6815" spans="1:5" x14ac:dyDescent="0.3">
      <c r="A6815" t="s">
        <v>12827</v>
      </c>
      <c r="B6815" t="s">
        <v>136</v>
      </c>
      <c r="C6815">
        <v>36</v>
      </c>
      <c r="D6815" t="str">
        <f>VLOOKUP(B6815,Products!$A:$E,2,FALSE)</f>
        <v>Product_64</v>
      </c>
      <c r="E6815" t="str">
        <f>VLOOKUP(B6815,Products!$A:$E,3,FALSE)</f>
        <v>Storage</v>
      </c>
    </row>
    <row r="6816" spans="1:5" x14ac:dyDescent="0.3">
      <c r="A6816" t="s">
        <v>12828</v>
      </c>
      <c r="B6816" t="s">
        <v>946</v>
      </c>
      <c r="C6816">
        <v>34</v>
      </c>
      <c r="D6816" t="str">
        <f>VLOOKUP(B6816,Products!$A:$E,2,FALSE)</f>
        <v>Product_469</v>
      </c>
      <c r="E6816" t="str">
        <f>VLOOKUP(B6816,Products!$A:$E,3,FALSE)</f>
        <v>Office Supplies</v>
      </c>
    </row>
    <row r="6817" spans="1:5" x14ac:dyDescent="0.3">
      <c r="A6817" t="s">
        <v>12829</v>
      </c>
      <c r="B6817" t="s">
        <v>766</v>
      </c>
      <c r="C6817">
        <v>1</v>
      </c>
      <c r="D6817" t="str">
        <f>VLOOKUP(B6817,Products!$A:$E,2,FALSE)</f>
        <v>Product_379</v>
      </c>
      <c r="E6817" t="str">
        <f>VLOOKUP(B6817,Products!$A:$E,3,FALSE)</f>
        <v>Office Supplies</v>
      </c>
    </row>
    <row r="6818" spans="1:5" x14ac:dyDescent="0.3">
      <c r="A6818" t="s">
        <v>12830</v>
      </c>
      <c r="B6818" t="s">
        <v>276</v>
      </c>
      <c r="C6818">
        <v>41</v>
      </c>
      <c r="D6818" t="str">
        <f>VLOOKUP(B6818,Products!$A:$E,2,FALSE)</f>
        <v>Product_134</v>
      </c>
      <c r="E6818" t="str">
        <f>VLOOKUP(B6818,Products!$A:$E,3,FALSE)</f>
        <v>Accessories</v>
      </c>
    </row>
    <row r="6819" spans="1:5" x14ac:dyDescent="0.3">
      <c r="A6819" t="s">
        <v>12831</v>
      </c>
      <c r="B6819" t="s">
        <v>760</v>
      </c>
      <c r="C6819">
        <v>17</v>
      </c>
      <c r="D6819" t="str">
        <f>VLOOKUP(B6819,Products!$A:$E,2,FALSE)</f>
        <v>Product_376</v>
      </c>
      <c r="E6819" t="str">
        <f>VLOOKUP(B6819,Products!$A:$E,3,FALSE)</f>
        <v>Networking</v>
      </c>
    </row>
    <row r="6820" spans="1:5" x14ac:dyDescent="0.3">
      <c r="A6820" t="s">
        <v>12832</v>
      </c>
      <c r="B6820" t="s">
        <v>994</v>
      </c>
      <c r="C6820">
        <v>42</v>
      </c>
      <c r="D6820" t="str">
        <f>VLOOKUP(B6820,Products!$A:$E,2,FALSE)</f>
        <v>Product_493</v>
      </c>
      <c r="E6820" t="str">
        <f>VLOOKUP(B6820,Products!$A:$E,3,FALSE)</f>
        <v>Networking</v>
      </c>
    </row>
    <row r="6821" spans="1:5" x14ac:dyDescent="0.3">
      <c r="A6821" t="s">
        <v>12833</v>
      </c>
      <c r="B6821" t="s">
        <v>190</v>
      </c>
      <c r="C6821">
        <v>36</v>
      </c>
      <c r="D6821" t="str">
        <f>VLOOKUP(B6821,Products!$A:$E,2,FALSE)</f>
        <v>Product_91</v>
      </c>
      <c r="E6821" t="str">
        <f>VLOOKUP(B6821,Products!$A:$E,3,FALSE)</f>
        <v>Networking</v>
      </c>
    </row>
    <row r="6822" spans="1:5" x14ac:dyDescent="0.3">
      <c r="A6822" t="s">
        <v>12834</v>
      </c>
      <c r="B6822" t="s">
        <v>980</v>
      </c>
      <c r="C6822">
        <v>31</v>
      </c>
      <c r="D6822" t="str">
        <f>VLOOKUP(B6822,Products!$A:$E,2,FALSE)</f>
        <v>Product_486</v>
      </c>
      <c r="E6822" t="str">
        <f>VLOOKUP(B6822,Products!$A:$E,3,FALSE)</f>
        <v>Electronics</v>
      </c>
    </row>
    <row r="6823" spans="1:5" x14ac:dyDescent="0.3">
      <c r="A6823" t="s">
        <v>12835</v>
      </c>
      <c r="B6823" t="s">
        <v>520</v>
      </c>
      <c r="C6823">
        <v>16</v>
      </c>
      <c r="D6823" t="str">
        <f>VLOOKUP(B6823,Products!$A:$E,2,FALSE)</f>
        <v>Product_256</v>
      </c>
      <c r="E6823" t="str">
        <f>VLOOKUP(B6823,Products!$A:$E,3,FALSE)</f>
        <v>Office Supplies</v>
      </c>
    </row>
    <row r="6824" spans="1:5" x14ac:dyDescent="0.3">
      <c r="A6824" t="s">
        <v>12836</v>
      </c>
      <c r="B6824" t="s">
        <v>538</v>
      </c>
      <c r="C6824">
        <v>13</v>
      </c>
      <c r="D6824" t="str">
        <f>VLOOKUP(B6824,Products!$A:$E,2,FALSE)</f>
        <v>Product_265</v>
      </c>
      <c r="E6824" t="str">
        <f>VLOOKUP(B6824,Products!$A:$E,3,FALSE)</f>
        <v>Accessories</v>
      </c>
    </row>
    <row r="6825" spans="1:5" x14ac:dyDescent="0.3">
      <c r="A6825" t="s">
        <v>12837</v>
      </c>
      <c r="B6825" t="s">
        <v>396</v>
      </c>
      <c r="C6825">
        <v>46</v>
      </c>
      <c r="D6825" t="str">
        <f>VLOOKUP(B6825,Products!$A:$E,2,FALSE)</f>
        <v>Product_194</v>
      </c>
      <c r="E6825" t="str">
        <f>VLOOKUP(B6825,Products!$A:$E,3,FALSE)</f>
        <v>Networking</v>
      </c>
    </row>
    <row r="6826" spans="1:5" x14ac:dyDescent="0.3">
      <c r="A6826" t="s">
        <v>12838</v>
      </c>
      <c r="B6826" t="s">
        <v>792</v>
      </c>
      <c r="C6826">
        <v>13</v>
      </c>
      <c r="D6826" t="str">
        <f>VLOOKUP(B6826,Products!$A:$E,2,FALSE)</f>
        <v>Product_392</v>
      </c>
      <c r="E6826" t="str">
        <f>VLOOKUP(B6826,Products!$A:$E,3,FALSE)</f>
        <v>Electronics</v>
      </c>
    </row>
    <row r="6827" spans="1:5" x14ac:dyDescent="0.3">
      <c r="A6827" t="s">
        <v>12839</v>
      </c>
      <c r="B6827" t="s">
        <v>550</v>
      </c>
      <c r="C6827">
        <v>42</v>
      </c>
      <c r="D6827" t="str">
        <f>VLOOKUP(B6827,Products!$A:$E,2,FALSE)</f>
        <v>Product_271</v>
      </c>
      <c r="E6827" t="str">
        <f>VLOOKUP(B6827,Products!$A:$E,3,FALSE)</f>
        <v>Electronics</v>
      </c>
    </row>
    <row r="6828" spans="1:5" x14ac:dyDescent="0.3">
      <c r="A6828" t="s">
        <v>12840</v>
      </c>
      <c r="B6828" t="s">
        <v>74</v>
      </c>
      <c r="C6828">
        <v>26</v>
      </c>
      <c r="D6828" t="str">
        <f>VLOOKUP(B6828,Products!$A:$E,2,FALSE)</f>
        <v>Product_33</v>
      </c>
      <c r="E6828" t="str">
        <f>VLOOKUP(B6828,Products!$A:$E,3,FALSE)</f>
        <v>Storage</v>
      </c>
    </row>
    <row r="6829" spans="1:5" x14ac:dyDescent="0.3">
      <c r="A6829" t="s">
        <v>12841</v>
      </c>
      <c r="B6829" t="s">
        <v>284</v>
      </c>
      <c r="C6829">
        <v>16</v>
      </c>
      <c r="D6829" t="str">
        <f>VLOOKUP(B6829,Products!$A:$E,2,FALSE)</f>
        <v>Product_138</v>
      </c>
      <c r="E6829" t="str">
        <f>VLOOKUP(B6829,Products!$A:$E,3,FALSE)</f>
        <v>Electronics</v>
      </c>
    </row>
    <row r="6830" spans="1:5" x14ac:dyDescent="0.3">
      <c r="A6830" t="s">
        <v>12842</v>
      </c>
      <c r="B6830" t="s">
        <v>168</v>
      </c>
      <c r="C6830">
        <v>44</v>
      </c>
      <c r="D6830" t="str">
        <f>VLOOKUP(B6830,Products!$A:$E,2,FALSE)</f>
        <v>Product_80</v>
      </c>
      <c r="E6830" t="str">
        <f>VLOOKUP(B6830,Products!$A:$E,3,FALSE)</f>
        <v>Accessories</v>
      </c>
    </row>
    <row r="6831" spans="1:5" x14ac:dyDescent="0.3">
      <c r="A6831" t="s">
        <v>12843</v>
      </c>
      <c r="B6831" t="s">
        <v>76</v>
      </c>
      <c r="C6831">
        <v>10</v>
      </c>
      <c r="D6831" t="str">
        <f>VLOOKUP(B6831,Products!$A:$E,2,FALSE)</f>
        <v>Product_34</v>
      </c>
      <c r="E6831" t="str">
        <f>VLOOKUP(B6831,Products!$A:$E,3,FALSE)</f>
        <v>Office Supplies</v>
      </c>
    </row>
    <row r="6832" spans="1:5" x14ac:dyDescent="0.3">
      <c r="A6832" t="s">
        <v>12844</v>
      </c>
      <c r="B6832" t="s">
        <v>722</v>
      </c>
      <c r="C6832">
        <v>26</v>
      </c>
      <c r="D6832" t="str">
        <f>VLOOKUP(B6832,Products!$A:$E,2,FALSE)</f>
        <v>Product_357</v>
      </c>
      <c r="E6832" t="str">
        <f>VLOOKUP(B6832,Products!$A:$E,3,FALSE)</f>
        <v>Accessories</v>
      </c>
    </row>
    <row r="6833" spans="1:5" x14ac:dyDescent="0.3">
      <c r="A6833" t="s">
        <v>12845</v>
      </c>
      <c r="B6833" t="s">
        <v>642</v>
      </c>
      <c r="C6833">
        <v>44</v>
      </c>
      <c r="D6833" t="str">
        <f>VLOOKUP(B6833,Products!$A:$E,2,FALSE)</f>
        <v>Product_317</v>
      </c>
      <c r="E6833" t="str">
        <f>VLOOKUP(B6833,Products!$A:$E,3,FALSE)</f>
        <v>Storage</v>
      </c>
    </row>
    <row r="6834" spans="1:5" x14ac:dyDescent="0.3">
      <c r="A6834" t="s">
        <v>12846</v>
      </c>
      <c r="B6834" t="s">
        <v>312</v>
      </c>
      <c r="C6834">
        <v>47</v>
      </c>
      <c r="D6834" t="str">
        <f>VLOOKUP(B6834,Products!$A:$E,2,FALSE)</f>
        <v>Product_152</v>
      </c>
      <c r="E6834" t="str">
        <f>VLOOKUP(B6834,Products!$A:$E,3,FALSE)</f>
        <v>Storage</v>
      </c>
    </row>
    <row r="6835" spans="1:5" x14ac:dyDescent="0.3">
      <c r="A6835" t="s">
        <v>12847</v>
      </c>
      <c r="B6835" t="s">
        <v>184</v>
      </c>
      <c r="C6835">
        <v>34</v>
      </c>
      <c r="D6835" t="str">
        <f>VLOOKUP(B6835,Products!$A:$E,2,FALSE)</f>
        <v>Product_88</v>
      </c>
      <c r="E6835" t="str">
        <f>VLOOKUP(B6835,Products!$A:$E,3,FALSE)</f>
        <v>Accessories</v>
      </c>
    </row>
    <row r="6836" spans="1:5" x14ac:dyDescent="0.3">
      <c r="A6836" t="s">
        <v>12848</v>
      </c>
      <c r="B6836" t="s">
        <v>594</v>
      </c>
      <c r="C6836">
        <v>42</v>
      </c>
      <c r="D6836" t="str">
        <f>VLOOKUP(B6836,Products!$A:$E,2,FALSE)</f>
        <v>Product_293</v>
      </c>
      <c r="E6836" t="str">
        <f>VLOOKUP(B6836,Products!$A:$E,3,FALSE)</f>
        <v>Networking</v>
      </c>
    </row>
    <row r="6837" spans="1:5" x14ac:dyDescent="0.3">
      <c r="A6837" t="s">
        <v>12849</v>
      </c>
      <c r="B6837" t="s">
        <v>694</v>
      </c>
      <c r="C6837">
        <v>43</v>
      </c>
      <c r="D6837" t="str">
        <f>VLOOKUP(B6837,Products!$A:$E,2,FALSE)</f>
        <v>Product_343</v>
      </c>
      <c r="E6837" t="str">
        <f>VLOOKUP(B6837,Products!$A:$E,3,FALSE)</f>
        <v>Office Supplies</v>
      </c>
    </row>
    <row r="6838" spans="1:5" x14ac:dyDescent="0.3">
      <c r="A6838" t="s">
        <v>12850</v>
      </c>
      <c r="B6838" t="s">
        <v>758</v>
      </c>
      <c r="C6838">
        <v>20</v>
      </c>
      <c r="D6838" t="str">
        <f>VLOOKUP(B6838,Products!$A:$E,2,FALSE)</f>
        <v>Product_375</v>
      </c>
      <c r="E6838" t="str">
        <f>VLOOKUP(B6838,Products!$A:$E,3,FALSE)</f>
        <v>Accessories</v>
      </c>
    </row>
    <row r="6839" spans="1:5" x14ac:dyDescent="0.3">
      <c r="A6839" t="s">
        <v>12851</v>
      </c>
      <c r="B6839" t="s">
        <v>426</v>
      </c>
      <c r="C6839">
        <v>20</v>
      </c>
      <c r="D6839" t="str">
        <f>VLOOKUP(B6839,Products!$A:$E,2,FALSE)</f>
        <v>Product_209</v>
      </c>
      <c r="E6839" t="str">
        <f>VLOOKUP(B6839,Products!$A:$E,3,FALSE)</f>
        <v>Networking</v>
      </c>
    </row>
    <row r="6840" spans="1:5" x14ac:dyDescent="0.3">
      <c r="A6840" t="s">
        <v>12852</v>
      </c>
      <c r="B6840" t="s">
        <v>172</v>
      </c>
      <c r="C6840">
        <v>2</v>
      </c>
      <c r="D6840" t="str">
        <f>VLOOKUP(B6840,Products!$A:$E,2,FALSE)</f>
        <v>Product_82</v>
      </c>
      <c r="E6840" t="str">
        <f>VLOOKUP(B6840,Products!$A:$E,3,FALSE)</f>
        <v>Storage</v>
      </c>
    </row>
    <row r="6841" spans="1:5" x14ac:dyDescent="0.3">
      <c r="A6841" t="s">
        <v>12853</v>
      </c>
      <c r="B6841" t="s">
        <v>258</v>
      </c>
      <c r="C6841">
        <v>27</v>
      </c>
      <c r="D6841" t="str">
        <f>VLOOKUP(B6841,Products!$A:$E,2,FALSE)</f>
        <v>Product_125</v>
      </c>
      <c r="E6841" t="str">
        <f>VLOOKUP(B6841,Products!$A:$E,3,FALSE)</f>
        <v>Office Supplies</v>
      </c>
    </row>
    <row r="6842" spans="1:5" x14ac:dyDescent="0.3">
      <c r="A6842" t="s">
        <v>12854</v>
      </c>
      <c r="B6842" t="s">
        <v>784</v>
      </c>
      <c r="C6842">
        <v>46</v>
      </c>
      <c r="D6842" t="str">
        <f>VLOOKUP(B6842,Products!$A:$E,2,FALSE)</f>
        <v>Product_388</v>
      </c>
      <c r="E6842" t="str">
        <f>VLOOKUP(B6842,Products!$A:$E,3,FALSE)</f>
        <v>Office Supplies</v>
      </c>
    </row>
    <row r="6843" spans="1:5" x14ac:dyDescent="0.3">
      <c r="A6843" t="s">
        <v>12855</v>
      </c>
      <c r="B6843" t="s">
        <v>142</v>
      </c>
      <c r="C6843">
        <v>24</v>
      </c>
      <c r="D6843" t="str">
        <f>VLOOKUP(B6843,Products!$A:$E,2,FALSE)</f>
        <v>Product_67</v>
      </c>
      <c r="E6843" t="str">
        <f>VLOOKUP(B6843,Products!$A:$E,3,FALSE)</f>
        <v>Office Supplies</v>
      </c>
    </row>
    <row r="6844" spans="1:5" x14ac:dyDescent="0.3">
      <c r="A6844" t="s">
        <v>12856</v>
      </c>
      <c r="B6844" t="s">
        <v>748</v>
      </c>
      <c r="C6844">
        <v>47</v>
      </c>
      <c r="D6844" t="str">
        <f>VLOOKUP(B6844,Products!$A:$E,2,FALSE)</f>
        <v>Product_370</v>
      </c>
      <c r="E6844" t="str">
        <f>VLOOKUP(B6844,Products!$A:$E,3,FALSE)</f>
        <v>Networking</v>
      </c>
    </row>
    <row r="6845" spans="1:5" x14ac:dyDescent="0.3">
      <c r="A6845" t="s">
        <v>12857</v>
      </c>
      <c r="B6845" t="s">
        <v>874</v>
      </c>
      <c r="C6845">
        <v>34</v>
      </c>
      <c r="D6845" t="str">
        <f>VLOOKUP(B6845,Products!$A:$E,2,FALSE)</f>
        <v>Product_433</v>
      </c>
      <c r="E6845" t="str">
        <f>VLOOKUP(B6845,Products!$A:$E,3,FALSE)</f>
        <v>Office Supplies</v>
      </c>
    </row>
    <row r="6846" spans="1:5" x14ac:dyDescent="0.3">
      <c r="A6846" t="s">
        <v>12858</v>
      </c>
      <c r="B6846" t="s">
        <v>450</v>
      </c>
      <c r="C6846">
        <v>14</v>
      </c>
      <c r="D6846" t="str">
        <f>VLOOKUP(B6846,Products!$A:$E,2,FALSE)</f>
        <v>Product_221</v>
      </c>
      <c r="E6846" t="str">
        <f>VLOOKUP(B6846,Products!$A:$E,3,FALSE)</f>
        <v>Office Supplies</v>
      </c>
    </row>
    <row r="6847" spans="1:5" x14ac:dyDescent="0.3">
      <c r="A6847" t="s">
        <v>12859</v>
      </c>
      <c r="B6847" t="s">
        <v>116</v>
      </c>
      <c r="C6847">
        <v>20</v>
      </c>
      <c r="D6847" t="str">
        <f>VLOOKUP(B6847,Products!$A:$E,2,FALSE)</f>
        <v>Product_54</v>
      </c>
      <c r="E6847" t="str">
        <f>VLOOKUP(B6847,Products!$A:$E,3,FALSE)</f>
        <v>Storage</v>
      </c>
    </row>
    <row r="6848" spans="1:5" x14ac:dyDescent="0.3">
      <c r="A6848" t="s">
        <v>12860</v>
      </c>
      <c r="B6848" t="s">
        <v>992</v>
      </c>
      <c r="C6848">
        <v>50</v>
      </c>
      <c r="D6848" t="str">
        <f>VLOOKUP(B6848,Products!$A:$E,2,FALSE)</f>
        <v>Product_492</v>
      </c>
      <c r="E6848" t="str">
        <f>VLOOKUP(B6848,Products!$A:$E,3,FALSE)</f>
        <v>Electronics</v>
      </c>
    </row>
    <row r="6849" spans="1:5" x14ac:dyDescent="0.3">
      <c r="A6849" t="s">
        <v>12861</v>
      </c>
      <c r="B6849" t="s">
        <v>266</v>
      </c>
      <c r="C6849">
        <v>6</v>
      </c>
      <c r="D6849" t="str">
        <f>VLOOKUP(B6849,Products!$A:$E,2,FALSE)</f>
        <v>Product_129</v>
      </c>
      <c r="E6849" t="str">
        <f>VLOOKUP(B6849,Products!$A:$E,3,FALSE)</f>
        <v>Electronics</v>
      </c>
    </row>
    <row r="6850" spans="1:5" x14ac:dyDescent="0.3">
      <c r="A6850" t="s">
        <v>12862</v>
      </c>
      <c r="B6850" t="s">
        <v>482</v>
      </c>
      <c r="C6850">
        <v>3</v>
      </c>
      <c r="D6850" t="str">
        <f>VLOOKUP(B6850,Products!$A:$E,2,FALSE)</f>
        <v>Product_237</v>
      </c>
      <c r="E6850" t="str">
        <f>VLOOKUP(B6850,Products!$A:$E,3,FALSE)</f>
        <v>Networking</v>
      </c>
    </row>
    <row r="6851" spans="1:5" x14ac:dyDescent="0.3">
      <c r="A6851" t="s">
        <v>12863</v>
      </c>
      <c r="B6851" t="s">
        <v>850</v>
      </c>
      <c r="C6851">
        <v>25</v>
      </c>
      <c r="D6851" t="str">
        <f>VLOOKUP(B6851,Products!$A:$E,2,FALSE)</f>
        <v>Product_421</v>
      </c>
      <c r="E6851" t="str">
        <f>VLOOKUP(B6851,Products!$A:$E,3,FALSE)</f>
        <v>Accessories</v>
      </c>
    </row>
    <row r="6852" spans="1:5" x14ac:dyDescent="0.3">
      <c r="A6852" t="s">
        <v>12864</v>
      </c>
      <c r="B6852" t="s">
        <v>308</v>
      </c>
      <c r="C6852">
        <v>41</v>
      </c>
      <c r="D6852" t="str">
        <f>VLOOKUP(B6852,Products!$A:$E,2,FALSE)</f>
        <v>Product_150</v>
      </c>
      <c r="E6852" t="str">
        <f>VLOOKUP(B6852,Products!$A:$E,3,FALSE)</f>
        <v>Accessories</v>
      </c>
    </row>
    <row r="6853" spans="1:5" x14ac:dyDescent="0.3">
      <c r="A6853" t="s">
        <v>12865</v>
      </c>
      <c r="B6853" t="s">
        <v>408</v>
      </c>
      <c r="C6853">
        <v>11</v>
      </c>
      <c r="D6853" t="str">
        <f>VLOOKUP(B6853,Products!$A:$E,2,FALSE)</f>
        <v>Product_200</v>
      </c>
      <c r="E6853" t="str">
        <f>VLOOKUP(B6853,Products!$A:$E,3,FALSE)</f>
        <v>Office Supplies</v>
      </c>
    </row>
    <row r="6854" spans="1:5" x14ac:dyDescent="0.3">
      <c r="A6854" t="s">
        <v>12866</v>
      </c>
      <c r="B6854" t="s">
        <v>372</v>
      </c>
      <c r="C6854">
        <v>49</v>
      </c>
      <c r="D6854" t="str">
        <f>VLOOKUP(B6854,Products!$A:$E,2,FALSE)</f>
        <v>Product_182</v>
      </c>
      <c r="E6854" t="str">
        <f>VLOOKUP(B6854,Products!$A:$E,3,FALSE)</f>
        <v>Storage</v>
      </c>
    </row>
    <row r="6855" spans="1:5" x14ac:dyDescent="0.3">
      <c r="A6855" t="s">
        <v>12867</v>
      </c>
      <c r="B6855" t="s">
        <v>392</v>
      </c>
      <c r="C6855">
        <v>49</v>
      </c>
      <c r="D6855" t="str">
        <f>VLOOKUP(B6855,Products!$A:$E,2,FALSE)</f>
        <v>Product_192</v>
      </c>
      <c r="E6855" t="str">
        <f>VLOOKUP(B6855,Products!$A:$E,3,FALSE)</f>
        <v>Office Supplies</v>
      </c>
    </row>
    <row r="6856" spans="1:5" x14ac:dyDescent="0.3">
      <c r="A6856" t="s">
        <v>12868</v>
      </c>
      <c r="B6856" t="s">
        <v>306</v>
      </c>
      <c r="C6856">
        <v>3</v>
      </c>
      <c r="D6856" t="str">
        <f>VLOOKUP(B6856,Products!$A:$E,2,FALSE)</f>
        <v>Product_149</v>
      </c>
      <c r="E6856" t="str">
        <f>VLOOKUP(B6856,Products!$A:$E,3,FALSE)</f>
        <v>Accessories</v>
      </c>
    </row>
    <row r="6857" spans="1:5" x14ac:dyDescent="0.3">
      <c r="A6857" t="s">
        <v>12869</v>
      </c>
      <c r="B6857" t="s">
        <v>200</v>
      </c>
      <c r="C6857">
        <v>26</v>
      </c>
      <c r="D6857" t="str">
        <f>VLOOKUP(B6857,Products!$A:$E,2,FALSE)</f>
        <v>Product_96</v>
      </c>
      <c r="E6857" t="str">
        <f>VLOOKUP(B6857,Products!$A:$E,3,FALSE)</f>
        <v>Office Supplies</v>
      </c>
    </row>
    <row r="6858" spans="1:5" x14ac:dyDescent="0.3">
      <c r="A6858" t="s">
        <v>12870</v>
      </c>
      <c r="B6858" t="s">
        <v>816</v>
      </c>
      <c r="C6858">
        <v>15</v>
      </c>
      <c r="D6858" t="str">
        <f>VLOOKUP(B6858,Products!$A:$E,2,FALSE)</f>
        <v>Product_404</v>
      </c>
      <c r="E6858" t="str">
        <f>VLOOKUP(B6858,Products!$A:$E,3,FALSE)</f>
        <v>Storage</v>
      </c>
    </row>
    <row r="6859" spans="1:5" x14ac:dyDescent="0.3">
      <c r="A6859" t="s">
        <v>12871</v>
      </c>
      <c r="B6859" t="s">
        <v>748</v>
      </c>
      <c r="C6859">
        <v>44</v>
      </c>
      <c r="D6859" t="str">
        <f>VLOOKUP(B6859,Products!$A:$E,2,FALSE)</f>
        <v>Product_370</v>
      </c>
      <c r="E6859" t="str">
        <f>VLOOKUP(B6859,Products!$A:$E,3,FALSE)</f>
        <v>Networking</v>
      </c>
    </row>
    <row r="6860" spans="1:5" x14ac:dyDescent="0.3">
      <c r="A6860" t="s">
        <v>12872</v>
      </c>
      <c r="B6860" t="s">
        <v>386</v>
      </c>
      <c r="C6860">
        <v>22</v>
      </c>
      <c r="D6860" t="str">
        <f>VLOOKUP(B6860,Products!$A:$E,2,FALSE)</f>
        <v>Product_189</v>
      </c>
      <c r="E6860" t="str">
        <f>VLOOKUP(B6860,Products!$A:$E,3,FALSE)</f>
        <v>Electronics</v>
      </c>
    </row>
    <row r="6861" spans="1:5" x14ac:dyDescent="0.3">
      <c r="A6861" t="s">
        <v>12873</v>
      </c>
      <c r="B6861" t="s">
        <v>566</v>
      </c>
      <c r="C6861">
        <v>44</v>
      </c>
      <c r="D6861" t="str">
        <f>VLOOKUP(B6861,Products!$A:$E,2,FALSE)</f>
        <v>Product_279</v>
      </c>
      <c r="E6861" t="str">
        <f>VLOOKUP(B6861,Products!$A:$E,3,FALSE)</f>
        <v>Networking</v>
      </c>
    </row>
    <row r="6862" spans="1:5" x14ac:dyDescent="0.3">
      <c r="A6862" t="s">
        <v>12874</v>
      </c>
      <c r="B6862" t="s">
        <v>200</v>
      </c>
      <c r="C6862">
        <v>19</v>
      </c>
      <c r="D6862" t="str">
        <f>VLOOKUP(B6862,Products!$A:$E,2,FALSE)</f>
        <v>Product_96</v>
      </c>
      <c r="E6862" t="str">
        <f>VLOOKUP(B6862,Products!$A:$E,3,FALSE)</f>
        <v>Office Supplies</v>
      </c>
    </row>
    <row r="6863" spans="1:5" x14ac:dyDescent="0.3">
      <c r="A6863" t="s">
        <v>12875</v>
      </c>
      <c r="B6863" t="s">
        <v>206</v>
      </c>
      <c r="C6863">
        <v>47</v>
      </c>
      <c r="D6863" t="str">
        <f>VLOOKUP(B6863,Products!$A:$E,2,FALSE)</f>
        <v>Product_99</v>
      </c>
      <c r="E6863" t="str">
        <f>VLOOKUP(B6863,Products!$A:$E,3,FALSE)</f>
        <v>Accessories</v>
      </c>
    </row>
    <row r="6864" spans="1:5" x14ac:dyDescent="0.3">
      <c r="A6864" t="s">
        <v>12876</v>
      </c>
      <c r="B6864" t="s">
        <v>32</v>
      </c>
      <c r="C6864">
        <v>43</v>
      </c>
      <c r="D6864" t="str">
        <f>VLOOKUP(B6864,Products!$A:$E,2,FALSE)</f>
        <v>Product_12</v>
      </c>
      <c r="E6864" t="str">
        <f>VLOOKUP(B6864,Products!$A:$E,3,FALSE)</f>
        <v>Accessories</v>
      </c>
    </row>
    <row r="6865" spans="1:5" x14ac:dyDescent="0.3">
      <c r="A6865" t="s">
        <v>12877</v>
      </c>
      <c r="B6865" t="s">
        <v>96</v>
      </c>
      <c r="C6865">
        <v>31</v>
      </c>
      <c r="D6865" t="str">
        <f>VLOOKUP(B6865,Products!$A:$E,2,FALSE)</f>
        <v>Product_44</v>
      </c>
      <c r="E6865" t="str">
        <f>VLOOKUP(B6865,Products!$A:$E,3,FALSE)</f>
        <v>Storage</v>
      </c>
    </row>
    <row r="6866" spans="1:5" x14ac:dyDescent="0.3">
      <c r="A6866" t="s">
        <v>12878</v>
      </c>
      <c r="B6866" t="s">
        <v>396</v>
      </c>
      <c r="C6866">
        <v>20</v>
      </c>
      <c r="D6866" t="str">
        <f>VLOOKUP(B6866,Products!$A:$E,2,FALSE)</f>
        <v>Product_194</v>
      </c>
      <c r="E6866" t="str">
        <f>VLOOKUP(B6866,Products!$A:$E,3,FALSE)</f>
        <v>Networking</v>
      </c>
    </row>
    <row r="6867" spans="1:5" x14ac:dyDescent="0.3">
      <c r="A6867" t="s">
        <v>12879</v>
      </c>
      <c r="B6867" t="s">
        <v>430</v>
      </c>
      <c r="C6867">
        <v>18</v>
      </c>
      <c r="D6867" t="str">
        <f>VLOOKUP(B6867,Products!$A:$E,2,FALSE)</f>
        <v>Product_211</v>
      </c>
      <c r="E6867" t="str">
        <f>VLOOKUP(B6867,Products!$A:$E,3,FALSE)</f>
        <v>Storage</v>
      </c>
    </row>
    <row r="6868" spans="1:5" x14ac:dyDescent="0.3">
      <c r="A6868" t="s">
        <v>12880</v>
      </c>
      <c r="B6868" t="s">
        <v>892</v>
      </c>
      <c r="C6868">
        <v>19</v>
      </c>
      <c r="D6868" t="str">
        <f>VLOOKUP(B6868,Products!$A:$E,2,FALSE)</f>
        <v>Product_442</v>
      </c>
      <c r="E6868" t="str">
        <f>VLOOKUP(B6868,Products!$A:$E,3,FALSE)</f>
        <v>Networking</v>
      </c>
    </row>
    <row r="6869" spans="1:5" x14ac:dyDescent="0.3">
      <c r="A6869" t="s">
        <v>12881</v>
      </c>
      <c r="B6869" t="s">
        <v>534</v>
      </c>
      <c r="C6869">
        <v>37</v>
      </c>
      <c r="D6869" t="str">
        <f>VLOOKUP(B6869,Products!$A:$E,2,FALSE)</f>
        <v>Product_263</v>
      </c>
      <c r="E6869" t="str">
        <f>VLOOKUP(B6869,Products!$A:$E,3,FALSE)</f>
        <v>Accessories</v>
      </c>
    </row>
    <row r="6870" spans="1:5" x14ac:dyDescent="0.3">
      <c r="A6870" t="s">
        <v>12882</v>
      </c>
      <c r="B6870" t="s">
        <v>992</v>
      </c>
      <c r="C6870">
        <v>34</v>
      </c>
      <c r="D6870" t="str">
        <f>VLOOKUP(B6870,Products!$A:$E,2,FALSE)</f>
        <v>Product_492</v>
      </c>
      <c r="E6870" t="str">
        <f>VLOOKUP(B6870,Products!$A:$E,3,FALSE)</f>
        <v>Electronics</v>
      </c>
    </row>
    <row r="6871" spans="1:5" x14ac:dyDescent="0.3">
      <c r="A6871" t="s">
        <v>12883</v>
      </c>
      <c r="B6871" t="s">
        <v>526</v>
      </c>
      <c r="C6871">
        <v>2</v>
      </c>
      <c r="D6871" t="str">
        <f>VLOOKUP(B6871,Products!$A:$E,2,FALSE)</f>
        <v>Product_259</v>
      </c>
      <c r="E6871" t="str">
        <f>VLOOKUP(B6871,Products!$A:$E,3,FALSE)</f>
        <v>Electronics</v>
      </c>
    </row>
    <row r="6872" spans="1:5" x14ac:dyDescent="0.3">
      <c r="A6872" t="s">
        <v>12884</v>
      </c>
      <c r="B6872" t="s">
        <v>800</v>
      </c>
      <c r="C6872">
        <v>15</v>
      </c>
      <c r="D6872" t="str">
        <f>VLOOKUP(B6872,Products!$A:$E,2,FALSE)</f>
        <v>Product_396</v>
      </c>
      <c r="E6872" t="str">
        <f>VLOOKUP(B6872,Products!$A:$E,3,FALSE)</f>
        <v>Office Supplies</v>
      </c>
    </row>
    <row r="6873" spans="1:5" x14ac:dyDescent="0.3">
      <c r="A6873" t="s">
        <v>12885</v>
      </c>
      <c r="B6873" t="s">
        <v>758</v>
      </c>
      <c r="C6873">
        <v>7</v>
      </c>
      <c r="D6873" t="str">
        <f>VLOOKUP(B6873,Products!$A:$E,2,FALSE)</f>
        <v>Product_375</v>
      </c>
      <c r="E6873" t="str">
        <f>VLOOKUP(B6873,Products!$A:$E,3,FALSE)</f>
        <v>Accessories</v>
      </c>
    </row>
    <row r="6874" spans="1:5" x14ac:dyDescent="0.3">
      <c r="A6874" t="s">
        <v>12886</v>
      </c>
      <c r="B6874" t="s">
        <v>386</v>
      </c>
      <c r="C6874">
        <v>16</v>
      </c>
      <c r="D6874" t="str">
        <f>VLOOKUP(B6874,Products!$A:$E,2,FALSE)</f>
        <v>Product_189</v>
      </c>
      <c r="E6874" t="str">
        <f>VLOOKUP(B6874,Products!$A:$E,3,FALSE)</f>
        <v>Electronics</v>
      </c>
    </row>
    <row r="6875" spans="1:5" x14ac:dyDescent="0.3">
      <c r="A6875" t="s">
        <v>12887</v>
      </c>
      <c r="B6875" t="s">
        <v>578</v>
      </c>
      <c r="C6875">
        <v>45</v>
      </c>
      <c r="D6875" t="str">
        <f>VLOOKUP(B6875,Products!$A:$E,2,FALSE)</f>
        <v>Product_285</v>
      </c>
      <c r="E6875" t="str">
        <f>VLOOKUP(B6875,Products!$A:$E,3,FALSE)</f>
        <v>Networking</v>
      </c>
    </row>
    <row r="6876" spans="1:5" x14ac:dyDescent="0.3">
      <c r="A6876" t="s">
        <v>12888</v>
      </c>
      <c r="B6876" t="s">
        <v>522</v>
      </c>
      <c r="C6876">
        <v>34</v>
      </c>
      <c r="D6876" t="str">
        <f>VLOOKUP(B6876,Products!$A:$E,2,FALSE)</f>
        <v>Product_257</v>
      </c>
      <c r="E6876" t="str">
        <f>VLOOKUP(B6876,Products!$A:$E,3,FALSE)</f>
        <v>Networking</v>
      </c>
    </row>
    <row r="6877" spans="1:5" x14ac:dyDescent="0.3">
      <c r="A6877" t="s">
        <v>12889</v>
      </c>
      <c r="B6877" t="s">
        <v>192</v>
      </c>
      <c r="C6877">
        <v>18</v>
      </c>
      <c r="D6877" t="str">
        <f>VLOOKUP(B6877,Products!$A:$E,2,FALSE)</f>
        <v>Product_92</v>
      </c>
      <c r="E6877" t="str">
        <f>VLOOKUP(B6877,Products!$A:$E,3,FALSE)</f>
        <v>Electronics</v>
      </c>
    </row>
    <row r="6878" spans="1:5" x14ac:dyDescent="0.3">
      <c r="A6878" t="s">
        <v>12890</v>
      </c>
      <c r="B6878" t="s">
        <v>348</v>
      </c>
      <c r="C6878">
        <v>47</v>
      </c>
      <c r="D6878" t="str">
        <f>VLOOKUP(B6878,Products!$A:$E,2,FALSE)</f>
        <v>Product_170</v>
      </c>
      <c r="E6878" t="str">
        <f>VLOOKUP(B6878,Products!$A:$E,3,FALSE)</f>
        <v>Office Supplies</v>
      </c>
    </row>
    <row r="6879" spans="1:5" x14ac:dyDescent="0.3">
      <c r="A6879" t="s">
        <v>12891</v>
      </c>
      <c r="B6879" t="s">
        <v>1004</v>
      </c>
      <c r="C6879">
        <v>9</v>
      </c>
      <c r="D6879" t="str">
        <f>VLOOKUP(B6879,Products!$A:$E,2,FALSE)</f>
        <v>Product_498</v>
      </c>
      <c r="E6879" t="str">
        <f>VLOOKUP(B6879,Products!$A:$E,3,FALSE)</f>
        <v>Office Supplies</v>
      </c>
    </row>
    <row r="6880" spans="1:5" x14ac:dyDescent="0.3">
      <c r="A6880" t="s">
        <v>12892</v>
      </c>
      <c r="B6880" t="s">
        <v>486</v>
      </c>
      <c r="C6880">
        <v>40</v>
      </c>
      <c r="D6880" t="str">
        <f>VLOOKUP(B6880,Products!$A:$E,2,FALSE)</f>
        <v>Product_239</v>
      </c>
      <c r="E6880" t="str">
        <f>VLOOKUP(B6880,Products!$A:$E,3,FALSE)</f>
        <v>Storage</v>
      </c>
    </row>
    <row r="6881" spans="1:5" x14ac:dyDescent="0.3">
      <c r="A6881" t="s">
        <v>12893</v>
      </c>
      <c r="B6881" t="s">
        <v>860</v>
      </c>
      <c r="C6881">
        <v>45</v>
      </c>
      <c r="D6881" t="str">
        <f>VLOOKUP(B6881,Products!$A:$E,2,FALSE)</f>
        <v>Product_426</v>
      </c>
      <c r="E6881" t="str">
        <f>VLOOKUP(B6881,Products!$A:$E,3,FALSE)</f>
        <v>Storage</v>
      </c>
    </row>
    <row r="6882" spans="1:5" x14ac:dyDescent="0.3">
      <c r="A6882" t="s">
        <v>12894</v>
      </c>
      <c r="B6882" t="s">
        <v>72</v>
      </c>
      <c r="C6882">
        <v>44</v>
      </c>
      <c r="D6882" t="str">
        <f>VLOOKUP(B6882,Products!$A:$E,2,FALSE)</f>
        <v>Product_32</v>
      </c>
      <c r="E6882" t="str">
        <f>VLOOKUP(B6882,Products!$A:$E,3,FALSE)</f>
        <v>Networking</v>
      </c>
    </row>
    <row r="6883" spans="1:5" x14ac:dyDescent="0.3">
      <c r="A6883" t="s">
        <v>12895</v>
      </c>
      <c r="B6883" t="s">
        <v>714</v>
      </c>
      <c r="C6883">
        <v>22</v>
      </c>
      <c r="D6883" t="str">
        <f>VLOOKUP(B6883,Products!$A:$E,2,FALSE)</f>
        <v>Product_353</v>
      </c>
      <c r="E6883" t="str">
        <f>VLOOKUP(B6883,Products!$A:$E,3,FALSE)</f>
        <v>Accessories</v>
      </c>
    </row>
    <row r="6884" spans="1:5" x14ac:dyDescent="0.3">
      <c r="A6884" t="s">
        <v>12896</v>
      </c>
      <c r="B6884" t="s">
        <v>48</v>
      </c>
      <c r="C6884">
        <v>19</v>
      </c>
      <c r="D6884" t="str">
        <f>VLOOKUP(B6884,Products!$A:$E,2,FALSE)</f>
        <v>Product_20</v>
      </c>
      <c r="E6884" t="str">
        <f>VLOOKUP(B6884,Products!$A:$E,3,FALSE)</f>
        <v>Office Supplies</v>
      </c>
    </row>
    <row r="6885" spans="1:5" x14ac:dyDescent="0.3">
      <c r="A6885" t="s">
        <v>12897</v>
      </c>
      <c r="B6885" t="s">
        <v>712</v>
      </c>
      <c r="C6885">
        <v>41</v>
      </c>
      <c r="D6885" t="str">
        <f>VLOOKUP(B6885,Products!$A:$E,2,FALSE)</f>
        <v>Product_352</v>
      </c>
      <c r="E6885" t="str">
        <f>VLOOKUP(B6885,Products!$A:$E,3,FALSE)</f>
        <v>Storage</v>
      </c>
    </row>
    <row r="6886" spans="1:5" x14ac:dyDescent="0.3">
      <c r="A6886" t="s">
        <v>12898</v>
      </c>
      <c r="B6886" t="s">
        <v>68</v>
      </c>
      <c r="C6886">
        <v>19</v>
      </c>
      <c r="D6886" t="str">
        <f>VLOOKUP(B6886,Products!$A:$E,2,FALSE)</f>
        <v>Product_30</v>
      </c>
      <c r="E6886" t="str">
        <f>VLOOKUP(B6886,Products!$A:$E,3,FALSE)</f>
        <v>Accessories</v>
      </c>
    </row>
    <row r="6887" spans="1:5" x14ac:dyDescent="0.3">
      <c r="A6887" t="s">
        <v>12899</v>
      </c>
      <c r="B6887" t="s">
        <v>254</v>
      </c>
      <c r="C6887">
        <v>14</v>
      </c>
      <c r="D6887" t="str">
        <f>VLOOKUP(B6887,Products!$A:$E,2,FALSE)</f>
        <v>Product_123</v>
      </c>
      <c r="E6887" t="str">
        <f>VLOOKUP(B6887,Products!$A:$E,3,FALSE)</f>
        <v>Electronics</v>
      </c>
    </row>
    <row r="6888" spans="1:5" x14ac:dyDescent="0.3">
      <c r="A6888" t="s">
        <v>12900</v>
      </c>
      <c r="B6888" t="s">
        <v>948</v>
      </c>
      <c r="C6888">
        <v>14</v>
      </c>
      <c r="D6888" t="str">
        <f>VLOOKUP(B6888,Products!$A:$E,2,FALSE)</f>
        <v>Product_470</v>
      </c>
      <c r="E6888" t="str">
        <f>VLOOKUP(B6888,Products!$A:$E,3,FALSE)</f>
        <v>Networking</v>
      </c>
    </row>
    <row r="6889" spans="1:5" x14ac:dyDescent="0.3">
      <c r="A6889" t="s">
        <v>12901</v>
      </c>
      <c r="B6889" t="s">
        <v>222</v>
      </c>
      <c r="C6889">
        <v>49</v>
      </c>
      <c r="D6889" t="str">
        <f>VLOOKUP(B6889,Products!$A:$E,2,FALSE)</f>
        <v>Product_107</v>
      </c>
      <c r="E6889" t="str">
        <f>VLOOKUP(B6889,Products!$A:$E,3,FALSE)</f>
        <v>Office Supplies</v>
      </c>
    </row>
    <row r="6890" spans="1:5" x14ac:dyDescent="0.3">
      <c r="A6890" t="s">
        <v>12902</v>
      </c>
      <c r="B6890" t="s">
        <v>852</v>
      </c>
      <c r="C6890">
        <v>23</v>
      </c>
      <c r="D6890" t="str">
        <f>VLOOKUP(B6890,Products!$A:$E,2,FALSE)</f>
        <v>Product_422</v>
      </c>
      <c r="E6890" t="str">
        <f>VLOOKUP(B6890,Products!$A:$E,3,FALSE)</f>
        <v>Accessories</v>
      </c>
    </row>
    <row r="6891" spans="1:5" x14ac:dyDescent="0.3">
      <c r="A6891" t="s">
        <v>12903</v>
      </c>
      <c r="B6891" t="s">
        <v>208</v>
      </c>
      <c r="C6891">
        <v>34</v>
      </c>
      <c r="D6891" t="str">
        <f>VLOOKUP(B6891,Products!$A:$E,2,FALSE)</f>
        <v>Product_100</v>
      </c>
      <c r="E6891" t="str">
        <f>VLOOKUP(B6891,Products!$A:$E,3,FALSE)</f>
        <v>Accessories</v>
      </c>
    </row>
    <row r="6892" spans="1:5" x14ac:dyDescent="0.3">
      <c r="A6892" t="s">
        <v>12904</v>
      </c>
      <c r="B6892" t="s">
        <v>272</v>
      </c>
      <c r="C6892">
        <v>38</v>
      </c>
      <c r="D6892" t="str">
        <f>VLOOKUP(B6892,Products!$A:$E,2,FALSE)</f>
        <v>Product_132</v>
      </c>
      <c r="E6892" t="str">
        <f>VLOOKUP(B6892,Products!$A:$E,3,FALSE)</f>
        <v>Storage</v>
      </c>
    </row>
    <row r="6893" spans="1:5" x14ac:dyDescent="0.3">
      <c r="A6893" t="s">
        <v>12905</v>
      </c>
      <c r="B6893" t="s">
        <v>332</v>
      </c>
      <c r="C6893">
        <v>46</v>
      </c>
      <c r="D6893" t="str">
        <f>VLOOKUP(B6893,Products!$A:$E,2,FALSE)</f>
        <v>Product_162</v>
      </c>
      <c r="E6893" t="str">
        <f>VLOOKUP(B6893,Products!$A:$E,3,FALSE)</f>
        <v>Accessories</v>
      </c>
    </row>
    <row r="6894" spans="1:5" x14ac:dyDescent="0.3">
      <c r="A6894" t="s">
        <v>12906</v>
      </c>
      <c r="B6894" t="s">
        <v>134</v>
      </c>
      <c r="C6894">
        <v>26</v>
      </c>
      <c r="D6894" t="str">
        <f>VLOOKUP(B6894,Products!$A:$E,2,FALSE)</f>
        <v>Product_63</v>
      </c>
      <c r="E6894" t="str">
        <f>VLOOKUP(B6894,Products!$A:$E,3,FALSE)</f>
        <v>Accessories</v>
      </c>
    </row>
    <row r="6895" spans="1:5" x14ac:dyDescent="0.3">
      <c r="A6895" t="s">
        <v>12907</v>
      </c>
      <c r="B6895" t="s">
        <v>754</v>
      </c>
      <c r="C6895">
        <v>15</v>
      </c>
      <c r="D6895" t="str">
        <f>VLOOKUP(B6895,Products!$A:$E,2,FALSE)</f>
        <v>Product_373</v>
      </c>
      <c r="E6895" t="str">
        <f>VLOOKUP(B6895,Products!$A:$E,3,FALSE)</f>
        <v>Office Supplies</v>
      </c>
    </row>
    <row r="6896" spans="1:5" x14ac:dyDescent="0.3">
      <c r="A6896" t="s">
        <v>12908</v>
      </c>
      <c r="B6896" t="s">
        <v>836</v>
      </c>
      <c r="C6896">
        <v>10</v>
      </c>
      <c r="D6896" t="str">
        <f>VLOOKUP(B6896,Products!$A:$E,2,FALSE)</f>
        <v>Product_414</v>
      </c>
      <c r="E6896" t="str">
        <f>VLOOKUP(B6896,Products!$A:$E,3,FALSE)</f>
        <v>Office Supplies</v>
      </c>
    </row>
    <row r="6897" spans="1:5" x14ac:dyDescent="0.3">
      <c r="A6897" t="s">
        <v>12909</v>
      </c>
      <c r="B6897" t="s">
        <v>834</v>
      </c>
      <c r="C6897">
        <v>7</v>
      </c>
      <c r="D6897" t="str">
        <f>VLOOKUP(B6897,Products!$A:$E,2,FALSE)</f>
        <v>Product_413</v>
      </c>
      <c r="E6897" t="str">
        <f>VLOOKUP(B6897,Products!$A:$E,3,FALSE)</f>
        <v>Accessories</v>
      </c>
    </row>
    <row r="6898" spans="1:5" x14ac:dyDescent="0.3">
      <c r="A6898" t="s">
        <v>12910</v>
      </c>
      <c r="B6898" t="s">
        <v>102</v>
      </c>
      <c r="C6898">
        <v>7</v>
      </c>
      <c r="D6898" t="str">
        <f>VLOOKUP(B6898,Products!$A:$E,2,FALSE)</f>
        <v>Product_47</v>
      </c>
      <c r="E6898" t="str">
        <f>VLOOKUP(B6898,Products!$A:$E,3,FALSE)</f>
        <v>Electronics</v>
      </c>
    </row>
    <row r="6899" spans="1:5" x14ac:dyDescent="0.3">
      <c r="A6899" t="s">
        <v>12911</v>
      </c>
      <c r="B6899" t="s">
        <v>738</v>
      </c>
      <c r="C6899">
        <v>39</v>
      </c>
      <c r="D6899" t="str">
        <f>VLOOKUP(B6899,Products!$A:$E,2,FALSE)</f>
        <v>Product_365</v>
      </c>
      <c r="E6899" t="str">
        <f>VLOOKUP(B6899,Products!$A:$E,3,FALSE)</f>
        <v>Storage</v>
      </c>
    </row>
    <row r="6900" spans="1:5" x14ac:dyDescent="0.3">
      <c r="A6900" t="s">
        <v>12912</v>
      </c>
      <c r="B6900" t="s">
        <v>474</v>
      </c>
      <c r="C6900">
        <v>34</v>
      </c>
      <c r="D6900" t="str">
        <f>VLOOKUP(B6900,Products!$A:$E,2,FALSE)</f>
        <v>Product_233</v>
      </c>
      <c r="E6900" t="str">
        <f>VLOOKUP(B6900,Products!$A:$E,3,FALSE)</f>
        <v>Accessories</v>
      </c>
    </row>
    <row r="6901" spans="1:5" x14ac:dyDescent="0.3">
      <c r="A6901" t="s">
        <v>12913</v>
      </c>
      <c r="B6901" t="s">
        <v>486</v>
      </c>
      <c r="C6901">
        <v>47</v>
      </c>
      <c r="D6901" t="str">
        <f>VLOOKUP(B6901,Products!$A:$E,2,FALSE)</f>
        <v>Product_239</v>
      </c>
      <c r="E6901" t="str">
        <f>VLOOKUP(B6901,Products!$A:$E,3,FALSE)</f>
        <v>Storage</v>
      </c>
    </row>
    <row r="6902" spans="1:5" x14ac:dyDescent="0.3">
      <c r="A6902" t="s">
        <v>12914</v>
      </c>
      <c r="B6902" t="s">
        <v>908</v>
      </c>
      <c r="C6902">
        <v>8</v>
      </c>
      <c r="D6902" t="str">
        <f>VLOOKUP(B6902,Products!$A:$E,2,FALSE)</f>
        <v>Product_450</v>
      </c>
      <c r="E6902" t="str">
        <f>VLOOKUP(B6902,Products!$A:$E,3,FALSE)</f>
        <v>Networking</v>
      </c>
    </row>
    <row r="6903" spans="1:5" x14ac:dyDescent="0.3">
      <c r="A6903" t="s">
        <v>12915</v>
      </c>
      <c r="B6903" t="s">
        <v>566</v>
      </c>
      <c r="C6903">
        <v>4</v>
      </c>
      <c r="D6903" t="str">
        <f>VLOOKUP(B6903,Products!$A:$E,2,FALSE)</f>
        <v>Product_279</v>
      </c>
      <c r="E6903" t="str">
        <f>VLOOKUP(B6903,Products!$A:$E,3,FALSE)</f>
        <v>Networking</v>
      </c>
    </row>
    <row r="6904" spans="1:5" x14ac:dyDescent="0.3">
      <c r="A6904" t="s">
        <v>12916</v>
      </c>
      <c r="B6904" t="s">
        <v>630</v>
      </c>
      <c r="C6904">
        <v>13</v>
      </c>
      <c r="D6904" t="str">
        <f>VLOOKUP(B6904,Products!$A:$E,2,FALSE)</f>
        <v>Product_311</v>
      </c>
      <c r="E6904" t="str">
        <f>VLOOKUP(B6904,Products!$A:$E,3,FALSE)</f>
        <v>Networking</v>
      </c>
    </row>
    <row r="6905" spans="1:5" x14ac:dyDescent="0.3">
      <c r="A6905" t="s">
        <v>12917</v>
      </c>
      <c r="B6905" t="s">
        <v>256</v>
      </c>
      <c r="C6905">
        <v>38</v>
      </c>
      <c r="D6905" t="str">
        <f>VLOOKUP(B6905,Products!$A:$E,2,FALSE)</f>
        <v>Product_124</v>
      </c>
      <c r="E6905" t="str">
        <f>VLOOKUP(B6905,Products!$A:$E,3,FALSE)</f>
        <v>Storage</v>
      </c>
    </row>
    <row r="6906" spans="1:5" x14ac:dyDescent="0.3">
      <c r="A6906" t="s">
        <v>12918</v>
      </c>
      <c r="B6906" t="s">
        <v>102</v>
      </c>
      <c r="C6906">
        <v>41</v>
      </c>
      <c r="D6906" t="str">
        <f>VLOOKUP(B6906,Products!$A:$E,2,FALSE)</f>
        <v>Product_47</v>
      </c>
      <c r="E6906" t="str">
        <f>VLOOKUP(B6906,Products!$A:$E,3,FALSE)</f>
        <v>Electronics</v>
      </c>
    </row>
    <row r="6907" spans="1:5" x14ac:dyDescent="0.3">
      <c r="A6907" t="s">
        <v>12919</v>
      </c>
      <c r="B6907" t="s">
        <v>704</v>
      </c>
      <c r="C6907">
        <v>13</v>
      </c>
      <c r="D6907" t="str">
        <f>VLOOKUP(B6907,Products!$A:$E,2,FALSE)</f>
        <v>Product_348</v>
      </c>
      <c r="E6907" t="str">
        <f>VLOOKUP(B6907,Products!$A:$E,3,FALSE)</f>
        <v>Electronics</v>
      </c>
    </row>
    <row r="6908" spans="1:5" x14ac:dyDescent="0.3">
      <c r="A6908" t="s">
        <v>12920</v>
      </c>
      <c r="B6908" t="s">
        <v>514</v>
      </c>
      <c r="C6908">
        <v>14</v>
      </c>
      <c r="D6908" t="str">
        <f>VLOOKUP(B6908,Products!$A:$E,2,FALSE)</f>
        <v>Product_253</v>
      </c>
      <c r="E6908" t="str">
        <f>VLOOKUP(B6908,Products!$A:$E,3,FALSE)</f>
        <v>Networking</v>
      </c>
    </row>
    <row r="6909" spans="1:5" x14ac:dyDescent="0.3">
      <c r="A6909" t="s">
        <v>12921</v>
      </c>
      <c r="B6909" t="s">
        <v>146</v>
      </c>
      <c r="C6909">
        <v>26</v>
      </c>
      <c r="D6909" t="str">
        <f>VLOOKUP(B6909,Products!$A:$E,2,FALSE)</f>
        <v>Product_69</v>
      </c>
      <c r="E6909" t="str">
        <f>VLOOKUP(B6909,Products!$A:$E,3,FALSE)</f>
        <v>Electronics</v>
      </c>
    </row>
    <row r="6910" spans="1:5" x14ac:dyDescent="0.3">
      <c r="A6910" t="s">
        <v>12922</v>
      </c>
      <c r="B6910" t="s">
        <v>668</v>
      </c>
      <c r="C6910">
        <v>21</v>
      </c>
      <c r="D6910" t="str">
        <f>VLOOKUP(B6910,Products!$A:$E,2,FALSE)</f>
        <v>Product_330</v>
      </c>
      <c r="E6910" t="str">
        <f>VLOOKUP(B6910,Products!$A:$E,3,FALSE)</f>
        <v>Electronics</v>
      </c>
    </row>
    <row r="6911" spans="1:5" x14ac:dyDescent="0.3">
      <c r="A6911" t="s">
        <v>12923</v>
      </c>
      <c r="B6911" t="s">
        <v>240</v>
      </c>
      <c r="C6911">
        <v>3</v>
      </c>
      <c r="D6911" t="str">
        <f>VLOOKUP(B6911,Products!$A:$E,2,FALSE)</f>
        <v>Product_116</v>
      </c>
      <c r="E6911" t="str">
        <f>VLOOKUP(B6911,Products!$A:$E,3,FALSE)</f>
        <v>Storage</v>
      </c>
    </row>
    <row r="6912" spans="1:5" x14ac:dyDescent="0.3">
      <c r="A6912" t="s">
        <v>12924</v>
      </c>
      <c r="B6912" t="s">
        <v>912</v>
      </c>
      <c r="C6912">
        <v>27</v>
      </c>
      <c r="D6912" t="str">
        <f>VLOOKUP(B6912,Products!$A:$E,2,FALSE)</f>
        <v>Product_452</v>
      </c>
      <c r="E6912" t="str">
        <f>VLOOKUP(B6912,Products!$A:$E,3,FALSE)</f>
        <v>Office Supplies</v>
      </c>
    </row>
    <row r="6913" spans="1:5" x14ac:dyDescent="0.3">
      <c r="A6913" t="s">
        <v>12925</v>
      </c>
      <c r="B6913" t="s">
        <v>884</v>
      </c>
      <c r="C6913">
        <v>3</v>
      </c>
      <c r="D6913" t="str">
        <f>VLOOKUP(B6913,Products!$A:$E,2,FALSE)</f>
        <v>Product_438</v>
      </c>
      <c r="E6913" t="str">
        <f>VLOOKUP(B6913,Products!$A:$E,3,FALSE)</f>
        <v>Electronics</v>
      </c>
    </row>
    <row r="6914" spans="1:5" x14ac:dyDescent="0.3">
      <c r="A6914" t="s">
        <v>12926</v>
      </c>
      <c r="B6914" t="s">
        <v>750</v>
      </c>
      <c r="C6914">
        <v>5</v>
      </c>
      <c r="D6914" t="str">
        <f>VLOOKUP(B6914,Products!$A:$E,2,FALSE)</f>
        <v>Product_371</v>
      </c>
      <c r="E6914" t="str">
        <f>VLOOKUP(B6914,Products!$A:$E,3,FALSE)</f>
        <v>Storage</v>
      </c>
    </row>
    <row r="6915" spans="1:5" x14ac:dyDescent="0.3">
      <c r="A6915" t="s">
        <v>12927</v>
      </c>
      <c r="B6915" t="s">
        <v>988</v>
      </c>
      <c r="C6915">
        <v>6</v>
      </c>
      <c r="D6915" t="str">
        <f>VLOOKUP(B6915,Products!$A:$E,2,FALSE)</f>
        <v>Product_490</v>
      </c>
      <c r="E6915" t="str">
        <f>VLOOKUP(B6915,Products!$A:$E,3,FALSE)</f>
        <v>Storage</v>
      </c>
    </row>
    <row r="6916" spans="1:5" x14ac:dyDescent="0.3">
      <c r="A6916" t="s">
        <v>12928</v>
      </c>
      <c r="B6916" t="s">
        <v>950</v>
      </c>
      <c r="C6916">
        <v>49</v>
      </c>
      <c r="D6916" t="str">
        <f>VLOOKUP(B6916,Products!$A:$E,2,FALSE)</f>
        <v>Product_471</v>
      </c>
      <c r="E6916" t="str">
        <f>VLOOKUP(B6916,Products!$A:$E,3,FALSE)</f>
        <v>Office Supplies</v>
      </c>
    </row>
    <row r="6917" spans="1:5" x14ac:dyDescent="0.3">
      <c r="A6917" t="s">
        <v>12929</v>
      </c>
      <c r="B6917" t="s">
        <v>636</v>
      </c>
      <c r="C6917">
        <v>49</v>
      </c>
      <c r="D6917" t="str">
        <f>VLOOKUP(B6917,Products!$A:$E,2,FALSE)</f>
        <v>Product_314</v>
      </c>
      <c r="E6917" t="str">
        <f>VLOOKUP(B6917,Products!$A:$E,3,FALSE)</f>
        <v>Storage</v>
      </c>
    </row>
    <row r="6918" spans="1:5" x14ac:dyDescent="0.3">
      <c r="A6918" t="s">
        <v>12930</v>
      </c>
      <c r="B6918" t="s">
        <v>526</v>
      </c>
      <c r="C6918">
        <v>32</v>
      </c>
      <c r="D6918" t="str">
        <f>VLOOKUP(B6918,Products!$A:$E,2,FALSE)</f>
        <v>Product_259</v>
      </c>
      <c r="E6918" t="str">
        <f>VLOOKUP(B6918,Products!$A:$E,3,FALSE)</f>
        <v>Electronics</v>
      </c>
    </row>
    <row r="6919" spans="1:5" x14ac:dyDescent="0.3">
      <c r="A6919" t="s">
        <v>12931</v>
      </c>
      <c r="B6919" t="s">
        <v>786</v>
      </c>
      <c r="C6919">
        <v>21</v>
      </c>
      <c r="D6919" t="str">
        <f>VLOOKUP(B6919,Products!$A:$E,2,FALSE)</f>
        <v>Product_389</v>
      </c>
      <c r="E6919" t="str">
        <f>VLOOKUP(B6919,Products!$A:$E,3,FALSE)</f>
        <v>Networking</v>
      </c>
    </row>
    <row r="6920" spans="1:5" x14ac:dyDescent="0.3">
      <c r="A6920" t="s">
        <v>12932</v>
      </c>
      <c r="B6920" t="s">
        <v>408</v>
      </c>
      <c r="C6920">
        <v>7</v>
      </c>
      <c r="D6920" t="str">
        <f>VLOOKUP(B6920,Products!$A:$E,2,FALSE)</f>
        <v>Product_200</v>
      </c>
      <c r="E6920" t="str">
        <f>VLOOKUP(B6920,Products!$A:$E,3,FALSE)</f>
        <v>Office Supplies</v>
      </c>
    </row>
    <row r="6921" spans="1:5" x14ac:dyDescent="0.3">
      <c r="A6921" t="s">
        <v>12933</v>
      </c>
      <c r="B6921" t="s">
        <v>482</v>
      </c>
      <c r="C6921">
        <v>33</v>
      </c>
      <c r="D6921" t="str">
        <f>VLOOKUP(B6921,Products!$A:$E,2,FALSE)</f>
        <v>Product_237</v>
      </c>
      <c r="E6921" t="str">
        <f>VLOOKUP(B6921,Products!$A:$E,3,FALSE)</f>
        <v>Networking</v>
      </c>
    </row>
    <row r="6922" spans="1:5" x14ac:dyDescent="0.3">
      <c r="A6922" t="s">
        <v>12934</v>
      </c>
      <c r="B6922" t="s">
        <v>888</v>
      </c>
      <c r="C6922">
        <v>27</v>
      </c>
      <c r="D6922" t="str">
        <f>VLOOKUP(B6922,Products!$A:$E,2,FALSE)</f>
        <v>Product_440</v>
      </c>
      <c r="E6922" t="str">
        <f>VLOOKUP(B6922,Products!$A:$E,3,FALSE)</f>
        <v>Accessories</v>
      </c>
    </row>
    <row r="6923" spans="1:5" x14ac:dyDescent="0.3">
      <c r="A6923" t="s">
        <v>12935</v>
      </c>
      <c r="B6923" t="s">
        <v>806</v>
      </c>
      <c r="C6923">
        <v>36</v>
      </c>
      <c r="D6923" t="str">
        <f>VLOOKUP(B6923,Products!$A:$E,2,FALSE)</f>
        <v>Product_399</v>
      </c>
      <c r="E6923" t="str">
        <f>VLOOKUP(B6923,Products!$A:$E,3,FALSE)</f>
        <v>Networking</v>
      </c>
    </row>
    <row r="6924" spans="1:5" x14ac:dyDescent="0.3">
      <c r="A6924" t="s">
        <v>12936</v>
      </c>
      <c r="B6924" t="s">
        <v>746</v>
      </c>
      <c r="C6924">
        <v>34</v>
      </c>
      <c r="D6924" t="str">
        <f>VLOOKUP(B6924,Products!$A:$E,2,FALSE)</f>
        <v>Product_369</v>
      </c>
      <c r="E6924" t="str">
        <f>VLOOKUP(B6924,Products!$A:$E,3,FALSE)</f>
        <v>Accessories</v>
      </c>
    </row>
    <row r="6925" spans="1:5" x14ac:dyDescent="0.3">
      <c r="A6925" t="s">
        <v>12937</v>
      </c>
      <c r="B6925" t="s">
        <v>922</v>
      </c>
      <c r="C6925">
        <v>1</v>
      </c>
      <c r="D6925" t="str">
        <f>VLOOKUP(B6925,Products!$A:$E,2,FALSE)</f>
        <v>Product_457</v>
      </c>
      <c r="E6925" t="str">
        <f>VLOOKUP(B6925,Products!$A:$E,3,FALSE)</f>
        <v>Networking</v>
      </c>
    </row>
    <row r="6926" spans="1:5" x14ac:dyDescent="0.3">
      <c r="A6926" t="s">
        <v>12938</v>
      </c>
      <c r="B6926" t="s">
        <v>20</v>
      </c>
      <c r="C6926">
        <v>12</v>
      </c>
      <c r="D6926" t="str">
        <f>VLOOKUP(B6926,Products!$A:$E,2,FALSE)</f>
        <v>Product_6</v>
      </c>
      <c r="E6926" t="str">
        <f>VLOOKUP(B6926,Products!$A:$E,3,FALSE)</f>
        <v>Electronics</v>
      </c>
    </row>
    <row r="6927" spans="1:5" x14ac:dyDescent="0.3">
      <c r="A6927" t="s">
        <v>12939</v>
      </c>
      <c r="B6927" t="s">
        <v>222</v>
      </c>
      <c r="C6927">
        <v>2</v>
      </c>
      <c r="D6927" t="str">
        <f>VLOOKUP(B6927,Products!$A:$E,2,FALSE)</f>
        <v>Product_107</v>
      </c>
      <c r="E6927" t="str">
        <f>VLOOKUP(B6927,Products!$A:$E,3,FALSE)</f>
        <v>Office Supplies</v>
      </c>
    </row>
    <row r="6928" spans="1:5" x14ac:dyDescent="0.3">
      <c r="A6928" t="s">
        <v>12940</v>
      </c>
      <c r="B6928" t="s">
        <v>840</v>
      </c>
      <c r="C6928">
        <v>2</v>
      </c>
      <c r="D6928" t="str">
        <f>VLOOKUP(B6928,Products!$A:$E,2,FALSE)</f>
        <v>Product_416</v>
      </c>
      <c r="E6928" t="str">
        <f>VLOOKUP(B6928,Products!$A:$E,3,FALSE)</f>
        <v>Accessories</v>
      </c>
    </row>
    <row r="6929" spans="1:5" x14ac:dyDescent="0.3">
      <c r="A6929" t="s">
        <v>12941</v>
      </c>
      <c r="B6929" t="s">
        <v>610</v>
      </c>
      <c r="C6929">
        <v>7</v>
      </c>
      <c r="D6929" t="str">
        <f>VLOOKUP(B6929,Products!$A:$E,2,FALSE)</f>
        <v>Product_301</v>
      </c>
      <c r="E6929" t="str">
        <f>VLOOKUP(B6929,Products!$A:$E,3,FALSE)</f>
        <v>Networking</v>
      </c>
    </row>
    <row r="6930" spans="1:5" x14ac:dyDescent="0.3">
      <c r="A6930" t="s">
        <v>12942</v>
      </c>
      <c r="B6930" t="s">
        <v>352</v>
      </c>
      <c r="C6930">
        <v>50</v>
      </c>
      <c r="D6930" t="str">
        <f>VLOOKUP(B6930,Products!$A:$E,2,FALSE)</f>
        <v>Product_172</v>
      </c>
      <c r="E6930" t="str">
        <f>VLOOKUP(B6930,Products!$A:$E,3,FALSE)</f>
        <v>Networking</v>
      </c>
    </row>
    <row r="6931" spans="1:5" x14ac:dyDescent="0.3">
      <c r="A6931" t="s">
        <v>12943</v>
      </c>
      <c r="B6931" t="s">
        <v>434</v>
      </c>
      <c r="C6931">
        <v>8</v>
      </c>
      <c r="D6931" t="str">
        <f>VLOOKUP(B6931,Products!$A:$E,2,FALSE)</f>
        <v>Product_213</v>
      </c>
      <c r="E6931" t="str">
        <f>VLOOKUP(B6931,Products!$A:$E,3,FALSE)</f>
        <v>Accessories</v>
      </c>
    </row>
    <row r="6932" spans="1:5" x14ac:dyDescent="0.3">
      <c r="A6932" t="s">
        <v>12944</v>
      </c>
      <c r="B6932" t="s">
        <v>572</v>
      </c>
      <c r="C6932">
        <v>9</v>
      </c>
      <c r="D6932" t="str">
        <f>VLOOKUP(B6932,Products!$A:$E,2,FALSE)</f>
        <v>Product_282</v>
      </c>
      <c r="E6932" t="str">
        <f>VLOOKUP(B6932,Products!$A:$E,3,FALSE)</f>
        <v>Networking</v>
      </c>
    </row>
    <row r="6933" spans="1:5" x14ac:dyDescent="0.3">
      <c r="A6933" t="s">
        <v>12945</v>
      </c>
      <c r="B6933" t="s">
        <v>866</v>
      </c>
      <c r="C6933">
        <v>39</v>
      </c>
      <c r="D6933" t="str">
        <f>VLOOKUP(B6933,Products!$A:$E,2,FALSE)</f>
        <v>Product_429</v>
      </c>
      <c r="E6933" t="str">
        <f>VLOOKUP(B6933,Products!$A:$E,3,FALSE)</f>
        <v>Office Supplies</v>
      </c>
    </row>
    <row r="6934" spans="1:5" x14ac:dyDescent="0.3">
      <c r="A6934" t="s">
        <v>12946</v>
      </c>
      <c r="B6934" t="s">
        <v>546</v>
      </c>
      <c r="C6934">
        <v>1</v>
      </c>
      <c r="D6934" t="str">
        <f>VLOOKUP(B6934,Products!$A:$E,2,FALSE)</f>
        <v>Product_269</v>
      </c>
      <c r="E6934" t="str">
        <f>VLOOKUP(B6934,Products!$A:$E,3,FALSE)</f>
        <v>Storage</v>
      </c>
    </row>
    <row r="6935" spans="1:5" x14ac:dyDescent="0.3">
      <c r="A6935" t="s">
        <v>12947</v>
      </c>
      <c r="B6935" t="s">
        <v>260</v>
      </c>
      <c r="C6935">
        <v>45</v>
      </c>
      <c r="D6935" t="str">
        <f>VLOOKUP(B6935,Products!$A:$E,2,FALSE)</f>
        <v>Product_126</v>
      </c>
      <c r="E6935" t="str">
        <f>VLOOKUP(B6935,Products!$A:$E,3,FALSE)</f>
        <v>Office Supplies</v>
      </c>
    </row>
    <row r="6936" spans="1:5" x14ac:dyDescent="0.3">
      <c r="A6936" t="s">
        <v>12948</v>
      </c>
      <c r="B6936" t="s">
        <v>396</v>
      </c>
      <c r="C6936">
        <v>22</v>
      </c>
      <c r="D6936" t="str">
        <f>VLOOKUP(B6936,Products!$A:$E,2,FALSE)</f>
        <v>Product_194</v>
      </c>
      <c r="E6936" t="str">
        <f>VLOOKUP(B6936,Products!$A:$E,3,FALSE)</f>
        <v>Networking</v>
      </c>
    </row>
    <row r="6937" spans="1:5" x14ac:dyDescent="0.3">
      <c r="A6937" t="s">
        <v>12949</v>
      </c>
      <c r="B6937" t="s">
        <v>492</v>
      </c>
      <c r="C6937">
        <v>41</v>
      </c>
      <c r="D6937" t="str">
        <f>VLOOKUP(B6937,Products!$A:$E,2,FALSE)</f>
        <v>Product_242</v>
      </c>
      <c r="E6937" t="str">
        <f>VLOOKUP(B6937,Products!$A:$E,3,FALSE)</f>
        <v>Networking</v>
      </c>
    </row>
    <row r="6938" spans="1:5" x14ac:dyDescent="0.3">
      <c r="A6938" t="s">
        <v>12950</v>
      </c>
      <c r="B6938" t="s">
        <v>728</v>
      </c>
      <c r="C6938">
        <v>32</v>
      </c>
      <c r="D6938" t="str">
        <f>VLOOKUP(B6938,Products!$A:$E,2,FALSE)</f>
        <v>Product_360</v>
      </c>
      <c r="E6938" t="str">
        <f>VLOOKUP(B6938,Products!$A:$E,3,FALSE)</f>
        <v>Office Supplies</v>
      </c>
    </row>
    <row r="6939" spans="1:5" x14ac:dyDescent="0.3">
      <c r="A6939" t="s">
        <v>12951</v>
      </c>
      <c r="B6939" t="s">
        <v>280</v>
      </c>
      <c r="C6939">
        <v>47</v>
      </c>
      <c r="D6939" t="str">
        <f>VLOOKUP(B6939,Products!$A:$E,2,FALSE)</f>
        <v>Product_136</v>
      </c>
      <c r="E6939" t="str">
        <f>VLOOKUP(B6939,Products!$A:$E,3,FALSE)</f>
        <v>Storage</v>
      </c>
    </row>
    <row r="6940" spans="1:5" x14ac:dyDescent="0.3">
      <c r="A6940" t="s">
        <v>12952</v>
      </c>
      <c r="B6940" t="s">
        <v>300</v>
      </c>
      <c r="C6940">
        <v>39</v>
      </c>
      <c r="D6940" t="str">
        <f>VLOOKUP(B6940,Products!$A:$E,2,FALSE)</f>
        <v>Product_146</v>
      </c>
      <c r="E6940" t="str">
        <f>VLOOKUP(B6940,Products!$A:$E,3,FALSE)</f>
        <v>Office Supplies</v>
      </c>
    </row>
    <row r="6941" spans="1:5" x14ac:dyDescent="0.3">
      <c r="A6941" t="s">
        <v>12953</v>
      </c>
      <c r="B6941" t="s">
        <v>132</v>
      </c>
      <c r="C6941">
        <v>47</v>
      </c>
      <c r="D6941" t="str">
        <f>VLOOKUP(B6941,Products!$A:$E,2,FALSE)</f>
        <v>Product_62</v>
      </c>
      <c r="E6941" t="str">
        <f>VLOOKUP(B6941,Products!$A:$E,3,FALSE)</f>
        <v>Accessories</v>
      </c>
    </row>
    <row r="6942" spans="1:5" x14ac:dyDescent="0.3">
      <c r="A6942" t="s">
        <v>12954</v>
      </c>
      <c r="B6942" t="s">
        <v>938</v>
      </c>
      <c r="C6942">
        <v>27</v>
      </c>
      <c r="D6942" t="str">
        <f>VLOOKUP(B6942,Products!$A:$E,2,FALSE)</f>
        <v>Product_465</v>
      </c>
      <c r="E6942" t="str">
        <f>VLOOKUP(B6942,Products!$A:$E,3,FALSE)</f>
        <v>Electronics</v>
      </c>
    </row>
    <row r="6943" spans="1:5" x14ac:dyDescent="0.3">
      <c r="A6943" t="s">
        <v>12955</v>
      </c>
      <c r="B6943" t="s">
        <v>948</v>
      </c>
      <c r="C6943">
        <v>1</v>
      </c>
      <c r="D6943" t="str">
        <f>VLOOKUP(B6943,Products!$A:$E,2,FALSE)</f>
        <v>Product_470</v>
      </c>
      <c r="E6943" t="str">
        <f>VLOOKUP(B6943,Products!$A:$E,3,FALSE)</f>
        <v>Networking</v>
      </c>
    </row>
    <row r="6944" spans="1:5" x14ac:dyDescent="0.3">
      <c r="A6944" t="s">
        <v>12956</v>
      </c>
      <c r="B6944" t="s">
        <v>912</v>
      </c>
      <c r="C6944">
        <v>40</v>
      </c>
      <c r="D6944" t="str">
        <f>VLOOKUP(B6944,Products!$A:$E,2,FALSE)</f>
        <v>Product_452</v>
      </c>
      <c r="E6944" t="str">
        <f>VLOOKUP(B6944,Products!$A:$E,3,FALSE)</f>
        <v>Office Supplies</v>
      </c>
    </row>
    <row r="6945" spans="1:5" x14ac:dyDescent="0.3">
      <c r="A6945" t="s">
        <v>12957</v>
      </c>
      <c r="B6945" t="s">
        <v>706</v>
      </c>
      <c r="C6945">
        <v>14</v>
      </c>
      <c r="D6945" t="str">
        <f>VLOOKUP(B6945,Products!$A:$E,2,FALSE)</f>
        <v>Product_349</v>
      </c>
      <c r="E6945" t="str">
        <f>VLOOKUP(B6945,Products!$A:$E,3,FALSE)</f>
        <v>Office Supplies</v>
      </c>
    </row>
    <row r="6946" spans="1:5" x14ac:dyDescent="0.3">
      <c r="A6946" t="s">
        <v>12958</v>
      </c>
      <c r="B6946" t="s">
        <v>410</v>
      </c>
      <c r="C6946">
        <v>24</v>
      </c>
      <c r="D6946" t="str">
        <f>VLOOKUP(B6946,Products!$A:$E,2,FALSE)</f>
        <v>Product_201</v>
      </c>
      <c r="E6946" t="str">
        <f>VLOOKUP(B6946,Products!$A:$E,3,FALSE)</f>
        <v>Networking</v>
      </c>
    </row>
    <row r="6947" spans="1:5" x14ac:dyDescent="0.3">
      <c r="A6947" t="s">
        <v>12959</v>
      </c>
      <c r="B6947" t="s">
        <v>634</v>
      </c>
      <c r="C6947">
        <v>23</v>
      </c>
      <c r="D6947" t="str">
        <f>VLOOKUP(B6947,Products!$A:$E,2,FALSE)</f>
        <v>Product_313</v>
      </c>
      <c r="E6947" t="str">
        <f>VLOOKUP(B6947,Products!$A:$E,3,FALSE)</f>
        <v>Accessories</v>
      </c>
    </row>
    <row r="6948" spans="1:5" x14ac:dyDescent="0.3">
      <c r="A6948" t="s">
        <v>12960</v>
      </c>
      <c r="B6948" t="s">
        <v>146</v>
      </c>
      <c r="C6948">
        <v>4</v>
      </c>
      <c r="D6948" t="str">
        <f>VLOOKUP(B6948,Products!$A:$E,2,FALSE)</f>
        <v>Product_69</v>
      </c>
      <c r="E6948" t="str">
        <f>VLOOKUP(B6948,Products!$A:$E,3,FALSE)</f>
        <v>Electronics</v>
      </c>
    </row>
    <row r="6949" spans="1:5" x14ac:dyDescent="0.3">
      <c r="A6949" t="s">
        <v>12961</v>
      </c>
      <c r="B6949" t="s">
        <v>88</v>
      </c>
      <c r="C6949">
        <v>20</v>
      </c>
      <c r="D6949" t="str">
        <f>VLOOKUP(B6949,Products!$A:$E,2,FALSE)</f>
        <v>Product_40</v>
      </c>
      <c r="E6949" t="str">
        <f>VLOOKUP(B6949,Products!$A:$E,3,FALSE)</f>
        <v>Accessories</v>
      </c>
    </row>
    <row r="6950" spans="1:5" x14ac:dyDescent="0.3">
      <c r="A6950" t="s">
        <v>12962</v>
      </c>
      <c r="B6950" t="s">
        <v>628</v>
      </c>
      <c r="C6950">
        <v>5</v>
      </c>
      <c r="D6950" t="str">
        <f>VLOOKUP(B6950,Products!$A:$E,2,FALSE)</f>
        <v>Product_310</v>
      </c>
      <c r="E6950" t="str">
        <f>VLOOKUP(B6950,Products!$A:$E,3,FALSE)</f>
        <v>Office Supplies</v>
      </c>
    </row>
    <row r="6951" spans="1:5" x14ac:dyDescent="0.3">
      <c r="A6951" t="s">
        <v>12963</v>
      </c>
      <c r="B6951" t="s">
        <v>836</v>
      </c>
      <c r="C6951">
        <v>8</v>
      </c>
      <c r="D6951" t="str">
        <f>VLOOKUP(B6951,Products!$A:$E,2,FALSE)</f>
        <v>Product_414</v>
      </c>
      <c r="E6951" t="str">
        <f>VLOOKUP(B6951,Products!$A:$E,3,FALSE)</f>
        <v>Office Supplies</v>
      </c>
    </row>
    <row r="6952" spans="1:5" x14ac:dyDescent="0.3">
      <c r="A6952" t="s">
        <v>12964</v>
      </c>
      <c r="B6952" t="s">
        <v>900</v>
      </c>
      <c r="C6952">
        <v>34</v>
      </c>
      <c r="D6952" t="str">
        <f>VLOOKUP(B6952,Products!$A:$E,2,FALSE)</f>
        <v>Product_446</v>
      </c>
      <c r="E6952" t="str">
        <f>VLOOKUP(B6952,Products!$A:$E,3,FALSE)</f>
        <v>Accessories</v>
      </c>
    </row>
    <row r="6953" spans="1:5" x14ac:dyDescent="0.3">
      <c r="A6953" t="s">
        <v>12965</v>
      </c>
      <c r="B6953" t="s">
        <v>664</v>
      </c>
      <c r="C6953">
        <v>50</v>
      </c>
      <c r="D6953" t="str">
        <f>VLOOKUP(B6953,Products!$A:$E,2,FALSE)</f>
        <v>Product_328</v>
      </c>
      <c r="E6953" t="str">
        <f>VLOOKUP(B6953,Products!$A:$E,3,FALSE)</f>
        <v>Office Supplies</v>
      </c>
    </row>
    <row r="6954" spans="1:5" x14ac:dyDescent="0.3">
      <c r="A6954" t="s">
        <v>12966</v>
      </c>
      <c r="B6954" t="s">
        <v>598</v>
      </c>
      <c r="C6954">
        <v>19</v>
      </c>
      <c r="D6954" t="str">
        <f>VLOOKUP(B6954,Products!$A:$E,2,FALSE)</f>
        <v>Product_295</v>
      </c>
      <c r="E6954" t="str">
        <f>VLOOKUP(B6954,Products!$A:$E,3,FALSE)</f>
        <v>Networking</v>
      </c>
    </row>
    <row r="6955" spans="1:5" x14ac:dyDescent="0.3">
      <c r="A6955" t="s">
        <v>12967</v>
      </c>
      <c r="B6955" t="s">
        <v>120</v>
      </c>
      <c r="C6955">
        <v>35</v>
      </c>
      <c r="D6955" t="str">
        <f>VLOOKUP(B6955,Products!$A:$E,2,FALSE)</f>
        <v>Product_56</v>
      </c>
      <c r="E6955" t="str">
        <f>VLOOKUP(B6955,Products!$A:$E,3,FALSE)</f>
        <v>Networking</v>
      </c>
    </row>
    <row r="6956" spans="1:5" x14ac:dyDescent="0.3">
      <c r="A6956" t="s">
        <v>12968</v>
      </c>
      <c r="B6956" t="s">
        <v>308</v>
      </c>
      <c r="C6956">
        <v>15</v>
      </c>
      <c r="D6956" t="str">
        <f>VLOOKUP(B6956,Products!$A:$E,2,FALSE)</f>
        <v>Product_150</v>
      </c>
      <c r="E6956" t="str">
        <f>VLOOKUP(B6956,Products!$A:$E,3,FALSE)</f>
        <v>Accessories</v>
      </c>
    </row>
    <row r="6957" spans="1:5" x14ac:dyDescent="0.3">
      <c r="A6957" t="s">
        <v>12969</v>
      </c>
      <c r="B6957" t="s">
        <v>246</v>
      </c>
      <c r="C6957">
        <v>26</v>
      </c>
      <c r="D6957" t="str">
        <f>VLOOKUP(B6957,Products!$A:$E,2,FALSE)</f>
        <v>Product_119</v>
      </c>
      <c r="E6957" t="str">
        <f>VLOOKUP(B6957,Products!$A:$E,3,FALSE)</f>
        <v>Electronics</v>
      </c>
    </row>
    <row r="6958" spans="1:5" x14ac:dyDescent="0.3">
      <c r="A6958" t="s">
        <v>12970</v>
      </c>
      <c r="B6958" t="s">
        <v>552</v>
      </c>
      <c r="C6958">
        <v>31</v>
      </c>
      <c r="D6958" t="str">
        <f>VLOOKUP(B6958,Products!$A:$E,2,FALSE)</f>
        <v>Product_272</v>
      </c>
      <c r="E6958" t="str">
        <f>VLOOKUP(B6958,Products!$A:$E,3,FALSE)</f>
        <v>Office Supplies</v>
      </c>
    </row>
    <row r="6959" spans="1:5" x14ac:dyDescent="0.3">
      <c r="A6959" t="s">
        <v>12971</v>
      </c>
      <c r="B6959" t="s">
        <v>360</v>
      </c>
      <c r="C6959">
        <v>2</v>
      </c>
      <c r="D6959" t="str">
        <f>VLOOKUP(B6959,Products!$A:$E,2,FALSE)</f>
        <v>Product_176</v>
      </c>
      <c r="E6959" t="str">
        <f>VLOOKUP(B6959,Products!$A:$E,3,FALSE)</f>
        <v>Electronics</v>
      </c>
    </row>
    <row r="6960" spans="1:5" x14ac:dyDescent="0.3">
      <c r="A6960" t="s">
        <v>12972</v>
      </c>
      <c r="B6960" t="s">
        <v>610</v>
      </c>
      <c r="C6960">
        <v>9</v>
      </c>
      <c r="D6960" t="str">
        <f>VLOOKUP(B6960,Products!$A:$E,2,FALSE)</f>
        <v>Product_301</v>
      </c>
      <c r="E6960" t="str">
        <f>VLOOKUP(B6960,Products!$A:$E,3,FALSE)</f>
        <v>Networking</v>
      </c>
    </row>
    <row r="6961" spans="1:5" x14ac:dyDescent="0.3">
      <c r="A6961" t="s">
        <v>12973</v>
      </c>
      <c r="B6961" t="s">
        <v>784</v>
      </c>
      <c r="C6961">
        <v>27</v>
      </c>
      <c r="D6961" t="str">
        <f>VLOOKUP(B6961,Products!$A:$E,2,FALSE)</f>
        <v>Product_388</v>
      </c>
      <c r="E6961" t="str">
        <f>VLOOKUP(B6961,Products!$A:$E,3,FALSE)</f>
        <v>Office Supplies</v>
      </c>
    </row>
    <row r="6962" spans="1:5" x14ac:dyDescent="0.3">
      <c r="A6962" t="s">
        <v>12974</v>
      </c>
      <c r="B6962" t="s">
        <v>208</v>
      </c>
      <c r="C6962">
        <v>11</v>
      </c>
      <c r="D6962" t="str">
        <f>VLOOKUP(B6962,Products!$A:$E,2,FALSE)</f>
        <v>Product_100</v>
      </c>
      <c r="E6962" t="str">
        <f>VLOOKUP(B6962,Products!$A:$E,3,FALSE)</f>
        <v>Accessories</v>
      </c>
    </row>
    <row r="6963" spans="1:5" x14ac:dyDescent="0.3">
      <c r="A6963" t="s">
        <v>12975</v>
      </c>
      <c r="B6963" t="s">
        <v>844</v>
      </c>
      <c r="C6963">
        <v>47</v>
      </c>
      <c r="D6963" t="str">
        <f>VLOOKUP(B6963,Products!$A:$E,2,FALSE)</f>
        <v>Product_418</v>
      </c>
      <c r="E6963" t="str">
        <f>VLOOKUP(B6963,Products!$A:$E,3,FALSE)</f>
        <v>Office Supplies</v>
      </c>
    </row>
    <row r="6964" spans="1:5" x14ac:dyDescent="0.3">
      <c r="A6964" t="s">
        <v>12976</v>
      </c>
      <c r="B6964" t="s">
        <v>170</v>
      </c>
      <c r="C6964">
        <v>14</v>
      </c>
      <c r="D6964" t="str">
        <f>VLOOKUP(B6964,Products!$A:$E,2,FALSE)</f>
        <v>Product_81</v>
      </c>
      <c r="E6964" t="str">
        <f>VLOOKUP(B6964,Products!$A:$E,3,FALSE)</f>
        <v>Office Supplies</v>
      </c>
    </row>
    <row r="6965" spans="1:5" x14ac:dyDescent="0.3">
      <c r="A6965" t="s">
        <v>12977</v>
      </c>
      <c r="B6965" t="s">
        <v>630</v>
      </c>
      <c r="C6965">
        <v>39</v>
      </c>
      <c r="D6965" t="str">
        <f>VLOOKUP(B6965,Products!$A:$E,2,FALSE)</f>
        <v>Product_311</v>
      </c>
      <c r="E6965" t="str">
        <f>VLOOKUP(B6965,Products!$A:$E,3,FALSE)</f>
        <v>Networking</v>
      </c>
    </row>
    <row r="6966" spans="1:5" x14ac:dyDescent="0.3">
      <c r="A6966" t="s">
        <v>12978</v>
      </c>
      <c r="B6966" t="s">
        <v>526</v>
      </c>
      <c r="C6966">
        <v>10</v>
      </c>
      <c r="D6966" t="str">
        <f>VLOOKUP(B6966,Products!$A:$E,2,FALSE)</f>
        <v>Product_259</v>
      </c>
      <c r="E6966" t="str">
        <f>VLOOKUP(B6966,Products!$A:$E,3,FALSE)</f>
        <v>Electronics</v>
      </c>
    </row>
    <row r="6967" spans="1:5" x14ac:dyDescent="0.3">
      <c r="A6967" t="s">
        <v>12979</v>
      </c>
      <c r="B6967" t="s">
        <v>84</v>
      </c>
      <c r="C6967">
        <v>16</v>
      </c>
      <c r="D6967" t="str">
        <f>VLOOKUP(B6967,Products!$A:$E,2,FALSE)</f>
        <v>Product_38</v>
      </c>
      <c r="E6967" t="str">
        <f>VLOOKUP(B6967,Products!$A:$E,3,FALSE)</f>
        <v>Accessories</v>
      </c>
    </row>
    <row r="6968" spans="1:5" x14ac:dyDescent="0.3">
      <c r="A6968" t="s">
        <v>12980</v>
      </c>
      <c r="B6968" t="s">
        <v>472</v>
      </c>
      <c r="C6968">
        <v>18</v>
      </c>
      <c r="D6968" t="str">
        <f>VLOOKUP(B6968,Products!$A:$E,2,FALSE)</f>
        <v>Product_232</v>
      </c>
      <c r="E6968" t="str">
        <f>VLOOKUP(B6968,Products!$A:$E,3,FALSE)</f>
        <v>Office Supplies</v>
      </c>
    </row>
    <row r="6969" spans="1:5" x14ac:dyDescent="0.3">
      <c r="A6969" t="s">
        <v>12981</v>
      </c>
      <c r="B6969" t="s">
        <v>352</v>
      </c>
      <c r="C6969">
        <v>22</v>
      </c>
      <c r="D6969" t="str">
        <f>VLOOKUP(B6969,Products!$A:$E,2,FALSE)</f>
        <v>Product_172</v>
      </c>
      <c r="E6969" t="str">
        <f>VLOOKUP(B6969,Products!$A:$E,3,FALSE)</f>
        <v>Networking</v>
      </c>
    </row>
    <row r="6970" spans="1:5" x14ac:dyDescent="0.3">
      <c r="A6970" t="s">
        <v>12982</v>
      </c>
      <c r="B6970" t="s">
        <v>438</v>
      </c>
      <c r="C6970">
        <v>5</v>
      </c>
      <c r="D6970" t="str">
        <f>VLOOKUP(B6970,Products!$A:$E,2,FALSE)</f>
        <v>Product_215</v>
      </c>
      <c r="E6970" t="str">
        <f>VLOOKUP(B6970,Products!$A:$E,3,FALSE)</f>
        <v>Electronics</v>
      </c>
    </row>
    <row r="6971" spans="1:5" x14ac:dyDescent="0.3">
      <c r="A6971" t="s">
        <v>12983</v>
      </c>
      <c r="B6971" t="s">
        <v>104</v>
      </c>
      <c r="C6971">
        <v>17</v>
      </c>
      <c r="D6971" t="str">
        <f>VLOOKUP(B6971,Products!$A:$E,2,FALSE)</f>
        <v>Product_48</v>
      </c>
      <c r="E6971" t="str">
        <f>VLOOKUP(B6971,Products!$A:$E,3,FALSE)</f>
        <v>Accessories</v>
      </c>
    </row>
    <row r="6972" spans="1:5" x14ac:dyDescent="0.3">
      <c r="A6972" t="s">
        <v>12984</v>
      </c>
      <c r="B6972" t="s">
        <v>966</v>
      </c>
      <c r="C6972">
        <v>3</v>
      </c>
      <c r="D6972" t="str">
        <f>VLOOKUP(B6972,Products!$A:$E,2,FALSE)</f>
        <v>Product_479</v>
      </c>
      <c r="E6972" t="str">
        <f>VLOOKUP(B6972,Products!$A:$E,3,FALSE)</f>
        <v>Office Supplies</v>
      </c>
    </row>
    <row r="6973" spans="1:5" x14ac:dyDescent="0.3">
      <c r="A6973" t="s">
        <v>12985</v>
      </c>
      <c r="B6973" t="s">
        <v>722</v>
      </c>
      <c r="C6973">
        <v>48</v>
      </c>
      <c r="D6973" t="str">
        <f>VLOOKUP(B6973,Products!$A:$E,2,FALSE)</f>
        <v>Product_357</v>
      </c>
      <c r="E6973" t="str">
        <f>VLOOKUP(B6973,Products!$A:$E,3,FALSE)</f>
        <v>Accessories</v>
      </c>
    </row>
    <row r="6974" spans="1:5" x14ac:dyDescent="0.3">
      <c r="A6974" t="s">
        <v>12986</v>
      </c>
      <c r="B6974" t="s">
        <v>886</v>
      </c>
      <c r="C6974">
        <v>47</v>
      </c>
      <c r="D6974" t="str">
        <f>VLOOKUP(B6974,Products!$A:$E,2,FALSE)</f>
        <v>Product_439</v>
      </c>
      <c r="E6974" t="str">
        <f>VLOOKUP(B6974,Products!$A:$E,3,FALSE)</f>
        <v>Networking</v>
      </c>
    </row>
    <row r="6975" spans="1:5" x14ac:dyDescent="0.3">
      <c r="A6975" t="s">
        <v>12987</v>
      </c>
      <c r="B6975" t="s">
        <v>310</v>
      </c>
      <c r="C6975">
        <v>9</v>
      </c>
      <c r="D6975" t="str">
        <f>VLOOKUP(B6975,Products!$A:$E,2,FALSE)</f>
        <v>Product_151</v>
      </c>
      <c r="E6975" t="str">
        <f>VLOOKUP(B6975,Products!$A:$E,3,FALSE)</f>
        <v>Storage</v>
      </c>
    </row>
    <row r="6976" spans="1:5" x14ac:dyDescent="0.3">
      <c r="A6976" t="s">
        <v>12988</v>
      </c>
      <c r="B6976" t="s">
        <v>542</v>
      </c>
      <c r="C6976">
        <v>35</v>
      </c>
      <c r="D6976" t="str">
        <f>VLOOKUP(B6976,Products!$A:$E,2,FALSE)</f>
        <v>Product_267</v>
      </c>
      <c r="E6976" t="str">
        <f>VLOOKUP(B6976,Products!$A:$E,3,FALSE)</f>
        <v>Networking</v>
      </c>
    </row>
    <row r="6977" spans="1:5" x14ac:dyDescent="0.3">
      <c r="A6977" t="s">
        <v>12989</v>
      </c>
      <c r="B6977" t="s">
        <v>426</v>
      </c>
      <c r="C6977">
        <v>48</v>
      </c>
      <c r="D6977" t="str">
        <f>VLOOKUP(B6977,Products!$A:$E,2,FALSE)</f>
        <v>Product_209</v>
      </c>
      <c r="E6977" t="str">
        <f>VLOOKUP(B6977,Products!$A:$E,3,FALSE)</f>
        <v>Networking</v>
      </c>
    </row>
    <row r="6978" spans="1:5" x14ac:dyDescent="0.3">
      <c r="A6978" t="s">
        <v>12990</v>
      </c>
      <c r="B6978" t="s">
        <v>52</v>
      </c>
      <c r="C6978">
        <v>24</v>
      </c>
      <c r="D6978" t="str">
        <f>VLOOKUP(B6978,Products!$A:$E,2,FALSE)</f>
        <v>Product_22</v>
      </c>
      <c r="E6978" t="str">
        <f>VLOOKUP(B6978,Products!$A:$E,3,FALSE)</f>
        <v>Electronics</v>
      </c>
    </row>
    <row r="6979" spans="1:5" x14ac:dyDescent="0.3">
      <c r="A6979" t="s">
        <v>12991</v>
      </c>
      <c r="B6979" t="s">
        <v>654</v>
      </c>
      <c r="C6979">
        <v>2</v>
      </c>
      <c r="D6979" t="str">
        <f>VLOOKUP(B6979,Products!$A:$E,2,FALSE)</f>
        <v>Product_323</v>
      </c>
      <c r="E6979" t="str">
        <f>VLOOKUP(B6979,Products!$A:$E,3,FALSE)</f>
        <v>Electronics</v>
      </c>
    </row>
    <row r="6980" spans="1:5" x14ac:dyDescent="0.3">
      <c r="A6980" t="s">
        <v>12992</v>
      </c>
      <c r="B6980" t="s">
        <v>806</v>
      </c>
      <c r="C6980">
        <v>22</v>
      </c>
      <c r="D6980" t="str">
        <f>VLOOKUP(B6980,Products!$A:$E,2,FALSE)</f>
        <v>Product_399</v>
      </c>
      <c r="E6980" t="str">
        <f>VLOOKUP(B6980,Products!$A:$E,3,FALSE)</f>
        <v>Networking</v>
      </c>
    </row>
    <row r="6981" spans="1:5" x14ac:dyDescent="0.3">
      <c r="A6981" t="s">
        <v>12993</v>
      </c>
      <c r="B6981" t="s">
        <v>252</v>
      </c>
      <c r="C6981">
        <v>32</v>
      </c>
      <c r="D6981" t="str">
        <f>VLOOKUP(B6981,Products!$A:$E,2,FALSE)</f>
        <v>Product_122</v>
      </c>
      <c r="E6981" t="str">
        <f>VLOOKUP(B6981,Products!$A:$E,3,FALSE)</f>
        <v>Storage</v>
      </c>
    </row>
    <row r="6982" spans="1:5" x14ac:dyDescent="0.3">
      <c r="A6982" t="s">
        <v>12994</v>
      </c>
      <c r="B6982" t="s">
        <v>968</v>
      </c>
      <c r="C6982">
        <v>26</v>
      </c>
      <c r="D6982" t="str">
        <f>VLOOKUP(B6982,Products!$A:$E,2,FALSE)</f>
        <v>Product_480</v>
      </c>
      <c r="E6982" t="str">
        <f>VLOOKUP(B6982,Products!$A:$E,3,FALSE)</f>
        <v>Accessories</v>
      </c>
    </row>
    <row r="6983" spans="1:5" x14ac:dyDescent="0.3">
      <c r="A6983" t="s">
        <v>12995</v>
      </c>
      <c r="B6983" t="s">
        <v>448</v>
      </c>
      <c r="C6983">
        <v>28</v>
      </c>
      <c r="D6983" t="str">
        <f>VLOOKUP(B6983,Products!$A:$E,2,FALSE)</f>
        <v>Product_220</v>
      </c>
      <c r="E6983" t="str">
        <f>VLOOKUP(B6983,Products!$A:$E,3,FALSE)</f>
        <v>Storage</v>
      </c>
    </row>
    <row r="6984" spans="1:5" x14ac:dyDescent="0.3">
      <c r="A6984" t="s">
        <v>12996</v>
      </c>
      <c r="B6984" t="s">
        <v>998</v>
      </c>
      <c r="C6984">
        <v>48</v>
      </c>
      <c r="D6984" t="str">
        <f>VLOOKUP(B6984,Products!$A:$E,2,FALSE)</f>
        <v>Product_495</v>
      </c>
      <c r="E6984" t="str">
        <f>VLOOKUP(B6984,Products!$A:$E,3,FALSE)</f>
        <v>Networking</v>
      </c>
    </row>
    <row r="6985" spans="1:5" x14ac:dyDescent="0.3">
      <c r="A6985" t="s">
        <v>12997</v>
      </c>
      <c r="B6985" t="s">
        <v>56</v>
      </c>
      <c r="C6985">
        <v>34</v>
      </c>
      <c r="D6985" t="str">
        <f>VLOOKUP(B6985,Products!$A:$E,2,FALSE)</f>
        <v>Product_24</v>
      </c>
      <c r="E6985" t="str">
        <f>VLOOKUP(B6985,Products!$A:$E,3,FALSE)</f>
        <v>Accessories</v>
      </c>
    </row>
    <row r="6986" spans="1:5" x14ac:dyDescent="0.3">
      <c r="A6986" t="s">
        <v>12998</v>
      </c>
      <c r="B6986" t="s">
        <v>720</v>
      </c>
      <c r="C6986">
        <v>7</v>
      </c>
      <c r="D6986" t="str">
        <f>VLOOKUP(B6986,Products!$A:$E,2,FALSE)</f>
        <v>Product_356</v>
      </c>
      <c r="E6986" t="str">
        <f>VLOOKUP(B6986,Products!$A:$E,3,FALSE)</f>
        <v>Accessories</v>
      </c>
    </row>
    <row r="6987" spans="1:5" x14ac:dyDescent="0.3">
      <c r="A6987" t="s">
        <v>12999</v>
      </c>
      <c r="B6987" t="s">
        <v>128</v>
      </c>
      <c r="C6987">
        <v>48</v>
      </c>
      <c r="D6987" t="str">
        <f>VLOOKUP(B6987,Products!$A:$E,2,FALSE)</f>
        <v>Product_60</v>
      </c>
      <c r="E6987" t="str">
        <f>VLOOKUP(B6987,Products!$A:$E,3,FALSE)</f>
        <v>Electronics</v>
      </c>
    </row>
    <row r="6988" spans="1:5" x14ac:dyDescent="0.3">
      <c r="A6988" t="s">
        <v>13000</v>
      </c>
      <c r="B6988" t="s">
        <v>140</v>
      </c>
      <c r="C6988">
        <v>28</v>
      </c>
      <c r="D6988" t="str">
        <f>VLOOKUP(B6988,Products!$A:$E,2,FALSE)</f>
        <v>Product_66</v>
      </c>
      <c r="E6988" t="str">
        <f>VLOOKUP(B6988,Products!$A:$E,3,FALSE)</f>
        <v>Electronics</v>
      </c>
    </row>
    <row r="6989" spans="1:5" x14ac:dyDescent="0.3">
      <c r="A6989" t="s">
        <v>13001</v>
      </c>
      <c r="B6989" t="s">
        <v>808</v>
      </c>
      <c r="C6989">
        <v>2</v>
      </c>
      <c r="D6989" t="str">
        <f>VLOOKUP(B6989,Products!$A:$E,2,FALSE)</f>
        <v>Product_400</v>
      </c>
      <c r="E6989" t="str">
        <f>VLOOKUP(B6989,Products!$A:$E,3,FALSE)</f>
        <v>Networking</v>
      </c>
    </row>
    <row r="6990" spans="1:5" x14ac:dyDescent="0.3">
      <c r="A6990" t="s">
        <v>13002</v>
      </c>
      <c r="B6990" t="s">
        <v>970</v>
      </c>
      <c r="C6990">
        <v>3</v>
      </c>
      <c r="D6990" t="str">
        <f>VLOOKUP(B6990,Products!$A:$E,2,FALSE)</f>
        <v>Product_481</v>
      </c>
      <c r="E6990" t="str">
        <f>VLOOKUP(B6990,Products!$A:$E,3,FALSE)</f>
        <v>Storage</v>
      </c>
    </row>
    <row r="6991" spans="1:5" x14ac:dyDescent="0.3">
      <c r="A6991" t="s">
        <v>13003</v>
      </c>
      <c r="B6991" t="s">
        <v>976</v>
      </c>
      <c r="C6991">
        <v>13</v>
      </c>
      <c r="D6991" t="str">
        <f>VLOOKUP(B6991,Products!$A:$E,2,FALSE)</f>
        <v>Product_484</v>
      </c>
      <c r="E6991" t="str">
        <f>VLOOKUP(B6991,Products!$A:$E,3,FALSE)</f>
        <v>Networking</v>
      </c>
    </row>
    <row r="6992" spans="1:5" x14ac:dyDescent="0.3">
      <c r="A6992" t="s">
        <v>13004</v>
      </c>
      <c r="B6992" t="s">
        <v>904</v>
      </c>
      <c r="C6992">
        <v>4</v>
      </c>
      <c r="D6992" t="str">
        <f>VLOOKUP(B6992,Products!$A:$E,2,FALSE)</f>
        <v>Product_448</v>
      </c>
      <c r="E6992" t="str">
        <f>VLOOKUP(B6992,Products!$A:$E,3,FALSE)</f>
        <v>Networking</v>
      </c>
    </row>
    <row r="6993" spans="1:5" x14ac:dyDescent="0.3">
      <c r="A6993" t="s">
        <v>13005</v>
      </c>
      <c r="B6993" t="s">
        <v>542</v>
      </c>
      <c r="C6993">
        <v>14</v>
      </c>
      <c r="D6993" t="str">
        <f>VLOOKUP(B6993,Products!$A:$E,2,FALSE)</f>
        <v>Product_267</v>
      </c>
      <c r="E6993" t="str">
        <f>VLOOKUP(B6993,Products!$A:$E,3,FALSE)</f>
        <v>Networking</v>
      </c>
    </row>
    <row r="6994" spans="1:5" x14ac:dyDescent="0.3">
      <c r="A6994" t="s">
        <v>13006</v>
      </c>
      <c r="B6994" t="s">
        <v>378</v>
      </c>
      <c r="C6994">
        <v>25</v>
      </c>
      <c r="D6994" t="str">
        <f>VLOOKUP(B6994,Products!$A:$E,2,FALSE)</f>
        <v>Product_185</v>
      </c>
      <c r="E6994" t="str">
        <f>VLOOKUP(B6994,Products!$A:$E,3,FALSE)</f>
        <v>Storage</v>
      </c>
    </row>
    <row r="6995" spans="1:5" x14ac:dyDescent="0.3">
      <c r="A6995" t="s">
        <v>13007</v>
      </c>
      <c r="B6995" t="s">
        <v>416</v>
      </c>
      <c r="C6995">
        <v>39</v>
      </c>
      <c r="D6995" t="str">
        <f>VLOOKUP(B6995,Products!$A:$E,2,FALSE)</f>
        <v>Product_204</v>
      </c>
      <c r="E6995" t="str">
        <f>VLOOKUP(B6995,Products!$A:$E,3,FALSE)</f>
        <v>Office Supplies</v>
      </c>
    </row>
    <row r="6996" spans="1:5" x14ac:dyDescent="0.3">
      <c r="A6996" t="s">
        <v>13008</v>
      </c>
      <c r="B6996" t="s">
        <v>100</v>
      </c>
      <c r="C6996">
        <v>49</v>
      </c>
      <c r="D6996" t="str">
        <f>VLOOKUP(B6996,Products!$A:$E,2,FALSE)</f>
        <v>Product_46</v>
      </c>
      <c r="E6996" t="str">
        <f>VLOOKUP(B6996,Products!$A:$E,3,FALSE)</f>
        <v>Networking</v>
      </c>
    </row>
    <row r="6997" spans="1:5" x14ac:dyDescent="0.3">
      <c r="A6997" t="s">
        <v>13009</v>
      </c>
      <c r="B6997" t="s">
        <v>36</v>
      </c>
      <c r="C6997">
        <v>25</v>
      </c>
      <c r="D6997" t="str">
        <f>VLOOKUP(B6997,Products!$A:$E,2,FALSE)</f>
        <v>Product_14</v>
      </c>
      <c r="E6997" t="str">
        <f>VLOOKUP(B6997,Products!$A:$E,3,FALSE)</f>
        <v>Accessories</v>
      </c>
    </row>
    <row r="6998" spans="1:5" x14ac:dyDescent="0.3">
      <c r="A6998" t="s">
        <v>13010</v>
      </c>
      <c r="B6998" t="s">
        <v>166</v>
      </c>
      <c r="C6998">
        <v>44</v>
      </c>
      <c r="D6998" t="str">
        <f>VLOOKUP(B6998,Products!$A:$E,2,FALSE)</f>
        <v>Product_79</v>
      </c>
      <c r="E6998" t="str">
        <f>VLOOKUP(B6998,Products!$A:$E,3,FALSE)</f>
        <v>Storage</v>
      </c>
    </row>
    <row r="6999" spans="1:5" x14ac:dyDescent="0.3">
      <c r="A6999" t="s">
        <v>13011</v>
      </c>
      <c r="B6999" t="s">
        <v>476</v>
      </c>
      <c r="C6999">
        <v>5</v>
      </c>
      <c r="D6999" t="str">
        <f>VLOOKUP(B6999,Products!$A:$E,2,FALSE)</f>
        <v>Product_234</v>
      </c>
      <c r="E6999" t="str">
        <f>VLOOKUP(B6999,Products!$A:$E,3,FALSE)</f>
        <v>Networking</v>
      </c>
    </row>
    <row r="7000" spans="1:5" x14ac:dyDescent="0.3">
      <c r="A7000" t="s">
        <v>13012</v>
      </c>
      <c r="B7000" t="s">
        <v>338</v>
      </c>
      <c r="C7000">
        <v>48</v>
      </c>
      <c r="D7000" t="str">
        <f>VLOOKUP(B7000,Products!$A:$E,2,FALSE)</f>
        <v>Product_165</v>
      </c>
      <c r="E7000" t="str">
        <f>VLOOKUP(B7000,Products!$A:$E,3,FALSE)</f>
        <v>Office Supplies</v>
      </c>
    </row>
    <row r="7001" spans="1:5" x14ac:dyDescent="0.3">
      <c r="A7001" t="s">
        <v>13013</v>
      </c>
      <c r="B7001" t="s">
        <v>226</v>
      </c>
      <c r="C7001">
        <v>7</v>
      </c>
      <c r="D7001" t="str">
        <f>VLOOKUP(B7001,Products!$A:$E,2,FALSE)</f>
        <v>Product_109</v>
      </c>
      <c r="E7001" t="str">
        <f>VLOOKUP(B7001,Products!$A:$E,3,FALSE)</f>
        <v>Storage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15E3-0D85-4B9D-8380-B86145BCF7B9}">
  <dimension ref="A1:M501"/>
  <sheetViews>
    <sheetView topLeftCell="A133" workbookViewId="0">
      <selection sqref="A1:J501"/>
    </sheetView>
  </sheetViews>
  <sheetFormatPr defaultRowHeight="14.4" x14ac:dyDescent="0.3"/>
  <cols>
    <col min="1" max="1" width="11.5546875" customWidth="1"/>
    <col min="2" max="2" width="15" customWidth="1"/>
    <col min="3" max="3" width="13.109375" bestFit="1" customWidth="1"/>
    <col min="4" max="4" width="10.5546875" customWidth="1"/>
    <col min="5" max="5" width="15.109375" customWidth="1"/>
    <col min="6" max="6" width="16.77734375" bestFit="1" customWidth="1"/>
    <col min="7" max="7" width="11.5546875" bestFit="1" customWidth="1"/>
    <col min="8" max="8" width="14.6640625" bestFit="1" customWidth="1"/>
    <col min="9" max="9" width="16.77734375" bestFit="1" customWidth="1"/>
    <col min="10" max="10" width="16.33203125" bestFit="1" customWidth="1"/>
    <col min="12" max="12" width="18.6640625" bestFit="1" customWidth="1"/>
    <col min="13" max="13" width="11" bestFit="1" customWidth="1"/>
  </cols>
  <sheetData>
    <row r="1" spans="1:13" x14ac:dyDescent="0.3">
      <c r="A1" s="3" t="s">
        <v>13016</v>
      </c>
      <c r="B1" s="3" t="s">
        <v>1</v>
      </c>
      <c r="C1" s="3" t="s">
        <v>2</v>
      </c>
      <c r="D1" s="3" t="s">
        <v>3</v>
      </c>
      <c r="E1" s="3" t="s">
        <v>4</v>
      </c>
      <c r="F1" s="3" t="s">
        <v>13017</v>
      </c>
      <c r="G1" s="3" t="s">
        <v>13019</v>
      </c>
      <c r="H1" s="3" t="s">
        <v>13018</v>
      </c>
      <c r="I1" s="3" t="s">
        <v>13020</v>
      </c>
      <c r="J1" s="3" t="s">
        <v>13031</v>
      </c>
    </row>
    <row r="2" spans="1:13" hidden="1" x14ac:dyDescent="0.3">
      <c r="A2" t="s">
        <v>5</v>
      </c>
      <c r="B2" t="s">
        <v>6</v>
      </c>
      <c r="C2" t="s">
        <v>7</v>
      </c>
      <c r="D2">
        <v>1739</v>
      </c>
      <c r="E2">
        <v>399</v>
      </c>
      <c r="F2">
        <f>SUMIFS(Purchases!$C:$C,Purchases!$B:$B,A2)</f>
        <v>610</v>
      </c>
      <c r="G2">
        <f>SUMIFS(Sales!$C:$C,Sales!$B:$B,A2)</f>
        <v>287</v>
      </c>
      <c r="H2">
        <f t="shared" ref="H2:H65" si="0">E2+F2-G2</f>
        <v>722</v>
      </c>
      <c r="I2">
        <f>Table1[[#This Row],[Current Stock]]*Table1[[#This Row],[Unit Cost]]</f>
        <v>1255558</v>
      </c>
      <c r="J2" t="str">
        <f t="shared" ref="J2:J65" si="1">IF(H2&lt;50,"Recorder","Ok")</f>
        <v>Ok</v>
      </c>
    </row>
    <row r="3" spans="1:13" hidden="1" x14ac:dyDescent="0.3">
      <c r="A3" t="s">
        <v>8</v>
      </c>
      <c r="B3" t="s">
        <v>9</v>
      </c>
      <c r="C3" t="s">
        <v>10</v>
      </c>
      <c r="D3">
        <v>16149</v>
      </c>
      <c r="E3">
        <v>134</v>
      </c>
      <c r="F3">
        <f>SUMIFS(Purchases!$C:$C,Purchases!$B:$B,A3)</f>
        <v>292</v>
      </c>
      <c r="G3">
        <f>SUMIFS(Sales!$C:$C,Sales!$B:$B,A3)</f>
        <v>370</v>
      </c>
      <c r="H3">
        <f t="shared" si="0"/>
        <v>56</v>
      </c>
      <c r="I3">
        <f>Table1[[#This Row],[Current Stock]]*Table1[[#This Row],[Unit Cost]]</f>
        <v>904344</v>
      </c>
      <c r="J3" t="str">
        <f t="shared" si="1"/>
        <v>Ok</v>
      </c>
      <c r="L3" t="s">
        <v>13021</v>
      </c>
      <c r="M3">
        <f>COUNTA(A:A)-1</f>
        <v>500</v>
      </c>
    </row>
    <row r="4" spans="1:13" hidden="1" x14ac:dyDescent="0.3">
      <c r="A4" t="s">
        <v>11</v>
      </c>
      <c r="B4" t="s">
        <v>12</v>
      </c>
      <c r="C4" t="s">
        <v>13</v>
      </c>
      <c r="D4">
        <v>48365</v>
      </c>
      <c r="E4">
        <v>72</v>
      </c>
      <c r="F4">
        <f>SUMIFS(Purchases!$C:$C,Purchases!$B:$B,A4)</f>
        <v>617</v>
      </c>
      <c r="G4">
        <f>SUMIFS(Sales!$C:$C,Sales!$B:$B,A4)</f>
        <v>354</v>
      </c>
      <c r="H4">
        <f t="shared" si="0"/>
        <v>335</v>
      </c>
      <c r="I4">
        <f>Table1[[#This Row],[Current Stock]]*Table1[[#This Row],[Unit Cost]]</f>
        <v>16202275</v>
      </c>
      <c r="J4" t="str">
        <f t="shared" si="1"/>
        <v>Ok</v>
      </c>
      <c r="L4" t="s">
        <v>13022</v>
      </c>
      <c r="M4">
        <f>SUM(I:I)</f>
        <v>5721630261</v>
      </c>
    </row>
    <row r="5" spans="1:13" hidden="1" x14ac:dyDescent="0.3">
      <c r="A5" t="s">
        <v>14</v>
      </c>
      <c r="B5" t="s">
        <v>15</v>
      </c>
      <c r="C5" t="s">
        <v>16</v>
      </c>
      <c r="D5">
        <v>5797</v>
      </c>
      <c r="E5">
        <v>322</v>
      </c>
      <c r="F5">
        <f>SUMIFS(Purchases!$C:$C,Purchases!$B:$B,A5)</f>
        <v>524</v>
      </c>
      <c r="G5">
        <f>SUMIFS(Sales!$C:$C,Sales!$B:$B,A5)</f>
        <v>324</v>
      </c>
      <c r="H5">
        <f t="shared" si="0"/>
        <v>522</v>
      </c>
      <c r="I5">
        <f>Table1[[#This Row],[Current Stock]]*Table1[[#This Row],[Unit Cost]]</f>
        <v>3026034</v>
      </c>
      <c r="J5" t="str">
        <f t="shared" si="1"/>
        <v>Ok</v>
      </c>
      <c r="L5" t="s">
        <v>13023</v>
      </c>
      <c r="M5">
        <f>COUNTIF(J:J,"Recorder")</f>
        <v>41</v>
      </c>
    </row>
    <row r="6" spans="1:13" hidden="1" x14ac:dyDescent="0.3">
      <c r="A6" t="s">
        <v>17</v>
      </c>
      <c r="B6" t="s">
        <v>18</v>
      </c>
      <c r="C6" t="s">
        <v>19</v>
      </c>
      <c r="D6">
        <v>2182</v>
      </c>
      <c r="E6">
        <v>35</v>
      </c>
      <c r="F6">
        <f>SUMIFS(Purchases!$C:$C,Purchases!$B:$B,A6)</f>
        <v>897</v>
      </c>
      <c r="G6">
        <f>SUMIFS(Sales!$C:$C,Sales!$B:$B,A6)</f>
        <v>373</v>
      </c>
      <c r="H6">
        <f t="shared" si="0"/>
        <v>559</v>
      </c>
      <c r="I6">
        <f>Table1[[#This Row],[Current Stock]]*Table1[[#This Row],[Unit Cost]]</f>
        <v>1219738</v>
      </c>
      <c r="J6" t="str">
        <f t="shared" si="1"/>
        <v>Ok</v>
      </c>
      <c r="L6" t="s">
        <v>13024</v>
      </c>
      <c r="M6">
        <f>SUM(G:G)</f>
        <v>177821</v>
      </c>
    </row>
    <row r="7" spans="1:13" x14ac:dyDescent="0.3">
      <c r="A7" t="s">
        <v>20</v>
      </c>
      <c r="B7" t="s">
        <v>21</v>
      </c>
      <c r="C7" t="s">
        <v>7</v>
      </c>
      <c r="D7">
        <v>14428</v>
      </c>
      <c r="E7">
        <v>139</v>
      </c>
      <c r="F7">
        <f>SUMIFS(Purchases!$C:$C,Purchases!$B:$B,A7)</f>
        <v>248</v>
      </c>
      <c r="G7">
        <f>SUMIFS(Sales!$C:$C,Sales!$B:$B,A7)</f>
        <v>483</v>
      </c>
      <c r="H7">
        <f t="shared" si="0"/>
        <v>-96</v>
      </c>
      <c r="I7">
        <f>Table1[[#This Row],[Current Stock]]*Table1[[#This Row],[Unit Cost]]</f>
        <v>-1385088</v>
      </c>
      <c r="J7" t="str">
        <f t="shared" si="1"/>
        <v>Recorder</v>
      </c>
    </row>
    <row r="8" spans="1:13" hidden="1" x14ac:dyDescent="0.3">
      <c r="A8" t="s">
        <v>22</v>
      </c>
      <c r="B8" t="s">
        <v>23</v>
      </c>
      <c r="C8" t="s">
        <v>16</v>
      </c>
      <c r="D8">
        <v>39553</v>
      </c>
      <c r="E8">
        <v>33</v>
      </c>
      <c r="F8">
        <f>SUMIFS(Purchases!$C:$C,Purchases!$B:$B,A8)</f>
        <v>597</v>
      </c>
      <c r="G8">
        <f>SUMIFS(Sales!$C:$C,Sales!$B:$B,A8)</f>
        <v>339</v>
      </c>
      <c r="H8">
        <f t="shared" si="0"/>
        <v>291</v>
      </c>
      <c r="I8">
        <f>Table1[[#This Row],[Current Stock]]*Table1[[#This Row],[Unit Cost]]</f>
        <v>11509923</v>
      </c>
      <c r="J8" t="str">
        <f t="shared" si="1"/>
        <v>Ok</v>
      </c>
    </row>
    <row r="9" spans="1:13" hidden="1" x14ac:dyDescent="0.3">
      <c r="A9" t="s">
        <v>24</v>
      </c>
      <c r="B9" t="s">
        <v>25</v>
      </c>
      <c r="C9" t="s">
        <v>16</v>
      </c>
      <c r="D9">
        <v>13131</v>
      </c>
      <c r="E9">
        <v>386</v>
      </c>
      <c r="F9">
        <f>SUMIFS(Purchases!$C:$C,Purchases!$B:$B,A9)</f>
        <v>340</v>
      </c>
      <c r="G9">
        <f>SUMIFS(Sales!$C:$C,Sales!$B:$B,A9)</f>
        <v>201</v>
      </c>
      <c r="H9">
        <f t="shared" si="0"/>
        <v>525</v>
      </c>
      <c r="I9">
        <f>Table1[[#This Row],[Current Stock]]*Table1[[#This Row],[Unit Cost]]</f>
        <v>6893775</v>
      </c>
      <c r="J9" t="str">
        <f t="shared" si="1"/>
        <v>Ok</v>
      </c>
    </row>
    <row r="10" spans="1:13" hidden="1" x14ac:dyDescent="0.3">
      <c r="A10" t="s">
        <v>26</v>
      </c>
      <c r="B10" t="s">
        <v>27</v>
      </c>
      <c r="C10" t="s">
        <v>16</v>
      </c>
      <c r="D10">
        <v>27593</v>
      </c>
      <c r="E10">
        <v>132</v>
      </c>
      <c r="F10">
        <f>SUMIFS(Purchases!$C:$C,Purchases!$B:$B,A10)</f>
        <v>697</v>
      </c>
      <c r="G10">
        <f>SUMIFS(Sales!$C:$C,Sales!$B:$B,A10)</f>
        <v>531</v>
      </c>
      <c r="H10">
        <f t="shared" si="0"/>
        <v>298</v>
      </c>
      <c r="I10">
        <f>Table1[[#This Row],[Current Stock]]*Table1[[#This Row],[Unit Cost]]</f>
        <v>8222714</v>
      </c>
      <c r="J10" t="str">
        <f t="shared" si="1"/>
        <v>Ok</v>
      </c>
    </row>
    <row r="11" spans="1:13" hidden="1" x14ac:dyDescent="0.3">
      <c r="A11" t="s">
        <v>28</v>
      </c>
      <c r="B11" t="s">
        <v>29</v>
      </c>
      <c r="C11" t="s">
        <v>19</v>
      </c>
      <c r="D11">
        <v>38718</v>
      </c>
      <c r="E11">
        <v>162</v>
      </c>
      <c r="F11">
        <f>SUMIFS(Purchases!$C:$C,Purchases!$B:$B,A11)</f>
        <v>559</v>
      </c>
      <c r="G11">
        <f>SUMIFS(Sales!$C:$C,Sales!$B:$B,A11)</f>
        <v>220</v>
      </c>
      <c r="H11">
        <f t="shared" si="0"/>
        <v>501</v>
      </c>
      <c r="I11">
        <f>Table1[[#This Row],[Current Stock]]*Table1[[#This Row],[Unit Cost]]</f>
        <v>19397718</v>
      </c>
      <c r="J11" t="str">
        <f t="shared" si="1"/>
        <v>Ok</v>
      </c>
    </row>
    <row r="12" spans="1:13" hidden="1" x14ac:dyDescent="0.3">
      <c r="A12" t="s">
        <v>30</v>
      </c>
      <c r="B12" t="s">
        <v>31</v>
      </c>
      <c r="C12" t="s">
        <v>7</v>
      </c>
      <c r="D12">
        <v>49829</v>
      </c>
      <c r="E12">
        <v>432</v>
      </c>
      <c r="F12">
        <f>SUMIFS(Purchases!$C:$C,Purchases!$B:$B,A12)</f>
        <v>505</v>
      </c>
      <c r="G12">
        <f>SUMIFS(Sales!$C:$C,Sales!$B:$B,A12)</f>
        <v>429</v>
      </c>
      <c r="H12">
        <f t="shared" si="0"/>
        <v>508</v>
      </c>
      <c r="I12">
        <f>Table1[[#This Row],[Current Stock]]*Table1[[#This Row],[Unit Cost]]</f>
        <v>25313132</v>
      </c>
      <c r="J12" t="str">
        <f t="shared" si="1"/>
        <v>Ok</v>
      </c>
    </row>
    <row r="13" spans="1:13" hidden="1" x14ac:dyDescent="0.3">
      <c r="A13" t="s">
        <v>32</v>
      </c>
      <c r="B13" t="s">
        <v>33</v>
      </c>
      <c r="C13" t="s">
        <v>13</v>
      </c>
      <c r="D13">
        <v>45853</v>
      </c>
      <c r="E13">
        <v>236</v>
      </c>
      <c r="F13">
        <f>SUMIFS(Purchases!$C:$C,Purchases!$B:$B,A13)</f>
        <v>334</v>
      </c>
      <c r="G13">
        <f>SUMIFS(Sales!$C:$C,Sales!$B:$B,A13)</f>
        <v>429</v>
      </c>
      <c r="H13">
        <f t="shared" si="0"/>
        <v>141</v>
      </c>
      <c r="I13">
        <f>Table1[[#This Row],[Current Stock]]*Table1[[#This Row],[Unit Cost]]</f>
        <v>6465273</v>
      </c>
      <c r="J13" t="str">
        <f t="shared" si="1"/>
        <v>Ok</v>
      </c>
    </row>
    <row r="14" spans="1:13" hidden="1" x14ac:dyDescent="0.3">
      <c r="A14" t="s">
        <v>34</v>
      </c>
      <c r="B14" t="s">
        <v>35</v>
      </c>
      <c r="C14" t="s">
        <v>10</v>
      </c>
      <c r="D14">
        <v>18310</v>
      </c>
      <c r="E14">
        <v>99</v>
      </c>
      <c r="F14">
        <f>SUMIFS(Purchases!$C:$C,Purchases!$B:$B,A14)</f>
        <v>532</v>
      </c>
      <c r="G14">
        <f>SUMIFS(Sales!$C:$C,Sales!$B:$B,A14)</f>
        <v>477</v>
      </c>
      <c r="H14">
        <f t="shared" si="0"/>
        <v>154</v>
      </c>
      <c r="I14">
        <f>Table1[[#This Row],[Current Stock]]*Table1[[#This Row],[Unit Cost]]</f>
        <v>2819740</v>
      </c>
      <c r="J14" t="str">
        <f t="shared" si="1"/>
        <v>Ok</v>
      </c>
    </row>
    <row r="15" spans="1:13" hidden="1" x14ac:dyDescent="0.3">
      <c r="A15" t="s">
        <v>36</v>
      </c>
      <c r="B15" t="s">
        <v>37</v>
      </c>
      <c r="C15" t="s">
        <v>13</v>
      </c>
      <c r="D15">
        <v>22159</v>
      </c>
      <c r="E15">
        <v>72</v>
      </c>
      <c r="F15">
        <f>SUMIFS(Purchases!$C:$C,Purchases!$B:$B,A15)</f>
        <v>685</v>
      </c>
      <c r="G15">
        <f>SUMIFS(Sales!$C:$C,Sales!$B:$B,A15)</f>
        <v>473</v>
      </c>
      <c r="H15">
        <f t="shared" si="0"/>
        <v>284</v>
      </c>
      <c r="I15">
        <f>Table1[[#This Row],[Current Stock]]*Table1[[#This Row],[Unit Cost]]</f>
        <v>6293156</v>
      </c>
      <c r="J15" t="str">
        <f t="shared" si="1"/>
        <v>Ok</v>
      </c>
    </row>
    <row r="16" spans="1:13" hidden="1" x14ac:dyDescent="0.3">
      <c r="A16" t="s">
        <v>38</v>
      </c>
      <c r="B16" t="s">
        <v>39</v>
      </c>
      <c r="C16" t="s">
        <v>7</v>
      </c>
      <c r="D16">
        <v>24998</v>
      </c>
      <c r="E16">
        <v>69</v>
      </c>
      <c r="F16">
        <f>SUMIFS(Purchases!$C:$C,Purchases!$B:$B,A16)</f>
        <v>486</v>
      </c>
      <c r="G16">
        <f>SUMIFS(Sales!$C:$C,Sales!$B:$B,A16)</f>
        <v>393</v>
      </c>
      <c r="H16">
        <f t="shared" si="0"/>
        <v>162</v>
      </c>
      <c r="I16">
        <f>Table1[[#This Row],[Current Stock]]*Table1[[#This Row],[Unit Cost]]</f>
        <v>4049676</v>
      </c>
      <c r="J16" t="str">
        <f t="shared" si="1"/>
        <v>Ok</v>
      </c>
    </row>
    <row r="17" spans="1:10" hidden="1" x14ac:dyDescent="0.3">
      <c r="A17" t="s">
        <v>40</v>
      </c>
      <c r="B17" t="s">
        <v>41</v>
      </c>
      <c r="C17" t="s">
        <v>10</v>
      </c>
      <c r="D17">
        <v>22641</v>
      </c>
      <c r="E17">
        <v>329</v>
      </c>
      <c r="F17">
        <f>SUMIFS(Purchases!$C:$C,Purchases!$B:$B,A17)</f>
        <v>323</v>
      </c>
      <c r="G17">
        <f>SUMIFS(Sales!$C:$C,Sales!$B:$B,A17)</f>
        <v>388</v>
      </c>
      <c r="H17">
        <f t="shared" si="0"/>
        <v>264</v>
      </c>
      <c r="I17">
        <f>Table1[[#This Row],[Current Stock]]*Table1[[#This Row],[Unit Cost]]</f>
        <v>5977224</v>
      </c>
      <c r="J17" t="str">
        <f t="shared" si="1"/>
        <v>Ok</v>
      </c>
    </row>
    <row r="18" spans="1:10" hidden="1" x14ac:dyDescent="0.3">
      <c r="A18" t="s">
        <v>42</v>
      </c>
      <c r="B18" t="s">
        <v>43</v>
      </c>
      <c r="C18" t="s">
        <v>10</v>
      </c>
      <c r="D18">
        <v>2947</v>
      </c>
      <c r="E18">
        <v>393</v>
      </c>
      <c r="F18">
        <f>SUMIFS(Purchases!$C:$C,Purchases!$B:$B,A18)</f>
        <v>498</v>
      </c>
      <c r="G18">
        <f>SUMIFS(Sales!$C:$C,Sales!$B:$B,A18)</f>
        <v>341</v>
      </c>
      <c r="H18">
        <f t="shared" si="0"/>
        <v>550</v>
      </c>
      <c r="I18">
        <f>Table1[[#This Row],[Current Stock]]*Table1[[#This Row],[Unit Cost]]</f>
        <v>1620850</v>
      </c>
      <c r="J18" t="str">
        <f t="shared" si="1"/>
        <v>Ok</v>
      </c>
    </row>
    <row r="19" spans="1:10" hidden="1" x14ac:dyDescent="0.3">
      <c r="A19" t="s">
        <v>44</v>
      </c>
      <c r="B19" t="s">
        <v>45</v>
      </c>
      <c r="C19" t="s">
        <v>19</v>
      </c>
      <c r="D19">
        <v>35242</v>
      </c>
      <c r="E19">
        <v>83</v>
      </c>
      <c r="F19">
        <f>SUMIFS(Purchases!$C:$C,Purchases!$B:$B,A19)</f>
        <v>582</v>
      </c>
      <c r="G19">
        <f>SUMIFS(Sales!$C:$C,Sales!$B:$B,A19)</f>
        <v>329</v>
      </c>
      <c r="H19">
        <f t="shared" si="0"/>
        <v>336</v>
      </c>
      <c r="I19">
        <f>Table1[[#This Row],[Current Stock]]*Table1[[#This Row],[Unit Cost]]</f>
        <v>11841312</v>
      </c>
      <c r="J19" t="str">
        <f t="shared" si="1"/>
        <v>Ok</v>
      </c>
    </row>
    <row r="20" spans="1:10" hidden="1" x14ac:dyDescent="0.3">
      <c r="A20" t="s">
        <v>46</v>
      </c>
      <c r="B20" t="s">
        <v>47</v>
      </c>
      <c r="C20" t="s">
        <v>19</v>
      </c>
      <c r="D20">
        <v>5264</v>
      </c>
      <c r="E20">
        <v>302</v>
      </c>
      <c r="F20">
        <f>SUMIFS(Purchases!$C:$C,Purchases!$B:$B,A20)</f>
        <v>752</v>
      </c>
      <c r="G20">
        <f>SUMIFS(Sales!$C:$C,Sales!$B:$B,A20)</f>
        <v>421</v>
      </c>
      <c r="H20">
        <f t="shared" si="0"/>
        <v>633</v>
      </c>
      <c r="I20">
        <f>Table1[[#This Row],[Current Stock]]*Table1[[#This Row],[Unit Cost]]</f>
        <v>3332112</v>
      </c>
      <c r="J20" t="str">
        <f t="shared" si="1"/>
        <v>Ok</v>
      </c>
    </row>
    <row r="21" spans="1:10" hidden="1" x14ac:dyDescent="0.3">
      <c r="A21" t="s">
        <v>48</v>
      </c>
      <c r="B21" t="s">
        <v>49</v>
      </c>
      <c r="C21" t="s">
        <v>10</v>
      </c>
      <c r="D21">
        <v>41298</v>
      </c>
      <c r="E21">
        <v>336</v>
      </c>
      <c r="F21">
        <f>SUMIFS(Purchases!$C:$C,Purchases!$B:$B,A21)</f>
        <v>494</v>
      </c>
      <c r="G21">
        <f>SUMIFS(Sales!$C:$C,Sales!$B:$B,A21)</f>
        <v>355</v>
      </c>
      <c r="H21">
        <f t="shared" si="0"/>
        <v>475</v>
      </c>
      <c r="I21">
        <f>Table1[[#This Row],[Current Stock]]*Table1[[#This Row],[Unit Cost]]</f>
        <v>19616550</v>
      </c>
      <c r="J21" t="str">
        <f t="shared" si="1"/>
        <v>Ok</v>
      </c>
    </row>
    <row r="22" spans="1:10" hidden="1" x14ac:dyDescent="0.3">
      <c r="A22" t="s">
        <v>50</v>
      </c>
      <c r="B22" t="s">
        <v>51</v>
      </c>
      <c r="C22" t="s">
        <v>10</v>
      </c>
      <c r="D22">
        <v>37937</v>
      </c>
      <c r="E22">
        <v>118</v>
      </c>
      <c r="F22">
        <f>SUMIFS(Purchases!$C:$C,Purchases!$B:$B,A22)</f>
        <v>801</v>
      </c>
      <c r="G22">
        <f>SUMIFS(Sales!$C:$C,Sales!$B:$B,A22)</f>
        <v>259</v>
      </c>
      <c r="H22">
        <f t="shared" si="0"/>
        <v>660</v>
      </c>
      <c r="I22">
        <f>Table1[[#This Row],[Current Stock]]*Table1[[#This Row],[Unit Cost]]</f>
        <v>25038420</v>
      </c>
      <c r="J22" t="str">
        <f t="shared" si="1"/>
        <v>Ok</v>
      </c>
    </row>
    <row r="23" spans="1:10" hidden="1" x14ac:dyDescent="0.3">
      <c r="A23" t="s">
        <v>52</v>
      </c>
      <c r="B23" t="s">
        <v>53</v>
      </c>
      <c r="C23" t="s">
        <v>7</v>
      </c>
      <c r="D23">
        <v>3103</v>
      </c>
      <c r="E23">
        <v>358</v>
      </c>
      <c r="F23">
        <f>SUMIFS(Purchases!$C:$C,Purchases!$B:$B,A23)</f>
        <v>381</v>
      </c>
      <c r="G23">
        <f>SUMIFS(Sales!$C:$C,Sales!$B:$B,A23)</f>
        <v>578</v>
      </c>
      <c r="H23">
        <f t="shared" si="0"/>
        <v>161</v>
      </c>
      <c r="I23">
        <f>Table1[[#This Row],[Current Stock]]*Table1[[#This Row],[Unit Cost]]</f>
        <v>499583</v>
      </c>
      <c r="J23" t="str">
        <f t="shared" si="1"/>
        <v>Ok</v>
      </c>
    </row>
    <row r="24" spans="1:10" hidden="1" x14ac:dyDescent="0.3">
      <c r="A24" t="s">
        <v>54</v>
      </c>
      <c r="B24" t="s">
        <v>55</v>
      </c>
      <c r="C24" t="s">
        <v>13</v>
      </c>
      <c r="D24">
        <v>19065</v>
      </c>
      <c r="E24">
        <v>60</v>
      </c>
      <c r="F24">
        <f>SUMIFS(Purchases!$C:$C,Purchases!$B:$B,A24)</f>
        <v>605</v>
      </c>
      <c r="G24">
        <f>SUMIFS(Sales!$C:$C,Sales!$B:$B,A24)</f>
        <v>345</v>
      </c>
      <c r="H24">
        <f t="shared" si="0"/>
        <v>320</v>
      </c>
      <c r="I24">
        <f>Table1[[#This Row],[Current Stock]]*Table1[[#This Row],[Unit Cost]]</f>
        <v>6100800</v>
      </c>
      <c r="J24" t="str">
        <f t="shared" si="1"/>
        <v>Ok</v>
      </c>
    </row>
    <row r="25" spans="1:10" hidden="1" x14ac:dyDescent="0.3">
      <c r="A25" t="s">
        <v>56</v>
      </c>
      <c r="B25" t="s">
        <v>57</v>
      </c>
      <c r="C25" t="s">
        <v>13</v>
      </c>
      <c r="D25">
        <v>6719</v>
      </c>
      <c r="E25">
        <v>214</v>
      </c>
      <c r="F25">
        <f>SUMIFS(Purchases!$C:$C,Purchases!$B:$B,A25)</f>
        <v>393</v>
      </c>
      <c r="G25">
        <f>SUMIFS(Sales!$C:$C,Sales!$B:$B,A25)</f>
        <v>246</v>
      </c>
      <c r="H25">
        <f t="shared" si="0"/>
        <v>361</v>
      </c>
      <c r="I25">
        <f>Table1[[#This Row],[Current Stock]]*Table1[[#This Row],[Unit Cost]]</f>
        <v>2425559</v>
      </c>
      <c r="J25" t="str">
        <f t="shared" si="1"/>
        <v>Ok</v>
      </c>
    </row>
    <row r="26" spans="1:10" hidden="1" x14ac:dyDescent="0.3">
      <c r="A26" t="s">
        <v>58</v>
      </c>
      <c r="B26" t="s">
        <v>59</v>
      </c>
      <c r="C26" t="s">
        <v>10</v>
      </c>
      <c r="D26">
        <v>29814</v>
      </c>
      <c r="E26">
        <v>345</v>
      </c>
      <c r="F26">
        <f>SUMIFS(Purchases!$C:$C,Purchases!$B:$B,A26)</f>
        <v>331</v>
      </c>
      <c r="G26">
        <f>SUMIFS(Sales!$C:$C,Sales!$B:$B,A26)</f>
        <v>151</v>
      </c>
      <c r="H26">
        <f t="shared" si="0"/>
        <v>525</v>
      </c>
      <c r="I26">
        <f>Table1[[#This Row],[Current Stock]]*Table1[[#This Row],[Unit Cost]]</f>
        <v>15652350</v>
      </c>
      <c r="J26" t="str">
        <f t="shared" si="1"/>
        <v>Ok</v>
      </c>
    </row>
    <row r="27" spans="1:10" hidden="1" x14ac:dyDescent="0.3">
      <c r="A27" t="s">
        <v>60</v>
      </c>
      <c r="B27" t="s">
        <v>61</v>
      </c>
      <c r="C27" t="s">
        <v>10</v>
      </c>
      <c r="D27">
        <v>10759</v>
      </c>
      <c r="E27">
        <v>209</v>
      </c>
      <c r="F27">
        <f>SUMIFS(Purchases!$C:$C,Purchases!$B:$B,A27)</f>
        <v>898</v>
      </c>
      <c r="G27">
        <f>SUMIFS(Sales!$C:$C,Sales!$B:$B,A27)</f>
        <v>255</v>
      </c>
      <c r="H27">
        <f t="shared" si="0"/>
        <v>852</v>
      </c>
      <c r="I27">
        <f>Table1[[#This Row],[Current Stock]]*Table1[[#This Row],[Unit Cost]]</f>
        <v>9166668</v>
      </c>
      <c r="J27" t="str">
        <f t="shared" si="1"/>
        <v>Ok</v>
      </c>
    </row>
    <row r="28" spans="1:10" hidden="1" x14ac:dyDescent="0.3">
      <c r="A28" t="s">
        <v>62</v>
      </c>
      <c r="B28" t="s">
        <v>63</v>
      </c>
      <c r="C28" t="s">
        <v>10</v>
      </c>
      <c r="D28">
        <v>13830</v>
      </c>
      <c r="E28">
        <v>363</v>
      </c>
      <c r="F28">
        <f>SUMIFS(Purchases!$C:$C,Purchases!$B:$B,A28)</f>
        <v>455</v>
      </c>
      <c r="G28">
        <f>SUMIFS(Sales!$C:$C,Sales!$B:$B,A28)</f>
        <v>416</v>
      </c>
      <c r="H28">
        <f t="shared" si="0"/>
        <v>402</v>
      </c>
      <c r="I28">
        <f>Table1[[#This Row],[Current Stock]]*Table1[[#This Row],[Unit Cost]]</f>
        <v>5559660</v>
      </c>
      <c r="J28" t="str">
        <f t="shared" si="1"/>
        <v>Ok</v>
      </c>
    </row>
    <row r="29" spans="1:10" hidden="1" x14ac:dyDescent="0.3">
      <c r="A29" t="s">
        <v>64</v>
      </c>
      <c r="B29" t="s">
        <v>65</v>
      </c>
      <c r="C29" t="s">
        <v>10</v>
      </c>
      <c r="D29">
        <v>46094</v>
      </c>
      <c r="E29">
        <v>499</v>
      </c>
      <c r="F29">
        <f>SUMIFS(Purchases!$C:$C,Purchases!$B:$B,A29)</f>
        <v>504</v>
      </c>
      <c r="G29">
        <f>SUMIFS(Sales!$C:$C,Sales!$B:$B,A29)</f>
        <v>355</v>
      </c>
      <c r="H29">
        <f t="shared" si="0"/>
        <v>648</v>
      </c>
      <c r="I29">
        <f>Table1[[#This Row],[Current Stock]]*Table1[[#This Row],[Unit Cost]]</f>
        <v>29868912</v>
      </c>
      <c r="J29" t="str">
        <f t="shared" si="1"/>
        <v>Ok</v>
      </c>
    </row>
    <row r="30" spans="1:10" hidden="1" x14ac:dyDescent="0.3">
      <c r="A30" t="s">
        <v>66</v>
      </c>
      <c r="B30" t="s">
        <v>67</v>
      </c>
      <c r="C30" t="s">
        <v>7</v>
      </c>
      <c r="D30">
        <v>40020</v>
      </c>
      <c r="E30">
        <v>345</v>
      </c>
      <c r="F30">
        <f>SUMIFS(Purchases!$C:$C,Purchases!$B:$B,A30)</f>
        <v>766</v>
      </c>
      <c r="G30">
        <f>SUMIFS(Sales!$C:$C,Sales!$B:$B,A30)</f>
        <v>393</v>
      </c>
      <c r="H30">
        <f t="shared" si="0"/>
        <v>718</v>
      </c>
      <c r="I30">
        <f>Table1[[#This Row],[Current Stock]]*Table1[[#This Row],[Unit Cost]]</f>
        <v>28734360</v>
      </c>
      <c r="J30" t="str">
        <f t="shared" si="1"/>
        <v>Ok</v>
      </c>
    </row>
    <row r="31" spans="1:10" hidden="1" x14ac:dyDescent="0.3">
      <c r="A31" t="s">
        <v>68</v>
      </c>
      <c r="B31" t="s">
        <v>69</v>
      </c>
      <c r="C31" t="s">
        <v>13</v>
      </c>
      <c r="D31">
        <v>35105</v>
      </c>
      <c r="E31">
        <v>393</v>
      </c>
      <c r="F31">
        <f>SUMIFS(Purchases!$C:$C,Purchases!$B:$B,A31)</f>
        <v>333</v>
      </c>
      <c r="G31">
        <f>SUMIFS(Sales!$C:$C,Sales!$B:$B,A31)</f>
        <v>361</v>
      </c>
      <c r="H31">
        <f t="shared" si="0"/>
        <v>365</v>
      </c>
      <c r="I31">
        <f>Table1[[#This Row],[Current Stock]]*Table1[[#This Row],[Unit Cost]]</f>
        <v>12813325</v>
      </c>
      <c r="J31" t="str">
        <f t="shared" si="1"/>
        <v>Ok</v>
      </c>
    </row>
    <row r="32" spans="1:10" x14ac:dyDescent="0.3">
      <c r="A32" t="s">
        <v>70</v>
      </c>
      <c r="B32" t="s">
        <v>71</v>
      </c>
      <c r="C32" t="s">
        <v>13</v>
      </c>
      <c r="D32">
        <v>10808</v>
      </c>
      <c r="E32">
        <v>256</v>
      </c>
      <c r="F32">
        <f>SUMIFS(Purchases!$C:$C,Purchases!$B:$B,A32)</f>
        <v>274</v>
      </c>
      <c r="G32">
        <f>SUMIFS(Sales!$C:$C,Sales!$B:$B,A32)</f>
        <v>616</v>
      </c>
      <c r="H32">
        <f t="shared" si="0"/>
        <v>-86</v>
      </c>
      <c r="I32">
        <f>Table1[[#This Row],[Current Stock]]*Table1[[#This Row],[Unit Cost]]</f>
        <v>-929488</v>
      </c>
      <c r="J32" t="str">
        <f t="shared" si="1"/>
        <v>Recorder</v>
      </c>
    </row>
    <row r="33" spans="1:10" hidden="1" x14ac:dyDescent="0.3">
      <c r="A33" t="s">
        <v>72</v>
      </c>
      <c r="B33" t="s">
        <v>73</v>
      </c>
      <c r="C33" t="s">
        <v>19</v>
      </c>
      <c r="D33">
        <v>17791</v>
      </c>
      <c r="E33">
        <v>493</v>
      </c>
      <c r="F33">
        <f>SUMIFS(Purchases!$C:$C,Purchases!$B:$B,A33)</f>
        <v>510</v>
      </c>
      <c r="G33">
        <f>SUMIFS(Sales!$C:$C,Sales!$B:$B,A33)</f>
        <v>526</v>
      </c>
      <c r="H33">
        <f t="shared" si="0"/>
        <v>477</v>
      </c>
      <c r="I33">
        <f>Table1[[#This Row],[Current Stock]]*Table1[[#This Row],[Unit Cost]]</f>
        <v>8486307</v>
      </c>
      <c r="J33" t="str">
        <f t="shared" si="1"/>
        <v>Ok</v>
      </c>
    </row>
    <row r="34" spans="1:10" hidden="1" x14ac:dyDescent="0.3">
      <c r="A34" t="s">
        <v>74</v>
      </c>
      <c r="B34" t="s">
        <v>75</v>
      </c>
      <c r="C34" t="s">
        <v>16</v>
      </c>
      <c r="D34">
        <v>14492</v>
      </c>
      <c r="E34">
        <v>370</v>
      </c>
      <c r="F34">
        <f>SUMIFS(Purchases!$C:$C,Purchases!$B:$B,A34)</f>
        <v>632</v>
      </c>
      <c r="G34">
        <f>SUMIFS(Sales!$C:$C,Sales!$B:$B,A34)</f>
        <v>260</v>
      </c>
      <c r="H34">
        <f t="shared" si="0"/>
        <v>742</v>
      </c>
      <c r="I34">
        <f>Table1[[#This Row],[Current Stock]]*Table1[[#This Row],[Unit Cost]]</f>
        <v>10753064</v>
      </c>
      <c r="J34" t="str">
        <f t="shared" si="1"/>
        <v>Ok</v>
      </c>
    </row>
    <row r="35" spans="1:10" x14ac:dyDescent="0.3">
      <c r="A35" t="s">
        <v>76</v>
      </c>
      <c r="B35" t="s">
        <v>77</v>
      </c>
      <c r="C35" t="s">
        <v>10</v>
      </c>
      <c r="D35">
        <v>3765</v>
      </c>
      <c r="E35">
        <v>137</v>
      </c>
      <c r="F35">
        <f>SUMIFS(Purchases!$C:$C,Purchases!$B:$B,A35)</f>
        <v>377</v>
      </c>
      <c r="G35">
        <f>SUMIFS(Sales!$C:$C,Sales!$B:$B,A35)</f>
        <v>524</v>
      </c>
      <c r="H35">
        <f t="shared" si="0"/>
        <v>-10</v>
      </c>
      <c r="I35">
        <f>Table1[[#This Row],[Current Stock]]*Table1[[#This Row],[Unit Cost]]</f>
        <v>-37650</v>
      </c>
      <c r="J35" t="str">
        <f t="shared" si="1"/>
        <v>Recorder</v>
      </c>
    </row>
    <row r="36" spans="1:10" hidden="1" x14ac:dyDescent="0.3">
      <c r="A36" t="s">
        <v>78</v>
      </c>
      <c r="B36" t="s">
        <v>79</v>
      </c>
      <c r="C36" t="s">
        <v>7</v>
      </c>
      <c r="D36">
        <v>20773</v>
      </c>
      <c r="E36">
        <v>225</v>
      </c>
      <c r="F36">
        <f>SUMIFS(Purchases!$C:$C,Purchases!$B:$B,A36)</f>
        <v>499</v>
      </c>
      <c r="G36">
        <f>SUMIFS(Sales!$C:$C,Sales!$B:$B,A36)</f>
        <v>338</v>
      </c>
      <c r="H36">
        <f t="shared" si="0"/>
        <v>386</v>
      </c>
      <c r="I36">
        <f>Table1[[#This Row],[Current Stock]]*Table1[[#This Row],[Unit Cost]]</f>
        <v>8018378</v>
      </c>
      <c r="J36" t="str">
        <f t="shared" si="1"/>
        <v>Ok</v>
      </c>
    </row>
    <row r="37" spans="1:10" hidden="1" x14ac:dyDescent="0.3">
      <c r="A37" t="s">
        <v>80</v>
      </c>
      <c r="B37" t="s">
        <v>81</v>
      </c>
      <c r="C37" t="s">
        <v>10</v>
      </c>
      <c r="D37">
        <v>4437</v>
      </c>
      <c r="E37">
        <v>128</v>
      </c>
      <c r="F37">
        <f>SUMIFS(Purchases!$C:$C,Purchases!$B:$B,A37)</f>
        <v>348</v>
      </c>
      <c r="G37">
        <f>SUMIFS(Sales!$C:$C,Sales!$B:$B,A37)</f>
        <v>226</v>
      </c>
      <c r="H37">
        <f t="shared" si="0"/>
        <v>250</v>
      </c>
      <c r="I37">
        <f>Table1[[#This Row],[Current Stock]]*Table1[[#This Row],[Unit Cost]]</f>
        <v>1109250</v>
      </c>
      <c r="J37" t="str">
        <f t="shared" si="1"/>
        <v>Ok</v>
      </c>
    </row>
    <row r="38" spans="1:10" hidden="1" x14ac:dyDescent="0.3">
      <c r="A38" t="s">
        <v>82</v>
      </c>
      <c r="B38" t="s">
        <v>83</v>
      </c>
      <c r="C38" t="s">
        <v>16</v>
      </c>
      <c r="D38">
        <v>47149</v>
      </c>
      <c r="E38">
        <v>181</v>
      </c>
      <c r="F38">
        <f>SUMIFS(Purchases!$C:$C,Purchases!$B:$B,A38)</f>
        <v>336</v>
      </c>
      <c r="G38">
        <f>SUMIFS(Sales!$C:$C,Sales!$B:$B,A38)</f>
        <v>182</v>
      </c>
      <c r="H38">
        <f t="shared" si="0"/>
        <v>335</v>
      </c>
      <c r="I38">
        <f>Table1[[#This Row],[Current Stock]]*Table1[[#This Row],[Unit Cost]]</f>
        <v>15794915</v>
      </c>
      <c r="J38" t="str">
        <f t="shared" si="1"/>
        <v>Ok</v>
      </c>
    </row>
    <row r="39" spans="1:10" hidden="1" x14ac:dyDescent="0.3">
      <c r="A39" t="s">
        <v>84</v>
      </c>
      <c r="B39" t="s">
        <v>85</v>
      </c>
      <c r="C39" t="s">
        <v>13</v>
      </c>
      <c r="D39">
        <v>43054</v>
      </c>
      <c r="E39">
        <v>275</v>
      </c>
      <c r="F39">
        <f>SUMIFS(Purchases!$C:$C,Purchases!$B:$B,A39)</f>
        <v>504</v>
      </c>
      <c r="G39">
        <f>SUMIFS(Sales!$C:$C,Sales!$B:$B,A39)</f>
        <v>377</v>
      </c>
      <c r="H39">
        <f t="shared" si="0"/>
        <v>402</v>
      </c>
      <c r="I39">
        <f>Table1[[#This Row],[Current Stock]]*Table1[[#This Row],[Unit Cost]]</f>
        <v>17307708</v>
      </c>
      <c r="J39" t="str">
        <f t="shared" si="1"/>
        <v>Ok</v>
      </c>
    </row>
    <row r="40" spans="1:10" hidden="1" x14ac:dyDescent="0.3">
      <c r="A40" t="s">
        <v>86</v>
      </c>
      <c r="B40" t="s">
        <v>87</v>
      </c>
      <c r="C40" t="s">
        <v>19</v>
      </c>
      <c r="D40">
        <v>42229</v>
      </c>
      <c r="E40">
        <v>254</v>
      </c>
      <c r="F40">
        <f>SUMIFS(Purchases!$C:$C,Purchases!$B:$B,A40)</f>
        <v>632</v>
      </c>
      <c r="G40">
        <f>SUMIFS(Sales!$C:$C,Sales!$B:$B,A40)</f>
        <v>297</v>
      </c>
      <c r="H40">
        <f t="shared" si="0"/>
        <v>589</v>
      </c>
      <c r="I40">
        <f>Table1[[#This Row],[Current Stock]]*Table1[[#This Row],[Unit Cost]]</f>
        <v>24872881</v>
      </c>
      <c r="J40" t="str">
        <f t="shared" si="1"/>
        <v>Ok</v>
      </c>
    </row>
    <row r="41" spans="1:10" hidden="1" x14ac:dyDescent="0.3">
      <c r="A41" t="s">
        <v>88</v>
      </c>
      <c r="B41" t="s">
        <v>89</v>
      </c>
      <c r="C41" t="s">
        <v>13</v>
      </c>
      <c r="D41">
        <v>17459</v>
      </c>
      <c r="E41">
        <v>91</v>
      </c>
      <c r="F41">
        <f>SUMIFS(Purchases!$C:$C,Purchases!$B:$B,A41)</f>
        <v>558</v>
      </c>
      <c r="G41">
        <f>SUMIFS(Sales!$C:$C,Sales!$B:$B,A41)</f>
        <v>272</v>
      </c>
      <c r="H41">
        <f t="shared" si="0"/>
        <v>377</v>
      </c>
      <c r="I41">
        <f>Table1[[#This Row],[Current Stock]]*Table1[[#This Row],[Unit Cost]]</f>
        <v>6582043</v>
      </c>
      <c r="J41" t="str">
        <f t="shared" si="1"/>
        <v>Ok</v>
      </c>
    </row>
    <row r="42" spans="1:10" hidden="1" x14ac:dyDescent="0.3">
      <c r="A42" t="s">
        <v>90</v>
      </c>
      <c r="B42" t="s">
        <v>91</v>
      </c>
      <c r="C42" t="s">
        <v>13</v>
      </c>
      <c r="D42">
        <v>48923</v>
      </c>
      <c r="E42">
        <v>307</v>
      </c>
      <c r="F42">
        <f>SUMIFS(Purchases!$C:$C,Purchases!$B:$B,A42)</f>
        <v>1090</v>
      </c>
      <c r="G42">
        <f>SUMIFS(Sales!$C:$C,Sales!$B:$B,A42)</f>
        <v>311</v>
      </c>
      <c r="H42">
        <f t="shared" si="0"/>
        <v>1086</v>
      </c>
      <c r="I42">
        <f>Table1[[#This Row],[Current Stock]]*Table1[[#This Row],[Unit Cost]]</f>
        <v>53130378</v>
      </c>
      <c r="J42" t="str">
        <f t="shared" si="1"/>
        <v>Ok</v>
      </c>
    </row>
    <row r="43" spans="1:10" hidden="1" x14ac:dyDescent="0.3">
      <c r="A43" t="s">
        <v>92</v>
      </c>
      <c r="B43" t="s">
        <v>93</v>
      </c>
      <c r="C43" t="s">
        <v>16</v>
      </c>
      <c r="D43">
        <v>17319</v>
      </c>
      <c r="E43">
        <v>402</v>
      </c>
      <c r="F43">
        <f>SUMIFS(Purchases!$C:$C,Purchases!$B:$B,A43)</f>
        <v>369</v>
      </c>
      <c r="G43">
        <f>SUMIFS(Sales!$C:$C,Sales!$B:$B,A43)</f>
        <v>249</v>
      </c>
      <c r="H43">
        <f t="shared" si="0"/>
        <v>522</v>
      </c>
      <c r="I43">
        <f>Table1[[#This Row],[Current Stock]]*Table1[[#This Row],[Unit Cost]]</f>
        <v>9040518</v>
      </c>
      <c r="J43" t="str">
        <f t="shared" si="1"/>
        <v>Ok</v>
      </c>
    </row>
    <row r="44" spans="1:10" hidden="1" x14ac:dyDescent="0.3">
      <c r="A44" t="s">
        <v>94</v>
      </c>
      <c r="B44" t="s">
        <v>95</v>
      </c>
      <c r="C44" t="s">
        <v>16</v>
      </c>
      <c r="D44">
        <v>28177</v>
      </c>
      <c r="E44">
        <v>479</v>
      </c>
      <c r="F44">
        <f>SUMIFS(Purchases!$C:$C,Purchases!$B:$B,A44)</f>
        <v>367</v>
      </c>
      <c r="G44">
        <f>SUMIFS(Sales!$C:$C,Sales!$B:$B,A44)</f>
        <v>403</v>
      </c>
      <c r="H44">
        <f t="shared" si="0"/>
        <v>443</v>
      </c>
      <c r="I44">
        <f>Table1[[#This Row],[Current Stock]]*Table1[[#This Row],[Unit Cost]]</f>
        <v>12482411</v>
      </c>
      <c r="J44" t="str">
        <f t="shared" si="1"/>
        <v>Ok</v>
      </c>
    </row>
    <row r="45" spans="1:10" hidden="1" x14ac:dyDescent="0.3">
      <c r="A45" t="s">
        <v>96</v>
      </c>
      <c r="B45" t="s">
        <v>97</v>
      </c>
      <c r="C45" t="s">
        <v>16</v>
      </c>
      <c r="D45">
        <v>26275</v>
      </c>
      <c r="E45">
        <v>205</v>
      </c>
      <c r="F45">
        <f>SUMIFS(Purchases!$C:$C,Purchases!$B:$B,A45)</f>
        <v>712</v>
      </c>
      <c r="G45">
        <f>SUMIFS(Sales!$C:$C,Sales!$B:$B,A45)</f>
        <v>362</v>
      </c>
      <c r="H45">
        <f t="shared" si="0"/>
        <v>555</v>
      </c>
      <c r="I45">
        <f>Table1[[#This Row],[Current Stock]]*Table1[[#This Row],[Unit Cost]]</f>
        <v>14582625</v>
      </c>
      <c r="J45" t="str">
        <f t="shared" si="1"/>
        <v>Ok</v>
      </c>
    </row>
    <row r="46" spans="1:10" hidden="1" x14ac:dyDescent="0.3">
      <c r="A46" t="s">
        <v>98</v>
      </c>
      <c r="B46" t="s">
        <v>99</v>
      </c>
      <c r="C46" t="s">
        <v>13</v>
      </c>
      <c r="D46">
        <v>9165</v>
      </c>
      <c r="E46">
        <v>280</v>
      </c>
      <c r="F46">
        <f>SUMIFS(Purchases!$C:$C,Purchases!$B:$B,A46)</f>
        <v>848</v>
      </c>
      <c r="G46">
        <f>SUMIFS(Sales!$C:$C,Sales!$B:$B,A46)</f>
        <v>195</v>
      </c>
      <c r="H46">
        <f t="shared" si="0"/>
        <v>933</v>
      </c>
      <c r="I46">
        <f>Table1[[#This Row],[Current Stock]]*Table1[[#This Row],[Unit Cost]]</f>
        <v>8550945</v>
      </c>
      <c r="J46" t="str">
        <f t="shared" si="1"/>
        <v>Ok</v>
      </c>
    </row>
    <row r="47" spans="1:10" hidden="1" x14ac:dyDescent="0.3">
      <c r="A47" t="s">
        <v>100</v>
      </c>
      <c r="B47" t="s">
        <v>101</v>
      </c>
      <c r="C47" t="s">
        <v>19</v>
      </c>
      <c r="D47">
        <v>6057</v>
      </c>
      <c r="E47">
        <v>406</v>
      </c>
      <c r="F47">
        <f>SUMIFS(Purchases!$C:$C,Purchases!$B:$B,A47)</f>
        <v>354</v>
      </c>
      <c r="G47">
        <f>SUMIFS(Sales!$C:$C,Sales!$B:$B,A47)</f>
        <v>296</v>
      </c>
      <c r="H47">
        <f t="shared" si="0"/>
        <v>464</v>
      </c>
      <c r="I47">
        <f>Table1[[#This Row],[Current Stock]]*Table1[[#This Row],[Unit Cost]]</f>
        <v>2810448</v>
      </c>
      <c r="J47" t="str">
        <f t="shared" si="1"/>
        <v>Ok</v>
      </c>
    </row>
    <row r="48" spans="1:10" hidden="1" x14ac:dyDescent="0.3">
      <c r="A48" t="s">
        <v>102</v>
      </c>
      <c r="B48" t="s">
        <v>103</v>
      </c>
      <c r="C48" t="s">
        <v>7</v>
      </c>
      <c r="D48">
        <v>7285</v>
      </c>
      <c r="E48">
        <v>98</v>
      </c>
      <c r="F48">
        <f>SUMIFS(Purchases!$C:$C,Purchases!$B:$B,A48)</f>
        <v>577</v>
      </c>
      <c r="G48">
        <f>SUMIFS(Sales!$C:$C,Sales!$B:$B,A48)</f>
        <v>468</v>
      </c>
      <c r="H48">
        <f t="shared" si="0"/>
        <v>207</v>
      </c>
      <c r="I48">
        <f>Table1[[#This Row],[Current Stock]]*Table1[[#This Row],[Unit Cost]]</f>
        <v>1507995</v>
      </c>
      <c r="J48" t="str">
        <f t="shared" si="1"/>
        <v>Ok</v>
      </c>
    </row>
    <row r="49" spans="1:10" hidden="1" x14ac:dyDescent="0.3">
      <c r="A49" t="s">
        <v>104</v>
      </c>
      <c r="B49" t="s">
        <v>105</v>
      </c>
      <c r="C49" t="s">
        <v>13</v>
      </c>
      <c r="D49">
        <v>44696</v>
      </c>
      <c r="E49">
        <v>236</v>
      </c>
      <c r="F49">
        <f>SUMIFS(Purchases!$C:$C,Purchases!$B:$B,A49)</f>
        <v>1066</v>
      </c>
      <c r="G49">
        <f>SUMIFS(Sales!$C:$C,Sales!$B:$B,A49)</f>
        <v>445</v>
      </c>
      <c r="H49">
        <f t="shared" si="0"/>
        <v>857</v>
      </c>
      <c r="I49">
        <f>Table1[[#This Row],[Current Stock]]*Table1[[#This Row],[Unit Cost]]</f>
        <v>38304472</v>
      </c>
      <c r="J49" t="str">
        <f t="shared" si="1"/>
        <v>Ok</v>
      </c>
    </row>
    <row r="50" spans="1:10" hidden="1" x14ac:dyDescent="0.3">
      <c r="A50" t="s">
        <v>106</v>
      </c>
      <c r="B50" t="s">
        <v>107</v>
      </c>
      <c r="C50" t="s">
        <v>16</v>
      </c>
      <c r="D50">
        <v>4263</v>
      </c>
      <c r="E50">
        <v>217</v>
      </c>
      <c r="F50">
        <f>SUMIFS(Purchases!$C:$C,Purchases!$B:$B,A50)</f>
        <v>388</v>
      </c>
      <c r="G50">
        <f>SUMIFS(Sales!$C:$C,Sales!$B:$B,A50)</f>
        <v>358</v>
      </c>
      <c r="H50">
        <f t="shared" si="0"/>
        <v>247</v>
      </c>
      <c r="I50">
        <f>Table1[[#This Row],[Current Stock]]*Table1[[#This Row],[Unit Cost]]</f>
        <v>1052961</v>
      </c>
      <c r="J50" t="str">
        <f t="shared" si="1"/>
        <v>Ok</v>
      </c>
    </row>
    <row r="51" spans="1:10" hidden="1" x14ac:dyDescent="0.3">
      <c r="A51" t="s">
        <v>108</v>
      </c>
      <c r="B51" t="s">
        <v>109</v>
      </c>
      <c r="C51" t="s">
        <v>19</v>
      </c>
      <c r="D51">
        <v>39152</v>
      </c>
      <c r="E51">
        <v>259</v>
      </c>
      <c r="F51">
        <f>SUMIFS(Purchases!$C:$C,Purchases!$B:$B,A51)</f>
        <v>743</v>
      </c>
      <c r="G51">
        <f>SUMIFS(Sales!$C:$C,Sales!$B:$B,A51)</f>
        <v>553</v>
      </c>
      <c r="H51">
        <f t="shared" si="0"/>
        <v>449</v>
      </c>
      <c r="I51">
        <f>Table1[[#This Row],[Current Stock]]*Table1[[#This Row],[Unit Cost]]</f>
        <v>17579248</v>
      </c>
      <c r="J51" t="str">
        <f t="shared" si="1"/>
        <v>Ok</v>
      </c>
    </row>
    <row r="52" spans="1:10" hidden="1" x14ac:dyDescent="0.3">
      <c r="A52" t="s">
        <v>110</v>
      </c>
      <c r="B52" t="s">
        <v>111</v>
      </c>
      <c r="C52" t="s">
        <v>16</v>
      </c>
      <c r="D52">
        <v>16576</v>
      </c>
      <c r="E52">
        <v>303</v>
      </c>
      <c r="F52">
        <f>SUMIFS(Purchases!$C:$C,Purchases!$B:$B,A52)</f>
        <v>470</v>
      </c>
      <c r="G52">
        <f>SUMIFS(Sales!$C:$C,Sales!$B:$B,A52)</f>
        <v>209</v>
      </c>
      <c r="H52">
        <f t="shared" si="0"/>
        <v>564</v>
      </c>
      <c r="I52">
        <f>Table1[[#This Row],[Current Stock]]*Table1[[#This Row],[Unit Cost]]</f>
        <v>9348864</v>
      </c>
      <c r="J52" t="str">
        <f t="shared" si="1"/>
        <v>Ok</v>
      </c>
    </row>
    <row r="53" spans="1:10" hidden="1" x14ac:dyDescent="0.3">
      <c r="A53" t="s">
        <v>112</v>
      </c>
      <c r="B53" t="s">
        <v>113</v>
      </c>
      <c r="C53" t="s">
        <v>7</v>
      </c>
      <c r="D53">
        <v>44683</v>
      </c>
      <c r="E53">
        <v>389</v>
      </c>
      <c r="F53">
        <f>SUMIFS(Purchases!$C:$C,Purchases!$B:$B,A53)</f>
        <v>545</v>
      </c>
      <c r="G53">
        <f>SUMIFS(Sales!$C:$C,Sales!$B:$B,A53)</f>
        <v>339</v>
      </c>
      <c r="H53">
        <f t="shared" si="0"/>
        <v>595</v>
      </c>
      <c r="I53">
        <f>Table1[[#This Row],[Current Stock]]*Table1[[#This Row],[Unit Cost]]</f>
        <v>26586385</v>
      </c>
      <c r="J53" t="str">
        <f t="shared" si="1"/>
        <v>Ok</v>
      </c>
    </row>
    <row r="54" spans="1:10" hidden="1" x14ac:dyDescent="0.3">
      <c r="A54" t="s">
        <v>114</v>
      </c>
      <c r="B54" t="s">
        <v>115</v>
      </c>
      <c r="C54" t="s">
        <v>7</v>
      </c>
      <c r="D54">
        <v>44776</v>
      </c>
      <c r="E54">
        <v>473</v>
      </c>
      <c r="F54">
        <f>SUMIFS(Purchases!$C:$C,Purchases!$B:$B,A54)</f>
        <v>553</v>
      </c>
      <c r="G54">
        <f>SUMIFS(Sales!$C:$C,Sales!$B:$B,A54)</f>
        <v>433</v>
      </c>
      <c r="H54">
        <f t="shared" si="0"/>
        <v>593</v>
      </c>
      <c r="I54">
        <f>Table1[[#This Row],[Current Stock]]*Table1[[#This Row],[Unit Cost]]</f>
        <v>26552168</v>
      </c>
      <c r="J54" t="str">
        <f t="shared" si="1"/>
        <v>Ok</v>
      </c>
    </row>
    <row r="55" spans="1:10" x14ac:dyDescent="0.3">
      <c r="A55" t="s">
        <v>116</v>
      </c>
      <c r="B55" t="s">
        <v>117</v>
      </c>
      <c r="C55" t="s">
        <v>16</v>
      </c>
      <c r="D55">
        <v>49309</v>
      </c>
      <c r="E55">
        <v>156</v>
      </c>
      <c r="F55">
        <f>SUMIFS(Purchases!$C:$C,Purchases!$B:$B,A55)</f>
        <v>328</v>
      </c>
      <c r="G55">
        <f>SUMIFS(Sales!$C:$C,Sales!$B:$B,A55)</f>
        <v>505</v>
      </c>
      <c r="H55">
        <f t="shared" si="0"/>
        <v>-21</v>
      </c>
      <c r="I55">
        <f>Table1[[#This Row],[Current Stock]]*Table1[[#This Row],[Unit Cost]]</f>
        <v>-1035489</v>
      </c>
      <c r="J55" t="str">
        <f t="shared" si="1"/>
        <v>Recorder</v>
      </c>
    </row>
    <row r="56" spans="1:10" hidden="1" x14ac:dyDescent="0.3">
      <c r="A56" t="s">
        <v>118</v>
      </c>
      <c r="B56" t="s">
        <v>119</v>
      </c>
      <c r="C56" t="s">
        <v>10</v>
      </c>
      <c r="D56">
        <v>7410</v>
      </c>
      <c r="E56">
        <v>170</v>
      </c>
      <c r="F56">
        <f>SUMIFS(Purchases!$C:$C,Purchases!$B:$B,A56)</f>
        <v>401</v>
      </c>
      <c r="G56">
        <f>SUMIFS(Sales!$C:$C,Sales!$B:$B,A56)</f>
        <v>218</v>
      </c>
      <c r="H56">
        <f t="shared" si="0"/>
        <v>353</v>
      </c>
      <c r="I56">
        <f>Table1[[#This Row],[Current Stock]]*Table1[[#This Row],[Unit Cost]]</f>
        <v>2615730</v>
      </c>
      <c r="J56" t="str">
        <f t="shared" si="1"/>
        <v>Ok</v>
      </c>
    </row>
    <row r="57" spans="1:10" hidden="1" x14ac:dyDescent="0.3">
      <c r="A57" t="s">
        <v>120</v>
      </c>
      <c r="B57" t="s">
        <v>121</v>
      </c>
      <c r="C57" t="s">
        <v>19</v>
      </c>
      <c r="D57">
        <v>10465</v>
      </c>
      <c r="E57">
        <v>252</v>
      </c>
      <c r="F57">
        <f>SUMIFS(Purchases!$C:$C,Purchases!$B:$B,A57)</f>
        <v>421</v>
      </c>
      <c r="G57">
        <f>SUMIFS(Sales!$C:$C,Sales!$B:$B,A57)</f>
        <v>492</v>
      </c>
      <c r="H57">
        <f t="shared" si="0"/>
        <v>181</v>
      </c>
      <c r="I57">
        <f>Table1[[#This Row],[Current Stock]]*Table1[[#This Row],[Unit Cost]]</f>
        <v>1894165</v>
      </c>
      <c r="J57" t="str">
        <f t="shared" si="1"/>
        <v>Ok</v>
      </c>
    </row>
    <row r="58" spans="1:10" hidden="1" x14ac:dyDescent="0.3">
      <c r="A58" t="s">
        <v>122</v>
      </c>
      <c r="B58" t="s">
        <v>123</v>
      </c>
      <c r="C58" t="s">
        <v>7</v>
      </c>
      <c r="D58">
        <v>47423</v>
      </c>
      <c r="E58">
        <v>468</v>
      </c>
      <c r="F58">
        <f>SUMIFS(Purchases!$C:$C,Purchases!$B:$B,A58)</f>
        <v>352</v>
      </c>
      <c r="G58">
        <f>SUMIFS(Sales!$C:$C,Sales!$B:$B,A58)</f>
        <v>347</v>
      </c>
      <c r="H58">
        <f t="shared" si="0"/>
        <v>473</v>
      </c>
      <c r="I58">
        <f>Table1[[#This Row],[Current Stock]]*Table1[[#This Row],[Unit Cost]]</f>
        <v>22431079</v>
      </c>
      <c r="J58" t="str">
        <f t="shared" si="1"/>
        <v>Ok</v>
      </c>
    </row>
    <row r="59" spans="1:10" hidden="1" x14ac:dyDescent="0.3">
      <c r="A59" t="s">
        <v>124</v>
      </c>
      <c r="B59" t="s">
        <v>125</v>
      </c>
      <c r="C59" t="s">
        <v>10</v>
      </c>
      <c r="D59">
        <v>32906</v>
      </c>
      <c r="E59">
        <v>410</v>
      </c>
      <c r="F59">
        <f>SUMIFS(Purchases!$C:$C,Purchases!$B:$B,A59)</f>
        <v>841</v>
      </c>
      <c r="G59">
        <f>SUMIFS(Sales!$C:$C,Sales!$B:$B,A59)</f>
        <v>258</v>
      </c>
      <c r="H59">
        <f t="shared" si="0"/>
        <v>993</v>
      </c>
      <c r="I59">
        <f>Table1[[#This Row],[Current Stock]]*Table1[[#This Row],[Unit Cost]]</f>
        <v>32675658</v>
      </c>
      <c r="J59" t="str">
        <f t="shared" si="1"/>
        <v>Ok</v>
      </c>
    </row>
    <row r="60" spans="1:10" hidden="1" x14ac:dyDescent="0.3">
      <c r="A60" t="s">
        <v>126</v>
      </c>
      <c r="B60" t="s">
        <v>127</v>
      </c>
      <c r="C60" t="s">
        <v>13</v>
      </c>
      <c r="D60">
        <v>33371</v>
      </c>
      <c r="E60">
        <v>487</v>
      </c>
      <c r="F60">
        <f>SUMIFS(Purchases!$C:$C,Purchases!$B:$B,A60)</f>
        <v>973</v>
      </c>
      <c r="G60">
        <f>SUMIFS(Sales!$C:$C,Sales!$B:$B,A60)</f>
        <v>201</v>
      </c>
      <c r="H60">
        <f t="shared" si="0"/>
        <v>1259</v>
      </c>
      <c r="I60">
        <f>Table1[[#This Row],[Current Stock]]*Table1[[#This Row],[Unit Cost]]</f>
        <v>42014089</v>
      </c>
      <c r="J60" t="str">
        <f t="shared" si="1"/>
        <v>Ok</v>
      </c>
    </row>
    <row r="61" spans="1:10" hidden="1" x14ac:dyDescent="0.3">
      <c r="A61" t="s">
        <v>128</v>
      </c>
      <c r="B61" t="s">
        <v>129</v>
      </c>
      <c r="C61" t="s">
        <v>7</v>
      </c>
      <c r="D61">
        <v>41079</v>
      </c>
      <c r="E61">
        <v>172</v>
      </c>
      <c r="F61">
        <f>SUMIFS(Purchases!$C:$C,Purchases!$B:$B,A61)</f>
        <v>580</v>
      </c>
      <c r="G61">
        <f>SUMIFS(Sales!$C:$C,Sales!$B:$B,A61)</f>
        <v>302</v>
      </c>
      <c r="H61">
        <f t="shared" si="0"/>
        <v>450</v>
      </c>
      <c r="I61">
        <f>Table1[[#This Row],[Current Stock]]*Table1[[#This Row],[Unit Cost]]</f>
        <v>18485550</v>
      </c>
      <c r="J61" t="str">
        <f t="shared" si="1"/>
        <v>Ok</v>
      </c>
    </row>
    <row r="62" spans="1:10" hidden="1" x14ac:dyDescent="0.3">
      <c r="A62" t="s">
        <v>130</v>
      </c>
      <c r="B62" t="s">
        <v>131</v>
      </c>
      <c r="C62" t="s">
        <v>16</v>
      </c>
      <c r="D62">
        <v>40009</v>
      </c>
      <c r="E62">
        <v>121</v>
      </c>
      <c r="F62">
        <f>SUMIFS(Purchases!$C:$C,Purchases!$B:$B,A62)</f>
        <v>737</v>
      </c>
      <c r="G62">
        <f>SUMIFS(Sales!$C:$C,Sales!$B:$B,A62)</f>
        <v>455</v>
      </c>
      <c r="H62">
        <f t="shared" si="0"/>
        <v>403</v>
      </c>
      <c r="I62">
        <f>Table1[[#This Row],[Current Stock]]*Table1[[#This Row],[Unit Cost]]</f>
        <v>16123627</v>
      </c>
      <c r="J62" t="str">
        <f t="shared" si="1"/>
        <v>Ok</v>
      </c>
    </row>
    <row r="63" spans="1:10" hidden="1" x14ac:dyDescent="0.3">
      <c r="A63" t="s">
        <v>132</v>
      </c>
      <c r="B63" t="s">
        <v>133</v>
      </c>
      <c r="C63" t="s">
        <v>13</v>
      </c>
      <c r="D63">
        <v>24604</v>
      </c>
      <c r="E63">
        <v>410</v>
      </c>
      <c r="F63">
        <f>SUMIFS(Purchases!$C:$C,Purchases!$B:$B,A63)</f>
        <v>310</v>
      </c>
      <c r="G63">
        <f>SUMIFS(Sales!$C:$C,Sales!$B:$B,A63)</f>
        <v>378</v>
      </c>
      <c r="H63">
        <f t="shared" si="0"/>
        <v>342</v>
      </c>
      <c r="I63">
        <f>Table1[[#This Row],[Current Stock]]*Table1[[#This Row],[Unit Cost]]</f>
        <v>8414568</v>
      </c>
      <c r="J63" t="str">
        <f t="shared" si="1"/>
        <v>Ok</v>
      </c>
    </row>
    <row r="64" spans="1:10" hidden="1" x14ac:dyDescent="0.3">
      <c r="A64" t="s">
        <v>134</v>
      </c>
      <c r="B64" t="s">
        <v>135</v>
      </c>
      <c r="C64" t="s">
        <v>13</v>
      </c>
      <c r="D64">
        <v>35448</v>
      </c>
      <c r="E64">
        <v>418</v>
      </c>
      <c r="F64">
        <f>SUMIFS(Purchases!$C:$C,Purchases!$B:$B,A64)</f>
        <v>655</v>
      </c>
      <c r="G64">
        <f>SUMIFS(Sales!$C:$C,Sales!$B:$B,A64)</f>
        <v>412</v>
      </c>
      <c r="H64">
        <f t="shared" si="0"/>
        <v>661</v>
      </c>
      <c r="I64">
        <f>Table1[[#This Row],[Current Stock]]*Table1[[#This Row],[Unit Cost]]</f>
        <v>23431128</v>
      </c>
      <c r="J64" t="str">
        <f t="shared" si="1"/>
        <v>Ok</v>
      </c>
    </row>
    <row r="65" spans="1:10" hidden="1" x14ac:dyDescent="0.3">
      <c r="A65" t="s">
        <v>136</v>
      </c>
      <c r="B65" t="s">
        <v>137</v>
      </c>
      <c r="C65" t="s">
        <v>16</v>
      </c>
      <c r="D65">
        <v>137</v>
      </c>
      <c r="E65">
        <v>326</v>
      </c>
      <c r="F65">
        <f>SUMIFS(Purchases!$C:$C,Purchases!$B:$B,A65)</f>
        <v>256</v>
      </c>
      <c r="G65">
        <f>SUMIFS(Sales!$C:$C,Sales!$B:$B,A65)</f>
        <v>415</v>
      </c>
      <c r="H65">
        <f t="shared" si="0"/>
        <v>167</v>
      </c>
      <c r="I65">
        <f>Table1[[#This Row],[Current Stock]]*Table1[[#This Row],[Unit Cost]]</f>
        <v>22879</v>
      </c>
      <c r="J65" t="str">
        <f t="shared" si="1"/>
        <v>Ok</v>
      </c>
    </row>
    <row r="66" spans="1:10" hidden="1" x14ac:dyDescent="0.3">
      <c r="A66" t="s">
        <v>138</v>
      </c>
      <c r="B66" t="s">
        <v>139</v>
      </c>
      <c r="C66" t="s">
        <v>10</v>
      </c>
      <c r="D66">
        <v>32121</v>
      </c>
      <c r="E66">
        <v>29</v>
      </c>
      <c r="F66">
        <f>SUMIFS(Purchases!$C:$C,Purchases!$B:$B,A66)</f>
        <v>618</v>
      </c>
      <c r="G66">
        <f>SUMIFS(Sales!$C:$C,Sales!$B:$B,A66)</f>
        <v>244</v>
      </c>
      <c r="H66">
        <f t="shared" ref="H66:H129" si="2">E66+F66-G66</f>
        <v>403</v>
      </c>
      <c r="I66">
        <f>Table1[[#This Row],[Current Stock]]*Table1[[#This Row],[Unit Cost]]</f>
        <v>12944763</v>
      </c>
      <c r="J66" t="str">
        <f t="shared" ref="J66:J129" si="3">IF(H66&lt;50,"Recorder","Ok")</f>
        <v>Ok</v>
      </c>
    </row>
    <row r="67" spans="1:10" hidden="1" x14ac:dyDescent="0.3">
      <c r="A67" t="s">
        <v>140</v>
      </c>
      <c r="B67" t="s">
        <v>141</v>
      </c>
      <c r="C67" t="s">
        <v>7</v>
      </c>
      <c r="D67">
        <v>23888</v>
      </c>
      <c r="E67">
        <v>469</v>
      </c>
      <c r="F67">
        <f>SUMIFS(Purchases!$C:$C,Purchases!$B:$B,A67)</f>
        <v>281</v>
      </c>
      <c r="G67">
        <f>SUMIFS(Sales!$C:$C,Sales!$B:$B,A67)</f>
        <v>598</v>
      </c>
      <c r="H67">
        <f t="shared" si="2"/>
        <v>152</v>
      </c>
      <c r="I67">
        <f>Table1[[#This Row],[Current Stock]]*Table1[[#This Row],[Unit Cost]]</f>
        <v>3630976</v>
      </c>
      <c r="J67" t="str">
        <f t="shared" si="3"/>
        <v>Ok</v>
      </c>
    </row>
    <row r="68" spans="1:10" hidden="1" x14ac:dyDescent="0.3">
      <c r="A68" t="s">
        <v>142</v>
      </c>
      <c r="B68" t="s">
        <v>143</v>
      </c>
      <c r="C68" t="s">
        <v>10</v>
      </c>
      <c r="D68">
        <v>15792</v>
      </c>
      <c r="E68">
        <v>49</v>
      </c>
      <c r="F68">
        <f>SUMIFS(Purchases!$C:$C,Purchases!$B:$B,A68)</f>
        <v>590</v>
      </c>
      <c r="G68">
        <f>SUMIFS(Sales!$C:$C,Sales!$B:$B,A68)</f>
        <v>428</v>
      </c>
      <c r="H68">
        <f t="shared" si="2"/>
        <v>211</v>
      </c>
      <c r="I68">
        <f>Table1[[#This Row],[Current Stock]]*Table1[[#This Row],[Unit Cost]]</f>
        <v>3332112</v>
      </c>
      <c r="J68" t="str">
        <f t="shared" si="3"/>
        <v>Ok</v>
      </c>
    </row>
    <row r="69" spans="1:10" hidden="1" x14ac:dyDescent="0.3">
      <c r="A69" t="s">
        <v>144</v>
      </c>
      <c r="B69" t="s">
        <v>145</v>
      </c>
      <c r="C69" t="s">
        <v>13</v>
      </c>
      <c r="D69">
        <v>37282</v>
      </c>
      <c r="E69">
        <v>60</v>
      </c>
      <c r="F69">
        <f>SUMIFS(Purchases!$C:$C,Purchases!$B:$B,A69)</f>
        <v>588</v>
      </c>
      <c r="G69">
        <f>SUMIFS(Sales!$C:$C,Sales!$B:$B,A69)</f>
        <v>233</v>
      </c>
      <c r="H69">
        <f t="shared" si="2"/>
        <v>415</v>
      </c>
      <c r="I69">
        <f>Table1[[#This Row],[Current Stock]]*Table1[[#This Row],[Unit Cost]]</f>
        <v>15472030</v>
      </c>
      <c r="J69" t="str">
        <f t="shared" si="3"/>
        <v>Ok</v>
      </c>
    </row>
    <row r="70" spans="1:10" hidden="1" x14ac:dyDescent="0.3">
      <c r="A70" t="s">
        <v>146</v>
      </c>
      <c r="B70" t="s">
        <v>147</v>
      </c>
      <c r="C70" t="s">
        <v>7</v>
      </c>
      <c r="D70">
        <v>48066</v>
      </c>
      <c r="E70">
        <v>268</v>
      </c>
      <c r="F70">
        <f>SUMIFS(Purchases!$C:$C,Purchases!$B:$B,A70)</f>
        <v>705</v>
      </c>
      <c r="G70">
        <f>SUMIFS(Sales!$C:$C,Sales!$B:$B,A70)</f>
        <v>367</v>
      </c>
      <c r="H70">
        <f t="shared" si="2"/>
        <v>606</v>
      </c>
      <c r="I70">
        <f>Table1[[#This Row],[Current Stock]]*Table1[[#This Row],[Unit Cost]]</f>
        <v>29127996</v>
      </c>
      <c r="J70" t="str">
        <f t="shared" si="3"/>
        <v>Ok</v>
      </c>
    </row>
    <row r="71" spans="1:10" hidden="1" x14ac:dyDescent="0.3">
      <c r="A71" t="s">
        <v>148</v>
      </c>
      <c r="B71" t="s">
        <v>149</v>
      </c>
      <c r="C71" t="s">
        <v>7</v>
      </c>
      <c r="D71">
        <v>49946</v>
      </c>
      <c r="E71">
        <v>292</v>
      </c>
      <c r="F71">
        <f>SUMIFS(Purchases!$C:$C,Purchases!$B:$B,A71)</f>
        <v>566</v>
      </c>
      <c r="G71">
        <f>SUMIFS(Sales!$C:$C,Sales!$B:$B,A71)</f>
        <v>327</v>
      </c>
      <c r="H71">
        <f t="shared" si="2"/>
        <v>531</v>
      </c>
      <c r="I71">
        <f>Table1[[#This Row],[Current Stock]]*Table1[[#This Row],[Unit Cost]]</f>
        <v>26521326</v>
      </c>
      <c r="J71" t="str">
        <f t="shared" si="3"/>
        <v>Ok</v>
      </c>
    </row>
    <row r="72" spans="1:10" hidden="1" x14ac:dyDescent="0.3">
      <c r="A72" t="s">
        <v>150</v>
      </c>
      <c r="B72" t="s">
        <v>151</v>
      </c>
      <c r="C72" t="s">
        <v>13</v>
      </c>
      <c r="D72">
        <v>8514</v>
      </c>
      <c r="E72">
        <v>357</v>
      </c>
      <c r="F72">
        <f>SUMIFS(Purchases!$C:$C,Purchases!$B:$B,A72)</f>
        <v>742</v>
      </c>
      <c r="G72">
        <f>SUMIFS(Sales!$C:$C,Sales!$B:$B,A72)</f>
        <v>284</v>
      </c>
      <c r="H72">
        <f t="shared" si="2"/>
        <v>815</v>
      </c>
      <c r="I72">
        <f>Table1[[#This Row],[Current Stock]]*Table1[[#This Row],[Unit Cost]]</f>
        <v>6938910</v>
      </c>
      <c r="J72" t="str">
        <f t="shared" si="3"/>
        <v>Ok</v>
      </c>
    </row>
    <row r="73" spans="1:10" hidden="1" x14ac:dyDescent="0.3">
      <c r="A73" t="s">
        <v>152</v>
      </c>
      <c r="B73" t="s">
        <v>153</v>
      </c>
      <c r="C73" t="s">
        <v>19</v>
      </c>
      <c r="D73">
        <v>36131</v>
      </c>
      <c r="E73">
        <v>104</v>
      </c>
      <c r="F73">
        <f>SUMIFS(Purchases!$C:$C,Purchases!$B:$B,A73)</f>
        <v>711</v>
      </c>
      <c r="G73">
        <f>SUMIFS(Sales!$C:$C,Sales!$B:$B,A73)</f>
        <v>385</v>
      </c>
      <c r="H73">
        <f t="shared" si="2"/>
        <v>430</v>
      </c>
      <c r="I73">
        <f>Table1[[#This Row],[Current Stock]]*Table1[[#This Row],[Unit Cost]]</f>
        <v>15536330</v>
      </c>
      <c r="J73" t="str">
        <f t="shared" si="3"/>
        <v>Ok</v>
      </c>
    </row>
    <row r="74" spans="1:10" hidden="1" x14ac:dyDescent="0.3">
      <c r="A74" t="s">
        <v>154</v>
      </c>
      <c r="B74" t="s">
        <v>155</v>
      </c>
      <c r="C74" t="s">
        <v>10</v>
      </c>
      <c r="D74">
        <v>34681</v>
      </c>
      <c r="E74">
        <v>466</v>
      </c>
      <c r="F74">
        <f>SUMIFS(Purchases!$C:$C,Purchases!$B:$B,A74)</f>
        <v>803</v>
      </c>
      <c r="G74">
        <f>SUMIFS(Sales!$C:$C,Sales!$B:$B,A74)</f>
        <v>286</v>
      </c>
      <c r="H74">
        <f t="shared" si="2"/>
        <v>983</v>
      </c>
      <c r="I74">
        <f>Table1[[#This Row],[Current Stock]]*Table1[[#This Row],[Unit Cost]]</f>
        <v>34091423</v>
      </c>
      <c r="J74" t="str">
        <f t="shared" si="3"/>
        <v>Ok</v>
      </c>
    </row>
    <row r="75" spans="1:10" hidden="1" x14ac:dyDescent="0.3">
      <c r="A75" t="s">
        <v>156</v>
      </c>
      <c r="B75" t="s">
        <v>157</v>
      </c>
      <c r="C75" t="s">
        <v>16</v>
      </c>
      <c r="D75">
        <v>27830</v>
      </c>
      <c r="E75">
        <v>128</v>
      </c>
      <c r="F75">
        <f>SUMIFS(Purchases!$C:$C,Purchases!$B:$B,A75)</f>
        <v>691</v>
      </c>
      <c r="G75">
        <f>SUMIFS(Sales!$C:$C,Sales!$B:$B,A75)</f>
        <v>456</v>
      </c>
      <c r="H75">
        <f t="shared" si="2"/>
        <v>363</v>
      </c>
      <c r="I75">
        <f>Table1[[#This Row],[Current Stock]]*Table1[[#This Row],[Unit Cost]]</f>
        <v>10102290</v>
      </c>
      <c r="J75" t="str">
        <f t="shared" si="3"/>
        <v>Ok</v>
      </c>
    </row>
    <row r="76" spans="1:10" x14ac:dyDescent="0.3">
      <c r="A76" t="s">
        <v>158</v>
      </c>
      <c r="B76" t="s">
        <v>159</v>
      </c>
      <c r="C76" t="s">
        <v>16</v>
      </c>
      <c r="D76">
        <v>49597</v>
      </c>
      <c r="E76">
        <v>393</v>
      </c>
      <c r="F76">
        <f>SUMIFS(Purchases!$C:$C,Purchases!$B:$B,A76)</f>
        <v>80</v>
      </c>
      <c r="G76">
        <f>SUMIFS(Sales!$C:$C,Sales!$B:$B,A76)</f>
        <v>427</v>
      </c>
      <c r="H76">
        <f t="shared" si="2"/>
        <v>46</v>
      </c>
      <c r="I76">
        <f>Table1[[#This Row],[Current Stock]]*Table1[[#This Row],[Unit Cost]]</f>
        <v>2281462</v>
      </c>
      <c r="J76" t="str">
        <f t="shared" si="3"/>
        <v>Recorder</v>
      </c>
    </row>
    <row r="77" spans="1:10" hidden="1" x14ac:dyDescent="0.3">
      <c r="A77" t="s">
        <v>160</v>
      </c>
      <c r="B77" t="s">
        <v>161</v>
      </c>
      <c r="C77" t="s">
        <v>13</v>
      </c>
      <c r="D77">
        <v>46823</v>
      </c>
      <c r="E77">
        <v>179</v>
      </c>
      <c r="F77">
        <f>SUMIFS(Purchases!$C:$C,Purchases!$B:$B,A77)</f>
        <v>670</v>
      </c>
      <c r="G77">
        <f>SUMIFS(Sales!$C:$C,Sales!$B:$B,A77)</f>
        <v>559</v>
      </c>
      <c r="H77">
        <f t="shared" si="2"/>
        <v>290</v>
      </c>
      <c r="I77">
        <f>Table1[[#This Row],[Current Stock]]*Table1[[#This Row],[Unit Cost]]</f>
        <v>13578670</v>
      </c>
      <c r="J77" t="str">
        <f t="shared" si="3"/>
        <v>Ok</v>
      </c>
    </row>
    <row r="78" spans="1:10" hidden="1" x14ac:dyDescent="0.3">
      <c r="A78" t="s">
        <v>162</v>
      </c>
      <c r="B78" t="s">
        <v>163</v>
      </c>
      <c r="C78" t="s">
        <v>19</v>
      </c>
      <c r="D78">
        <v>44119</v>
      </c>
      <c r="E78">
        <v>352</v>
      </c>
      <c r="F78">
        <f>SUMIFS(Purchases!$C:$C,Purchases!$B:$B,A78)</f>
        <v>664</v>
      </c>
      <c r="G78">
        <f>SUMIFS(Sales!$C:$C,Sales!$B:$B,A78)</f>
        <v>388</v>
      </c>
      <c r="H78">
        <f t="shared" si="2"/>
        <v>628</v>
      </c>
      <c r="I78">
        <f>Table1[[#This Row],[Current Stock]]*Table1[[#This Row],[Unit Cost]]</f>
        <v>27706732</v>
      </c>
      <c r="J78" t="str">
        <f t="shared" si="3"/>
        <v>Ok</v>
      </c>
    </row>
    <row r="79" spans="1:10" hidden="1" x14ac:dyDescent="0.3">
      <c r="A79" t="s">
        <v>164</v>
      </c>
      <c r="B79" t="s">
        <v>165</v>
      </c>
      <c r="C79" t="s">
        <v>10</v>
      </c>
      <c r="D79">
        <v>28811</v>
      </c>
      <c r="E79">
        <v>480</v>
      </c>
      <c r="F79">
        <f>SUMIFS(Purchases!$C:$C,Purchases!$B:$B,A79)</f>
        <v>225</v>
      </c>
      <c r="G79">
        <f>SUMIFS(Sales!$C:$C,Sales!$B:$B,A79)</f>
        <v>475</v>
      </c>
      <c r="H79">
        <f t="shared" si="2"/>
        <v>230</v>
      </c>
      <c r="I79">
        <f>Table1[[#This Row],[Current Stock]]*Table1[[#This Row],[Unit Cost]]</f>
        <v>6626530</v>
      </c>
      <c r="J79" t="str">
        <f t="shared" si="3"/>
        <v>Ok</v>
      </c>
    </row>
    <row r="80" spans="1:10" hidden="1" x14ac:dyDescent="0.3">
      <c r="A80" t="s">
        <v>166</v>
      </c>
      <c r="B80" t="s">
        <v>167</v>
      </c>
      <c r="C80" t="s">
        <v>16</v>
      </c>
      <c r="D80">
        <v>29688</v>
      </c>
      <c r="E80">
        <v>81</v>
      </c>
      <c r="F80">
        <f>SUMIFS(Purchases!$C:$C,Purchases!$B:$B,A80)</f>
        <v>810</v>
      </c>
      <c r="G80">
        <f>SUMIFS(Sales!$C:$C,Sales!$B:$B,A80)</f>
        <v>527</v>
      </c>
      <c r="H80">
        <f t="shared" si="2"/>
        <v>364</v>
      </c>
      <c r="I80">
        <f>Table1[[#This Row],[Current Stock]]*Table1[[#This Row],[Unit Cost]]</f>
        <v>10806432</v>
      </c>
      <c r="J80" t="str">
        <f t="shared" si="3"/>
        <v>Ok</v>
      </c>
    </row>
    <row r="81" spans="1:10" x14ac:dyDescent="0.3">
      <c r="A81" t="s">
        <v>168</v>
      </c>
      <c r="B81" t="s">
        <v>169</v>
      </c>
      <c r="C81" t="s">
        <v>13</v>
      </c>
      <c r="D81">
        <v>14825</v>
      </c>
      <c r="E81">
        <v>52</v>
      </c>
      <c r="F81">
        <f>SUMIFS(Purchases!$C:$C,Purchases!$B:$B,A81)</f>
        <v>116</v>
      </c>
      <c r="G81">
        <f>SUMIFS(Sales!$C:$C,Sales!$B:$B,A81)</f>
        <v>234</v>
      </c>
      <c r="H81">
        <f t="shared" si="2"/>
        <v>-66</v>
      </c>
      <c r="I81">
        <f>Table1[[#This Row],[Current Stock]]*Table1[[#This Row],[Unit Cost]]</f>
        <v>-978450</v>
      </c>
      <c r="J81" t="str">
        <f t="shared" si="3"/>
        <v>Recorder</v>
      </c>
    </row>
    <row r="82" spans="1:10" hidden="1" x14ac:dyDescent="0.3">
      <c r="A82" t="s">
        <v>170</v>
      </c>
      <c r="B82" t="s">
        <v>171</v>
      </c>
      <c r="C82" t="s">
        <v>10</v>
      </c>
      <c r="D82">
        <v>1478</v>
      </c>
      <c r="E82">
        <v>321</v>
      </c>
      <c r="F82">
        <f>SUMIFS(Purchases!$C:$C,Purchases!$B:$B,A82)</f>
        <v>361</v>
      </c>
      <c r="G82">
        <f>SUMIFS(Sales!$C:$C,Sales!$B:$B,A82)</f>
        <v>226</v>
      </c>
      <c r="H82">
        <f t="shared" si="2"/>
        <v>456</v>
      </c>
      <c r="I82">
        <f>Table1[[#This Row],[Current Stock]]*Table1[[#This Row],[Unit Cost]]</f>
        <v>673968</v>
      </c>
      <c r="J82" t="str">
        <f t="shared" si="3"/>
        <v>Ok</v>
      </c>
    </row>
    <row r="83" spans="1:10" hidden="1" x14ac:dyDescent="0.3">
      <c r="A83" t="s">
        <v>172</v>
      </c>
      <c r="B83" t="s">
        <v>173</v>
      </c>
      <c r="C83" t="s">
        <v>16</v>
      </c>
      <c r="D83">
        <v>15180</v>
      </c>
      <c r="E83">
        <v>321</v>
      </c>
      <c r="F83">
        <f>SUMIFS(Purchases!$C:$C,Purchases!$B:$B,A83)</f>
        <v>334</v>
      </c>
      <c r="G83">
        <f>SUMIFS(Sales!$C:$C,Sales!$B:$B,A83)</f>
        <v>380</v>
      </c>
      <c r="H83">
        <f t="shared" si="2"/>
        <v>275</v>
      </c>
      <c r="I83">
        <f>Table1[[#This Row],[Current Stock]]*Table1[[#This Row],[Unit Cost]]</f>
        <v>4174500</v>
      </c>
      <c r="J83" t="str">
        <f t="shared" si="3"/>
        <v>Ok</v>
      </c>
    </row>
    <row r="84" spans="1:10" hidden="1" x14ac:dyDescent="0.3">
      <c r="A84" t="s">
        <v>174</v>
      </c>
      <c r="B84" t="s">
        <v>175</v>
      </c>
      <c r="C84" t="s">
        <v>13</v>
      </c>
      <c r="D84">
        <v>571</v>
      </c>
      <c r="E84">
        <v>56</v>
      </c>
      <c r="F84">
        <f>SUMIFS(Purchases!$C:$C,Purchases!$B:$B,A84)</f>
        <v>645</v>
      </c>
      <c r="G84">
        <f>SUMIFS(Sales!$C:$C,Sales!$B:$B,A84)</f>
        <v>321</v>
      </c>
      <c r="H84">
        <f t="shared" si="2"/>
        <v>380</v>
      </c>
      <c r="I84">
        <f>Table1[[#This Row],[Current Stock]]*Table1[[#This Row],[Unit Cost]]</f>
        <v>216980</v>
      </c>
      <c r="J84" t="str">
        <f t="shared" si="3"/>
        <v>Ok</v>
      </c>
    </row>
    <row r="85" spans="1:10" x14ac:dyDescent="0.3">
      <c r="A85" t="s">
        <v>176</v>
      </c>
      <c r="B85" t="s">
        <v>177</v>
      </c>
      <c r="C85" t="s">
        <v>7</v>
      </c>
      <c r="D85">
        <v>15103</v>
      </c>
      <c r="E85">
        <v>54</v>
      </c>
      <c r="F85">
        <f>SUMIFS(Purchases!$C:$C,Purchases!$B:$B,A85)</f>
        <v>245</v>
      </c>
      <c r="G85">
        <f>SUMIFS(Sales!$C:$C,Sales!$B:$B,A85)</f>
        <v>256</v>
      </c>
      <c r="H85">
        <f t="shared" si="2"/>
        <v>43</v>
      </c>
      <c r="I85">
        <f>Table1[[#This Row],[Current Stock]]*Table1[[#This Row],[Unit Cost]]</f>
        <v>649429</v>
      </c>
      <c r="J85" t="str">
        <f t="shared" si="3"/>
        <v>Recorder</v>
      </c>
    </row>
    <row r="86" spans="1:10" hidden="1" x14ac:dyDescent="0.3">
      <c r="A86" t="s">
        <v>178</v>
      </c>
      <c r="B86" t="s">
        <v>179</v>
      </c>
      <c r="C86" t="s">
        <v>7</v>
      </c>
      <c r="D86">
        <v>21754</v>
      </c>
      <c r="E86">
        <v>56</v>
      </c>
      <c r="F86">
        <f>SUMIFS(Purchases!$C:$C,Purchases!$B:$B,A86)</f>
        <v>323</v>
      </c>
      <c r="G86">
        <f>SUMIFS(Sales!$C:$C,Sales!$B:$B,A86)</f>
        <v>304</v>
      </c>
      <c r="H86">
        <f t="shared" si="2"/>
        <v>75</v>
      </c>
      <c r="I86">
        <f>Table1[[#This Row],[Current Stock]]*Table1[[#This Row],[Unit Cost]]</f>
        <v>1631550</v>
      </c>
      <c r="J86" t="str">
        <f t="shared" si="3"/>
        <v>Ok</v>
      </c>
    </row>
    <row r="87" spans="1:10" hidden="1" x14ac:dyDescent="0.3">
      <c r="A87" t="s">
        <v>180</v>
      </c>
      <c r="B87" t="s">
        <v>181</v>
      </c>
      <c r="C87" t="s">
        <v>16</v>
      </c>
      <c r="D87">
        <v>15697</v>
      </c>
      <c r="E87">
        <v>162</v>
      </c>
      <c r="F87">
        <f>SUMIFS(Purchases!$C:$C,Purchases!$B:$B,A87)</f>
        <v>343</v>
      </c>
      <c r="G87">
        <f>SUMIFS(Sales!$C:$C,Sales!$B:$B,A87)</f>
        <v>412</v>
      </c>
      <c r="H87">
        <f t="shared" si="2"/>
        <v>93</v>
      </c>
      <c r="I87">
        <f>Table1[[#This Row],[Current Stock]]*Table1[[#This Row],[Unit Cost]]</f>
        <v>1459821</v>
      </c>
      <c r="J87" t="str">
        <f t="shared" si="3"/>
        <v>Ok</v>
      </c>
    </row>
    <row r="88" spans="1:10" hidden="1" x14ac:dyDescent="0.3">
      <c r="A88" t="s">
        <v>182</v>
      </c>
      <c r="B88" t="s">
        <v>183</v>
      </c>
      <c r="C88" t="s">
        <v>19</v>
      </c>
      <c r="D88">
        <v>14140</v>
      </c>
      <c r="E88">
        <v>296</v>
      </c>
      <c r="F88">
        <f>SUMIFS(Purchases!$C:$C,Purchases!$B:$B,A88)</f>
        <v>565</v>
      </c>
      <c r="G88">
        <f>SUMIFS(Sales!$C:$C,Sales!$B:$B,A88)</f>
        <v>297</v>
      </c>
      <c r="H88">
        <f t="shared" si="2"/>
        <v>564</v>
      </c>
      <c r="I88">
        <f>Table1[[#This Row],[Current Stock]]*Table1[[#This Row],[Unit Cost]]</f>
        <v>7974960</v>
      </c>
      <c r="J88" t="str">
        <f t="shared" si="3"/>
        <v>Ok</v>
      </c>
    </row>
    <row r="89" spans="1:10" hidden="1" x14ac:dyDescent="0.3">
      <c r="A89" t="s">
        <v>184</v>
      </c>
      <c r="B89" t="s">
        <v>185</v>
      </c>
      <c r="C89" t="s">
        <v>13</v>
      </c>
      <c r="D89">
        <v>47505</v>
      </c>
      <c r="E89">
        <v>498</v>
      </c>
      <c r="F89">
        <f>SUMIFS(Purchases!$C:$C,Purchases!$B:$B,A89)</f>
        <v>722</v>
      </c>
      <c r="G89">
        <f>SUMIFS(Sales!$C:$C,Sales!$B:$B,A89)</f>
        <v>314</v>
      </c>
      <c r="H89">
        <f t="shared" si="2"/>
        <v>906</v>
      </c>
      <c r="I89">
        <f>Table1[[#This Row],[Current Stock]]*Table1[[#This Row],[Unit Cost]]</f>
        <v>43039530</v>
      </c>
      <c r="J89" t="str">
        <f t="shared" si="3"/>
        <v>Ok</v>
      </c>
    </row>
    <row r="90" spans="1:10" hidden="1" x14ac:dyDescent="0.3">
      <c r="A90" t="s">
        <v>186</v>
      </c>
      <c r="B90" t="s">
        <v>187</v>
      </c>
      <c r="C90" t="s">
        <v>16</v>
      </c>
      <c r="D90">
        <v>37862</v>
      </c>
      <c r="E90">
        <v>262</v>
      </c>
      <c r="F90">
        <f>SUMIFS(Purchases!$C:$C,Purchases!$B:$B,A90)</f>
        <v>628</v>
      </c>
      <c r="G90">
        <f>SUMIFS(Sales!$C:$C,Sales!$B:$B,A90)</f>
        <v>211</v>
      </c>
      <c r="H90">
        <f t="shared" si="2"/>
        <v>679</v>
      </c>
      <c r="I90">
        <f>Table1[[#This Row],[Current Stock]]*Table1[[#This Row],[Unit Cost]]</f>
        <v>25708298</v>
      </c>
      <c r="J90" t="str">
        <f t="shared" si="3"/>
        <v>Ok</v>
      </c>
    </row>
    <row r="91" spans="1:10" hidden="1" x14ac:dyDescent="0.3">
      <c r="A91" t="s">
        <v>188</v>
      </c>
      <c r="B91" t="s">
        <v>189</v>
      </c>
      <c r="C91" t="s">
        <v>13</v>
      </c>
      <c r="D91">
        <v>31096</v>
      </c>
      <c r="E91">
        <v>433</v>
      </c>
      <c r="F91">
        <f>SUMIFS(Purchases!$C:$C,Purchases!$B:$B,A91)</f>
        <v>693</v>
      </c>
      <c r="G91">
        <f>SUMIFS(Sales!$C:$C,Sales!$B:$B,A91)</f>
        <v>213</v>
      </c>
      <c r="H91">
        <f t="shared" si="2"/>
        <v>913</v>
      </c>
      <c r="I91">
        <f>Table1[[#This Row],[Current Stock]]*Table1[[#This Row],[Unit Cost]]</f>
        <v>28390648</v>
      </c>
      <c r="J91" t="str">
        <f t="shared" si="3"/>
        <v>Ok</v>
      </c>
    </row>
    <row r="92" spans="1:10" hidden="1" x14ac:dyDescent="0.3">
      <c r="A92" t="s">
        <v>190</v>
      </c>
      <c r="B92" t="s">
        <v>191</v>
      </c>
      <c r="C92" t="s">
        <v>19</v>
      </c>
      <c r="D92">
        <v>12578</v>
      </c>
      <c r="E92">
        <v>68</v>
      </c>
      <c r="F92">
        <f>SUMIFS(Purchases!$C:$C,Purchases!$B:$B,A92)</f>
        <v>764</v>
      </c>
      <c r="G92">
        <f>SUMIFS(Sales!$C:$C,Sales!$B:$B,A92)</f>
        <v>399</v>
      </c>
      <c r="H92">
        <f t="shared" si="2"/>
        <v>433</v>
      </c>
      <c r="I92">
        <f>Table1[[#This Row],[Current Stock]]*Table1[[#This Row],[Unit Cost]]</f>
        <v>5446274</v>
      </c>
      <c r="J92" t="str">
        <f t="shared" si="3"/>
        <v>Ok</v>
      </c>
    </row>
    <row r="93" spans="1:10" hidden="1" x14ac:dyDescent="0.3">
      <c r="A93" t="s">
        <v>192</v>
      </c>
      <c r="B93" t="s">
        <v>193</v>
      </c>
      <c r="C93" t="s">
        <v>7</v>
      </c>
      <c r="D93">
        <v>43287</v>
      </c>
      <c r="E93">
        <v>240</v>
      </c>
      <c r="F93">
        <f>SUMIFS(Purchases!$C:$C,Purchases!$B:$B,A93)</f>
        <v>368</v>
      </c>
      <c r="G93">
        <f>SUMIFS(Sales!$C:$C,Sales!$B:$B,A93)</f>
        <v>438</v>
      </c>
      <c r="H93">
        <f t="shared" si="2"/>
        <v>170</v>
      </c>
      <c r="I93">
        <f>Table1[[#This Row],[Current Stock]]*Table1[[#This Row],[Unit Cost]]</f>
        <v>7358790</v>
      </c>
      <c r="J93" t="str">
        <f t="shared" si="3"/>
        <v>Ok</v>
      </c>
    </row>
    <row r="94" spans="1:10" hidden="1" x14ac:dyDescent="0.3">
      <c r="A94" t="s">
        <v>194</v>
      </c>
      <c r="B94" t="s">
        <v>195</v>
      </c>
      <c r="C94" t="s">
        <v>10</v>
      </c>
      <c r="D94">
        <v>27859</v>
      </c>
      <c r="E94">
        <v>230</v>
      </c>
      <c r="F94">
        <f>SUMIFS(Purchases!$C:$C,Purchases!$B:$B,A94)</f>
        <v>809</v>
      </c>
      <c r="G94">
        <f>SUMIFS(Sales!$C:$C,Sales!$B:$B,A94)</f>
        <v>392</v>
      </c>
      <c r="H94">
        <f t="shared" si="2"/>
        <v>647</v>
      </c>
      <c r="I94">
        <f>Table1[[#This Row],[Current Stock]]*Table1[[#This Row],[Unit Cost]]</f>
        <v>18024773</v>
      </c>
      <c r="J94" t="str">
        <f t="shared" si="3"/>
        <v>Ok</v>
      </c>
    </row>
    <row r="95" spans="1:10" x14ac:dyDescent="0.3">
      <c r="A95" t="s">
        <v>196</v>
      </c>
      <c r="B95" t="s">
        <v>197</v>
      </c>
      <c r="C95" t="s">
        <v>19</v>
      </c>
      <c r="D95">
        <v>47880</v>
      </c>
      <c r="E95">
        <v>47</v>
      </c>
      <c r="F95">
        <f>SUMIFS(Purchases!$C:$C,Purchases!$B:$B,A95)</f>
        <v>156</v>
      </c>
      <c r="G95">
        <f>SUMIFS(Sales!$C:$C,Sales!$B:$B,A95)</f>
        <v>634</v>
      </c>
      <c r="H95">
        <f t="shared" si="2"/>
        <v>-431</v>
      </c>
      <c r="I95">
        <f>Table1[[#This Row],[Current Stock]]*Table1[[#This Row],[Unit Cost]]</f>
        <v>-20636280</v>
      </c>
      <c r="J95" t="str">
        <f t="shared" si="3"/>
        <v>Recorder</v>
      </c>
    </row>
    <row r="96" spans="1:10" hidden="1" x14ac:dyDescent="0.3">
      <c r="A96" t="s">
        <v>198</v>
      </c>
      <c r="B96" t="s">
        <v>199</v>
      </c>
      <c r="C96" t="s">
        <v>7</v>
      </c>
      <c r="D96">
        <v>4072</v>
      </c>
      <c r="E96">
        <v>226</v>
      </c>
      <c r="F96">
        <f>SUMIFS(Purchases!$C:$C,Purchases!$B:$B,A96)</f>
        <v>459</v>
      </c>
      <c r="G96">
        <f>SUMIFS(Sales!$C:$C,Sales!$B:$B,A96)</f>
        <v>338</v>
      </c>
      <c r="H96">
        <f t="shared" si="2"/>
        <v>347</v>
      </c>
      <c r="I96">
        <f>Table1[[#This Row],[Current Stock]]*Table1[[#This Row],[Unit Cost]]</f>
        <v>1412984</v>
      </c>
      <c r="J96" t="str">
        <f t="shared" si="3"/>
        <v>Ok</v>
      </c>
    </row>
    <row r="97" spans="1:10" hidden="1" x14ac:dyDescent="0.3">
      <c r="A97" t="s">
        <v>200</v>
      </c>
      <c r="B97" t="s">
        <v>201</v>
      </c>
      <c r="C97" t="s">
        <v>10</v>
      </c>
      <c r="D97">
        <v>7261</v>
      </c>
      <c r="E97">
        <v>147</v>
      </c>
      <c r="F97">
        <f>SUMIFS(Purchases!$C:$C,Purchases!$B:$B,A97)</f>
        <v>484</v>
      </c>
      <c r="G97">
        <f>SUMIFS(Sales!$C:$C,Sales!$B:$B,A97)</f>
        <v>372</v>
      </c>
      <c r="H97">
        <f t="shared" si="2"/>
        <v>259</v>
      </c>
      <c r="I97">
        <f>Table1[[#This Row],[Current Stock]]*Table1[[#This Row],[Unit Cost]]</f>
        <v>1880599</v>
      </c>
      <c r="J97" t="str">
        <f t="shared" si="3"/>
        <v>Ok</v>
      </c>
    </row>
    <row r="98" spans="1:10" hidden="1" x14ac:dyDescent="0.3">
      <c r="A98" t="s">
        <v>202</v>
      </c>
      <c r="B98" t="s">
        <v>203</v>
      </c>
      <c r="C98" t="s">
        <v>13</v>
      </c>
      <c r="D98">
        <v>12565</v>
      </c>
      <c r="E98">
        <v>294</v>
      </c>
      <c r="F98">
        <f>SUMIFS(Purchases!$C:$C,Purchases!$B:$B,A98)</f>
        <v>572</v>
      </c>
      <c r="G98">
        <f>SUMIFS(Sales!$C:$C,Sales!$B:$B,A98)</f>
        <v>480</v>
      </c>
      <c r="H98">
        <f t="shared" si="2"/>
        <v>386</v>
      </c>
      <c r="I98">
        <f>Table1[[#This Row],[Current Stock]]*Table1[[#This Row],[Unit Cost]]</f>
        <v>4850090</v>
      </c>
      <c r="J98" t="str">
        <f t="shared" si="3"/>
        <v>Ok</v>
      </c>
    </row>
    <row r="99" spans="1:10" hidden="1" x14ac:dyDescent="0.3">
      <c r="A99" t="s">
        <v>204</v>
      </c>
      <c r="B99" t="s">
        <v>205</v>
      </c>
      <c r="C99" t="s">
        <v>19</v>
      </c>
      <c r="D99">
        <v>9286</v>
      </c>
      <c r="E99">
        <v>236</v>
      </c>
      <c r="F99">
        <f>SUMIFS(Purchases!$C:$C,Purchases!$B:$B,A99)</f>
        <v>350</v>
      </c>
      <c r="G99">
        <f>SUMIFS(Sales!$C:$C,Sales!$B:$B,A99)</f>
        <v>433</v>
      </c>
      <c r="H99">
        <f t="shared" si="2"/>
        <v>153</v>
      </c>
      <c r="I99">
        <f>Table1[[#This Row],[Current Stock]]*Table1[[#This Row],[Unit Cost]]</f>
        <v>1420758</v>
      </c>
      <c r="J99" t="str">
        <f t="shared" si="3"/>
        <v>Ok</v>
      </c>
    </row>
    <row r="100" spans="1:10" x14ac:dyDescent="0.3">
      <c r="A100" t="s">
        <v>206</v>
      </c>
      <c r="B100" t="s">
        <v>207</v>
      </c>
      <c r="C100" t="s">
        <v>13</v>
      </c>
      <c r="D100">
        <v>18354</v>
      </c>
      <c r="E100">
        <v>256</v>
      </c>
      <c r="F100">
        <f>SUMIFS(Purchases!$C:$C,Purchases!$B:$B,A100)</f>
        <v>321</v>
      </c>
      <c r="G100">
        <f>SUMIFS(Sales!$C:$C,Sales!$B:$B,A100)</f>
        <v>570</v>
      </c>
      <c r="H100">
        <f t="shared" si="2"/>
        <v>7</v>
      </c>
      <c r="I100">
        <f>Table1[[#This Row],[Current Stock]]*Table1[[#This Row],[Unit Cost]]</f>
        <v>128478</v>
      </c>
      <c r="J100" t="str">
        <f t="shared" si="3"/>
        <v>Recorder</v>
      </c>
    </row>
    <row r="101" spans="1:10" hidden="1" x14ac:dyDescent="0.3">
      <c r="A101" t="s">
        <v>208</v>
      </c>
      <c r="B101" t="s">
        <v>209</v>
      </c>
      <c r="C101" t="s">
        <v>13</v>
      </c>
      <c r="D101">
        <v>5040</v>
      </c>
      <c r="E101">
        <v>246</v>
      </c>
      <c r="F101">
        <f>SUMIFS(Purchases!$C:$C,Purchases!$B:$B,A101)</f>
        <v>239</v>
      </c>
      <c r="G101">
        <f>SUMIFS(Sales!$C:$C,Sales!$B:$B,A101)</f>
        <v>423</v>
      </c>
      <c r="H101">
        <f t="shared" si="2"/>
        <v>62</v>
      </c>
      <c r="I101">
        <f>Table1[[#This Row],[Current Stock]]*Table1[[#This Row],[Unit Cost]]</f>
        <v>312480</v>
      </c>
      <c r="J101" t="str">
        <f t="shared" si="3"/>
        <v>Ok</v>
      </c>
    </row>
    <row r="102" spans="1:10" x14ac:dyDescent="0.3">
      <c r="A102" t="s">
        <v>210</v>
      </c>
      <c r="B102" t="s">
        <v>211</v>
      </c>
      <c r="C102" t="s">
        <v>16</v>
      </c>
      <c r="D102">
        <v>6516</v>
      </c>
      <c r="E102">
        <v>45</v>
      </c>
      <c r="F102">
        <f>SUMIFS(Purchases!$C:$C,Purchases!$B:$B,A102)</f>
        <v>97</v>
      </c>
      <c r="G102">
        <f>SUMIFS(Sales!$C:$C,Sales!$B:$B,A102)</f>
        <v>329</v>
      </c>
      <c r="H102">
        <f t="shared" si="2"/>
        <v>-187</v>
      </c>
      <c r="I102">
        <f>Table1[[#This Row],[Current Stock]]*Table1[[#This Row],[Unit Cost]]</f>
        <v>-1218492</v>
      </c>
      <c r="J102" t="str">
        <f t="shared" si="3"/>
        <v>Recorder</v>
      </c>
    </row>
    <row r="103" spans="1:10" hidden="1" x14ac:dyDescent="0.3">
      <c r="A103" t="s">
        <v>212</v>
      </c>
      <c r="B103" t="s">
        <v>213</v>
      </c>
      <c r="C103" t="s">
        <v>16</v>
      </c>
      <c r="D103">
        <v>1067</v>
      </c>
      <c r="E103">
        <v>67</v>
      </c>
      <c r="F103">
        <f>SUMIFS(Purchases!$C:$C,Purchases!$B:$B,A103)</f>
        <v>545</v>
      </c>
      <c r="G103">
        <f>SUMIFS(Sales!$C:$C,Sales!$B:$B,A103)</f>
        <v>544</v>
      </c>
      <c r="H103">
        <f t="shared" si="2"/>
        <v>68</v>
      </c>
      <c r="I103">
        <f>Table1[[#This Row],[Current Stock]]*Table1[[#This Row],[Unit Cost]]</f>
        <v>72556</v>
      </c>
      <c r="J103" t="str">
        <f t="shared" si="3"/>
        <v>Ok</v>
      </c>
    </row>
    <row r="104" spans="1:10" hidden="1" x14ac:dyDescent="0.3">
      <c r="A104" t="s">
        <v>214</v>
      </c>
      <c r="B104" t="s">
        <v>215</v>
      </c>
      <c r="C104" t="s">
        <v>13</v>
      </c>
      <c r="D104">
        <v>10999</v>
      </c>
      <c r="E104">
        <v>228</v>
      </c>
      <c r="F104">
        <f>SUMIFS(Purchases!$C:$C,Purchases!$B:$B,A104)</f>
        <v>800</v>
      </c>
      <c r="G104">
        <f>SUMIFS(Sales!$C:$C,Sales!$B:$B,A104)</f>
        <v>404</v>
      </c>
      <c r="H104">
        <f t="shared" si="2"/>
        <v>624</v>
      </c>
      <c r="I104">
        <f>Table1[[#This Row],[Current Stock]]*Table1[[#This Row],[Unit Cost]]</f>
        <v>6863376</v>
      </c>
      <c r="J104" t="str">
        <f t="shared" si="3"/>
        <v>Ok</v>
      </c>
    </row>
    <row r="105" spans="1:10" hidden="1" x14ac:dyDescent="0.3">
      <c r="A105" t="s">
        <v>216</v>
      </c>
      <c r="B105" t="s">
        <v>217</v>
      </c>
      <c r="C105" t="s">
        <v>19</v>
      </c>
      <c r="D105">
        <v>31646</v>
      </c>
      <c r="E105">
        <v>129</v>
      </c>
      <c r="F105">
        <f>SUMIFS(Purchases!$C:$C,Purchases!$B:$B,A105)</f>
        <v>738</v>
      </c>
      <c r="G105">
        <f>SUMIFS(Sales!$C:$C,Sales!$B:$B,A105)</f>
        <v>230</v>
      </c>
      <c r="H105">
        <f t="shared" si="2"/>
        <v>637</v>
      </c>
      <c r="I105">
        <f>Table1[[#This Row],[Current Stock]]*Table1[[#This Row],[Unit Cost]]</f>
        <v>20158502</v>
      </c>
      <c r="J105" t="str">
        <f t="shared" si="3"/>
        <v>Ok</v>
      </c>
    </row>
    <row r="106" spans="1:10" x14ac:dyDescent="0.3">
      <c r="A106" t="s">
        <v>218</v>
      </c>
      <c r="B106" t="s">
        <v>219</v>
      </c>
      <c r="C106" t="s">
        <v>19</v>
      </c>
      <c r="D106">
        <v>3942</v>
      </c>
      <c r="E106">
        <v>104</v>
      </c>
      <c r="F106">
        <f>SUMIFS(Purchases!$C:$C,Purchases!$B:$B,A106)</f>
        <v>193</v>
      </c>
      <c r="G106">
        <f>SUMIFS(Sales!$C:$C,Sales!$B:$B,A106)</f>
        <v>382</v>
      </c>
      <c r="H106">
        <f t="shared" si="2"/>
        <v>-85</v>
      </c>
      <c r="I106">
        <f>Table1[[#This Row],[Current Stock]]*Table1[[#This Row],[Unit Cost]]</f>
        <v>-335070</v>
      </c>
      <c r="J106" t="str">
        <f t="shared" si="3"/>
        <v>Recorder</v>
      </c>
    </row>
    <row r="107" spans="1:10" hidden="1" x14ac:dyDescent="0.3">
      <c r="A107" t="s">
        <v>220</v>
      </c>
      <c r="B107" t="s">
        <v>221</v>
      </c>
      <c r="C107" t="s">
        <v>19</v>
      </c>
      <c r="D107">
        <v>241</v>
      </c>
      <c r="E107">
        <v>219</v>
      </c>
      <c r="F107">
        <f>SUMIFS(Purchases!$C:$C,Purchases!$B:$B,A107)</f>
        <v>719</v>
      </c>
      <c r="G107">
        <f>SUMIFS(Sales!$C:$C,Sales!$B:$B,A107)</f>
        <v>494</v>
      </c>
      <c r="H107">
        <f t="shared" si="2"/>
        <v>444</v>
      </c>
      <c r="I107">
        <f>Table1[[#This Row],[Current Stock]]*Table1[[#This Row],[Unit Cost]]</f>
        <v>107004</v>
      </c>
      <c r="J107" t="str">
        <f t="shared" si="3"/>
        <v>Ok</v>
      </c>
    </row>
    <row r="108" spans="1:10" hidden="1" x14ac:dyDescent="0.3">
      <c r="A108" t="s">
        <v>222</v>
      </c>
      <c r="B108" t="s">
        <v>223</v>
      </c>
      <c r="C108" t="s">
        <v>10</v>
      </c>
      <c r="D108">
        <v>29919</v>
      </c>
      <c r="E108">
        <v>166</v>
      </c>
      <c r="F108">
        <f>SUMIFS(Purchases!$C:$C,Purchases!$B:$B,A108)</f>
        <v>223</v>
      </c>
      <c r="G108">
        <f>SUMIFS(Sales!$C:$C,Sales!$B:$B,A108)</f>
        <v>315</v>
      </c>
      <c r="H108">
        <f t="shared" si="2"/>
        <v>74</v>
      </c>
      <c r="I108">
        <f>Table1[[#This Row],[Current Stock]]*Table1[[#This Row],[Unit Cost]]</f>
        <v>2214006</v>
      </c>
      <c r="J108" t="str">
        <f t="shared" si="3"/>
        <v>Ok</v>
      </c>
    </row>
    <row r="109" spans="1:10" hidden="1" x14ac:dyDescent="0.3">
      <c r="A109" t="s">
        <v>224</v>
      </c>
      <c r="B109" t="s">
        <v>225</v>
      </c>
      <c r="C109" t="s">
        <v>19</v>
      </c>
      <c r="D109">
        <v>45751</v>
      </c>
      <c r="E109">
        <v>394</v>
      </c>
      <c r="F109">
        <f>SUMIFS(Purchases!$C:$C,Purchases!$B:$B,A109)</f>
        <v>1093</v>
      </c>
      <c r="G109">
        <f>SUMIFS(Sales!$C:$C,Sales!$B:$B,A109)</f>
        <v>615</v>
      </c>
      <c r="H109">
        <f t="shared" si="2"/>
        <v>872</v>
      </c>
      <c r="I109">
        <f>Table1[[#This Row],[Current Stock]]*Table1[[#This Row],[Unit Cost]]</f>
        <v>39894872</v>
      </c>
      <c r="J109" t="str">
        <f t="shared" si="3"/>
        <v>Ok</v>
      </c>
    </row>
    <row r="110" spans="1:10" hidden="1" x14ac:dyDescent="0.3">
      <c r="A110" t="s">
        <v>226</v>
      </c>
      <c r="B110" t="s">
        <v>227</v>
      </c>
      <c r="C110" t="s">
        <v>16</v>
      </c>
      <c r="D110">
        <v>43476</v>
      </c>
      <c r="E110">
        <v>387</v>
      </c>
      <c r="F110">
        <f>SUMIFS(Purchases!$C:$C,Purchases!$B:$B,A110)</f>
        <v>367</v>
      </c>
      <c r="G110">
        <f>SUMIFS(Sales!$C:$C,Sales!$B:$B,A110)</f>
        <v>209</v>
      </c>
      <c r="H110">
        <f t="shared" si="2"/>
        <v>545</v>
      </c>
      <c r="I110">
        <f>Table1[[#This Row],[Current Stock]]*Table1[[#This Row],[Unit Cost]]</f>
        <v>23694420</v>
      </c>
      <c r="J110" t="str">
        <f t="shared" si="3"/>
        <v>Ok</v>
      </c>
    </row>
    <row r="111" spans="1:10" hidden="1" x14ac:dyDescent="0.3">
      <c r="A111" t="s">
        <v>228</v>
      </c>
      <c r="B111" t="s">
        <v>229</v>
      </c>
      <c r="C111" t="s">
        <v>19</v>
      </c>
      <c r="D111">
        <v>10244</v>
      </c>
      <c r="E111">
        <v>117</v>
      </c>
      <c r="F111">
        <f>SUMIFS(Purchases!$C:$C,Purchases!$B:$B,A111)</f>
        <v>478</v>
      </c>
      <c r="G111">
        <f>SUMIFS(Sales!$C:$C,Sales!$B:$B,A111)</f>
        <v>156</v>
      </c>
      <c r="H111">
        <f t="shared" si="2"/>
        <v>439</v>
      </c>
      <c r="I111">
        <f>Table1[[#This Row],[Current Stock]]*Table1[[#This Row],[Unit Cost]]</f>
        <v>4497116</v>
      </c>
      <c r="J111" t="str">
        <f t="shared" si="3"/>
        <v>Ok</v>
      </c>
    </row>
    <row r="112" spans="1:10" hidden="1" x14ac:dyDescent="0.3">
      <c r="A112" t="s">
        <v>230</v>
      </c>
      <c r="B112" t="s">
        <v>231</v>
      </c>
      <c r="C112" t="s">
        <v>10</v>
      </c>
      <c r="D112">
        <v>14367</v>
      </c>
      <c r="E112">
        <v>49</v>
      </c>
      <c r="F112">
        <f>SUMIFS(Purchases!$C:$C,Purchases!$B:$B,A112)</f>
        <v>441</v>
      </c>
      <c r="G112">
        <f>SUMIFS(Sales!$C:$C,Sales!$B:$B,A112)</f>
        <v>300</v>
      </c>
      <c r="H112">
        <f t="shared" si="2"/>
        <v>190</v>
      </c>
      <c r="I112">
        <f>Table1[[#This Row],[Current Stock]]*Table1[[#This Row],[Unit Cost]]</f>
        <v>2729730</v>
      </c>
      <c r="J112" t="str">
        <f t="shared" si="3"/>
        <v>Ok</v>
      </c>
    </row>
    <row r="113" spans="1:10" hidden="1" x14ac:dyDescent="0.3">
      <c r="A113" t="s">
        <v>232</v>
      </c>
      <c r="B113" t="s">
        <v>233</v>
      </c>
      <c r="C113" t="s">
        <v>16</v>
      </c>
      <c r="D113">
        <v>48317</v>
      </c>
      <c r="E113">
        <v>297</v>
      </c>
      <c r="F113">
        <f>SUMIFS(Purchases!$C:$C,Purchases!$B:$B,A113)</f>
        <v>318</v>
      </c>
      <c r="G113">
        <f>SUMIFS(Sales!$C:$C,Sales!$B:$B,A113)</f>
        <v>310</v>
      </c>
      <c r="H113">
        <f t="shared" si="2"/>
        <v>305</v>
      </c>
      <c r="I113">
        <f>Table1[[#This Row],[Current Stock]]*Table1[[#This Row],[Unit Cost]]</f>
        <v>14736685</v>
      </c>
      <c r="J113" t="str">
        <f t="shared" si="3"/>
        <v>Ok</v>
      </c>
    </row>
    <row r="114" spans="1:10" x14ac:dyDescent="0.3">
      <c r="A114" t="s">
        <v>234</v>
      </c>
      <c r="B114" t="s">
        <v>235</v>
      </c>
      <c r="C114" t="s">
        <v>7</v>
      </c>
      <c r="D114">
        <v>49119</v>
      </c>
      <c r="E114">
        <v>180</v>
      </c>
      <c r="F114">
        <f>SUMIFS(Purchases!$C:$C,Purchases!$B:$B,A114)</f>
        <v>328</v>
      </c>
      <c r="G114">
        <f>SUMIFS(Sales!$C:$C,Sales!$B:$B,A114)</f>
        <v>508</v>
      </c>
      <c r="H114">
        <f t="shared" si="2"/>
        <v>0</v>
      </c>
      <c r="I114">
        <f>Table1[[#This Row],[Current Stock]]*Table1[[#This Row],[Unit Cost]]</f>
        <v>0</v>
      </c>
      <c r="J114" t="str">
        <f t="shared" si="3"/>
        <v>Recorder</v>
      </c>
    </row>
    <row r="115" spans="1:10" hidden="1" x14ac:dyDescent="0.3">
      <c r="A115" t="s">
        <v>236</v>
      </c>
      <c r="B115" t="s">
        <v>237</v>
      </c>
      <c r="C115" t="s">
        <v>7</v>
      </c>
      <c r="D115">
        <v>3386</v>
      </c>
      <c r="E115">
        <v>319</v>
      </c>
      <c r="F115">
        <f>SUMIFS(Purchases!$C:$C,Purchases!$B:$B,A115)</f>
        <v>866</v>
      </c>
      <c r="G115">
        <f>SUMIFS(Sales!$C:$C,Sales!$B:$B,A115)</f>
        <v>241</v>
      </c>
      <c r="H115">
        <f t="shared" si="2"/>
        <v>944</v>
      </c>
      <c r="I115">
        <f>Table1[[#This Row],[Current Stock]]*Table1[[#This Row],[Unit Cost]]</f>
        <v>3196384</v>
      </c>
      <c r="J115" t="str">
        <f t="shared" si="3"/>
        <v>Ok</v>
      </c>
    </row>
    <row r="116" spans="1:10" hidden="1" x14ac:dyDescent="0.3">
      <c r="A116" t="s">
        <v>238</v>
      </c>
      <c r="B116" t="s">
        <v>239</v>
      </c>
      <c r="C116" t="s">
        <v>19</v>
      </c>
      <c r="D116">
        <v>33054</v>
      </c>
      <c r="E116">
        <v>490</v>
      </c>
      <c r="F116">
        <f>SUMIFS(Purchases!$C:$C,Purchases!$B:$B,A116)</f>
        <v>601</v>
      </c>
      <c r="G116">
        <f>SUMIFS(Sales!$C:$C,Sales!$B:$B,A116)</f>
        <v>182</v>
      </c>
      <c r="H116">
        <f t="shared" si="2"/>
        <v>909</v>
      </c>
      <c r="I116">
        <f>Table1[[#This Row],[Current Stock]]*Table1[[#This Row],[Unit Cost]]</f>
        <v>30046086</v>
      </c>
      <c r="J116" t="str">
        <f t="shared" si="3"/>
        <v>Ok</v>
      </c>
    </row>
    <row r="117" spans="1:10" hidden="1" x14ac:dyDescent="0.3">
      <c r="A117" t="s">
        <v>240</v>
      </c>
      <c r="B117" t="s">
        <v>241</v>
      </c>
      <c r="C117" t="s">
        <v>16</v>
      </c>
      <c r="D117">
        <v>10417</v>
      </c>
      <c r="E117">
        <v>49</v>
      </c>
      <c r="F117">
        <f>SUMIFS(Purchases!$C:$C,Purchases!$B:$B,A117)</f>
        <v>451</v>
      </c>
      <c r="G117">
        <f>SUMIFS(Sales!$C:$C,Sales!$B:$B,A117)</f>
        <v>329</v>
      </c>
      <c r="H117">
        <f t="shared" si="2"/>
        <v>171</v>
      </c>
      <c r="I117">
        <f>Table1[[#This Row],[Current Stock]]*Table1[[#This Row],[Unit Cost]]</f>
        <v>1781307</v>
      </c>
      <c r="J117" t="str">
        <f t="shared" si="3"/>
        <v>Ok</v>
      </c>
    </row>
    <row r="118" spans="1:10" hidden="1" x14ac:dyDescent="0.3">
      <c r="A118" t="s">
        <v>242</v>
      </c>
      <c r="B118" t="s">
        <v>243</v>
      </c>
      <c r="C118" t="s">
        <v>16</v>
      </c>
      <c r="D118">
        <v>5350</v>
      </c>
      <c r="E118">
        <v>455</v>
      </c>
      <c r="F118">
        <f>SUMIFS(Purchases!$C:$C,Purchases!$B:$B,A118)</f>
        <v>278</v>
      </c>
      <c r="G118">
        <f>SUMIFS(Sales!$C:$C,Sales!$B:$B,A118)</f>
        <v>258</v>
      </c>
      <c r="H118">
        <f t="shared" si="2"/>
        <v>475</v>
      </c>
      <c r="I118">
        <f>Table1[[#This Row],[Current Stock]]*Table1[[#This Row],[Unit Cost]]</f>
        <v>2541250</v>
      </c>
      <c r="J118" t="str">
        <f t="shared" si="3"/>
        <v>Ok</v>
      </c>
    </row>
    <row r="119" spans="1:10" hidden="1" x14ac:dyDescent="0.3">
      <c r="A119" t="s">
        <v>244</v>
      </c>
      <c r="B119" t="s">
        <v>245</v>
      </c>
      <c r="C119" t="s">
        <v>13</v>
      </c>
      <c r="D119">
        <v>4590</v>
      </c>
      <c r="E119">
        <v>324</v>
      </c>
      <c r="F119">
        <f>SUMIFS(Purchases!$C:$C,Purchases!$B:$B,A119)</f>
        <v>323</v>
      </c>
      <c r="G119">
        <f>SUMIFS(Sales!$C:$C,Sales!$B:$B,A119)</f>
        <v>416</v>
      </c>
      <c r="H119">
        <f t="shared" si="2"/>
        <v>231</v>
      </c>
      <c r="I119">
        <f>Table1[[#This Row],[Current Stock]]*Table1[[#This Row],[Unit Cost]]</f>
        <v>1060290</v>
      </c>
      <c r="J119" t="str">
        <f t="shared" si="3"/>
        <v>Ok</v>
      </c>
    </row>
    <row r="120" spans="1:10" hidden="1" x14ac:dyDescent="0.3">
      <c r="A120" t="s">
        <v>246</v>
      </c>
      <c r="B120" t="s">
        <v>247</v>
      </c>
      <c r="C120" t="s">
        <v>7</v>
      </c>
      <c r="D120">
        <v>44350</v>
      </c>
      <c r="E120">
        <v>461</v>
      </c>
      <c r="F120">
        <f>SUMIFS(Purchases!$C:$C,Purchases!$B:$B,A120)</f>
        <v>412</v>
      </c>
      <c r="G120">
        <f>SUMIFS(Sales!$C:$C,Sales!$B:$B,A120)</f>
        <v>195</v>
      </c>
      <c r="H120">
        <f t="shared" si="2"/>
        <v>678</v>
      </c>
      <c r="I120">
        <f>Table1[[#This Row],[Current Stock]]*Table1[[#This Row],[Unit Cost]]</f>
        <v>30069300</v>
      </c>
      <c r="J120" t="str">
        <f t="shared" si="3"/>
        <v>Ok</v>
      </c>
    </row>
    <row r="121" spans="1:10" hidden="1" x14ac:dyDescent="0.3">
      <c r="A121" t="s">
        <v>248</v>
      </c>
      <c r="B121" t="s">
        <v>249</v>
      </c>
      <c r="C121" t="s">
        <v>13</v>
      </c>
      <c r="D121">
        <v>26561</v>
      </c>
      <c r="E121">
        <v>81</v>
      </c>
      <c r="F121">
        <f>SUMIFS(Purchases!$C:$C,Purchases!$B:$B,A121)</f>
        <v>326</v>
      </c>
      <c r="G121">
        <f>SUMIFS(Sales!$C:$C,Sales!$B:$B,A121)</f>
        <v>238</v>
      </c>
      <c r="H121">
        <f t="shared" si="2"/>
        <v>169</v>
      </c>
      <c r="I121">
        <f>Table1[[#This Row],[Current Stock]]*Table1[[#This Row],[Unit Cost]]</f>
        <v>4488809</v>
      </c>
      <c r="J121" t="str">
        <f t="shared" si="3"/>
        <v>Ok</v>
      </c>
    </row>
    <row r="122" spans="1:10" hidden="1" x14ac:dyDescent="0.3">
      <c r="A122" t="s">
        <v>250</v>
      </c>
      <c r="B122" t="s">
        <v>251</v>
      </c>
      <c r="C122" t="s">
        <v>16</v>
      </c>
      <c r="D122">
        <v>16235</v>
      </c>
      <c r="E122">
        <v>316</v>
      </c>
      <c r="F122">
        <f>SUMIFS(Purchases!$C:$C,Purchases!$B:$B,A122)</f>
        <v>583</v>
      </c>
      <c r="G122">
        <f>SUMIFS(Sales!$C:$C,Sales!$B:$B,A122)</f>
        <v>274</v>
      </c>
      <c r="H122">
        <f t="shared" si="2"/>
        <v>625</v>
      </c>
      <c r="I122">
        <f>Table1[[#This Row],[Current Stock]]*Table1[[#This Row],[Unit Cost]]</f>
        <v>10146875</v>
      </c>
      <c r="J122" t="str">
        <f t="shared" si="3"/>
        <v>Ok</v>
      </c>
    </row>
    <row r="123" spans="1:10" hidden="1" x14ac:dyDescent="0.3">
      <c r="A123" t="s">
        <v>252</v>
      </c>
      <c r="B123" t="s">
        <v>253</v>
      </c>
      <c r="C123" t="s">
        <v>16</v>
      </c>
      <c r="D123">
        <v>2704</v>
      </c>
      <c r="E123">
        <v>337</v>
      </c>
      <c r="F123">
        <f>SUMIFS(Purchases!$C:$C,Purchases!$B:$B,A123)</f>
        <v>613</v>
      </c>
      <c r="G123">
        <f>SUMIFS(Sales!$C:$C,Sales!$B:$B,A123)</f>
        <v>242</v>
      </c>
      <c r="H123">
        <f t="shared" si="2"/>
        <v>708</v>
      </c>
      <c r="I123">
        <f>Table1[[#This Row],[Current Stock]]*Table1[[#This Row],[Unit Cost]]</f>
        <v>1914432</v>
      </c>
      <c r="J123" t="str">
        <f t="shared" si="3"/>
        <v>Ok</v>
      </c>
    </row>
    <row r="124" spans="1:10" hidden="1" x14ac:dyDescent="0.3">
      <c r="A124" t="s">
        <v>254</v>
      </c>
      <c r="B124" t="s">
        <v>255</v>
      </c>
      <c r="C124" t="s">
        <v>7</v>
      </c>
      <c r="D124">
        <v>27574</v>
      </c>
      <c r="E124">
        <v>356</v>
      </c>
      <c r="F124">
        <f>SUMIFS(Purchases!$C:$C,Purchases!$B:$B,A124)</f>
        <v>386</v>
      </c>
      <c r="G124">
        <f>SUMIFS(Sales!$C:$C,Sales!$B:$B,A124)</f>
        <v>290</v>
      </c>
      <c r="H124">
        <f t="shared" si="2"/>
        <v>452</v>
      </c>
      <c r="I124">
        <f>Table1[[#This Row],[Current Stock]]*Table1[[#This Row],[Unit Cost]]</f>
        <v>12463448</v>
      </c>
      <c r="J124" t="str">
        <f t="shared" si="3"/>
        <v>Ok</v>
      </c>
    </row>
    <row r="125" spans="1:10" hidden="1" x14ac:dyDescent="0.3">
      <c r="A125" t="s">
        <v>256</v>
      </c>
      <c r="B125" t="s">
        <v>257</v>
      </c>
      <c r="C125" t="s">
        <v>16</v>
      </c>
      <c r="D125">
        <v>37142</v>
      </c>
      <c r="E125">
        <v>287</v>
      </c>
      <c r="F125">
        <f>SUMIFS(Purchases!$C:$C,Purchases!$B:$B,A125)</f>
        <v>466</v>
      </c>
      <c r="G125">
        <f>SUMIFS(Sales!$C:$C,Sales!$B:$B,A125)</f>
        <v>532</v>
      </c>
      <c r="H125">
        <f t="shared" si="2"/>
        <v>221</v>
      </c>
      <c r="I125">
        <f>Table1[[#This Row],[Current Stock]]*Table1[[#This Row],[Unit Cost]]</f>
        <v>8208382</v>
      </c>
      <c r="J125" t="str">
        <f t="shared" si="3"/>
        <v>Ok</v>
      </c>
    </row>
    <row r="126" spans="1:10" hidden="1" x14ac:dyDescent="0.3">
      <c r="A126" t="s">
        <v>258</v>
      </c>
      <c r="B126" t="s">
        <v>259</v>
      </c>
      <c r="C126" t="s">
        <v>10</v>
      </c>
      <c r="D126">
        <v>17189</v>
      </c>
      <c r="E126">
        <v>124</v>
      </c>
      <c r="F126">
        <f>SUMIFS(Purchases!$C:$C,Purchases!$B:$B,A126)</f>
        <v>456</v>
      </c>
      <c r="G126">
        <f>SUMIFS(Sales!$C:$C,Sales!$B:$B,A126)</f>
        <v>331</v>
      </c>
      <c r="H126">
        <f t="shared" si="2"/>
        <v>249</v>
      </c>
      <c r="I126">
        <f>Table1[[#This Row],[Current Stock]]*Table1[[#This Row],[Unit Cost]]</f>
        <v>4280061</v>
      </c>
      <c r="J126" t="str">
        <f t="shared" si="3"/>
        <v>Ok</v>
      </c>
    </row>
    <row r="127" spans="1:10" x14ac:dyDescent="0.3">
      <c r="A127" t="s">
        <v>260</v>
      </c>
      <c r="B127" t="s">
        <v>261</v>
      </c>
      <c r="C127" t="s">
        <v>10</v>
      </c>
      <c r="D127">
        <v>15742</v>
      </c>
      <c r="E127">
        <v>155</v>
      </c>
      <c r="F127">
        <f>SUMIFS(Purchases!$C:$C,Purchases!$B:$B,A127)</f>
        <v>351</v>
      </c>
      <c r="G127">
        <f>SUMIFS(Sales!$C:$C,Sales!$B:$B,A127)</f>
        <v>541</v>
      </c>
      <c r="H127">
        <f t="shared" si="2"/>
        <v>-35</v>
      </c>
      <c r="I127">
        <f>Table1[[#This Row],[Current Stock]]*Table1[[#This Row],[Unit Cost]]</f>
        <v>-550970</v>
      </c>
      <c r="J127" t="str">
        <f t="shared" si="3"/>
        <v>Recorder</v>
      </c>
    </row>
    <row r="128" spans="1:10" hidden="1" x14ac:dyDescent="0.3">
      <c r="A128" t="s">
        <v>262</v>
      </c>
      <c r="B128" t="s">
        <v>263</v>
      </c>
      <c r="C128" t="s">
        <v>19</v>
      </c>
      <c r="D128">
        <v>8677</v>
      </c>
      <c r="E128">
        <v>363</v>
      </c>
      <c r="F128">
        <f>SUMIFS(Purchases!$C:$C,Purchases!$B:$B,A128)</f>
        <v>618</v>
      </c>
      <c r="G128">
        <f>SUMIFS(Sales!$C:$C,Sales!$B:$B,A128)</f>
        <v>357</v>
      </c>
      <c r="H128">
        <f t="shared" si="2"/>
        <v>624</v>
      </c>
      <c r="I128">
        <f>Table1[[#This Row],[Current Stock]]*Table1[[#This Row],[Unit Cost]]</f>
        <v>5414448</v>
      </c>
      <c r="J128" t="str">
        <f t="shared" si="3"/>
        <v>Ok</v>
      </c>
    </row>
    <row r="129" spans="1:10" hidden="1" x14ac:dyDescent="0.3">
      <c r="A129" t="s">
        <v>264</v>
      </c>
      <c r="B129" t="s">
        <v>265</v>
      </c>
      <c r="C129" t="s">
        <v>10</v>
      </c>
      <c r="D129">
        <v>30064</v>
      </c>
      <c r="E129">
        <v>181</v>
      </c>
      <c r="F129">
        <f>SUMIFS(Purchases!$C:$C,Purchases!$B:$B,A129)</f>
        <v>593</v>
      </c>
      <c r="G129">
        <f>SUMIFS(Sales!$C:$C,Sales!$B:$B,A129)</f>
        <v>396</v>
      </c>
      <c r="H129">
        <f t="shared" si="2"/>
        <v>378</v>
      </c>
      <c r="I129">
        <f>Table1[[#This Row],[Current Stock]]*Table1[[#This Row],[Unit Cost]]</f>
        <v>11364192</v>
      </c>
      <c r="J129" t="str">
        <f t="shared" si="3"/>
        <v>Ok</v>
      </c>
    </row>
    <row r="130" spans="1:10" hidden="1" x14ac:dyDescent="0.3">
      <c r="A130" t="s">
        <v>266</v>
      </c>
      <c r="B130" t="s">
        <v>267</v>
      </c>
      <c r="C130" t="s">
        <v>7</v>
      </c>
      <c r="D130">
        <v>710</v>
      </c>
      <c r="E130">
        <v>254</v>
      </c>
      <c r="F130">
        <f>SUMIFS(Purchases!$C:$C,Purchases!$B:$B,A130)</f>
        <v>527</v>
      </c>
      <c r="G130">
        <f>SUMIFS(Sales!$C:$C,Sales!$B:$B,A130)</f>
        <v>410</v>
      </c>
      <c r="H130">
        <f t="shared" ref="H130:H193" si="4">E130+F130-G130</f>
        <v>371</v>
      </c>
      <c r="I130">
        <f>Table1[[#This Row],[Current Stock]]*Table1[[#This Row],[Unit Cost]]</f>
        <v>263410</v>
      </c>
      <c r="J130" t="str">
        <f t="shared" ref="J130:J193" si="5">IF(H130&lt;50,"Recorder","Ok")</f>
        <v>Ok</v>
      </c>
    </row>
    <row r="131" spans="1:10" hidden="1" x14ac:dyDescent="0.3">
      <c r="A131" t="s">
        <v>268</v>
      </c>
      <c r="B131" t="s">
        <v>269</v>
      </c>
      <c r="C131" t="s">
        <v>16</v>
      </c>
      <c r="D131">
        <v>36996</v>
      </c>
      <c r="E131">
        <v>71</v>
      </c>
      <c r="F131">
        <f>SUMIFS(Purchases!$C:$C,Purchases!$B:$B,A131)</f>
        <v>477</v>
      </c>
      <c r="G131">
        <f>SUMIFS(Sales!$C:$C,Sales!$B:$B,A131)</f>
        <v>391</v>
      </c>
      <c r="H131">
        <f t="shared" si="4"/>
        <v>157</v>
      </c>
      <c r="I131">
        <f>Table1[[#This Row],[Current Stock]]*Table1[[#This Row],[Unit Cost]]</f>
        <v>5808372</v>
      </c>
      <c r="J131" t="str">
        <f t="shared" si="5"/>
        <v>Ok</v>
      </c>
    </row>
    <row r="132" spans="1:10" hidden="1" x14ac:dyDescent="0.3">
      <c r="A132" t="s">
        <v>270</v>
      </c>
      <c r="B132" t="s">
        <v>271</v>
      </c>
      <c r="C132" t="s">
        <v>7</v>
      </c>
      <c r="D132">
        <v>35334</v>
      </c>
      <c r="E132">
        <v>129</v>
      </c>
      <c r="F132">
        <f>SUMIFS(Purchases!$C:$C,Purchases!$B:$B,A132)</f>
        <v>532</v>
      </c>
      <c r="G132">
        <f>SUMIFS(Sales!$C:$C,Sales!$B:$B,A132)</f>
        <v>238</v>
      </c>
      <c r="H132">
        <f t="shared" si="4"/>
        <v>423</v>
      </c>
      <c r="I132">
        <f>Table1[[#This Row],[Current Stock]]*Table1[[#This Row],[Unit Cost]]</f>
        <v>14946282</v>
      </c>
      <c r="J132" t="str">
        <f t="shared" si="5"/>
        <v>Ok</v>
      </c>
    </row>
    <row r="133" spans="1:10" x14ac:dyDescent="0.3">
      <c r="A133" t="s">
        <v>272</v>
      </c>
      <c r="B133" t="s">
        <v>273</v>
      </c>
      <c r="C133" t="s">
        <v>16</v>
      </c>
      <c r="D133">
        <v>17480</v>
      </c>
      <c r="E133">
        <v>87</v>
      </c>
      <c r="F133">
        <f>SUMIFS(Purchases!$C:$C,Purchases!$B:$B,A133)</f>
        <v>189</v>
      </c>
      <c r="G133">
        <f>SUMIFS(Sales!$C:$C,Sales!$B:$B,A133)</f>
        <v>459</v>
      </c>
      <c r="H133">
        <f t="shared" si="4"/>
        <v>-183</v>
      </c>
      <c r="I133">
        <f>Table1[[#This Row],[Current Stock]]*Table1[[#This Row],[Unit Cost]]</f>
        <v>-3198840</v>
      </c>
      <c r="J133" t="str">
        <f t="shared" si="5"/>
        <v>Recorder</v>
      </c>
    </row>
    <row r="134" spans="1:10" hidden="1" x14ac:dyDescent="0.3">
      <c r="A134" t="s">
        <v>274</v>
      </c>
      <c r="B134" t="s">
        <v>275</v>
      </c>
      <c r="C134" t="s">
        <v>10</v>
      </c>
      <c r="D134">
        <v>4608</v>
      </c>
      <c r="E134">
        <v>470</v>
      </c>
      <c r="F134">
        <f>SUMIFS(Purchases!$C:$C,Purchases!$B:$B,A134)</f>
        <v>400</v>
      </c>
      <c r="G134">
        <f>SUMIFS(Sales!$C:$C,Sales!$B:$B,A134)</f>
        <v>392</v>
      </c>
      <c r="H134">
        <f t="shared" si="4"/>
        <v>478</v>
      </c>
      <c r="I134">
        <f>Table1[[#This Row],[Current Stock]]*Table1[[#This Row],[Unit Cost]]</f>
        <v>2202624</v>
      </c>
      <c r="J134" t="str">
        <f t="shared" si="5"/>
        <v>Ok</v>
      </c>
    </row>
    <row r="135" spans="1:10" hidden="1" x14ac:dyDescent="0.3">
      <c r="A135" t="s">
        <v>276</v>
      </c>
      <c r="B135" t="s">
        <v>277</v>
      </c>
      <c r="C135" t="s">
        <v>13</v>
      </c>
      <c r="D135">
        <v>24317</v>
      </c>
      <c r="E135">
        <v>165</v>
      </c>
      <c r="F135">
        <f>SUMIFS(Purchases!$C:$C,Purchases!$B:$B,A135)</f>
        <v>616</v>
      </c>
      <c r="G135">
        <f>SUMIFS(Sales!$C:$C,Sales!$B:$B,A135)</f>
        <v>247</v>
      </c>
      <c r="H135">
        <f t="shared" si="4"/>
        <v>534</v>
      </c>
      <c r="I135">
        <f>Table1[[#This Row],[Current Stock]]*Table1[[#This Row],[Unit Cost]]</f>
        <v>12985278</v>
      </c>
      <c r="J135" t="str">
        <f t="shared" si="5"/>
        <v>Ok</v>
      </c>
    </row>
    <row r="136" spans="1:10" hidden="1" x14ac:dyDescent="0.3">
      <c r="A136" t="s">
        <v>278</v>
      </c>
      <c r="B136" t="s">
        <v>279</v>
      </c>
      <c r="C136" t="s">
        <v>13</v>
      </c>
      <c r="D136">
        <v>28816</v>
      </c>
      <c r="E136">
        <v>446</v>
      </c>
      <c r="F136">
        <f>SUMIFS(Purchases!$C:$C,Purchases!$B:$B,A136)</f>
        <v>335</v>
      </c>
      <c r="G136">
        <f>SUMIFS(Sales!$C:$C,Sales!$B:$B,A136)</f>
        <v>240</v>
      </c>
      <c r="H136">
        <f t="shared" si="4"/>
        <v>541</v>
      </c>
      <c r="I136">
        <f>Table1[[#This Row],[Current Stock]]*Table1[[#This Row],[Unit Cost]]</f>
        <v>15589456</v>
      </c>
      <c r="J136" t="str">
        <f t="shared" si="5"/>
        <v>Ok</v>
      </c>
    </row>
    <row r="137" spans="1:10" hidden="1" x14ac:dyDescent="0.3">
      <c r="A137" t="s">
        <v>280</v>
      </c>
      <c r="B137" t="s">
        <v>281</v>
      </c>
      <c r="C137" t="s">
        <v>16</v>
      </c>
      <c r="D137">
        <v>46207</v>
      </c>
      <c r="E137">
        <v>174</v>
      </c>
      <c r="F137">
        <f>SUMIFS(Purchases!$C:$C,Purchases!$B:$B,A137)</f>
        <v>538</v>
      </c>
      <c r="G137">
        <f>SUMIFS(Sales!$C:$C,Sales!$B:$B,A137)</f>
        <v>324</v>
      </c>
      <c r="H137">
        <f t="shared" si="4"/>
        <v>388</v>
      </c>
      <c r="I137">
        <f>Table1[[#This Row],[Current Stock]]*Table1[[#This Row],[Unit Cost]]</f>
        <v>17928316</v>
      </c>
      <c r="J137" t="str">
        <f t="shared" si="5"/>
        <v>Ok</v>
      </c>
    </row>
    <row r="138" spans="1:10" hidden="1" x14ac:dyDescent="0.3">
      <c r="A138" t="s">
        <v>282</v>
      </c>
      <c r="B138" t="s">
        <v>283</v>
      </c>
      <c r="C138" t="s">
        <v>16</v>
      </c>
      <c r="D138">
        <v>42958</v>
      </c>
      <c r="E138">
        <v>290</v>
      </c>
      <c r="F138">
        <f>SUMIFS(Purchases!$C:$C,Purchases!$B:$B,A138)</f>
        <v>382</v>
      </c>
      <c r="G138">
        <f>SUMIFS(Sales!$C:$C,Sales!$B:$B,A138)</f>
        <v>152</v>
      </c>
      <c r="H138">
        <f t="shared" si="4"/>
        <v>520</v>
      </c>
      <c r="I138">
        <f>Table1[[#This Row],[Current Stock]]*Table1[[#This Row],[Unit Cost]]</f>
        <v>22338160</v>
      </c>
      <c r="J138" t="str">
        <f t="shared" si="5"/>
        <v>Ok</v>
      </c>
    </row>
    <row r="139" spans="1:10" hidden="1" x14ac:dyDescent="0.3">
      <c r="A139" t="s">
        <v>284</v>
      </c>
      <c r="B139" t="s">
        <v>285</v>
      </c>
      <c r="C139" t="s">
        <v>7</v>
      </c>
      <c r="D139">
        <v>43869</v>
      </c>
      <c r="E139">
        <v>438</v>
      </c>
      <c r="F139">
        <f>SUMIFS(Purchases!$C:$C,Purchases!$B:$B,A139)</f>
        <v>550</v>
      </c>
      <c r="G139">
        <f>SUMIFS(Sales!$C:$C,Sales!$B:$B,A139)</f>
        <v>552</v>
      </c>
      <c r="H139">
        <f t="shared" si="4"/>
        <v>436</v>
      </c>
      <c r="I139">
        <f>Table1[[#This Row],[Current Stock]]*Table1[[#This Row],[Unit Cost]]</f>
        <v>19126884</v>
      </c>
      <c r="J139" t="str">
        <f t="shared" si="5"/>
        <v>Ok</v>
      </c>
    </row>
    <row r="140" spans="1:10" hidden="1" x14ac:dyDescent="0.3">
      <c r="A140" t="s">
        <v>286</v>
      </c>
      <c r="B140" t="s">
        <v>287</v>
      </c>
      <c r="C140" t="s">
        <v>16</v>
      </c>
      <c r="D140">
        <v>19720</v>
      </c>
      <c r="E140">
        <v>497</v>
      </c>
      <c r="F140">
        <f>SUMIFS(Purchases!$C:$C,Purchases!$B:$B,A140)</f>
        <v>191</v>
      </c>
      <c r="G140">
        <f>SUMIFS(Sales!$C:$C,Sales!$B:$B,A140)</f>
        <v>407</v>
      </c>
      <c r="H140">
        <f t="shared" si="4"/>
        <v>281</v>
      </c>
      <c r="I140">
        <f>Table1[[#This Row],[Current Stock]]*Table1[[#This Row],[Unit Cost]]</f>
        <v>5541320</v>
      </c>
      <c r="J140" t="str">
        <f t="shared" si="5"/>
        <v>Ok</v>
      </c>
    </row>
    <row r="141" spans="1:10" hidden="1" x14ac:dyDescent="0.3">
      <c r="A141" t="s">
        <v>288</v>
      </c>
      <c r="B141" t="s">
        <v>289</v>
      </c>
      <c r="C141" t="s">
        <v>7</v>
      </c>
      <c r="D141">
        <v>8900</v>
      </c>
      <c r="E141">
        <v>155</v>
      </c>
      <c r="F141">
        <f>SUMIFS(Purchases!$C:$C,Purchases!$B:$B,A141)</f>
        <v>498</v>
      </c>
      <c r="G141">
        <f>SUMIFS(Sales!$C:$C,Sales!$B:$B,A141)</f>
        <v>251</v>
      </c>
      <c r="H141">
        <f t="shared" si="4"/>
        <v>402</v>
      </c>
      <c r="I141">
        <f>Table1[[#This Row],[Current Stock]]*Table1[[#This Row],[Unit Cost]]</f>
        <v>3577800</v>
      </c>
      <c r="J141" t="str">
        <f t="shared" si="5"/>
        <v>Ok</v>
      </c>
    </row>
    <row r="142" spans="1:10" hidden="1" x14ac:dyDescent="0.3">
      <c r="A142" t="s">
        <v>290</v>
      </c>
      <c r="B142" t="s">
        <v>291</v>
      </c>
      <c r="C142" t="s">
        <v>7</v>
      </c>
      <c r="D142">
        <v>7114</v>
      </c>
      <c r="E142">
        <v>400</v>
      </c>
      <c r="F142">
        <f>SUMIFS(Purchases!$C:$C,Purchases!$B:$B,A142)</f>
        <v>485</v>
      </c>
      <c r="G142">
        <f>SUMIFS(Sales!$C:$C,Sales!$B:$B,A142)</f>
        <v>569</v>
      </c>
      <c r="H142">
        <f t="shared" si="4"/>
        <v>316</v>
      </c>
      <c r="I142">
        <f>Table1[[#This Row],[Current Stock]]*Table1[[#This Row],[Unit Cost]]</f>
        <v>2248024</v>
      </c>
      <c r="J142" t="str">
        <f t="shared" si="5"/>
        <v>Ok</v>
      </c>
    </row>
    <row r="143" spans="1:10" hidden="1" x14ac:dyDescent="0.3">
      <c r="A143" t="s">
        <v>292</v>
      </c>
      <c r="B143" t="s">
        <v>293</v>
      </c>
      <c r="C143" t="s">
        <v>16</v>
      </c>
      <c r="D143">
        <v>10287</v>
      </c>
      <c r="E143">
        <v>159</v>
      </c>
      <c r="F143">
        <f>SUMIFS(Purchases!$C:$C,Purchases!$B:$B,A143)</f>
        <v>375</v>
      </c>
      <c r="G143">
        <f>SUMIFS(Sales!$C:$C,Sales!$B:$B,A143)</f>
        <v>393</v>
      </c>
      <c r="H143">
        <f t="shared" si="4"/>
        <v>141</v>
      </c>
      <c r="I143">
        <f>Table1[[#This Row],[Current Stock]]*Table1[[#This Row],[Unit Cost]]</f>
        <v>1450467</v>
      </c>
      <c r="J143" t="str">
        <f t="shared" si="5"/>
        <v>Ok</v>
      </c>
    </row>
    <row r="144" spans="1:10" hidden="1" x14ac:dyDescent="0.3">
      <c r="A144" t="s">
        <v>294</v>
      </c>
      <c r="B144" t="s">
        <v>295</v>
      </c>
      <c r="C144" t="s">
        <v>10</v>
      </c>
      <c r="D144">
        <v>39738</v>
      </c>
      <c r="E144">
        <v>127</v>
      </c>
      <c r="F144">
        <f>SUMIFS(Purchases!$C:$C,Purchases!$B:$B,A144)</f>
        <v>456</v>
      </c>
      <c r="G144">
        <f>SUMIFS(Sales!$C:$C,Sales!$B:$B,A144)</f>
        <v>349</v>
      </c>
      <c r="H144">
        <f t="shared" si="4"/>
        <v>234</v>
      </c>
      <c r="I144">
        <f>Table1[[#This Row],[Current Stock]]*Table1[[#This Row],[Unit Cost]]</f>
        <v>9298692</v>
      </c>
      <c r="J144" t="str">
        <f t="shared" si="5"/>
        <v>Ok</v>
      </c>
    </row>
    <row r="145" spans="1:10" hidden="1" x14ac:dyDescent="0.3">
      <c r="A145" t="s">
        <v>296</v>
      </c>
      <c r="B145" t="s">
        <v>297</v>
      </c>
      <c r="C145" t="s">
        <v>10</v>
      </c>
      <c r="D145">
        <v>13442</v>
      </c>
      <c r="E145">
        <v>371</v>
      </c>
      <c r="F145">
        <f>SUMIFS(Purchases!$C:$C,Purchases!$B:$B,A145)</f>
        <v>296</v>
      </c>
      <c r="G145">
        <f>SUMIFS(Sales!$C:$C,Sales!$B:$B,A145)</f>
        <v>509</v>
      </c>
      <c r="H145">
        <f t="shared" si="4"/>
        <v>158</v>
      </c>
      <c r="I145">
        <f>Table1[[#This Row],[Current Stock]]*Table1[[#This Row],[Unit Cost]]</f>
        <v>2123836</v>
      </c>
      <c r="J145" t="str">
        <f t="shared" si="5"/>
        <v>Ok</v>
      </c>
    </row>
    <row r="146" spans="1:10" hidden="1" x14ac:dyDescent="0.3">
      <c r="A146" t="s">
        <v>298</v>
      </c>
      <c r="B146" t="s">
        <v>299</v>
      </c>
      <c r="C146" t="s">
        <v>10</v>
      </c>
      <c r="D146">
        <v>33222</v>
      </c>
      <c r="E146">
        <v>270</v>
      </c>
      <c r="F146">
        <f>SUMIFS(Purchases!$C:$C,Purchases!$B:$B,A146)</f>
        <v>381</v>
      </c>
      <c r="G146">
        <f>SUMIFS(Sales!$C:$C,Sales!$B:$B,A146)</f>
        <v>259</v>
      </c>
      <c r="H146">
        <f t="shared" si="4"/>
        <v>392</v>
      </c>
      <c r="I146">
        <f>Table1[[#This Row],[Current Stock]]*Table1[[#This Row],[Unit Cost]]</f>
        <v>13023024</v>
      </c>
      <c r="J146" t="str">
        <f t="shared" si="5"/>
        <v>Ok</v>
      </c>
    </row>
    <row r="147" spans="1:10" hidden="1" x14ac:dyDescent="0.3">
      <c r="A147" t="s">
        <v>300</v>
      </c>
      <c r="B147" t="s">
        <v>301</v>
      </c>
      <c r="C147" t="s">
        <v>10</v>
      </c>
      <c r="D147">
        <v>3429</v>
      </c>
      <c r="E147">
        <v>67</v>
      </c>
      <c r="F147">
        <f>SUMIFS(Purchases!$C:$C,Purchases!$B:$B,A147)</f>
        <v>995</v>
      </c>
      <c r="G147">
        <f>SUMIFS(Sales!$C:$C,Sales!$B:$B,A147)</f>
        <v>380</v>
      </c>
      <c r="H147">
        <f t="shared" si="4"/>
        <v>682</v>
      </c>
      <c r="I147">
        <f>Table1[[#This Row],[Current Stock]]*Table1[[#This Row],[Unit Cost]]</f>
        <v>2338578</v>
      </c>
      <c r="J147" t="str">
        <f t="shared" si="5"/>
        <v>Ok</v>
      </c>
    </row>
    <row r="148" spans="1:10" hidden="1" x14ac:dyDescent="0.3">
      <c r="A148" t="s">
        <v>302</v>
      </c>
      <c r="B148" t="s">
        <v>303</v>
      </c>
      <c r="C148" t="s">
        <v>19</v>
      </c>
      <c r="D148">
        <v>18232</v>
      </c>
      <c r="E148">
        <v>42</v>
      </c>
      <c r="F148">
        <f>SUMIFS(Purchases!$C:$C,Purchases!$B:$B,A148)</f>
        <v>570</v>
      </c>
      <c r="G148">
        <f>SUMIFS(Sales!$C:$C,Sales!$B:$B,A148)</f>
        <v>176</v>
      </c>
      <c r="H148">
        <f t="shared" si="4"/>
        <v>436</v>
      </c>
      <c r="I148">
        <f>Table1[[#This Row],[Current Stock]]*Table1[[#This Row],[Unit Cost]]</f>
        <v>7949152</v>
      </c>
      <c r="J148" t="str">
        <f t="shared" si="5"/>
        <v>Ok</v>
      </c>
    </row>
    <row r="149" spans="1:10" hidden="1" x14ac:dyDescent="0.3">
      <c r="A149" t="s">
        <v>304</v>
      </c>
      <c r="B149" t="s">
        <v>305</v>
      </c>
      <c r="C149" t="s">
        <v>7</v>
      </c>
      <c r="D149">
        <v>21959</v>
      </c>
      <c r="E149">
        <v>414</v>
      </c>
      <c r="F149">
        <f>SUMIFS(Purchases!$C:$C,Purchases!$B:$B,A149)</f>
        <v>569</v>
      </c>
      <c r="G149">
        <f>SUMIFS(Sales!$C:$C,Sales!$B:$B,A149)</f>
        <v>454</v>
      </c>
      <c r="H149">
        <f t="shared" si="4"/>
        <v>529</v>
      </c>
      <c r="I149">
        <f>Table1[[#This Row],[Current Stock]]*Table1[[#This Row],[Unit Cost]]</f>
        <v>11616311</v>
      </c>
      <c r="J149" t="str">
        <f t="shared" si="5"/>
        <v>Ok</v>
      </c>
    </row>
    <row r="150" spans="1:10" hidden="1" x14ac:dyDescent="0.3">
      <c r="A150" t="s">
        <v>306</v>
      </c>
      <c r="B150" t="s">
        <v>307</v>
      </c>
      <c r="C150" t="s">
        <v>13</v>
      </c>
      <c r="D150">
        <v>41853</v>
      </c>
      <c r="E150">
        <v>154</v>
      </c>
      <c r="F150">
        <f>SUMIFS(Purchases!$C:$C,Purchases!$B:$B,A150)</f>
        <v>542</v>
      </c>
      <c r="G150">
        <f>SUMIFS(Sales!$C:$C,Sales!$B:$B,A150)</f>
        <v>369</v>
      </c>
      <c r="H150">
        <f t="shared" si="4"/>
        <v>327</v>
      </c>
      <c r="I150">
        <f>Table1[[#This Row],[Current Stock]]*Table1[[#This Row],[Unit Cost]]</f>
        <v>13685931</v>
      </c>
      <c r="J150" t="str">
        <f t="shared" si="5"/>
        <v>Ok</v>
      </c>
    </row>
    <row r="151" spans="1:10" hidden="1" x14ac:dyDescent="0.3">
      <c r="A151" t="s">
        <v>308</v>
      </c>
      <c r="B151" t="s">
        <v>309</v>
      </c>
      <c r="C151" t="s">
        <v>13</v>
      </c>
      <c r="D151">
        <v>48677</v>
      </c>
      <c r="E151">
        <v>246</v>
      </c>
      <c r="F151">
        <f>SUMIFS(Purchases!$C:$C,Purchases!$B:$B,A151)</f>
        <v>234</v>
      </c>
      <c r="G151">
        <f>SUMIFS(Sales!$C:$C,Sales!$B:$B,A151)</f>
        <v>346</v>
      </c>
      <c r="H151">
        <f t="shared" si="4"/>
        <v>134</v>
      </c>
      <c r="I151">
        <f>Table1[[#This Row],[Current Stock]]*Table1[[#This Row],[Unit Cost]]</f>
        <v>6522718</v>
      </c>
      <c r="J151" t="str">
        <f t="shared" si="5"/>
        <v>Ok</v>
      </c>
    </row>
    <row r="152" spans="1:10" hidden="1" x14ac:dyDescent="0.3">
      <c r="A152" t="s">
        <v>310</v>
      </c>
      <c r="B152" t="s">
        <v>311</v>
      </c>
      <c r="C152" t="s">
        <v>16</v>
      </c>
      <c r="D152">
        <v>46346</v>
      </c>
      <c r="E152">
        <v>238</v>
      </c>
      <c r="F152">
        <f>SUMIFS(Purchases!$C:$C,Purchases!$B:$B,A152)</f>
        <v>333</v>
      </c>
      <c r="G152">
        <f>SUMIFS(Sales!$C:$C,Sales!$B:$B,A152)</f>
        <v>304</v>
      </c>
      <c r="H152">
        <f t="shared" si="4"/>
        <v>267</v>
      </c>
      <c r="I152">
        <f>Table1[[#This Row],[Current Stock]]*Table1[[#This Row],[Unit Cost]]</f>
        <v>12374382</v>
      </c>
      <c r="J152" t="str">
        <f t="shared" si="5"/>
        <v>Ok</v>
      </c>
    </row>
    <row r="153" spans="1:10" x14ac:dyDescent="0.3">
      <c r="A153" t="s">
        <v>312</v>
      </c>
      <c r="B153" t="s">
        <v>313</v>
      </c>
      <c r="C153" t="s">
        <v>16</v>
      </c>
      <c r="D153">
        <v>733</v>
      </c>
      <c r="E153">
        <v>77</v>
      </c>
      <c r="F153">
        <f>SUMIFS(Purchases!$C:$C,Purchases!$B:$B,A153)</f>
        <v>360</v>
      </c>
      <c r="G153">
        <f>SUMIFS(Sales!$C:$C,Sales!$B:$B,A153)</f>
        <v>521</v>
      </c>
      <c r="H153">
        <f t="shared" si="4"/>
        <v>-84</v>
      </c>
      <c r="I153">
        <f>Table1[[#This Row],[Current Stock]]*Table1[[#This Row],[Unit Cost]]</f>
        <v>-61572</v>
      </c>
      <c r="J153" t="str">
        <f t="shared" si="5"/>
        <v>Recorder</v>
      </c>
    </row>
    <row r="154" spans="1:10" hidden="1" x14ac:dyDescent="0.3">
      <c r="A154" t="s">
        <v>314</v>
      </c>
      <c r="B154" t="s">
        <v>315</v>
      </c>
      <c r="C154" t="s">
        <v>7</v>
      </c>
      <c r="D154">
        <v>45386</v>
      </c>
      <c r="E154">
        <v>482</v>
      </c>
      <c r="F154">
        <f>SUMIFS(Purchases!$C:$C,Purchases!$B:$B,A154)</f>
        <v>550</v>
      </c>
      <c r="G154">
        <f>SUMIFS(Sales!$C:$C,Sales!$B:$B,A154)</f>
        <v>280</v>
      </c>
      <c r="H154">
        <f t="shared" si="4"/>
        <v>752</v>
      </c>
      <c r="I154">
        <f>Table1[[#This Row],[Current Stock]]*Table1[[#This Row],[Unit Cost]]</f>
        <v>34130272</v>
      </c>
      <c r="J154" t="str">
        <f t="shared" si="5"/>
        <v>Ok</v>
      </c>
    </row>
    <row r="155" spans="1:10" hidden="1" x14ac:dyDescent="0.3">
      <c r="A155" t="s">
        <v>316</v>
      </c>
      <c r="B155" t="s">
        <v>317</v>
      </c>
      <c r="C155" t="s">
        <v>13</v>
      </c>
      <c r="D155">
        <v>35855</v>
      </c>
      <c r="E155">
        <v>38</v>
      </c>
      <c r="F155">
        <f>SUMIFS(Purchases!$C:$C,Purchases!$B:$B,A155)</f>
        <v>699</v>
      </c>
      <c r="G155">
        <f>SUMIFS(Sales!$C:$C,Sales!$B:$B,A155)</f>
        <v>418</v>
      </c>
      <c r="H155">
        <f t="shared" si="4"/>
        <v>319</v>
      </c>
      <c r="I155">
        <f>Table1[[#This Row],[Current Stock]]*Table1[[#This Row],[Unit Cost]]</f>
        <v>11437745</v>
      </c>
      <c r="J155" t="str">
        <f t="shared" si="5"/>
        <v>Ok</v>
      </c>
    </row>
    <row r="156" spans="1:10" hidden="1" x14ac:dyDescent="0.3">
      <c r="A156" t="s">
        <v>318</v>
      </c>
      <c r="B156" t="s">
        <v>319</v>
      </c>
      <c r="C156" t="s">
        <v>10</v>
      </c>
      <c r="D156">
        <v>38275</v>
      </c>
      <c r="E156">
        <v>302</v>
      </c>
      <c r="F156">
        <f>SUMIFS(Purchases!$C:$C,Purchases!$B:$B,A156)</f>
        <v>661</v>
      </c>
      <c r="G156">
        <f>SUMIFS(Sales!$C:$C,Sales!$B:$B,A156)</f>
        <v>389</v>
      </c>
      <c r="H156">
        <f t="shared" si="4"/>
        <v>574</v>
      </c>
      <c r="I156">
        <f>Table1[[#This Row],[Current Stock]]*Table1[[#This Row],[Unit Cost]]</f>
        <v>21969850</v>
      </c>
      <c r="J156" t="str">
        <f t="shared" si="5"/>
        <v>Ok</v>
      </c>
    </row>
    <row r="157" spans="1:10" hidden="1" x14ac:dyDescent="0.3">
      <c r="A157" t="s">
        <v>320</v>
      </c>
      <c r="B157" t="s">
        <v>321</v>
      </c>
      <c r="C157" t="s">
        <v>13</v>
      </c>
      <c r="D157">
        <v>28266</v>
      </c>
      <c r="E157">
        <v>85</v>
      </c>
      <c r="F157">
        <f>SUMIFS(Purchases!$C:$C,Purchases!$B:$B,A157)</f>
        <v>598</v>
      </c>
      <c r="G157">
        <f>SUMIFS(Sales!$C:$C,Sales!$B:$B,A157)</f>
        <v>449</v>
      </c>
      <c r="H157">
        <f t="shared" si="4"/>
        <v>234</v>
      </c>
      <c r="I157">
        <f>Table1[[#This Row],[Current Stock]]*Table1[[#This Row],[Unit Cost]]</f>
        <v>6614244</v>
      </c>
      <c r="J157" t="str">
        <f t="shared" si="5"/>
        <v>Ok</v>
      </c>
    </row>
    <row r="158" spans="1:10" hidden="1" x14ac:dyDescent="0.3">
      <c r="A158" t="s">
        <v>322</v>
      </c>
      <c r="B158" t="s">
        <v>323</v>
      </c>
      <c r="C158" t="s">
        <v>7</v>
      </c>
      <c r="D158">
        <v>20302</v>
      </c>
      <c r="E158">
        <v>206</v>
      </c>
      <c r="F158">
        <f>SUMIFS(Purchases!$C:$C,Purchases!$B:$B,A158)</f>
        <v>490</v>
      </c>
      <c r="G158">
        <f>SUMIFS(Sales!$C:$C,Sales!$B:$B,A158)</f>
        <v>375</v>
      </c>
      <c r="H158">
        <f t="shared" si="4"/>
        <v>321</v>
      </c>
      <c r="I158">
        <f>Table1[[#This Row],[Current Stock]]*Table1[[#This Row],[Unit Cost]]</f>
        <v>6516942</v>
      </c>
      <c r="J158" t="str">
        <f t="shared" si="5"/>
        <v>Ok</v>
      </c>
    </row>
    <row r="159" spans="1:10" x14ac:dyDescent="0.3">
      <c r="A159" t="s">
        <v>324</v>
      </c>
      <c r="B159" t="s">
        <v>325</v>
      </c>
      <c r="C159" t="s">
        <v>7</v>
      </c>
      <c r="D159">
        <v>23549</v>
      </c>
      <c r="E159">
        <v>127</v>
      </c>
      <c r="F159">
        <f>SUMIFS(Purchases!$C:$C,Purchases!$B:$B,A159)</f>
        <v>272</v>
      </c>
      <c r="G159">
        <f>SUMIFS(Sales!$C:$C,Sales!$B:$B,A159)</f>
        <v>355</v>
      </c>
      <c r="H159">
        <f t="shared" si="4"/>
        <v>44</v>
      </c>
      <c r="I159">
        <f>Table1[[#This Row],[Current Stock]]*Table1[[#This Row],[Unit Cost]]</f>
        <v>1036156</v>
      </c>
      <c r="J159" t="str">
        <f t="shared" si="5"/>
        <v>Recorder</v>
      </c>
    </row>
    <row r="160" spans="1:10" hidden="1" x14ac:dyDescent="0.3">
      <c r="A160" t="s">
        <v>326</v>
      </c>
      <c r="B160" t="s">
        <v>327</v>
      </c>
      <c r="C160" t="s">
        <v>13</v>
      </c>
      <c r="D160">
        <v>43808</v>
      </c>
      <c r="E160">
        <v>72</v>
      </c>
      <c r="F160">
        <f>SUMIFS(Purchases!$C:$C,Purchases!$B:$B,A160)</f>
        <v>451</v>
      </c>
      <c r="G160">
        <f>SUMIFS(Sales!$C:$C,Sales!$B:$B,A160)</f>
        <v>355</v>
      </c>
      <c r="H160">
        <f t="shared" si="4"/>
        <v>168</v>
      </c>
      <c r="I160">
        <f>Table1[[#This Row],[Current Stock]]*Table1[[#This Row],[Unit Cost]]</f>
        <v>7359744</v>
      </c>
      <c r="J160" t="str">
        <f t="shared" si="5"/>
        <v>Ok</v>
      </c>
    </row>
    <row r="161" spans="1:10" hidden="1" x14ac:dyDescent="0.3">
      <c r="A161" t="s">
        <v>328</v>
      </c>
      <c r="B161" t="s">
        <v>329</v>
      </c>
      <c r="C161" t="s">
        <v>10</v>
      </c>
      <c r="D161">
        <v>36792</v>
      </c>
      <c r="E161">
        <v>472</v>
      </c>
      <c r="F161">
        <f>SUMIFS(Purchases!$C:$C,Purchases!$B:$B,A161)</f>
        <v>790</v>
      </c>
      <c r="G161">
        <f>SUMIFS(Sales!$C:$C,Sales!$B:$B,A161)</f>
        <v>385</v>
      </c>
      <c r="H161">
        <f t="shared" si="4"/>
        <v>877</v>
      </c>
      <c r="I161">
        <f>Table1[[#This Row],[Current Stock]]*Table1[[#This Row],[Unit Cost]]</f>
        <v>32266584</v>
      </c>
      <c r="J161" t="str">
        <f t="shared" si="5"/>
        <v>Ok</v>
      </c>
    </row>
    <row r="162" spans="1:10" hidden="1" x14ac:dyDescent="0.3">
      <c r="A162" t="s">
        <v>330</v>
      </c>
      <c r="B162" t="s">
        <v>331</v>
      </c>
      <c r="C162" t="s">
        <v>19</v>
      </c>
      <c r="D162">
        <v>40775</v>
      </c>
      <c r="E162">
        <v>403</v>
      </c>
      <c r="F162">
        <f>SUMIFS(Purchases!$C:$C,Purchases!$B:$B,A162)</f>
        <v>880</v>
      </c>
      <c r="G162">
        <f>SUMIFS(Sales!$C:$C,Sales!$B:$B,A162)</f>
        <v>371</v>
      </c>
      <c r="H162">
        <f t="shared" si="4"/>
        <v>912</v>
      </c>
      <c r="I162">
        <f>Table1[[#This Row],[Current Stock]]*Table1[[#This Row],[Unit Cost]]</f>
        <v>37186800</v>
      </c>
      <c r="J162" t="str">
        <f t="shared" si="5"/>
        <v>Ok</v>
      </c>
    </row>
    <row r="163" spans="1:10" hidden="1" x14ac:dyDescent="0.3">
      <c r="A163" t="s">
        <v>332</v>
      </c>
      <c r="B163" t="s">
        <v>333</v>
      </c>
      <c r="C163" t="s">
        <v>13</v>
      </c>
      <c r="D163">
        <v>15614</v>
      </c>
      <c r="E163">
        <v>462</v>
      </c>
      <c r="F163">
        <f>SUMIFS(Purchases!$C:$C,Purchases!$B:$B,A163)</f>
        <v>527</v>
      </c>
      <c r="G163">
        <f>SUMIFS(Sales!$C:$C,Sales!$B:$B,A163)</f>
        <v>424</v>
      </c>
      <c r="H163">
        <f t="shared" si="4"/>
        <v>565</v>
      </c>
      <c r="I163">
        <f>Table1[[#This Row],[Current Stock]]*Table1[[#This Row],[Unit Cost]]</f>
        <v>8821910</v>
      </c>
      <c r="J163" t="str">
        <f t="shared" si="5"/>
        <v>Ok</v>
      </c>
    </row>
    <row r="164" spans="1:10" hidden="1" x14ac:dyDescent="0.3">
      <c r="A164" t="s">
        <v>334</v>
      </c>
      <c r="B164" t="s">
        <v>335</v>
      </c>
      <c r="C164" t="s">
        <v>13</v>
      </c>
      <c r="D164">
        <v>11703</v>
      </c>
      <c r="E164">
        <v>471</v>
      </c>
      <c r="F164">
        <f>SUMIFS(Purchases!$C:$C,Purchases!$B:$B,A164)</f>
        <v>620</v>
      </c>
      <c r="G164">
        <f>SUMIFS(Sales!$C:$C,Sales!$B:$B,A164)</f>
        <v>570</v>
      </c>
      <c r="H164">
        <f t="shared" si="4"/>
        <v>521</v>
      </c>
      <c r="I164">
        <f>Table1[[#This Row],[Current Stock]]*Table1[[#This Row],[Unit Cost]]</f>
        <v>6097263</v>
      </c>
      <c r="J164" t="str">
        <f t="shared" si="5"/>
        <v>Ok</v>
      </c>
    </row>
    <row r="165" spans="1:10" hidden="1" x14ac:dyDescent="0.3">
      <c r="A165" t="s">
        <v>336</v>
      </c>
      <c r="B165" t="s">
        <v>337</v>
      </c>
      <c r="C165" t="s">
        <v>19</v>
      </c>
      <c r="D165">
        <v>1724</v>
      </c>
      <c r="E165">
        <v>111</v>
      </c>
      <c r="F165">
        <f>SUMIFS(Purchases!$C:$C,Purchases!$B:$B,A165)</f>
        <v>618</v>
      </c>
      <c r="G165">
        <f>SUMIFS(Sales!$C:$C,Sales!$B:$B,A165)</f>
        <v>268</v>
      </c>
      <c r="H165">
        <f t="shared" si="4"/>
        <v>461</v>
      </c>
      <c r="I165">
        <f>Table1[[#This Row],[Current Stock]]*Table1[[#This Row],[Unit Cost]]</f>
        <v>794764</v>
      </c>
      <c r="J165" t="str">
        <f t="shared" si="5"/>
        <v>Ok</v>
      </c>
    </row>
    <row r="166" spans="1:10" hidden="1" x14ac:dyDescent="0.3">
      <c r="A166" t="s">
        <v>338</v>
      </c>
      <c r="B166" t="s">
        <v>339</v>
      </c>
      <c r="C166" t="s">
        <v>10</v>
      </c>
      <c r="D166">
        <v>27082</v>
      </c>
      <c r="E166">
        <v>430</v>
      </c>
      <c r="F166">
        <f>SUMIFS(Purchases!$C:$C,Purchases!$B:$B,A166)</f>
        <v>536</v>
      </c>
      <c r="G166">
        <f>SUMIFS(Sales!$C:$C,Sales!$B:$B,A166)</f>
        <v>296</v>
      </c>
      <c r="H166">
        <f t="shared" si="4"/>
        <v>670</v>
      </c>
      <c r="I166">
        <f>Table1[[#This Row],[Current Stock]]*Table1[[#This Row],[Unit Cost]]</f>
        <v>18144940</v>
      </c>
      <c r="J166" t="str">
        <f t="shared" si="5"/>
        <v>Ok</v>
      </c>
    </row>
    <row r="167" spans="1:10" hidden="1" x14ac:dyDescent="0.3">
      <c r="A167" t="s">
        <v>340</v>
      </c>
      <c r="B167" t="s">
        <v>341</v>
      </c>
      <c r="C167" t="s">
        <v>13</v>
      </c>
      <c r="D167">
        <v>17585</v>
      </c>
      <c r="E167">
        <v>101</v>
      </c>
      <c r="F167">
        <f>SUMIFS(Purchases!$C:$C,Purchases!$B:$B,A167)</f>
        <v>618</v>
      </c>
      <c r="G167">
        <f>SUMIFS(Sales!$C:$C,Sales!$B:$B,A167)</f>
        <v>355</v>
      </c>
      <c r="H167">
        <f t="shared" si="4"/>
        <v>364</v>
      </c>
      <c r="I167">
        <f>Table1[[#This Row],[Current Stock]]*Table1[[#This Row],[Unit Cost]]</f>
        <v>6400940</v>
      </c>
      <c r="J167" t="str">
        <f t="shared" si="5"/>
        <v>Ok</v>
      </c>
    </row>
    <row r="168" spans="1:10" hidden="1" x14ac:dyDescent="0.3">
      <c r="A168" t="s">
        <v>342</v>
      </c>
      <c r="B168" t="s">
        <v>343</v>
      </c>
      <c r="C168" t="s">
        <v>7</v>
      </c>
      <c r="D168">
        <v>25170</v>
      </c>
      <c r="E168">
        <v>466</v>
      </c>
      <c r="F168">
        <f>SUMIFS(Purchases!$C:$C,Purchases!$B:$B,A168)</f>
        <v>636</v>
      </c>
      <c r="G168">
        <f>SUMIFS(Sales!$C:$C,Sales!$B:$B,A168)</f>
        <v>466</v>
      </c>
      <c r="H168">
        <f t="shared" si="4"/>
        <v>636</v>
      </c>
      <c r="I168">
        <f>Table1[[#This Row],[Current Stock]]*Table1[[#This Row],[Unit Cost]]</f>
        <v>16008120</v>
      </c>
      <c r="J168" t="str">
        <f t="shared" si="5"/>
        <v>Ok</v>
      </c>
    </row>
    <row r="169" spans="1:10" x14ac:dyDescent="0.3">
      <c r="A169" t="s">
        <v>344</v>
      </c>
      <c r="B169" t="s">
        <v>345</v>
      </c>
      <c r="C169" t="s">
        <v>7</v>
      </c>
      <c r="D169">
        <v>30947</v>
      </c>
      <c r="E169">
        <v>133</v>
      </c>
      <c r="F169">
        <f>SUMIFS(Purchases!$C:$C,Purchases!$B:$B,A169)</f>
        <v>276</v>
      </c>
      <c r="G169">
        <f>SUMIFS(Sales!$C:$C,Sales!$B:$B,A169)</f>
        <v>378</v>
      </c>
      <c r="H169">
        <f t="shared" si="4"/>
        <v>31</v>
      </c>
      <c r="I169">
        <f>Table1[[#This Row],[Current Stock]]*Table1[[#This Row],[Unit Cost]]</f>
        <v>959357</v>
      </c>
      <c r="J169" t="str">
        <f t="shared" si="5"/>
        <v>Recorder</v>
      </c>
    </row>
    <row r="170" spans="1:10" x14ac:dyDescent="0.3">
      <c r="A170" t="s">
        <v>346</v>
      </c>
      <c r="B170" t="s">
        <v>347</v>
      </c>
      <c r="C170" t="s">
        <v>13</v>
      </c>
      <c r="D170">
        <v>30266</v>
      </c>
      <c r="E170">
        <v>199</v>
      </c>
      <c r="F170">
        <f>SUMIFS(Purchases!$C:$C,Purchases!$B:$B,A170)</f>
        <v>270</v>
      </c>
      <c r="G170">
        <f>SUMIFS(Sales!$C:$C,Sales!$B:$B,A170)</f>
        <v>466</v>
      </c>
      <c r="H170">
        <f t="shared" si="4"/>
        <v>3</v>
      </c>
      <c r="I170">
        <f>Table1[[#This Row],[Current Stock]]*Table1[[#This Row],[Unit Cost]]</f>
        <v>90798</v>
      </c>
      <c r="J170" t="str">
        <f t="shared" si="5"/>
        <v>Recorder</v>
      </c>
    </row>
    <row r="171" spans="1:10" hidden="1" x14ac:dyDescent="0.3">
      <c r="A171" t="s">
        <v>348</v>
      </c>
      <c r="B171" t="s">
        <v>349</v>
      </c>
      <c r="C171" t="s">
        <v>10</v>
      </c>
      <c r="D171">
        <v>15015</v>
      </c>
      <c r="E171">
        <v>134</v>
      </c>
      <c r="F171">
        <f>SUMIFS(Purchases!$C:$C,Purchases!$B:$B,A171)</f>
        <v>745</v>
      </c>
      <c r="G171">
        <f>SUMIFS(Sales!$C:$C,Sales!$B:$B,A171)</f>
        <v>289</v>
      </c>
      <c r="H171">
        <f t="shared" si="4"/>
        <v>590</v>
      </c>
      <c r="I171">
        <f>Table1[[#This Row],[Current Stock]]*Table1[[#This Row],[Unit Cost]]</f>
        <v>8858850</v>
      </c>
      <c r="J171" t="str">
        <f t="shared" si="5"/>
        <v>Ok</v>
      </c>
    </row>
    <row r="172" spans="1:10" hidden="1" x14ac:dyDescent="0.3">
      <c r="A172" t="s">
        <v>350</v>
      </c>
      <c r="B172" t="s">
        <v>351</v>
      </c>
      <c r="C172" t="s">
        <v>7</v>
      </c>
      <c r="D172">
        <v>43355</v>
      </c>
      <c r="E172">
        <v>118</v>
      </c>
      <c r="F172">
        <f>SUMIFS(Purchases!$C:$C,Purchases!$B:$B,A172)</f>
        <v>452</v>
      </c>
      <c r="G172">
        <f>SUMIFS(Sales!$C:$C,Sales!$B:$B,A172)</f>
        <v>267</v>
      </c>
      <c r="H172">
        <f t="shared" si="4"/>
        <v>303</v>
      </c>
      <c r="I172">
        <f>Table1[[#This Row],[Current Stock]]*Table1[[#This Row],[Unit Cost]]</f>
        <v>13136565</v>
      </c>
      <c r="J172" t="str">
        <f t="shared" si="5"/>
        <v>Ok</v>
      </c>
    </row>
    <row r="173" spans="1:10" x14ac:dyDescent="0.3">
      <c r="A173" t="s">
        <v>352</v>
      </c>
      <c r="B173" t="s">
        <v>353</v>
      </c>
      <c r="C173" t="s">
        <v>19</v>
      </c>
      <c r="D173">
        <v>21612</v>
      </c>
      <c r="E173">
        <v>162</v>
      </c>
      <c r="F173">
        <f>SUMIFS(Purchases!$C:$C,Purchases!$B:$B,A173)</f>
        <v>124</v>
      </c>
      <c r="G173">
        <f>SUMIFS(Sales!$C:$C,Sales!$B:$B,A173)</f>
        <v>262</v>
      </c>
      <c r="H173">
        <f t="shared" si="4"/>
        <v>24</v>
      </c>
      <c r="I173">
        <f>Table1[[#This Row],[Current Stock]]*Table1[[#This Row],[Unit Cost]]</f>
        <v>518688</v>
      </c>
      <c r="J173" t="str">
        <f t="shared" si="5"/>
        <v>Recorder</v>
      </c>
    </row>
    <row r="174" spans="1:10" hidden="1" x14ac:dyDescent="0.3">
      <c r="A174" t="s">
        <v>354</v>
      </c>
      <c r="B174" t="s">
        <v>355</v>
      </c>
      <c r="C174" t="s">
        <v>7</v>
      </c>
      <c r="D174">
        <v>18392</v>
      </c>
      <c r="E174">
        <v>199</v>
      </c>
      <c r="F174">
        <f>SUMIFS(Purchases!$C:$C,Purchases!$B:$B,A174)</f>
        <v>537</v>
      </c>
      <c r="G174">
        <f>SUMIFS(Sales!$C:$C,Sales!$B:$B,A174)</f>
        <v>424</v>
      </c>
      <c r="H174">
        <f t="shared" si="4"/>
        <v>312</v>
      </c>
      <c r="I174">
        <f>Table1[[#This Row],[Current Stock]]*Table1[[#This Row],[Unit Cost]]</f>
        <v>5738304</v>
      </c>
      <c r="J174" t="str">
        <f t="shared" si="5"/>
        <v>Ok</v>
      </c>
    </row>
    <row r="175" spans="1:10" hidden="1" x14ac:dyDescent="0.3">
      <c r="A175" t="s">
        <v>356</v>
      </c>
      <c r="B175" t="s">
        <v>357</v>
      </c>
      <c r="C175" t="s">
        <v>16</v>
      </c>
      <c r="D175">
        <v>26293</v>
      </c>
      <c r="E175">
        <v>367</v>
      </c>
      <c r="F175">
        <f>SUMIFS(Purchases!$C:$C,Purchases!$B:$B,A175)</f>
        <v>565</v>
      </c>
      <c r="G175">
        <f>SUMIFS(Sales!$C:$C,Sales!$B:$B,A175)</f>
        <v>368</v>
      </c>
      <c r="H175">
        <f t="shared" si="4"/>
        <v>564</v>
      </c>
      <c r="I175">
        <f>Table1[[#This Row],[Current Stock]]*Table1[[#This Row],[Unit Cost]]</f>
        <v>14829252</v>
      </c>
      <c r="J175" t="str">
        <f t="shared" si="5"/>
        <v>Ok</v>
      </c>
    </row>
    <row r="176" spans="1:10" hidden="1" x14ac:dyDescent="0.3">
      <c r="A176" t="s">
        <v>358</v>
      </c>
      <c r="B176" t="s">
        <v>359</v>
      </c>
      <c r="C176" t="s">
        <v>16</v>
      </c>
      <c r="D176">
        <v>21802</v>
      </c>
      <c r="E176">
        <v>500</v>
      </c>
      <c r="F176">
        <f>SUMIFS(Purchases!$C:$C,Purchases!$B:$B,A176)</f>
        <v>674</v>
      </c>
      <c r="G176">
        <f>SUMIFS(Sales!$C:$C,Sales!$B:$B,A176)</f>
        <v>456</v>
      </c>
      <c r="H176">
        <f t="shared" si="4"/>
        <v>718</v>
      </c>
      <c r="I176">
        <f>Table1[[#This Row],[Current Stock]]*Table1[[#This Row],[Unit Cost]]</f>
        <v>15653836</v>
      </c>
      <c r="J176" t="str">
        <f t="shared" si="5"/>
        <v>Ok</v>
      </c>
    </row>
    <row r="177" spans="1:10" hidden="1" x14ac:dyDescent="0.3">
      <c r="A177" t="s">
        <v>360</v>
      </c>
      <c r="B177" t="s">
        <v>361</v>
      </c>
      <c r="C177" t="s">
        <v>7</v>
      </c>
      <c r="D177">
        <v>7659</v>
      </c>
      <c r="E177">
        <v>469</v>
      </c>
      <c r="F177">
        <f>SUMIFS(Purchases!$C:$C,Purchases!$B:$B,A177)</f>
        <v>510</v>
      </c>
      <c r="G177">
        <f>SUMIFS(Sales!$C:$C,Sales!$B:$B,A177)</f>
        <v>386</v>
      </c>
      <c r="H177">
        <f t="shared" si="4"/>
        <v>593</v>
      </c>
      <c r="I177">
        <f>Table1[[#This Row],[Current Stock]]*Table1[[#This Row],[Unit Cost]]</f>
        <v>4541787</v>
      </c>
      <c r="J177" t="str">
        <f t="shared" si="5"/>
        <v>Ok</v>
      </c>
    </row>
    <row r="178" spans="1:10" hidden="1" x14ac:dyDescent="0.3">
      <c r="A178" t="s">
        <v>362</v>
      </c>
      <c r="B178" t="s">
        <v>363</v>
      </c>
      <c r="C178" t="s">
        <v>10</v>
      </c>
      <c r="D178">
        <v>11802</v>
      </c>
      <c r="E178">
        <v>317</v>
      </c>
      <c r="F178">
        <f>SUMIFS(Purchases!$C:$C,Purchases!$B:$B,A178)</f>
        <v>591</v>
      </c>
      <c r="G178">
        <f>SUMIFS(Sales!$C:$C,Sales!$B:$B,A178)</f>
        <v>274</v>
      </c>
      <c r="H178">
        <f t="shared" si="4"/>
        <v>634</v>
      </c>
      <c r="I178">
        <f>Table1[[#This Row],[Current Stock]]*Table1[[#This Row],[Unit Cost]]</f>
        <v>7482468</v>
      </c>
      <c r="J178" t="str">
        <f t="shared" si="5"/>
        <v>Ok</v>
      </c>
    </row>
    <row r="179" spans="1:10" x14ac:dyDescent="0.3">
      <c r="A179" t="s">
        <v>364</v>
      </c>
      <c r="B179" t="s">
        <v>365</v>
      </c>
      <c r="C179" t="s">
        <v>10</v>
      </c>
      <c r="D179">
        <v>2607</v>
      </c>
      <c r="E179">
        <v>75</v>
      </c>
      <c r="F179">
        <f>SUMIFS(Purchases!$C:$C,Purchases!$B:$B,A179)</f>
        <v>141</v>
      </c>
      <c r="G179">
        <f>SUMIFS(Sales!$C:$C,Sales!$B:$B,A179)</f>
        <v>456</v>
      </c>
      <c r="H179">
        <f t="shared" si="4"/>
        <v>-240</v>
      </c>
      <c r="I179">
        <f>Table1[[#This Row],[Current Stock]]*Table1[[#This Row],[Unit Cost]]</f>
        <v>-625680</v>
      </c>
      <c r="J179" t="str">
        <f t="shared" si="5"/>
        <v>Recorder</v>
      </c>
    </row>
    <row r="180" spans="1:10" hidden="1" x14ac:dyDescent="0.3">
      <c r="A180" t="s">
        <v>366</v>
      </c>
      <c r="B180" t="s">
        <v>367</v>
      </c>
      <c r="C180" t="s">
        <v>16</v>
      </c>
      <c r="D180">
        <v>28579</v>
      </c>
      <c r="E180">
        <v>196</v>
      </c>
      <c r="F180">
        <f>SUMIFS(Purchases!$C:$C,Purchases!$B:$B,A180)</f>
        <v>505</v>
      </c>
      <c r="G180">
        <f>SUMIFS(Sales!$C:$C,Sales!$B:$B,A180)</f>
        <v>332</v>
      </c>
      <c r="H180">
        <f t="shared" si="4"/>
        <v>369</v>
      </c>
      <c r="I180">
        <f>Table1[[#This Row],[Current Stock]]*Table1[[#This Row],[Unit Cost]]</f>
        <v>10545651</v>
      </c>
      <c r="J180" t="str">
        <f t="shared" si="5"/>
        <v>Ok</v>
      </c>
    </row>
    <row r="181" spans="1:10" hidden="1" x14ac:dyDescent="0.3">
      <c r="A181" t="s">
        <v>368</v>
      </c>
      <c r="B181" t="s">
        <v>369</v>
      </c>
      <c r="C181" t="s">
        <v>10</v>
      </c>
      <c r="D181">
        <v>28699</v>
      </c>
      <c r="E181">
        <v>330</v>
      </c>
      <c r="F181">
        <f>SUMIFS(Purchases!$C:$C,Purchases!$B:$B,A181)</f>
        <v>824</v>
      </c>
      <c r="G181">
        <f>SUMIFS(Sales!$C:$C,Sales!$B:$B,A181)</f>
        <v>270</v>
      </c>
      <c r="H181">
        <f t="shared" si="4"/>
        <v>884</v>
      </c>
      <c r="I181">
        <f>Table1[[#This Row],[Current Stock]]*Table1[[#This Row],[Unit Cost]]</f>
        <v>25369916</v>
      </c>
      <c r="J181" t="str">
        <f t="shared" si="5"/>
        <v>Ok</v>
      </c>
    </row>
    <row r="182" spans="1:10" hidden="1" x14ac:dyDescent="0.3">
      <c r="A182" t="s">
        <v>370</v>
      </c>
      <c r="B182" t="s">
        <v>371</v>
      </c>
      <c r="C182" t="s">
        <v>16</v>
      </c>
      <c r="D182">
        <v>7678</v>
      </c>
      <c r="E182">
        <v>217</v>
      </c>
      <c r="F182">
        <f>SUMIFS(Purchases!$C:$C,Purchases!$B:$B,A182)</f>
        <v>538</v>
      </c>
      <c r="G182">
        <f>SUMIFS(Sales!$C:$C,Sales!$B:$B,A182)</f>
        <v>336</v>
      </c>
      <c r="H182">
        <f t="shared" si="4"/>
        <v>419</v>
      </c>
      <c r="I182">
        <f>Table1[[#This Row],[Current Stock]]*Table1[[#This Row],[Unit Cost]]</f>
        <v>3217082</v>
      </c>
      <c r="J182" t="str">
        <f t="shared" si="5"/>
        <v>Ok</v>
      </c>
    </row>
    <row r="183" spans="1:10" hidden="1" x14ac:dyDescent="0.3">
      <c r="A183" t="s">
        <v>372</v>
      </c>
      <c r="B183" t="s">
        <v>373</v>
      </c>
      <c r="C183" t="s">
        <v>16</v>
      </c>
      <c r="D183">
        <v>12557</v>
      </c>
      <c r="E183">
        <v>150</v>
      </c>
      <c r="F183">
        <f>SUMIFS(Purchases!$C:$C,Purchases!$B:$B,A183)</f>
        <v>365</v>
      </c>
      <c r="G183">
        <f>SUMIFS(Sales!$C:$C,Sales!$B:$B,A183)</f>
        <v>442</v>
      </c>
      <c r="H183">
        <f t="shared" si="4"/>
        <v>73</v>
      </c>
      <c r="I183">
        <f>Table1[[#This Row],[Current Stock]]*Table1[[#This Row],[Unit Cost]]</f>
        <v>916661</v>
      </c>
      <c r="J183" t="str">
        <f t="shared" si="5"/>
        <v>Ok</v>
      </c>
    </row>
    <row r="184" spans="1:10" hidden="1" x14ac:dyDescent="0.3">
      <c r="A184" t="s">
        <v>374</v>
      </c>
      <c r="B184" t="s">
        <v>375</v>
      </c>
      <c r="C184" t="s">
        <v>7</v>
      </c>
      <c r="D184">
        <v>46550</v>
      </c>
      <c r="E184">
        <v>243</v>
      </c>
      <c r="F184">
        <f>SUMIFS(Purchases!$C:$C,Purchases!$B:$B,A184)</f>
        <v>493</v>
      </c>
      <c r="G184">
        <f>SUMIFS(Sales!$C:$C,Sales!$B:$B,A184)</f>
        <v>346</v>
      </c>
      <c r="H184">
        <f t="shared" si="4"/>
        <v>390</v>
      </c>
      <c r="I184">
        <f>Table1[[#This Row],[Current Stock]]*Table1[[#This Row],[Unit Cost]]</f>
        <v>18154500</v>
      </c>
      <c r="J184" t="str">
        <f t="shared" si="5"/>
        <v>Ok</v>
      </c>
    </row>
    <row r="185" spans="1:10" hidden="1" x14ac:dyDescent="0.3">
      <c r="A185" t="s">
        <v>376</v>
      </c>
      <c r="B185" t="s">
        <v>377</v>
      </c>
      <c r="C185" t="s">
        <v>7</v>
      </c>
      <c r="D185">
        <v>34173</v>
      </c>
      <c r="E185">
        <v>493</v>
      </c>
      <c r="F185">
        <f>SUMIFS(Purchases!$C:$C,Purchases!$B:$B,A185)</f>
        <v>738</v>
      </c>
      <c r="G185">
        <f>SUMIFS(Sales!$C:$C,Sales!$B:$B,A185)</f>
        <v>331</v>
      </c>
      <c r="H185">
        <f t="shared" si="4"/>
        <v>900</v>
      </c>
      <c r="I185">
        <f>Table1[[#This Row],[Current Stock]]*Table1[[#This Row],[Unit Cost]]</f>
        <v>30755700</v>
      </c>
      <c r="J185" t="str">
        <f t="shared" si="5"/>
        <v>Ok</v>
      </c>
    </row>
    <row r="186" spans="1:10" hidden="1" x14ac:dyDescent="0.3">
      <c r="A186" t="s">
        <v>378</v>
      </c>
      <c r="B186" t="s">
        <v>379</v>
      </c>
      <c r="C186" t="s">
        <v>16</v>
      </c>
      <c r="D186">
        <v>45113</v>
      </c>
      <c r="E186">
        <v>388</v>
      </c>
      <c r="F186">
        <f>SUMIFS(Purchases!$C:$C,Purchases!$B:$B,A186)</f>
        <v>584</v>
      </c>
      <c r="G186">
        <f>SUMIFS(Sales!$C:$C,Sales!$B:$B,A186)</f>
        <v>317</v>
      </c>
      <c r="H186">
        <f t="shared" si="4"/>
        <v>655</v>
      </c>
      <c r="I186">
        <f>Table1[[#This Row],[Current Stock]]*Table1[[#This Row],[Unit Cost]]</f>
        <v>29549015</v>
      </c>
      <c r="J186" t="str">
        <f t="shared" si="5"/>
        <v>Ok</v>
      </c>
    </row>
    <row r="187" spans="1:10" hidden="1" x14ac:dyDescent="0.3">
      <c r="A187" t="s">
        <v>380</v>
      </c>
      <c r="B187" t="s">
        <v>381</v>
      </c>
      <c r="C187" t="s">
        <v>13</v>
      </c>
      <c r="D187">
        <v>23969</v>
      </c>
      <c r="E187">
        <v>240</v>
      </c>
      <c r="F187">
        <f>SUMIFS(Purchases!$C:$C,Purchases!$B:$B,A187)</f>
        <v>378</v>
      </c>
      <c r="G187">
        <f>SUMIFS(Sales!$C:$C,Sales!$B:$B,A187)</f>
        <v>297</v>
      </c>
      <c r="H187">
        <f t="shared" si="4"/>
        <v>321</v>
      </c>
      <c r="I187">
        <f>Table1[[#This Row],[Current Stock]]*Table1[[#This Row],[Unit Cost]]</f>
        <v>7694049</v>
      </c>
      <c r="J187" t="str">
        <f t="shared" si="5"/>
        <v>Ok</v>
      </c>
    </row>
    <row r="188" spans="1:10" hidden="1" x14ac:dyDescent="0.3">
      <c r="A188" t="s">
        <v>382</v>
      </c>
      <c r="B188" t="s">
        <v>383</v>
      </c>
      <c r="C188" t="s">
        <v>7</v>
      </c>
      <c r="D188">
        <v>43631</v>
      </c>
      <c r="E188">
        <v>491</v>
      </c>
      <c r="F188">
        <f>SUMIFS(Purchases!$C:$C,Purchases!$B:$B,A188)</f>
        <v>621</v>
      </c>
      <c r="G188">
        <f>SUMIFS(Sales!$C:$C,Sales!$B:$B,A188)</f>
        <v>368</v>
      </c>
      <c r="H188">
        <f t="shared" si="4"/>
        <v>744</v>
      </c>
      <c r="I188">
        <f>Table1[[#This Row],[Current Stock]]*Table1[[#This Row],[Unit Cost]]</f>
        <v>32461464</v>
      </c>
      <c r="J188" t="str">
        <f t="shared" si="5"/>
        <v>Ok</v>
      </c>
    </row>
    <row r="189" spans="1:10" hidden="1" x14ac:dyDescent="0.3">
      <c r="A189" t="s">
        <v>384</v>
      </c>
      <c r="B189" t="s">
        <v>385</v>
      </c>
      <c r="C189" t="s">
        <v>10</v>
      </c>
      <c r="D189">
        <v>40939</v>
      </c>
      <c r="E189">
        <v>180</v>
      </c>
      <c r="F189">
        <f>SUMIFS(Purchases!$C:$C,Purchases!$B:$B,A189)</f>
        <v>659</v>
      </c>
      <c r="G189">
        <f>SUMIFS(Sales!$C:$C,Sales!$B:$B,A189)</f>
        <v>202</v>
      </c>
      <c r="H189">
        <f t="shared" si="4"/>
        <v>637</v>
      </c>
      <c r="I189">
        <f>Table1[[#This Row],[Current Stock]]*Table1[[#This Row],[Unit Cost]]</f>
        <v>26078143</v>
      </c>
      <c r="J189" t="str">
        <f t="shared" si="5"/>
        <v>Ok</v>
      </c>
    </row>
    <row r="190" spans="1:10" hidden="1" x14ac:dyDescent="0.3">
      <c r="A190" t="s">
        <v>386</v>
      </c>
      <c r="B190" t="s">
        <v>387</v>
      </c>
      <c r="C190" t="s">
        <v>7</v>
      </c>
      <c r="D190">
        <v>47269</v>
      </c>
      <c r="E190">
        <v>480</v>
      </c>
      <c r="F190">
        <f>SUMIFS(Purchases!$C:$C,Purchases!$B:$B,A190)</f>
        <v>586</v>
      </c>
      <c r="G190">
        <f>SUMIFS(Sales!$C:$C,Sales!$B:$B,A190)</f>
        <v>298</v>
      </c>
      <c r="H190">
        <f t="shared" si="4"/>
        <v>768</v>
      </c>
      <c r="I190">
        <f>Table1[[#This Row],[Current Stock]]*Table1[[#This Row],[Unit Cost]]</f>
        <v>36302592</v>
      </c>
      <c r="J190" t="str">
        <f t="shared" si="5"/>
        <v>Ok</v>
      </c>
    </row>
    <row r="191" spans="1:10" hidden="1" x14ac:dyDescent="0.3">
      <c r="A191" t="s">
        <v>388</v>
      </c>
      <c r="B191" t="s">
        <v>389</v>
      </c>
      <c r="C191" t="s">
        <v>10</v>
      </c>
      <c r="D191">
        <v>33334</v>
      </c>
      <c r="E191">
        <v>178</v>
      </c>
      <c r="F191">
        <f>SUMIFS(Purchases!$C:$C,Purchases!$B:$B,A191)</f>
        <v>468</v>
      </c>
      <c r="G191">
        <f>SUMIFS(Sales!$C:$C,Sales!$B:$B,A191)</f>
        <v>366</v>
      </c>
      <c r="H191">
        <f t="shared" si="4"/>
        <v>280</v>
      </c>
      <c r="I191">
        <f>Table1[[#This Row],[Current Stock]]*Table1[[#This Row],[Unit Cost]]</f>
        <v>9333520</v>
      </c>
      <c r="J191" t="str">
        <f t="shared" si="5"/>
        <v>Ok</v>
      </c>
    </row>
    <row r="192" spans="1:10" hidden="1" x14ac:dyDescent="0.3">
      <c r="A192" t="s">
        <v>390</v>
      </c>
      <c r="B192" t="s">
        <v>391</v>
      </c>
      <c r="C192" t="s">
        <v>19</v>
      </c>
      <c r="D192">
        <v>21476</v>
      </c>
      <c r="E192">
        <v>226</v>
      </c>
      <c r="F192">
        <f>SUMIFS(Purchases!$C:$C,Purchases!$B:$B,A192)</f>
        <v>601</v>
      </c>
      <c r="G192">
        <f>SUMIFS(Sales!$C:$C,Sales!$B:$B,A192)</f>
        <v>353</v>
      </c>
      <c r="H192">
        <f t="shared" si="4"/>
        <v>474</v>
      </c>
      <c r="I192">
        <f>Table1[[#This Row],[Current Stock]]*Table1[[#This Row],[Unit Cost]]</f>
        <v>10179624</v>
      </c>
      <c r="J192" t="str">
        <f t="shared" si="5"/>
        <v>Ok</v>
      </c>
    </row>
    <row r="193" spans="1:10" x14ac:dyDescent="0.3">
      <c r="A193" t="s">
        <v>392</v>
      </c>
      <c r="B193" t="s">
        <v>393</v>
      </c>
      <c r="C193" t="s">
        <v>10</v>
      </c>
      <c r="D193">
        <v>36433</v>
      </c>
      <c r="E193">
        <v>85</v>
      </c>
      <c r="F193">
        <f>SUMIFS(Purchases!$C:$C,Purchases!$B:$B,A193)</f>
        <v>650</v>
      </c>
      <c r="G193">
        <f>SUMIFS(Sales!$C:$C,Sales!$B:$B,A193)</f>
        <v>750</v>
      </c>
      <c r="H193">
        <f t="shared" si="4"/>
        <v>-15</v>
      </c>
      <c r="I193">
        <f>Table1[[#This Row],[Current Stock]]*Table1[[#This Row],[Unit Cost]]</f>
        <v>-546495</v>
      </c>
      <c r="J193" t="str">
        <f t="shared" si="5"/>
        <v>Recorder</v>
      </c>
    </row>
    <row r="194" spans="1:10" hidden="1" x14ac:dyDescent="0.3">
      <c r="A194" t="s">
        <v>394</v>
      </c>
      <c r="B194" t="s">
        <v>395</v>
      </c>
      <c r="C194" t="s">
        <v>13</v>
      </c>
      <c r="D194">
        <v>27654</v>
      </c>
      <c r="E194">
        <v>360</v>
      </c>
      <c r="F194">
        <f>SUMIFS(Purchases!$C:$C,Purchases!$B:$B,A194)</f>
        <v>617</v>
      </c>
      <c r="G194">
        <f>SUMIFS(Sales!$C:$C,Sales!$B:$B,A194)</f>
        <v>364</v>
      </c>
      <c r="H194">
        <f t="shared" ref="H194:H257" si="6">E194+F194-G194</f>
        <v>613</v>
      </c>
      <c r="I194">
        <f>Table1[[#This Row],[Current Stock]]*Table1[[#This Row],[Unit Cost]]</f>
        <v>16951902</v>
      </c>
      <c r="J194" t="str">
        <f t="shared" ref="J194:J257" si="7">IF(H194&lt;50,"Recorder","Ok")</f>
        <v>Ok</v>
      </c>
    </row>
    <row r="195" spans="1:10" hidden="1" x14ac:dyDescent="0.3">
      <c r="A195" t="s">
        <v>396</v>
      </c>
      <c r="B195" t="s">
        <v>397</v>
      </c>
      <c r="C195" t="s">
        <v>19</v>
      </c>
      <c r="D195">
        <v>44488</v>
      </c>
      <c r="E195">
        <v>403</v>
      </c>
      <c r="F195">
        <f>SUMIFS(Purchases!$C:$C,Purchases!$B:$B,A195)</f>
        <v>314</v>
      </c>
      <c r="G195">
        <f>SUMIFS(Sales!$C:$C,Sales!$B:$B,A195)</f>
        <v>580</v>
      </c>
      <c r="H195">
        <f t="shared" si="6"/>
        <v>137</v>
      </c>
      <c r="I195">
        <f>Table1[[#This Row],[Current Stock]]*Table1[[#This Row],[Unit Cost]]</f>
        <v>6094856</v>
      </c>
      <c r="J195" t="str">
        <f t="shared" si="7"/>
        <v>Ok</v>
      </c>
    </row>
    <row r="196" spans="1:10" hidden="1" x14ac:dyDescent="0.3">
      <c r="A196" t="s">
        <v>398</v>
      </c>
      <c r="B196" t="s">
        <v>399</v>
      </c>
      <c r="C196" t="s">
        <v>13</v>
      </c>
      <c r="D196">
        <v>40438</v>
      </c>
      <c r="E196">
        <v>311</v>
      </c>
      <c r="F196">
        <f>SUMIFS(Purchases!$C:$C,Purchases!$B:$B,A196)</f>
        <v>511</v>
      </c>
      <c r="G196">
        <f>SUMIFS(Sales!$C:$C,Sales!$B:$B,A196)</f>
        <v>310</v>
      </c>
      <c r="H196">
        <f t="shared" si="6"/>
        <v>512</v>
      </c>
      <c r="I196">
        <f>Table1[[#This Row],[Current Stock]]*Table1[[#This Row],[Unit Cost]]</f>
        <v>20704256</v>
      </c>
      <c r="J196" t="str">
        <f t="shared" si="7"/>
        <v>Ok</v>
      </c>
    </row>
    <row r="197" spans="1:10" hidden="1" x14ac:dyDescent="0.3">
      <c r="A197" t="s">
        <v>400</v>
      </c>
      <c r="B197" t="s">
        <v>401</v>
      </c>
      <c r="C197" t="s">
        <v>10</v>
      </c>
      <c r="D197">
        <v>26712</v>
      </c>
      <c r="E197">
        <v>300</v>
      </c>
      <c r="F197">
        <f>SUMIFS(Purchases!$C:$C,Purchases!$B:$B,A197)</f>
        <v>991</v>
      </c>
      <c r="G197">
        <f>SUMIFS(Sales!$C:$C,Sales!$B:$B,A197)</f>
        <v>450</v>
      </c>
      <c r="H197">
        <f t="shared" si="6"/>
        <v>841</v>
      </c>
      <c r="I197">
        <f>Table1[[#This Row],[Current Stock]]*Table1[[#This Row],[Unit Cost]]</f>
        <v>22464792</v>
      </c>
      <c r="J197" t="str">
        <f t="shared" si="7"/>
        <v>Ok</v>
      </c>
    </row>
    <row r="198" spans="1:10" hidden="1" x14ac:dyDescent="0.3">
      <c r="A198" t="s">
        <v>402</v>
      </c>
      <c r="B198" t="s">
        <v>403</v>
      </c>
      <c r="C198" t="s">
        <v>7</v>
      </c>
      <c r="D198">
        <v>20014</v>
      </c>
      <c r="E198">
        <v>166</v>
      </c>
      <c r="F198">
        <f>SUMIFS(Purchases!$C:$C,Purchases!$B:$B,A198)</f>
        <v>648</v>
      </c>
      <c r="G198">
        <f>SUMIFS(Sales!$C:$C,Sales!$B:$B,A198)</f>
        <v>300</v>
      </c>
      <c r="H198">
        <f t="shared" si="6"/>
        <v>514</v>
      </c>
      <c r="I198">
        <f>Table1[[#This Row],[Current Stock]]*Table1[[#This Row],[Unit Cost]]</f>
        <v>10287196</v>
      </c>
      <c r="J198" t="str">
        <f t="shared" si="7"/>
        <v>Ok</v>
      </c>
    </row>
    <row r="199" spans="1:10" hidden="1" x14ac:dyDescent="0.3">
      <c r="A199" t="s">
        <v>404</v>
      </c>
      <c r="B199" t="s">
        <v>405</v>
      </c>
      <c r="C199" t="s">
        <v>13</v>
      </c>
      <c r="D199">
        <v>28273</v>
      </c>
      <c r="E199">
        <v>422</v>
      </c>
      <c r="F199">
        <f>SUMIFS(Purchases!$C:$C,Purchases!$B:$B,A199)</f>
        <v>86</v>
      </c>
      <c r="G199">
        <f>SUMIFS(Sales!$C:$C,Sales!$B:$B,A199)</f>
        <v>170</v>
      </c>
      <c r="H199">
        <f t="shared" si="6"/>
        <v>338</v>
      </c>
      <c r="I199">
        <f>Table1[[#This Row],[Current Stock]]*Table1[[#This Row],[Unit Cost]]</f>
        <v>9556274</v>
      </c>
      <c r="J199" t="str">
        <f t="shared" si="7"/>
        <v>Ok</v>
      </c>
    </row>
    <row r="200" spans="1:10" hidden="1" x14ac:dyDescent="0.3">
      <c r="A200" t="s">
        <v>406</v>
      </c>
      <c r="B200" t="s">
        <v>407</v>
      </c>
      <c r="C200" t="s">
        <v>16</v>
      </c>
      <c r="D200">
        <v>39858</v>
      </c>
      <c r="E200">
        <v>355</v>
      </c>
      <c r="F200">
        <f>SUMIFS(Purchases!$C:$C,Purchases!$B:$B,A200)</f>
        <v>665</v>
      </c>
      <c r="G200">
        <f>SUMIFS(Sales!$C:$C,Sales!$B:$B,A200)</f>
        <v>390</v>
      </c>
      <c r="H200">
        <f t="shared" si="6"/>
        <v>630</v>
      </c>
      <c r="I200">
        <f>Table1[[#This Row],[Current Stock]]*Table1[[#This Row],[Unit Cost]]</f>
        <v>25110540</v>
      </c>
      <c r="J200" t="str">
        <f t="shared" si="7"/>
        <v>Ok</v>
      </c>
    </row>
    <row r="201" spans="1:10" hidden="1" x14ac:dyDescent="0.3">
      <c r="A201" t="s">
        <v>408</v>
      </c>
      <c r="B201" t="s">
        <v>409</v>
      </c>
      <c r="C201" t="s">
        <v>10</v>
      </c>
      <c r="D201">
        <v>30573</v>
      </c>
      <c r="E201">
        <v>246</v>
      </c>
      <c r="F201">
        <f>SUMIFS(Purchases!$C:$C,Purchases!$B:$B,A201)</f>
        <v>615</v>
      </c>
      <c r="G201">
        <f>SUMIFS(Sales!$C:$C,Sales!$B:$B,A201)</f>
        <v>431</v>
      </c>
      <c r="H201">
        <f t="shared" si="6"/>
        <v>430</v>
      </c>
      <c r="I201">
        <f>Table1[[#This Row],[Current Stock]]*Table1[[#This Row],[Unit Cost]]</f>
        <v>13146390</v>
      </c>
      <c r="J201" t="str">
        <f t="shared" si="7"/>
        <v>Ok</v>
      </c>
    </row>
    <row r="202" spans="1:10" x14ac:dyDescent="0.3">
      <c r="A202" t="s">
        <v>410</v>
      </c>
      <c r="B202" t="s">
        <v>411</v>
      </c>
      <c r="C202" t="s">
        <v>19</v>
      </c>
      <c r="D202">
        <v>44377</v>
      </c>
      <c r="E202">
        <v>129</v>
      </c>
      <c r="F202">
        <f>SUMIFS(Purchases!$C:$C,Purchases!$B:$B,A202)</f>
        <v>420</v>
      </c>
      <c r="G202">
        <f>SUMIFS(Sales!$C:$C,Sales!$B:$B,A202)</f>
        <v>522</v>
      </c>
      <c r="H202">
        <f t="shared" si="6"/>
        <v>27</v>
      </c>
      <c r="I202">
        <f>Table1[[#This Row],[Current Stock]]*Table1[[#This Row],[Unit Cost]]</f>
        <v>1198179</v>
      </c>
      <c r="J202" t="str">
        <f t="shared" si="7"/>
        <v>Recorder</v>
      </c>
    </row>
    <row r="203" spans="1:10" hidden="1" x14ac:dyDescent="0.3">
      <c r="A203" t="s">
        <v>412</v>
      </c>
      <c r="B203" t="s">
        <v>413</v>
      </c>
      <c r="C203" t="s">
        <v>16</v>
      </c>
      <c r="D203">
        <v>31110</v>
      </c>
      <c r="E203">
        <v>426</v>
      </c>
      <c r="F203">
        <f>SUMIFS(Purchases!$C:$C,Purchases!$B:$B,A203)</f>
        <v>607</v>
      </c>
      <c r="G203">
        <f>SUMIFS(Sales!$C:$C,Sales!$B:$B,A203)</f>
        <v>260</v>
      </c>
      <c r="H203">
        <f t="shared" si="6"/>
        <v>773</v>
      </c>
      <c r="I203">
        <f>Table1[[#This Row],[Current Stock]]*Table1[[#This Row],[Unit Cost]]</f>
        <v>24048030</v>
      </c>
      <c r="J203" t="str">
        <f t="shared" si="7"/>
        <v>Ok</v>
      </c>
    </row>
    <row r="204" spans="1:10" hidden="1" x14ac:dyDescent="0.3">
      <c r="A204" t="s">
        <v>414</v>
      </c>
      <c r="B204" t="s">
        <v>415</v>
      </c>
      <c r="C204" t="s">
        <v>13</v>
      </c>
      <c r="D204">
        <v>43278</v>
      </c>
      <c r="E204">
        <v>63</v>
      </c>
      <c r="F204">
        <f>SUMIFS(Purchases!$C:$C,Purchases!$B:$B,A204)</f>
        <v>1094</v>
      </c>
      <c r="G204">
        <f>SUMIFS(Sales!$C:$C,Sales!$B:$B,A204)</f>
        <v>293</v>
      </c>
      <c r="H204">
        <f t="shared" si="6"/>
        <v>864</v>
      </c>
      <c r="I204">
        <f>Table1[[#This Row],[Current Stock]]*Table1[[#This Row],[Unit Cost]]</f>
        <v>37392192</v>
      </c>
      <c r="J204" t="str">
        <f t="shared" si="7"/>
        <v>Ok</v>
      </c>
    </row>
    <row r="205" spans="1:10" hidden="1" x14ac:dyDescent="0.3">
      <c r="A205" t="s">
        <v>416</v>
      </c>
      <c r="B205" t="s">
        <v>417</v>
      </c>
      <c r="C205" t="s">
        <v>10</v>
      </c>
      <c r="D205">
        <v>33880</v>
      </c>
      <c r="E205">
        <v>359</v>
      </c>
      <c r="F205">
        <f>SUMIFS(Purchases!$C:$C,Purchases!$B:$B,A205)</f>
        <v>652</v>
      </c>
      <c r="G205">
        <f>SUMIFS(Sales!$C:$C,Sales!$B:$B,A205)</f>
        <v>447</v>
      </c>
      <c r="H205">
        <f t="shared" si="6"/>
        <v>564</v>
      </c>
      <c r="I205">
        <f>Table1[[#This Row],[Current Stock]]*Table1[[#This Row],[Unit Cost]]</f>
        <v>19108320</v>
      </c>
      <c r="J205" t="str">
        <f t="shared" si="7"/>
        <v>Ok</v>
      </c>
    </row>
    <row r="206" spans="1:10" x14ac:dyDescent="0.3">
      <c r="A206" t="s">
        <v>418</v>
      </c>
      <c r="B206" t="s">
        <v>419</v>
      </c>
      <c r="C206" t="s">
        <v>16</v>
      </c>
      <c r="D206">
        <v>22066</v>
      </c>
      <c r="E206">
        <v>67</v>
      </c>
      <c r="F206">
        <f>SUMIFS(Purchases!$C:$C,Purchases!$B:$B,A206)</f>
        <v>308</v>
      </c>
      <c r="G206">
        <f>SUMIFS(Sales!$C:$C,Sales!$B:$B,A206)</f>
        <v>330</v>
      </c>
      <c r="H206">
        <f t="shared" si="6"/>
        <v>45</v>
      </c>
      <c r="I206">
        <f>Table1[[#This Row],[Current Stock]]*Table1[[#This Row],[Unit Cost]]</f>
        <v>992970</v>
      </c>
      <c r="J206" t="str">
        <f t="shared" si="7"/>
        <v>Recorder</v>
      </c>
    </row>
    <row r="207" spans="1:10" hidden="1" x14ac:dyDescent="0.3">
      <c r="A207" t="s">
        <v>420</v>
      </c>
      <c r="B207" t="s">
        <v>421</v>
      </c>
      <c r="C207" t="s">
        <v>13</v>
      </c>
      <c r="D207">
        <v>44192</v>
      </c>
      <c r="E207">
        <v>178</v>
      </c>
      <c r="F207">
        <f>SUMIFS(Purchases!$C:$C,Purchases!$B:$B,A207)</f>
        <v>461</v>
      </c>
      <c r="G207">
        <f>SUMIFS(Sales!$C:$C,Sales!$B:$B,A207)</f>
        <v>483</v>
      </c>
      <c r="H207">
        <f t="shared" si="6"/>
        <v>156</v>
      </c>
      <c r="I207">
        <f>Table1[[#This Row],[Current Stock]]*Table1[[#This Row],[Unit Cost]]</f>
        <v>6893952</v>
      </c>
      <c r="J207" t="str">
        <f t="shared" si="7"/>
        <v>Ok</v>
      </c>
    </row>
    <row r="208" spans="1:10" hidden="1" x14ac:dyDescent="0.3">
      <c r="A208" t="s">
        <v>422</v>
      </c>
      <c r="B208" t="s">
        <v>423</v>
      </c>
      <c r="C208" t="s">
        <v>13</v>
      </c>
      <c r="D208">
        <v>13150</v>
      </c>
      <c r="E208">
        <v>95</v>
      </c>
      <c r="F208">
        <f>SUMIFS(Purchases!$C:$C,Purchases!$B:$B,A208)</f>
        <v>410</v>
      </c>
      <c r="G208">
        <f>SUMIFS(Sales!$C:$C,Sales!$B:$B,A208)</f>
        <v>246</v>
      </c>
      <c r="H208">
        <f t="shared" si="6"/>
        <v>259</v>
      </c>
      <c r="I208">
        <f>Table1[[#This Row],[Current Stock]]*Table1[[#This Row],[Unit Cost]]</f>
        <v>3405850</v>
      </c>
      <c r="J208" t="str">
        <f t="shared" si="7"/>
        <v>Ok</v>
      </c>
    </row>
    <row r="209" spans="1:10" hidden="1" x14ac:dyDescent="0.3">
      <c r="A209" t="s">
        <v>424</v>
      </c>
      <c r="B209" t="s">
        <v>425</v>
      </c>
      <c r="C209" t="s">
        <v>7</v>
      </c>
      <c r="D209">
        <v>3128</v>
      </c>
      <c r="E209">
        <v>145</v>
      </c>
      <c r="F209">
        <f>SUMIFS(Purchases!$C:$C,Purchases!$B:$B,A209)</f>
        <v>394</v>
      </c>
      <c r="G209">
        <f>SUMIFS(Sales!$C:$C,Sales!$B:$B,A209)</f>
        <v>400</v>
      </c>
      <c r="H209">
        <f t="shared" si="6"/>
        <v>139</v>
      </c>
      <c r="I209">
        <f>Table1[[#This Row],[Current Stock]]*Table1[[#This Row],[Unit Cost]]</f>
        <v>434792</v>
      </c>
      <c r="J209" t="str">
        <f t="shared" si="7"/>
        <v>Ok</v>
      </c>
    </row>
    <row r="210" spans="1:10" hidden="1" x14ac:dyDescent="0.3">
      <c r="A210" t="s">
        <v>426</v>
      </c>
      <c r="B210" t="s">
        <v>427</v>
      </c>
      <c r="C210" t="s">
        <v>19</v>
      </c>
      <c r="D210">
        <v>40160</v>
      </c>
      <c r="E210">
        <v>455</v>
      </c>
      <c r="F210">
        <f>SUMIFS(Purchases!$C:$C,Purchases!$B:$B,A210)</f>
        <v>294</v>
      </c>
      <c r="G210">
        <f>SUMIFS(Sales!$C:$C,Sales!$B:$B,A210)</f>
        <v>479</v>
      </c>
      <c r="H210">
        <f t="shared" si="6"/>
        <v>270</v>
      </c>
      <c r="I210">
        <f>Table1[[#This Row],[Current Stock]]*Table1[[#This Row],[Unit Cost]]</f>
        <v>10843200</v>
      </c>
      <c r="J210" t="str">
        <f t="shared" si="7"/>
        <v>Ok</v>
      </c>
    </row>
    <row r="211" spans="1:10" hidden="1" x14ac:dyDescent="0.3">
      <c r="A211" t="s">
        <v>428</v>
      </c>
      <c r="B211" t="s">
        <v>429</v>
      </c>
      <c r="C211" t="s">
        <v>7</v>
      </c>
      <c r="D211">
        <v>29946</v>
      </c>
      <c r="E211">
        <v>232</v>
      </c>
      <c r="F211">
        <f>SUMIFS(Purchases!$C:$C,Purchases!$B:$B,A211)</f>
        <v>574</v>
      </c>
      <c r="G211">
        <f>SUMIFS(Sales!$C:$C,Sales!$B:$B,A211)</f>
        <v>261</v>
      </c>
      <c r="H211">
        <f t="shared" si="6"/>
        <v>545</v>
      </c>
      <c r="I211">
        <f>Table1[[#This Row],[Current Stock]]*Table1[[#This Row],[Unit Cost]]</f>
        <v>16320570</v>
      </c>
      <c r="J211" t="str">
        <f t="shared" si="7"/>
        <v>Ok</v>
      </c>
    </row>
    <row r="212" spans="1:10" hidden="1" x14ac:dyDescent="0.3">
      <c r="A212" t="s">
        <v>430</v>
      </c>
      <c r="B212" t="s">
        <v>431</v>
      </c>
      <c r="C212" t="s">
        <v>16</v>
      </c>
      <c r="D212">
        <v>12842</v>
      </c>
      <c r="E212">
        <v>387</v>
      </c>
      <c r="F212">
        <f>SUMIFS(Purchases!$C:$C,Purchases!$B:$B,A212)</f>
        <v>550</v>
      </c>
      <c r="G212">
        <f>SUMIFS(Sales!$C:$C,Sales!$B:$B,A212)</f>
        <v>254</v>
      </c>
      <c r="H212">
        <f t="shared" si="6"/>
        <v>683</v>
      </c>
      <c r="I212">
        <f>Table1[[#This Row],[Current Stock]]*Table1[[#This Row],[Unit Cost]]</f>
        <v>8771086</v>
      </c>
      <c r="J212" t="str">
        <f t="shared" si="7"/>
        <v>Ok</v>
      </c>
    </row>
    <row r="213" spans="1:10" hidden="1" x14ac:dyDescent="0.3">
      <c r="A213" t="s">
        <v>432</v>
      </c>
      <c r="B213" t="s">
        <v>433</v>
      </c>
      <c r="C213" t="s">
        <v>19</v>
      </c>
      <c r="D213">
        <v>32499</v>
      </c>
      <c r="E213">
        <v>224</v>
      </c>
      <c r="F213">
        <f>SUMIFS(Purchases!$C:$C,Purchases!$B:$B,A213)</f>
        <v>832</v>
      </c>
      <c r="G213">
        <f>SUMIFS(Sales!$C:$C,Sales!$B:$B,A213)</f>
        <v>382</v>
      </c>
      <c r="H213">
        <f t="shared" si="6"/>
        <v>674</v>
      </c>
      <c r="I213">
        <f>Table1[[#This Row],[Current Stock]]*Table1[[#This Row],[Unit Cost]]</f>
        <v>21904326</v>
      </c>
      <c r="J213" t="str">
        <f t="shared" si="7"/>
        <v>Ok</v>
      </c>
    </row>
    <row r="214" spans="1:10" hidden="1" x14ac:dyDescent="0.3">
      <c r="A214" t="s">
        <v>434</v>
      </c>
      <c r="B214" t="s">
        <v>435</v>
      </c>
      <c r="C214" t="s">
        <v>13</v>
      </c>
      <c r="D214">
        <v>9771</v>
      </c>
      <c r="E214">
        <v>355</v>
      </c>
      <c r="F214">
        <f>SUMIFS(Purchases!$C:$C,Purchases!$B:$B,A214)</f>
        <v>488</v>
      </c>
      <c r="G214">
        <f>SUMIFS(Sales!$C:$C,Sales!$B:$B,A214)</f>
        <v>167</v>
      </c>
      <c r="H214">
        <f t="shared" si="6"/>
        <v>676</v>
      </c>
      <c r="I214">
        <f>Table1[[#This Row],[Current Stock]]*Table1[[#This Row],[Unit Cost]]</f>
        <v>6605196</v>
      </c>
      <c r="J214" t="str">
        <f t="shared" si="7"/>
        <v>Ok</v>
      </c>
    </row>
    <row r="215" spans="1:10" hidden="1" x14ac:dyDescent="0.3">
      <c r="A215" t="s">
        <v>436</v>
      </c>
      <c r="B215" t="s">
        <v>437</v>
      </c>
      <c r="C215" t="s">
        <v>7</v>
      </c>
      <c r="D215">
        <v>49315</v>
      </c>
      <c r="E215">
        <v>460</v>
      </c>
      <c r="F215">
        <f>SUMIFS(Purchases!$C:$C,Purchases!$B:$B,A215)</f>
        <v>1065</v>
      </c>
      <c r="G215">
        <f>SUMIFS(Sales!$C:$C,Sales!$B:$B,A215)</f>
        <v>230</v>
      </c>
      <c r="H215">
        <f t="shared" si="6"/>
        <v>1295</v>
      </c>
      <c r="I215">
        <f>Table1[[#This Row],[Current Stock]]*Table1[[#This Row],[Unit Cost]]</f>
        <v>63862925</v>
      </c>
      <c r="J215" t="str">
        <f t="shared" si="7"/>
        <v>Ok</v>
      </c>
    </row>
    <row r="216" spans="1:10" hidden="1" x14ac:dyDescent="0.3">
      <c r="A216" t="s">
        <v>438</v>
      </c>
      <c r="B216" t="s">
        <v>439</v>
      </c>
      <c r="C216" t="s">
        <v>7</v>
      </c>
      <c r="D216">
        <v>27962</v>
      </c>
      <c r="E216">
        <v>132</v>
      </c>
      <c r="F216">
        <f>SUMIFS(Purchases!$C:$C,Purchases!$B:$B,A216)</f>
        <v>727</v>
      </c>
      <c r="G216">
        <f>SUMIFS(Sales!$C:$C,Sales!$B:$B,A216)</f>
        <v>321</v>
      </c>
      <c r="H216">
        <f t="shared" si="6"/>
        <v>538</v>
      </c>
      <c r="I216">
        <f>Table1[[#This Row],[Current Stock]]*Table1[[#This Row],[Unit Cost]]</f>
        <v>15043556</v>
      </c>
      <c r="J216" t="str">
        <f t="shared" si="7"/>
        <v>Ok</v>
      </c>
    </row>
    <row r="217" spans="1:10" hidden="1" x14ac:dyDescent="0.3">
      <c r="A217" t="s">
        <v>440</v>
      </c>
      <c r="B217" t="s">
        <v>441</v>
      </c>
      <c r="C217" t="s">
        <v>13</v>
      </c>
      <c r="D217">
        <v>45707</v>
      </c>
      <c r="E217">
        <v>285</v>
      </c>
      <c r="F217">
        <f>SUMIFS(Purchases!$C:$C,Purchases!$B:$B,A217)</f>
        <v>492</v>
      </c>
      <c r="G217">
        <f>SUMIFS(Sales!$C:$C,Sales!$B:$B,A217)</f>
        <v>255</v>
      </c>
      <c r="H217">
        <f t="shared" si="6"/>
        <v>522</v>
      </c>
      <c r="I217">
        <f>Table1[[#This Row],[Current Stock]]*Table1[[#This Row],[Unit Cost]]</f>
        <v>23859054</v>
      </c>
      <c r="J217" t="str">
        <f t="shared" si="7"/>
        <v>Ok</v>
      </c>
    </row>
    <row r="218" spans="1:10" hidden="1" x14ac:dyDescent="0.3">
      <c r="A218" t="s">
        <v>442</v>
      </c>
      <c r="B218" t="s">
        <v>443</v>
      </c>
      <c r="C218" t="s">
        <v>19</v>
      </c>
      <c r="D218">
        <v>3391</v>
      </c>
      <c r="E218">
        <v>305</v>
      </c>
      <c r="F218">
        <f>SUMIFS(Purchases!$C:$C,Purchases!$B:$B,A218)</f>
        <v>746</v>
      </c>
      <c r="G218">
        <f>SUMIFS(Sales!$C:$C,Sales!$B:$B,A218)</f>
        <v>458</v>
      </c>
      <c r="H218">
        <f t="shared" si="6"/>
        <v>593</v>
      </c>
      <c r="I218">
        <f>Table1[[#This Row],[Current Stock]]*Table1[[#This Row],[Unit Cost]]</f>
        <v>2010863</v>
      </c>
      <c r="J218" t="str">
        <f t="shared" si="7"/>
        <v>Ok</v>
      </c>
    </row>
    <row r="219" spans="1:10" hidden="1" x14ac:dyDescent="0.3">
      <c r="A219" t="s">
        <v>444</v>
      </c>
      <c r="B219" t="s">
        <v>445</v>
      </c>
      <c r="C219" t="s">
        <v>13</v>
      </c>
      <c r="D219">
        <v>8053</v>
      </c>
      <c r="E219">
        <v>253</v>
      </c>
      <c r="F219">
        <f>SUMIFS(Purchases!$C:$C,Purchases!$B:$B,A219)</f>
        <v>388</v>
      </c>
      <c r="G219">
        <f>SUMIFS(Sales!$C:$C,Sales!$B:$B,A219)</f>
        <v>319</v>
      </c>
      <c r="H219">
        <f t="shared" si="6"/>
        <v>322</v>
      </c>
      <c r="I219">
        <f>Table1[[#This Row],[Current Stock]]*Table1[[#This Row],[Unit Cost]]</f>
        <v>2593066</v>
      </c>
      <c r="J219" t="str">
        <f t="shared" si="7"/>
        <v>Ok</v>
      </c>
    </row>
    <row r="220" spans="1:10" hidden="1" x14ac:dyDescent="0.3">
      <c r="A220" t="s">
        <v>446</v>
      </c>
      <c r="B220" t="s">
        <v>447</v>
      </c>
      <c r="C220" t="s">
        <v>13</v>
      </c>
      <c r="D220">
        <v>30550</v>
      </c>
      <c r="E220">
        <v>361</v>
      </c>
      <c r="F220">
        <f>SUMIFS(Purchases!$C:$C,Purchases!$B:$B,A220)</f>
        <v>519</v>
      </c>
      <c r="G220">
        <f>SUMIFS(Sales!$C:$C,Sales!$B:$B,A220)</f>
        <v>596</v>
      </c>
      <c r="H220">
        <f t="shared" si="6"/>
        <v>284</v>
      </c>
      <c r="I220">
        <f>Table1[[#This Row],[Current Stock]]*Table1[[#This Row],[Unit Cost]]</f>
        <v>8676200</v>
      </c>
      <c r="J220" t="str">
        <f t="shared" si="7"/>
        <v>Ok</v>
      </c>
    </row>
    <row r="221" spans="1:10" hidden="1" x14ac:dyDescent="0.3">
      <c r="A221" t="s">
        <v>448</v>
      </c>
      <c r="B221" t="s">
        <v>449</v>
      </c>
      <c r="C221" t="s">
        <v>16</v>
      </c>
      <c r="D221">
        <v>36729</v>
      </c>
      <c r="E221">
        <v>324</v>
      </c>
      <c r="F221">
        <f>SUMIFS(Purchases!$C:$C,Purchases!$B:$B,A221)</f>
        <v>329</v>
      </c>
      <c r="G221">
        <f>SUMIFS(Sales!$C:$C,Sales!$B:$B,A221)</f>
        <v>201</v>
      </c>
      <c r="H221">
        <f t="shared" si="6"/>
        <v>452</v>
      </c>
      <c r="I221">
        <f>Table1[[#This Row],[Current Stock]]*Table1[[#This Row],[Unit Cost]]</f>
        <v>16601508</v>
      </c>
      <c r="J221" t="str">
        <f t="shared" si="7"/>
        <v>Ok</v>
      </c>
    </row>
    <row r="222" spans="1:10" hidden="1" x14ac:dyDescent="0.3">
      <c r="A222" t="s">
        <v>450</v>
      </c>
      <c r="B222" t="s">
        <v>451</v>
      </c>
      <c r="C222" t="s">
        <v>10</v>
      </c>
      <c r="D222">
        <v>49596</v>
      </c>
      <c r="E222">
        <v>476</v>
      </c>
      <c r="F222">
        <f>SUMIFS(Purchases!$C:$C,Purchases!$B:$B,A222)</f>
        <v>530</v>
      </c>
      <c r="G222">
        <f>SUMIFS(Sales!$C:$C,Sales!$B:$B,A222)</f>
        <v>347</v>
      </c>
      <c r="H222">
        <f t="shared" si="6"/>
        <v>659</v>
      </c>
      <c r="I222">
        <f>Table1[[#This Row],[Current Stock]]*Table1[[#This Row],[Unit Cost]]</f>
        <v>32683764</v>
      </c>
      <c r="J222" t="str">
        <f t="shared" si="7"/>
        <v>Ok</v>
      </c>
    </row>
    <row r="223" spans="1:10" hidden="1" x14ac:dyDescent="0.3">
      <c r="A223" t="s">
        <v>452</v>
      </c>
      <c r="B223" t="s">
        <v>453</v>
      </c>
      <c r="C223" t="s">
        <v>19</v>
      </c>
      <c r="D223">
        <v>40250</v>
      </c>
      <c r="E223">
        <v>437</v>
      </c>
      <c r="F223">
        <f>SUMIFS(Purchases!$C:$C,Purchases!$B:$B,A223)</f>
        <v>472</v>
      </c>
      <c r="G223">
        <f>SUMIFS(Sales!$C:$C,Sales!$B:$B,A223)</f>
        <v>303</v>
      </c>
      <c r="H223">
        <f t="shared" si="6"/>
        <v>606</v>
      </c>
      <c r="I223">
        <f>Table1[[#This Row],[Current Stock]]*Table1[[#This Row],[Unit Cost]]</f>
        <v>24391500</v>
      </c>
      <c r="J223" t="str">
        <f t="shared" si="7"/>
        <v>Ok</v>
      </c>
    </row>
    <row r="224" spans="1:10" hidden="1" x14ac:dyDescent="0.3">
      <c r="A224" t="s">
        <v>454</v>
      </c>
      <c r="B224" t="s">
        <v>455</v>
      </c>
      <c r="C224" t="s">
        <v>16</v>
      </c>
      <c r="D224">
        <v>28066</v>
      </c>
      <c r="E224">
        <v>445</v>
      </c>
      <c r="F224">
        <f>SUMIFS(Purchases!$C:$C,Purchases!$B:$B,A224)</f>
        <v>762</v>
      </c>
      <c r="G224">
        <f>SUMIFS(Sales!$C:$C,Sales!$B:$B,A224)</f>
        <v>461</v>
      </c>
      <c r="H224">
        <f t="shared" si="6"/>
        <v>746</v>
      </c>
      <c r="I224">
        <f>Table1[[#This Row],[Current Stock]]*Table1[[#This Row],[Unit Cost]]</f>
        <v>20937236</v>
      </c>
      <c r="J224" t="str">
        <f t="shared" si="7"/>
        <v>Ok</v>
      </c>
    </row>
    <row r="225" spans="1:10" hidden="1" x14ac:dyDescent="0.3">
      <c r="A225" t="s">
        <v>456</v>
      </c>
      <c r="B225" t="s">
        <v>457</v>
      </c>
      <c r="C225" t="s">
        <v>16</v>
      </c>
      <c r="D225">
        <v>29323</v>
      </c>
      <c r="E225">
        <v>479</v>
      </c>
      <c r="F225">
        <f>SUMIFS(Purchases!$C:$C,Purchases!$B:$B,A225)</f>
        <v>313</v>
      </c>
      <c r="G225">
        <f>SUMIFS(Sales!$C:$C,Sales!$B:$B,A225)</f>
        <v>348</v>
      </c>
      <c r="H225">
        <f t="shared" si="6"/>
        <v>444</v>
      </c>
      <c r="I225">
        <f>Table1[[#This Row],[Current Stock]]*Table1[[#This Row],[Unit Cost]]</f>
        <v>13019412</v>
      </c>
      <c r="J225" t="str">
        <f t="shared" si="7"/>
        <v>Ok</v>
      </c>
    </row>
    <row r="226" spans="1:10" hidden="1" x14ac:dyDescent="0.3">
      <c r="A226" t="s">
        <v>458</v>
      </c>
      <c r="B226" t="s">
        <v>459</v>
      </c>
      <c r="C226" t="s">
        <v>13</v>
      </c>
      <c r="D226">
        <v>48836</v>
      </c>
      <c r="E226">
        <v>461</v>
      </c>
      <c r="F226">
        <f>SUMIFS(Purchases!$C:$C,Purchases!$B:$B,A226)</f>
        <v>563</v>
      </c>
      <c r="G226">
        <f>SUMIFS(Sales!$C:$C,Sales!$B:$B,A226)</f>
        <v>321</v>
      </c>
      <c r="H226">
        <f t="shared" si="6"/>
        <v>703</v>
      </c>
      <c r="I226">
        <f>Table1[[#This Row],[Current Stock]]*Table1[[#This Row],[Unit Cost]]</f>
        <v>34331708</v>
      </c>
      <c r="J226" t="str">
        <f t="shared" si="7"/>
        <v>Ok</v>
      </c>
    </row>
    <row r="227" spans="1:10" hidden="1" x14ac:dyDescent="0.3">
      <c r="A227" t="s">
        <v>460</v>
      </c>
      <c r="B227" t="s">
        <v>461</v>
      </c>
      <c r="C227" t="s">
        <v>19</v>
      </c>
      <c r="D227">
        <v>29595</v>
      </c>
      <c r="E227">
        <v>152</v>
      </c>
      <c r="F227">
        <f>SUMIFS(Purchases!$C:$C,Purchases!$B:$B,A227)</f>
        <v>565</v>
      </c>
      <c r="G227">
        <f>SUMIFS(Sales!$C:$C,Sales!$B:$B,A227)</f>
        <v>361</v>
      </c>
      <c r="H227">
        <f t="shared" si="6"/>
        <v>356</v>
      </c>
      <c r="I227">
        <f>Table1[[#This Row],[Current Stock]]*Table1[[#This Row],[Unit Cost]]</f>
        <v>10535820</v>
      </c>
      <c r="J227" t="str">
        <f t="shared" si="7"/>
        <v>Ok</v>
      </c>
    </row>
    <row r="228" spans="1:10" hidden="1" x14ac:dyDescent="0.3">
      <c r="A228" t="s">
        <v>462</v>
      </c>
      <c r="B228" t="s">
        <v>463</v>
      </c>
      <c r="C228" t="s">
        <v>13</v>
      </c>
      <c r="D228">
        <v>41889</v>
      </c>
      <c r="E228">
        <v>161</v>
      </c>
      <c r="F228">
        <f>SUMIFS(Purchases!$C:$C,Purchases!$B:$B,A228)</f>
        <v>396</v>
      </c>
      <c r="G228">
        <f>SUMIFS(Sales!$C:$C,Sales!$B:$B,A228)</f>
        <v>199</v>
      </c>
      <c r="H228">
        <f t="shared" si="6"/>
        <v>358</v>
      </c>
      <c r="I228">
        <f>Table1[[#This Row],[Current Stock]]*Table1[[#This Row],[Unit Cost]]</f>
        <v>14996262</v>
      </c>
      <c r="J228" t="str">
        <f t="shared" si="7"/>
        <v>Ok</v>
      </c>
    </row>
    <row r="229" spans="1:10" hidden="1" x14ac:dyDescent="0.3">
      <c r="A229" t="s">
        <v>464</v>
      </c>
      <c r="B229" t="s">
        <v>465</v>
      </c>
      <c r="C229" t="s">
        <v>16</v>
      </c>
      <c r="D229">
        <v>31858</v>
      </c>
      <c r="E229">
        <v>340</v>
      </c>
      <c r="F229">
        <f>SUMIFS(Purchases!$C:$C,Purchases!$B:$B,A229)</f>
        <v>511</v>
      </c>
      <c r="G229">
        <f>SUMIFS(Sales!$C:$C,Sales!$B:$B,A229)</f>
        <v>548</v>
      </c>
      <c r="H229">
        <f t="shared" si="6"/>
        <v>303</v>
      </c>
      <c r="I229">
        <f>Table1[[#This Row],[Current Stock]]*Table1[[#This Row],[Unit Cost]]</f>
        <v>9652974</v>
      </c>
      <c r="J229" t="str">
        <f t="shared" si="7"/>
        <v>Ok</v>
      </c>
    </row>
    <row r="230" spans="1:10" hidden="1" x14ac:dyDescent="0.3">
      <c r="A230" t="s">
        <v>466</v>
      </c>
      <c r="B230" t="s">
        <v>467</v>
      </c>
      <c r="C230" t="s">
        <v>13</v>
      </c>
      <c r="D230">
        <v>18096</v>
      </c>
      <c r="E230">
        <v>245</v>
      </c>
      <c r="F230">
        <f>SUMIFS(Purchases!$C:$C,Purchases!$B:$B,A230)</f>
        <v>566</v>
      </c>
      <c r="G230">
        <f>SUMIFS(Sales!$C:$C,Sales!$B:$B,A230)</f>
        <v>389</v>
      </c>
      <c r="H230">
        <f t="shared" si="6"/>
        <v>422</v>
      </c>
      <c r="I230">
        <f>Table1[[#This Row],[Current Stock]]*Table1[[#This Row],[Unit Cost]]</f>
        <v>7636512</v>
      </c>
      <c r="J230" t="str">
        <f t="shared" si="7"/>
        <v>Ok</v>
      </c>
    </row>
    <row r="231" spans="1:10" hidden="1" x14ac:dyDescent="0.3">
      <c r="A231" t="s">
        <v>468</v>
      </c>
      <c r="B231" t="s">
        <v>469</v>
      </c>
      <c r="C231" t="s">
        <v>7</v>
      </c>
      <c r="D231">
        <v>46862</v>
      </c>
      <c r="E231">
        <v>166</v>
      </c>
      <c r="F231">
        <f>SUMIFS(Purchases!$C:$C,Purchases!$B:$B,A231)</f>
        <v>341</v>
      </c>
      <c r="G231">
        <f>SUMIFS(Sales!$C:$C,Sales!$B:$B,A231)</f>
        <v>285</v>
      </c>
      <c r="H231">
        <f t="shared" si="6"/>
        <v>222</v>
      </c>
      <c r="I231">
        <f>Table1[[#This Row],[Current Stock]]*Table1[[#This Row],[Unit Cost]]</f>
        <v>10403364</v>
      </c>
      <c r="J231" t="str">
        <f t="shared" si="7"/>
        <v>Ok</v>
      </c>
    </row>
    <row r="232" spans="1:10" hidden="1" x14ac:dyDescent="0.3">
      <c r="A232" t="s">
        <v>470</v>
      </c>
      <c r="B232" t="s">
        <v>471</v>
      </c>
      <c r="C232" t="s">
        <v>13</v>
      </c>
      <c r="D232">
        <v>17907</v>
      </c>
      <c r="E232">
        <v>191</v>
      </c>
      <c r="F232">
        <f>SUMIFS(Purchases!$C:$C,Purchases!$B:$B,A232)</f>
        <v>810</v>
      </c>
      <c r="G232">
        <f>SUMIFS(Sales!$C:$C,Sales!$B:$B,A232)</f>
        <v>298</v>
      </c>
      <c r="H232">
        <f t="shared" si="6"/>
        <v>703</v>
      </c>
      <c r="I232">
        <f>Table1[[#This Row],[Current Stock]]*Table1[[#This Row],[Unit Cost]]</f>
        <v>12588621</v>
      </c>
      <c r="J232" t="str">
        <f t="shared" si="7"/>
        <v>Ok</v>
      </c>
    </row>
    <row r="233" spans="1:10" hidden="1" x14ac:dyDescent="0.3">
      <c r="A233" t="s">
        <v>472</v>
      </c>
      <c r="B233" t="s">
        <v>473</v>
      </c>
      <c r="C233" t="s">
        <v>10</v>
      </c>
      <c r="D233">
        <v>35499</v>
      </c>
      <c r="E233">
        <v>61</v>
      </c>
      <c r="F233">
        <f>SUMIFS(Purchases!$C:$C,Purchases!$B:$B,A233)</f>
        <v>687</v>
      </c>
      <c r="G233">
        <f>SUMIFS(Sales!$C:$C,Sales!$B:$B,A233)</f>
        <v>327</v>
      </c>
      <c r="H233">
        <f t="shared" si="6"/>
        <v>421</v>
      </c>
      <c r="I233">
        <f>Table1[[#This Row],[Current Stock]]*Table1[[#This Row],[Unit Cost]]</f>
        <v>14945079</v>
      </c>
      <c r="J233" t="str">
        <f t="shared" si="7"/>
        <v>Ok</v>
      </c>
    </row>
    <row r="234" spans="1:10" hidden="1" x14ac:dyDescent="0.3">
      <c r="A234" t="s">
        <v>474</v>
      </c>
      <c r="B234" t="s">
        <v>475</v>
      </c>
      <c r="C234" t="s">
        <v>13</v>
      </c>
      <c r="D234">
        <v>9984</v>
      </c>
      <c r="E234">
        <v>138</v>
      </c>
      <c r="F234">
        <f>SUMIFS(Purchases!$C:$C,Purchases!$B:$B,A234)</f>
        <v>982</v>
      </c>
      <c r="G234">
        <f>SUMIFS(Sales!$C:$C,Sales!$B:$B,A234)</f>
        <v>451</v>
      </c>
      <c r="H234">
        <f t="shared" si="6"/>
        <v>669</v>
      </c>
      <c r="I234">
        <f>Table1[[#This Row],[Current Stock]]*Table1[[#This Row],[Unit Cost]]</f>
        <v>6679296</v>
      </c>
      <c r="J234" t="str">
        <f t="shared" si="7"/>
        <v>Ok</v>
      </c>
    </row>
    <row r="235" spans="1:10" hidden="1" x14ac:dyDescent="0.3">
      <c r="A235" t="s">
        <v>476</v>
      </c>
      <c r="B235" t="s">
        <v>477</v>
      </c>
      <c r="C235" t="s">
        <v>19</v>
      </c>
      <c r="D235">
        <v>45578</v>
      </c>
      <c r="E235">
        <v>98</v>
      </c>
      <c r="F235">
        <f>SUMIFS(Purchases!$C:$C,Purchases!$B:$B,A235)</f>
        <v>519</v>
      </c>
      <c r="G235">
        <f>SUMIFS(Sales!$C:$C,Sales!$B:$B,A235)</f>
        <v>282</v>
      </c>
      <c r="H235">
        <f t="shared" si="6"/>
        <v>335</v>
      </c>
      <c r="I235">
        <f>Table1[[#This Row],[Current Stock]]*Table1[[#This Row],[Unit Cost]]</f>
        <v>15268630</v>
      </c>
      <c r="J235" t="str">
        <f t="shared" si="7"/>
        <v>Ok</v>
      </c>
    </row>
    <row r="236" spans="1:10" hidden="1" x14ac:dyDescent="0.3">
      <c r="A236" t="s">
        <v>478</v>
      </c>
      <c r="B236" t="s">
        <v>479</v>
      </c>
      <c r="C236" t="s">
        <v>13</v>
      </c>
      <c r="D236">
        <v>4309</v>
      </c>
      <c r="E236">
        <v>232</v>
      </c>
      <c r="F236">
        <f>SUMIFS(Purchases!$C:$C,Purchases!$B:$B,A236)</f>
        <v>578</v>
      </c>
      <c r="G236">
        <f>SUMIFS(Sales!$C:$C,Sales!$B:$B,A236)</f>
        <v>192</v>
      </c>
      <c r="H236">
        <f t="shared" si="6"/>
        <v>618</v>
      </c>
      <c r="I236">
        <f>Table1[[#This Row],[Current Stock]]*Table1[[#This Row],[Unit Cost]]</f>
        <v>2662962</v>
      </c>
      <c r="J236" t="str">
        <f t="shared" si="7"/>
        <v>Ok</v>
      </c>
    </row>
    <row r="237" spans="1:10" hidden="1" x14ac:dyDescent="0.3">
      <c r="A237" t="s">
        <v>480</v>
      </c>
      <c r="B237" t="s">
        <v>481</v>
      </c>
      <c r="C237" t="s">
        <v>19</v>
      </c>
      <c r="D237">
        <v>21784</v>
      </c>
      <c r="E237">
        <v>297</v>
      </c>
      <c r="F237">
        <f>SUMIFS(Purchases!$C:$C,Purchases!$B:$B,A237)</f>
        <v>598</v>
      </c>
      <c r="G237">
        <f>SUMIFS(Sales!$C:$C,Sales!$B:$B,A237)</f>
        <v>466</v>
      </c>
      <c r="H237">
        <f t="shared" si="6"/>
        <v>429</v>
      </c>
      <c r="I237">
        <f>Table1[[#This Row],[Current Stock]]*Table1[[#This Row],[Unit Cost]]</f>
        <v>9345336</v>
      </c>
      <c r="J237" t="str">
        <f t="shared" si="7"/>
        <v>Ok</v>
      </c>
    </row>
    <row r="238" spans="1:10" hidden="1" x14ac:dyDescent="0.3">
      <c r="A238" t="s">
        <v>482</v>
      </c>
      <c r="B238" t="s">
        <v>483</v>
      </c>
      <c r="C238" t="s">
        <v>19</v>
      </c>
      <c r="D238">
        <v>27348</v>
      </c>
      <c r="E238">
        <v>51</v>
      </c>
      <c r="F238">
        <f>SUMIFS(Purchases!$C:$C,Purchases!$B:$B,A238)</f>
        <v>726</v>
      </c>
      <c r="G238">
        <f>SUMIFS(Sales!$C:$C,Sales!$B:$B,A238)</f>
        <v>351</v>
      </c>
      <c r="H238">
        <f t="shared" si="6"/>
        <v>426</v>
      </c>
      <c r="I238">
        <f>Table1[[#This Row],[Current Stock]]*Table1[[#This Row],[Unit Cost]]</f>
        <v>11650248</v>
      </c>
      <c r="J238" t="str">
        <f t="shared" si="7"/>
        <v>Ok</v>
      </c>
    </row>
    <row r="239" spans="1:10" hidden="1" x14ac:dyDescent="0.3">
      <c r="A239" t="s">
        <v>484</v>
      </c>
      <c r="B239" t="s">
        <v>485</v>
      </c>
      <c r="C239" t="s">
        <v>13</v>
      </c>
      <c r="D239">
        <v>27634</v>
      </c>
      <c r="E239">
        <v>219</v>
      </c>
      <c r="F239">
        <f>SUMIFS(Purchases!$C:$C,Purchases!$B:$B,A239)</f>
        <v>713</v>
      </c>
      <c r="G239">
        <f>SUMIFS(Sales!$C:$C,Sales!$B:$B,A239)</f>
        <v>378</v>
      </c>
      <c r="H239">
        <f t="shared" si="6"/>
        <v>554</v>
      </c>
      <c r="I239">
        <f>Table1[[#This Row],[Current Stock]]*Table1[[#This Row],[Unit Cost]]</f>
        <v>15309236</v>
      </c>
      <c r="J239" t="str">
        <f t="shared" si="7"/>
        <v>Ok</v>
      </c>
    </row>
    <row r="240" spans="1:10" x14ac:dyDescent="0.3">
      <c r="A240" t="s">
        <v>486</v>
      </c>
      <c r="B240" t="s">
        <v>487</v>
      </c>
      <c r="C240" t="s">
        <v>16</v>
      </c>
      <c r="D240">
        <v>45681</v>
      </c>
      <c r="E240">
        <v>30</v>
      </c>
      <c r="F240">
        <f>SUMIFS(Purchases!$C:$C,Purchases!$B:$B,A240)</f>
        <v>221</v>
      </c>
      <c r="G240">
        <f>SUMIFS(Sales!$C:$C,Sales!$B:$B,A240)</f>
        <v>417</v>
      </c>
      <c r="H240">
        <f t="shared" si="6"/>
        <v>-166</v>
      </c>
      <c r="I240">
        <f>Table1[[#This Row],[Current Stock]]*Table1[[#This Row],[Unit Cost]]</f>
        <v>-7583046</v>
      </c>
      <c r="J240" t="str">
        <f t="shared" si="7"/>
        <v>Recorder</v>
      </c>
    </row>
    <row r="241" spans="1:10" hidden="1" x14ac:dyDescent="0.3">
      <c r="A241" t="s">
        <v>488</v>
      </c>
      <c r="B241" t="s">
        <v>489</v>
      </c>
      <c r="C241" t="s">
        <v>16</v>
      </c>
      <c r="D241">
        <v>25028</v>
      </c>
      <c r="E241">
        <v>264</v>
      </c>
      <c r="F241">
        <f>SUMIFS(Purchases!$C:$C,Purchases!$B:$B,A241)</f>
        <v>433</v>
      </c>
      <c r="G241">
        <f>SUMIFS(Sales!$C:$C,Sales!$B:$B,A241)</f>
        <v>397</v>
      </c>
      <c r="H241">
        <f t="shared" si="6"/>
        <v>300</v>
      </c>
      <c r="I241">
        <f>Table1[[#This Row],[Current Stock]]*Table1[[#This Row],[Unit Cost]]</f>
        <v>7508400</v>
      </c>
      <c r="J241" t="str">
        <f t="shared" si="7"/>
        <v>Ok</v>
      </c>
    </row>
    <row r="242" spans="1:10" hidden="1" x14ac:dyDescent="0.3">
      <c r="A242" t="s">
        <v>490</v>
      </c>
      <c r="B242" t="s">
        <v>491</v>
      </c>
      <c r="C242" t="s">
        <v>7</v>
      </c>
      <c r="D242">
        <v>23152</v>
      </c>
      <c r="E242">
        <v>172</v>
      </c>
      <c r="F242">
        <f>SUMIFS(Purchases!$C:$C,Purchases!$B:$B,A242)</f>
        <v>633</v>
      </c>
      <c r="G242">
        <f>SUMIFS(Sales!$C:$C,Sales!$B:$B,A242)</f>
        <v>242</v>
      </c>
      <c r="H242">
        <f t="shared" si="6"/>
        <v>563</v>
      </c>
      <c r="I242">
        <f>Table1[[#This Row],[Current Stock]]*Table1[[#This Row],[Unit Cost]]</f>
        <v>13034576</v>
      </c>
      <c r="J242" t="str">
        <f t="shared" si="7"/>
        <v>Ok</v>
      </c>
    </row>
    <row r="243" spans="1:10" hidden="1" x14ac:dyDescent="0.3">
      <c r="A243" t="s">
        <v>492</v>
      </c>
      <c r="B243" t="s">
        <v>493</v>
      </c>
      <c r="C243" t="s">
        <v>19</v>
      </c>
      <c r="D243">
        <v>27560</v>
      </c>
      <c r="E243">
        <v>295</v>
      </c>
      <c r="F243">
        <f>SUMIFS(Purchases!$C:$C,Purchases!$B:$B,A243)</f>
        <v>678</v>
      </c>
      <c r="G243">
        <f>SUMIFS(Sales!$C:$C,Sales!$B:$B,A243)</f>
        <v>244</v>
      </c>
      <c r="H243">
        <f t="shared" si="6"/>
        <v>729</v>
      </c>
      <c r="I243">
        <f>Table1[[#This Row],[Current Stock]]*Table1[[#This Row],[Unit Cost]]</f>
        <v>20091240</v>
      </c>
      <c r="J243" t="str">
        <f t="shared" si="7"/>
        <v>Ok</v>
      </c>
    </row>
    <row r="244" spans="1:10" hidden="1" x14ac:dyDescent="0.3">
      <c r="A244" t="s">
        <v>494</v>
      </c>
      <c r="B244" t="s">
        <v>495</v>
      </c>
      <c r="C244" t="s">
        <v>16</v>
      </c>
      <c r="D244">
        <v>39634</v>
      </c>
      <c r="E244">
        <v>479</v>
      </c>
      <c r="F244">
        <f>SUMIFS(Purchases!$C:$C,Purchases!$B:$B,A244)</f>
        <v>172</v>
      </c>
      <c r="G244">
        <f>SUMIFS(Sales!$C:$C,Sales!$B:$B,A244)</f>
        <v>325</v>
      </c>
      <c r="H244">
        <f t="shared" si="6"/>
        <v>326</v>
      </c>
      <c r="I244">
        <f>Table1[[#This Row],[Current Stock]]*Table1[[#This Row],[Unit Cost]]</f>
        <v>12920684</v>
      </c>
      <c r="J244" t="str">
        <f t="shared" si="7"/>
        <v>Ok</v>
      </c>
    </row>
    <row r="245" spans="1:10" hidden="1" x14ac:dyDescent="0.3">
      <c r="A245" t="s">
        <v>496</v>
      </c>
      <c r="B245" t="s">
        <v>497</v>
      </c>
      <c r="C245" t="s">
        <v>13</v>
      </c>
      <c r="D245">
        <v>32096</v>
      </c>
      <c r="E245">
        <v>132</v>
      </c>
      <c r="F245">
        <f>SUMIFS(Purchases!$C:$C,Purchases!$B:$B,A245)</f>
        <v>980</v>
      </c>
      <c r="G245">
        <f>SUMIFS(Sales!$C:$C,Sales!$B:$B,A245)</f>
        <v>412</v>
      </c>
      <c r="H245">
        <f t="shared" si="6"/>
        <v>700</v>
      </c>
      <c r="I245">
        <f>Table1[[#This Row],[Current Stock]]*Table1[[#This Row],[Unit Cost]]</f>
        <v>22467200</v>
      </c>
      <c r="J245" t="str">
        <f t="shared" si="7"/>
        <v>Ok</v>
      </c>
    </row>
    <row r="246" spans="1:10" hidden="1" x14ac:dyDescent="0.3">
      <c r="A246" t="s">
        <v>498</v>
      </c>
      <c r="B246" t="s">
        <v>499</v>
      </c>
      <c r="C246" t="s">
        <v>10</v>
      </c>
      <c r="D246">
        <v>28662</v>
      </c>
      <c r="E246">
        <v>268</v>
      </c>
      <c r="F246">
        <f>SUMIFS(Purchases!$C:$C,Purchases!$B:$B,A246)</f>
        <v>473</v>
      </c>
      <c r="G246">
        <f>SUMIFS(Sales!$C:$C,Sales!$B:$B,A246)</f>
        <v>344</v>
      </c>
      <c r="H246">
        <f t="shared" si="6"/>
        <v>397</v>
      </c>
      <c r="I246">
        <f>Table1[[#This Row],[Current Stock]]*Table1[[#This Row],[Unit Cost]]</f>
        <v>11378814</v>
      </c>
      <c r="J246" t="str">
        <f t="shared" si="7"/>
        <v>Ok</v>
      </c>
    </row>
    <row r="247" spans="1:10" hidden="1" x14ac:dyDescent="0.3">
      <c r="A247" t="s">
        <v>500</v>
      </c>
      <c r="B247" t="s">
        <v>501</v>
      </c>
      <c r="C247" t="s">
        <v>7</v>
      </c>
      <c r="D247">
        <v>25584</v>
      </c>
      <c r="E247">
        <v>192</v>
      </c>
      <c r="F247">
        <f>SUMIFS(Purchases!$C:$C,Purchases!$B:$B,A247)</f>
        <v>491</v>
      </c>
      <c r="G247">
        <f>SUMIFS(Sales!$C:$C,Sales!$B:$B,A247)</f>
        <v>355</v>
      </c>
      <c r="H247">
        <f t="shared" si="6"/>
        <v>328</v>
      </c>
      <c r="I247">
        <f>Table1[[#This Row],[Current Stock]]*Table1[[#This Row],[Unit Cost]]</f>
        <v>8391552</v>
      </c>
      <c r="J247" t="str">
        <f t="shared" si="7"/>
        <v>Ok</v>
      </c>
    </row>
    <row r="248" spans="1:10" hidden="1" x14ac:dyDescent="0.3">
      <c r="A248" t="s">
        <v>502</v>
      </c>
      <c r="B248" t="s">
        <v>503</v>
      </c>
      <c r="C248" t="s">
        <v>19</v>
      </c>
      <c r="D248">
        <v>47559</v>
      </c>
      <c r="E248">
        <v>104</v>
      </c>
      <c r="F248">
        <f>SUMIFS(Purchases!$C:$C,Purchases!$B:$B,A248)</f>
        <v>568</v>
      </c>
      <c r="G248">
        <f>SUMIFS(Sales!$C:$C,Sales!$B:$B,A248)</f>
        <v>353</v>
      </c>
      <c r="H248">
        <f t="shared" si="6"/>
        <v>319</v>
      </c>
      <c r="I248">
        <f>Table1[[#This Row],[Current Stock]]*Table1[[#This Row],[Unit Cost]]</f>
        <v>15171321</v>
      </c>
      <c r="J248" t="str">
        <f t="shared" si="7"/>
        <v>Ok</v>
      </c>
    </row>
    <row r="249" spans="1:10" hidden="1" x14ac:dyDescent="0.3">
      <c r="A249" t="s">
        <v>504</v>
      </c>
      <c r="B249" t="s">
        <v>505</v>
      </c>
      <c r="C249" t="s">
        <v>19</v>
      </c>
      <c r="D249">
        <v>8464</v>
      </c>
      <c r="E249">
        <v>338</v>
      </c>
      <c r="F249">
        <f>SUMIFS(Purchases!$C:$C,Purchases!$B:$B,A249)</f>
        <v>388</v>
      </c>
      <c r="G249">
        <f>SUMIFS(Sales!$C:$C,Sales!$B:$B,A249)</f>
        <v>458</v>
      </c>
      <c r="H249">
        <f t="shared" si="6"/>
        <v>268</v>
      </c>
      <c r="I249">
        <f>Table1[[#This Row],[Current Stock]]*Table1[[#This Row],[Unit Cost]]</f>
        <v>2268352</v>
      </c>
      <c r="J249" t="str">
        <f t="shared" si="7"/>
        <v>Ok</v>
      </c>
    </row>
    <row r="250" spans="1:10" hidden="1" x14ac:dyDescent="0.3">
      <c r="A250" t="s">
        <v>506</v>
      </c>
      <c r="B250" t="s">
        <v>507</v>
      </c>
      <c r="C250" t="s">
        <v>16</v>
      </c>
      <c r="D250">
        <v>1867</v>
      </c>
      <c r="E250">
        <v>484</v>
      </c>
      <c r="F250">
        <f>SUMIFS(Purchases!$C:$C,Purchases!$B:$B,A250)</f>
        <v>454</v>
      </c>
      <c r="G250">
        <f>SUMIFS(Sales!$C:$C,Sales!$B:$B,A250)</f>
        <v>141</v>
      </c>
      <c r="H250">
        <f t="shared" si="6"/>
        <v>797</v>
      </c>
      <c r="I250">
        <f>Table1[[#This Row],[Current Stock]]*Table1[[#This Row],[Unit Cost]]</f>
        <v>1487999</v>
      </c>
      <c r="J250" t="str">
        <f t="shared" si="7"/>
        <v>Ok</v>
      </c>
    </row>
    <row r="251" spans="1:10" hidden="1" x14ac:dyDescent="0.3">
      <c r="A251" t="s">
        <v>508</v>
      </c>
      <c r="B251" t="s">
        <v>509</v>
      </c>
      <c r="C251" t="s">
        <v>19</v>
      </c>
      <c r="D251">
        <v>38890</v>
      </c>
      <c r="E251">
        <v>308</v>
      </c>
      <c r="F251">
        <f>SUMIFS(Purchases!$C:$C,Purchases!$B:$B,A251)</f>
        <v>573</v>
      </c>
      <c r="G251">
        <f>SUMIFS(Sales!$C:$C,Sales!$B:$B,A251)</f>
        <v>275</v>
      </c>
      <c r="H251">
        <f t="shared" si="6"/>
        <v>606</v>
      </c>
      <c r="I251">
        <f>Table1[[#This Row],[Current Stock]]*Table1[[#This Row],[Unit Cost]]</f>
        <v>23567340</v>
      </c>
      <c r="J251" t="str">
        <f t="shared" si="7"/>
        <v>Ok</v>
      </c>
    </row>
    <row r="252" spans="1:10" hidden="1" x14ac:dyDescent="0.3">
      <c r="A252" t="s">
        <v>510</v>
      </c>
      <c r="B252" t="s">
        <v>511</v>
      </c>
      <c r="C252" t="s">
        <v>7</v>
      </c>
      <c r="D252">
        <v>5601</v>
      </c>
      <c r="E252">
        <v>349</v>
      </c>
      <c r="F252">
        <f>SUMIFS(Purchases!$C:$C,Purchases!$B:$B,A252)</f>
        <v>549</v>
      </c>
      <c r="G252">
        <f>SUMIFS(Sales!$C:$C,Sales!$B:$B,A252)</f>
        <v>405</v>
      </c>
      <c r="H252">
        <f t="shared" si="6"/>
        <v>493</v>
      </c>
      <c r="I252">
        <f>Table1[[#This Row],[Current Stock]]*Table1[[#This Row],[Unit Cost]]</f>
        <v>2761293</v>
      </c>
      <c r="J252" t="str">
        <f t="shared" si="7"/>
        <v>Ok</v>
      </c>
    </row>
    <row r="253" spans="1:10" hidden="1" x14ac:dyDescent="0.3">
      <c r="A253" t="s">
        <v>512</v>
      </c>
      <c r="B253" t="s">
        <v>513</v>
      </c>
      <c r="C253" t="s">
        <v>19</v>
      </c>
      <c r="D253">
        <v>8993</v>
      </c>
      <c r="E253">
        <v>463</v>
      </c>
      <c r="F253">
        <f>SUMIFS(Purchases!$C:$C,Purchases!$B:$B,A253)</f>
        <v>707</v>
      </c>
      <c r="G253">
        <f>SUMIFS(Sales!$C:$C,Sales!$B:$B,A253)</f>
        <v>398</v>
      </c>
      <c r="H253">
        <f t="shared" si="6"/>
        <v>772</v>
      </c>
      <c r="I253">
        <f>Table1[[#This Row],[Current Stock]]*Table1[[#This Row],[Unit Cost]]</f>
        <v>6942596</v>
      </c>
      <c r="J253" t="str">
        <f t="shared" si="7"/>
        <v>Ok</v>
      </c>
    </row>
    <row r="254" spans="1:10" x14ac:dyDescent="0.3">
      <c r="A254" t="s">
        <v>514</v>
      </c>
      <c r="B254" t="s">
        <v>515</v>
      </c>
      <c r="C254" t="s">
        <v>19</v>
      </c>
      <c r="D254">
        <v>12009</v>
      </c>
      <c r="E254">
        <v>45</v>
      </c>
      <c r="F254">
        <f>SUMIFS(Purchases!$C:$C,Purchases!$B:$B,A254)</f>
        <v>306</v>
      </c>
      <c r="G254">
        <f>SUMIFS(Sales!$C:$C,Sales!$B:$B,A254)</f>
        <v>371</v>
      </c>
      <c r="H254">
        <f t="shared" si="6"/>
        <v>-20</v>
      </c>
      <c r="I254">
        <f>Table1[[#This Row],[Current Stock]]*Table1[[#This Row],[Unit Cost]]</f>
        <v>-240180</v>
      </c>
      <c r="J254" t="str">
        <f t="shared" si="7"/>
        <v>Recorder</v>
      </c>
    </row>
    <row r="255" spans="1:10" hidden="1" x14ac:dyDescent="0.3">
      <c r="A255" t="s">
        <v>516</v>
      </c>
      <c r="B255" t="s">
        <v>517</v>
      </c>
      <c r="C255" t="s">
        <v>10</v>
      </c>
      <c r="D255">
        <v>24944</v>
      </c>
      <c r="E255">
        <v>187</v>
      </c>
      <c r="F255">
        <f>SUMIFS(Purchases!$C:$C,Purchases!$B:$B,A255)</f>
        <v>476</v>
      </c>
      <c r="G255">
        <f>SUMIFS(Sales!$C:$C,Sales!$B:$B,A255)</f>
        <v>347</v>
      </c>
      <c r="H255">
        <f t="shared" si="6"/>
        <v>316</v>
      </c>
      <c r="I255">
        <f>Table1[[#This Row],[Current Stock]]*Table1[[#This Row],[Unit Cost]]</f>
        <v>7882304</v>
      </c>
      <c r="J255" t="str">
        <f t="shared" si="7"/>
        <v>Ok</v>
      </c>
    </row>
    <row r="256" spans="1:10" hidden="1" x14ac:dyDescent="0.3">
      <c r="A256" t="s">
        <v>518</v>
      </c>
      <c r="B256" t="s">
        <v>519</v>
      </c>
      <c r="C256" t="s">
        <v>13</v>
      </c>
      <c r="D256">
        <v>29899</v>
      </c>
      <c r="E256">
        <v>187</v>
      </c>
      <c r="F256">
        <f>SUMIFS(Purchases!$C:$C,Purchases!$B:$B,A256)</f>
        <v>813</v>
      </c>
      <c r="G256">
        <f>SUMIFS(Sales!$C:$C,Sales!$B:$B,A256)</f>
        <v>219</v>
      </c>
      <c r="H256">
        <f t="shared" si="6"/>
        <v>781</v>
      </c>
      <c r="I256">
        <f>Table1[[#This Row],[Current Stock]]*Table1[[#This Row],[Unit Cost]]</f>
        <v>23351119</v>
      </c>
      <c r="J256" t="str">
        <f t="shared" si="7"/>
        <v>Ok</v>
      </c>
    </row>
    <row r="257" spans="1:10" hidden="1" x14ac:dyDescent="0.3">
      <c r="A257" t="s">
        <v>520</v>
      </c>
      <c r="B257" t="s">
        <v>521</v>
      </c>
      <c r="C257" t="s">
        <v>10</v>
      </c>
      <c r="D257">
        <v>49987</v>
      </c>
      <c r="E257">
        <v>470</v>
      </c>
      <c r="F257">
        <f>SUMIFS(Purchases!$C:$C,Purchases!$B:$B,A257)</f>
        <v>813</v>
      </c>
      <c r="G257">
        <f>SUMIFS(Sales!$C:$C,Sales!$B:$B,A257)</f>
        <v>210</v>
      </c>
      <c r="H257">
        <f t="shared" si="6"/>
        <v>1073</v>
      </c>
      <c r="I257">
        <f>Table1[[#This Row],[Current Stock]]*Table1[[#This Row],[Unit Cost]]</f>
        <v>53636051</v>
      </c>
      <c r="J257" t="str">
        <f t="shared" si="7"/>
        <v>Ok</v>
      </c>
    </row>
    <row r="258" spans="1:10" hidden="1" x14ac:dyDescent="0.3">
      <c r="A258" t="s">
        <v>522</v>
      </c>
      <c r="B258" t="s">
        <v>523</v>
      </c>
      <c r="C258" t="s">
        <v>19</v>
      </c>
      <c r="D258">
        <v>18335</v>
      </c>
      <c r="E258">
        <v>405</v>
      </c>
      <c r="F258">
        <f>SUMIFS(Purchases!$C:$C,Purchases!$B:$B,A258)</f>
        <v>516</v>
      </c>
      <c r="G258">
        <f>SUMIFS(Sales!$C:$C,Sales!$B:$B,A258)</f>
        <v>356</v>
      </c>
      <c r="H258">
        <f t="shared" ref="H258:H321" si="8">E258+F258-G258</f>
        <v>565</v>
      </c>
      <c r="I258">
        <f>Table1[[#This Row],[Current Stock]]*Table1[[#This Row],[Unit Cost]]</f>
        <v>10359275</v>
      </c>
      <c r="J258" t="str">
        <f t="shared" ref="J258:J321" si="9">IF(H258&lt;50,"Recorder","Ok")</f>
        <v>Ok</v>
      </c>
    </row>
    <row r="259" spans="1:10" hidden="1" x14ac:dyDescent="0.3">
      <c r="A259" t="s">
        <v>524</v>
      </c>
      <c r="B259" t="s">
        <v>525</v>
      </c>
      <c r="C259" t="s">
        <v>19</v>
      </c>
      <c r="D259">
        <v>16632</v>
      </c>
      <c r="E259">
        <v>447</v>
      </c>
      <c r="F259">
        <f>SUMIFS(Purchases!$C:$C,Purchases!$B:$B,A259)</f>
        <v>696</v>
      </c>
      <c r="G259">
        <f>SUMIFS(Sales!$C:$C,Sales!$B:$B,A259)</f>
        <v>458</v>
      </c>
      <c r="H259">
        <f t="shared" si="8"/>
        <v>685</v>
      </c>
      <c r="I259">
        <f>Table1[[#This Row],[Current Stock]]*Table1[[#This Row],[Unit Cost]]</f>
        <v>11392920</v>
      </c>
      <c r="J259" t="str">
        <f t="shared" si="9"/>
        <v>Ok</v>
      </c>
    </row>
    <row r="260" spans="1:10" hidden="1" x14ac:dyDescent="0.3">
      <c r="A260" t="s">
        <v>526</v>
      </c>
      <c r="B260" t="s">
        <v>527</v>
      </c>
      <c r="C260" t="s">
        <v>7</v>
      </c>
      <c r="D260">
        <v>30922</v>
      </c>
      <c r="E260">
        <v>29</v>
      </c>
      <c r="F260">
        <f>SUMIFS(Purchases!$C:$C,Purchases!$B:$B,A260)</f>
        <v>803</v>
      </c>
      <c r="G260">
        <f>SUMIFS(Sales!$C:$C,Sales!$B:$B,A260)</f>
        <v>320</v>
      </c>
      <c r="H260">
        <f t="shared" si="8"/>
        <v>512</v>
      </c>
      <c r="I260">
        <f>Table1[[#This Row],[Current Stock]]*Table1[[#This Row],[Unit Cost]]</f>
        <v>15832064</v>
      </c>
      <c r="J260" t="str">
        <f t="shared" si="9"/>
        <v>Ok</v>
      </c>
    </row>
    <row r="261" spans="1:10" hidden="1" x14ac:dyDescent="0.3">
      <c r="A261" t="s">
        <v>528</v>
      </c>
      <c r="B261" t="s">
        <v>529</v>
      </c>
      <c r="C261" t="s">
        <v>16</v>
      </c>
      <c r="D261">
        <v>3513</v>
      </c>
      <c r="E261">
        <v>199</v>
      </c>
      <c r="F261">
        <f>SUMIFS(Purchases!$C:$C,Purchases!$B:$B,A261)</f>
        <v>425</v>
      </c>
      <c r="G261">
        <f>SUMIFS(Sales!$C:$C,Sales!$B:$B,A261)</f>
        <v>340</v>
      </c>
      <c r="H261">
        <f t="shared" si="8"/>
        <v>284</v>
      </c>
      <c r="I261">
        <f>Table1[[#This Row],[Current Stock]]*Table1[[#This Row],[Unit Cost]]</f>
        <v>997692</v>
      </c>
      <c r="J261" t="str">
        <f t="shared" si="9"/>
        <v>Ok</v>
      </c>
    </row>
    <row r="262" spans="1:10" x14ac:dyDescent="0.3">
      <c r="A262" t="s">
        <v>530</v>
      </c>
      <c r="B262" t="s">
        <v>531</v>
      </c>
      <c r="C262" t="s">
        <v>13</v>
      </c>
      <c r="D262">
        <v>42707</v>
      </c>
      <c r="E262">
        <v>55</v>
      </c>
      <c r="F262">
        <f>SUMIFS(Purchases!$C:$C,Purchases!$B:$B,A262)</f>
        <v>196</v>
      </c>
      <c r="G262">
        <f>SUMIFS(Sales!$C:$C,Sales!$B:$B,A262)</f>
        <v>413</v>
      </c>
      <c r="H262">
        <f t="shared" si="8"/>
        <v>-162</v>
      </c>
      <c r="I262">
        <f>Table1[[#This Row],[Current Stock]]*Table1[[#This Row],[Unit Cost]]</f>
        <v>-6918534</v>
      </c>
      <c r="J262" t="str">
        <f t="shared" si="9"/>
        <v>Recorder</v>
      </c>
    </row>
    <row r="263" spans="1:10" hidden="1" x14ac:dyDescent="0.3">
      <c r="A263" t="s">
        <v>532</v>
      </c>
      <c r="B263" t="s">
        <v>533</v>
      </c>
      <c r="C263" t="s">
        <v>7</v>
      </c>
      <c r="D263">
        <v>49529</v>
      </c>
      <c r="E263">
        <v>35</v>
      </c>
      <c r="F263">
        <f>SUMIFS(Purchases!$C:$C,Purchases!$B:$B,A263)</f>
        <v>549</v>
      </c>
      <c r="G263">
        <f>SUMIFS(Sales!$C:$C,Sales!$B:$B,A263)</f>
        <v>346</v>
      </c>
      <c r="H263">
        <f t="shared" si="8"/>
        <v>238</v>
      </c>
      <c r="I263">
        <f>Table1[[#This Row],[Current Stock]]*Table1[[#This Row],[Unit Cost]]</f>
        <v>11787902</v>
      </c>
      <c r="J263" t="str">
        <f t="shared" si="9"/>
        <v>Ok</v>
      </c>
    </row>
    <row r="264" spans="1:10" hidden="1" x14ac:dyDescent="0.3">
      <c r="A264" t="s">
        <v>534</v>
      </c>
      <c r="B264" t="s">
        <v>535</v>
      </c>
      <c r="C264" t="s">
        <v>13</v>
      </c>
      <c r="D264">
        <v>13165</v>
      </c>
      <c r="E264">
        <v>449</v>
      </c>
      <c r="F264">
        <f>SUMIFS(Purchases!$C:$C,Purchases!$B:$B,A264)</f>
        <v>579</v>
      </c>
      <c r="G264">
        <f>SUMIFS(Sales!$C:$C,Sales!$B:$B,A264)</f>
        <v>321</v>
      </c>
      <c r="H264">
        <f t="shared" si="8"/>
        <v>707</v>
      </c>
      <c r="I264">
        <f>Table1[[#This Row],[Current Stock]]*Table1[[#This Row],[Unit Cost]]</f>
        <v>9307655</v>
      </c>
      <c r="J264" t="str">
        <f t="shared" si="9"/>
        <v>Ok</v>
      </c>
    </row>
    <row r="265" spans="1:10" hidden="1" x14ac:dyDescent="0.3">
      <c r="A265" t="s">
        <v>536</v>
      </c>
      <c r="B265" t="s">
        <v>537</v>
      </c>
      <c r="C265" t="s">
        <v>7</v>
      </c>
      <c r="D265">
        <v>40819</v>
      </c>
      <c r="E265">
        <v>98</v>
      </c>
      <c r="F265">
        <f>SUMIFS(Purchases!$C:$C,Purchases!$B:$B,A265)</f>
        <v>667</v>
      </c>
      <c r="G265">
        <f>SUMIFS(Sales!$C:$C,Sales!$B:$B,A265)</f>
        <v>129</v>
      </c>
      <c r="H265">
        <f t="shared" si="8"/>
        <v>636</v>
      </c>
      <c r="I265">
        <f>Table1[[#This Row],[Current Stock]]*Table1[[#This Row],[Unit Cost]]</f>
        <v>25960884</v>
      </c>
      <c r="J265" t="str">
        <f t="shared" si="9"/>
        <v>Ok</v>
      </c>
    </row>
    <row r="266" spans="1:10" hidden="1" x14ac:dyDescent="0.3">
      <c r="A266" t="s">
        <v>538</v>
      </c>
      <c r="B266" t="s">
        <v>539</v>
      </c>
      <c r="C266" t="s">
        <v>13</v>
      </c>
      <c r="D266">
        <v>8372</v>
      </c>
      <c r="E266">
        <v>262</v>
      </c>
      <c r="F266">
        <f>SUMIFS(Purchases!$C:$C,Purchases!$B:$B,A266)</f>
        <v>547</v>
      </c>
      <c r="G266">
        <f>SUMIFS(Sales!$C:$C,Sales!$B:$B,A266)</f>
        <v>190</v>
      </c>
      <c r="H266">
        <f t="shared" si="8"/>
        <v>619</v>
      </c>
      <c r="I266">
        <f>Table1[[#This Row],[Current Stock]]*Table1[[#This Row],[Unit Cost]]</f>
        <v>5182268</v>
      </c>
      <c r="J266" t="str">
        <f t="shared" si="9"/>
        <v>Ok</v>
      </c>
    </row>
    <row r="267" spans="1:10" hidden="1" x14ac:dyDescent="0.3">
      <c r="A267" t="s">
        <v>540</v>
      </c>
      <c r="B267" t="s">
        <v>541</v>
      </c>
      <c r="C267" t="s">
        <v>7</v>
      </c>
      <c r="D267">
        <v>37060</v>
      </c>
      <c r="E267">
        <v>131</v>
      </c>
      <c r="F267">
        <f>SUMIFS(Purchases!$C:$C,Purchases!$B:$B,A267)</f>
        <v>528</v>
      </c>
      <c r="G267">
        <f>SUMIFS(Sales!$C:$C,Sales!$B:$B,A267)</f>
        <v>493</v>
      </c>
      <c r="H267">
        <f t="shared" si="8"/>
        <v>166</v>
      </c>
      <c r="I267">
        <f>Table1[[#This Row],[Current Stock]]*Table1[[#This Row],[Unit Cost]]</f>
        <v>6151960</v>
      </c>
      <c r="J267" t="str">
        <f t="shared" si="9"/>
        <v>Ok</v>
      </c>
    </row>
    <row r="268" spans="1:10" hidden="1" x14ac:dyDescent="0.3">
      <c r="A268" t="s">
        <v>542</v>
      </c>
      <c r="B268" t="s">
        <v>543</v>
      </c>
      <c r="C268" t="s">
        <v>19</v>
      </c>
      <c r="D268">
        <v>45940</v>
      </c>
      <c r="E268">
        <v>151</v>
      </c>
      <c r="F268">
        <f>SUMIFS(Purchases!$C:$C,Purchases!$B:$B,A268)</f>
        <v>753</v>
      </c>
      <c r="G268">
        <f>SUMIFS(Sales!$C:$C,Sales!$B:$B,A268)</f>
        <v>561</v>
      </c>
      <c r="H268">
        <f t="shared" si="8"/>
        <v>343</v>
      </c>
      <c r="I268">
        <f>Table1[[#This Row],[Current Stock]]*Table1[[#This Row],[Unit Cost]]</f>
        <v>15757420</v>
      </c>
      <c r="J268" t="str">
        <f t="shared" si="9"/>
        <v>Ok</v>
      </c>
    </row>
    <row r="269" spans="1:10" hidden="1" x14ac:dyDescent="0.3">
      <c r="A269" t="s">
        <v>544</v>
      </c>
      <c r="B269" t="s">
        <v>545</v>
      </c>
      <c r="C269" t="s">
        <v>10</v>
      </c>
      <c r="D269">
        <v>11096</v>
      </c>
      <c r="E269">
        <v>330</v>
      </c>
      <c r="F269">
        <f>SUMIFS(Purchases!$C:$C,Purchases!$B:$B,A269)</f>
        <v>533</v>
      </c>
      <c r="G269">
        <f>SUMIFS(Sales!$C:$C,Sales!$B:$B,A269)</f>
        <v>418</v>
      </c>
      <c r="H269">
        <f t="shared" si="8"/>
        <v>445</v>
      </c>
      <c r="I269">
        <f>Table1[[#This Row],[Current Stock]]*Table1[[#This Row],[Unit Cost]]</f>
        <v>4937720</v>
      </c>
      <c r="J269" t="str">
        <f t="shared" si="9"/>
        <v>Ok</v>
      </c>
    </row>
    <row r="270" spans="1:10" hidden="1" x14ac:dyDescent="0.3">
      <c r="A270" t="s">
        <v>546</v>
      </c>
      <c r="B270" t="s">
        <v>547</v>
      </c>
      <c r="C270" t="s">
        <v>16</v>
      </c>
      <c r="D270">
        <v>49116</v>
      </c>
      <c r="E270">
        <v>387</v>
      </c>
      <c r="F270">
        <f>SUMIFS(Purchases!$C:$C,Purchases!$B:$B,A270)</f>
        <v>445</v>
      </c>
      <c r="G270">
        <f>SUMIFS(Sales!$C:$C,Sales!$B:$B,A270)</f>
        <v>258</v>
      </c>
      <c r="H270">
        <f t="shared" si="8"/>
        <v>574</v>
      </c>
      <c r="I270">
        <f>Table1[[#This Row],[Current Stock]]*Table1[[#This Row],[Unit Cost]]</f>
        <v>28192584</v>
      </c>
      <c r="J270" t="str">
        <f t="shared" si="9"/>
        <v>Ok</v>
      </c>
    </row>
    <row r="271" spans="1:10" hidden="1" x14ac:dyDescent="0.3">
      <c r="A271" t="s">
        <v>548</v>
      </c>
      <c r="B271" t="s">
        <v>549</v>
      </c>
      <c r="C271" t="s">
        <v>7</v>
      </c>
      <c r="D271">
        <v>10832</v>
      </c>
      <c r="E271">
        <v>179</v>
      </c>
      <c r="F271">
        <f>SUMIFS(Purchases!$C:$C,Purchases!$B:$B,A271)</f>
        <v>617</v>
      </c>
      <c r="G271">
        <f>SUMIFS(Sales!$C:$C,Sales!$B:$B,A271)</f>
        <v>185</v>
      </c>
      <c r="H271">
        <f t="shared" si="8"/>
        <v>611</v>
      </c>
      <c r="I271">
        <f>Table1[[#This Row],[Current Stock]]*Table1[[#This Row],[Unit Cost]]</f>
        <v>6618352</v>
      </c>
      <c r="J271" t="str">
        <f t="shared" si="9"/>
        <v>Ok</v>
      </c>
    </row>
    <row r="272" spans="1:10" hidden="1" x14ac:dyDescent="0.3">
      <c r="A272" t="s">
        <v>550</v>
      </c>
      <c r="B272" t="s">
        <v>551</v>
      </c>
      <c r="C272" t="s">
        <v>7</v>
      </c>
      <c r="D272">
        <v>38024</v>
      </c>
      <c r="E272">
        <v>33</v>
      </c>
      <c r="F272">
        <f>SUMIFS(Purchases!$C:$C,Purchases!$B:$B,A272)</f>
        <v>240</v>
      </c>
      <c r="G272">
        <f>SUMIFS(Sales!$C:$C,Sales!$B:$B,A272)</f>
        <v>122</v>
      </c>
      <c r="H272">
        <f t="shared" si="8"/>
        <v>151</v>
      </c>
      <c r="I272">
        <f>Table1[[#This Row],[Current Stock]]*Table1[[#This Row],[Unit Cost]]</f>
        <v>5741624</v>
      </c>
      <c r="J272" t="str">
        <f t="shared" si="9"/>
        <v>Ok</v>
      </c>
    </row>
    <row r="273" spans="1:10" hidden="1" x14ac:dyDescent="0.3">
      <c r="A273" t="s">
        <v>552</v>
      </c>
      <c r="B273" t="s">
        <v>553</v>
      </c>
      <c r="C273" t="s">
        <v>10</v>
      </c>
      <c r="D273">
        <v>37835</v>
      </c>
      <c r="E273">
        <v>366</v>
      </c>
      <c r="F273">
        <f>SUMIFS(Purchases!$C:$C,Purchases!$B:$B,A273)</f>
        <v>696</v>
      </c>
      <c r="G273">
        <f>SUMIFS(Sales!$C:$C,Sales!$B:$B,A273)</f>
        <v>185</v>
      </c>
      <c r="H273">
        <f t="shared" si="8"/>
        <v>877</v>
      </c>
      <c r="I273">
        <f>Table1[[#This Row],[Current Stock]]*Table1[[#This Row],[Unit Cost]]</f>
        <v>33181295</v>
      </c>
      <c r="J273" t="str">
        <f t="shared" si="9"/>
        <v>Ok</v>
      </c>
    </row>
    <row r="274" spans="1:10" hidden="1" x14ac:dyDescent="0.3">
      <c r="A274" t="s">
        <v>554</v>
      </c>
      <c r="B274" t="s">
        <v>555</v>
      </c>
      <c r="C274" t="s">
        <v>19</v>
      </c>
      <c r="D274">
        <v>26095</v>
      </c>
      <c r="E274">
        <v>386</v>
      </c>
      <c r="F274">
        <f>SUMIFS(Purchases!$C:$C,Purchases!$B:$B,A274)</f>
        <v>638</v>
      </c>
      <c r="G274">
        <f>SUMIFS(Sales!$C:$C,Sales!$B:$B,A274)</f>
        <v>288</v>
      </c>
      <c r="H274">
        <f t="shared" si="8"/>
        <v>736</v>
      </c>
      <c r="I274">
        <f>Table1[[#This Row],[Current Stock]]*Table1[[#This Row],[Unit Cost]]</f>
        <v>19205920</v>
      </c>
      <c r="J274" t="str">
        <f t="shared" si="9"/>
        <v>Ok</v>
      </c>
    </row>
    <row r="275" spans="1:10" hidden="1" x14ac:dyDescent="0.3">
      <c r="A275" t="s">
        <v>556</v>
      </c>
      <c r="B275" t="s">
        <v>557</v>
      </c>
      <c r="C275" t="s">
        <v>13</v>
      </c>
      <c r="D275">
        <v>5080</v>
      </c>
      <c r="E275">
        <v>323</v>
      </c>
      <c r="F275">
        <f>SUMIFS(Purchases!$C:$C,Purchases!$B:$B,A275)</f>
        <v>522</v>
      </c>
      <c r="G275">
        <f>SUMIFS(Sales!$C:$C,Sales!$B:$B,A275)</f>
        <v>329</v>
      </c>
      <c r="H275">
        <f t="shared" si="8"/>
        <v>516</v>
      </c>
      <c r="I275">
        <f>Table1[[#This Row],[Current Stock]]*Table1[[#This Row],[Unit Cost]]</f>
        <v>2621280</v>
      </c>
      <c r="J275" t="str">
        <f t="shared" si="9"/>
        <v>Ok</v>
      </c>
    </row>
    <row r="276" spans="1:10" hidden="1" x14ac:dyDescent="0.3">
      <c r="A276" t="s">
        <v>558</v>
      </c>
      <c r="B276" t="s">
        <v>559</v>
      </c>
      <c r="C276" t="s">
        <v>13</v>
      </c>
      <c r="D276">
        <v>6778</v>
      </c>
      <c r="E276">
        <v>376</v>
      </c>
      <c r="F276">
        <f>SUMIFS(Purchases!$C:$C,Purchases!$B:$B,A276)</f>
        <v>258</v>
      </c>
      <c r="G276">
        <f>SUMIFS(Sales!$C:$C,Sales!$B:$B,A276)</f>
        <v>331</v>
      </c>
      <c r="H276">
        <f t="shared" si="8"/>
        <v>303</v>
      </c>
      <c r="I276">
        <f>Table1[[#This Row],[Current Stock]]*Table1[[#This Row],[Unit Cost]]</f>
        <v>2053734</v>
      </c>
      <c r="J276" t="str">
        <f t="shared" si="9"/>
        <v>Ok</v>
      </c>
    </row>
    <row r="277" spans="1:10" hidden="1" x14ac:dyDescent="0.3">
      <c r="A277" t="s">
        <v>560</v>
      </c>
      <c r="B277" t="s">
        <v>561</v>
      </c>
      <c r="C277" t="s">
        <v>10</v>
      </c>
      <c r="D277">
        <v>44943</v>
      </c>
      <c r="E277">
        <v>327</v>
      </c>
      <c r="F277">
        <f>SUMIFS(Purchases!$C:$C,Purchases!$B:$B,A277)</f>
        <v>318</v>
      </c>
      <c r="G277">
        <f>SUMIFS(Sales!$C:$C,Sales!$B:$B,A277)</f>
        <v>387</v>
      </c>
      <c r="H277">
        <f t="shared" si="8"/>
        <v>258</v>
      </c>
      <c r="I277">
        <f>Table1[[#This Row],[Current Stock]]*Table1[[#This Row],[Unit Cost]]</f>
        <v>11595294</v>
      </c>
      <c r="J277" t="str">
        <f t="shared" si="9"/>
        <v>Ok</v>
      </c>
    </row>
    <row r="278" spans="1:10" hidden="1" x14ac:dyDescent="0.3">
      <c r="A278" t="s">
        <v>562</v>
      </c>
      <c r="B278" t="s">
        <v>563</v>
      </c>
      <c r="C278" t="s">
        <v>7</v>
      </c>
      <c r="D278">
        <v>37188</v>
      </c>
      <c r="E278">
        <v>420</v>
      </c>
      <c r="F278">
        <f>SUMIFS(Purchases!$C:$C,Purchases!$B:$B,A278)</f>
        <v>493</v>
      </c>
      <c r="G278">
        <f>SUMIFS(Sales!$C:$C,Sales!$B:$B,A278)</f>
        <v>257</v>
      </c>
      <c r="H278">
        <f t="shared" si="8"/>
        <v>656</v>
      </c>
      <c r="I278">
        <f>Table1[[#This Row],[Current Stock]]*Table1[[#This Row],[Unit Cost]]</f>
        <v>24395328</v>
      </c>
      <c r="J278" t="str">
        <f t="shared" si="9"/>
        <v>Ok</v>
      </c>
    </row>
    <row r="279" spans="1:10" hidden="1" x14ac:dyDescent="0.3">
      <c r="A279" t="s">
        <v>564</v>
      </c>
      <c r="B279" t="s">
        <v>565</v>
      </c>
      <c r="C279" t="s">
        <v>7</v>
      </c>
      <c r="D279">
        <v>22854</v>
      </c>
      <c r="E279">
        <v>292</v>
      </c>
      <c r="F279">
        <f>SUMIFS(Purchases!$C:$C,Purchases!$B:$B,A279)</f>
        <v>415</v>
      </c>
      <c r="G279">
        <f>SUMIFS(Sales!$C:$C,Sales!$B:$B,A279)</f>
        <v>404</v>
      </c>
      <c r="H279">
        <f t="shared" si="8"/>
        <v>303</v>
      </c>
      <c r="I279">
        <f>Table1[[#This Row],[Current Stock]]*Table1[[#This Row],[Unit Cost]]</f>
        <v>6924762</v>
      </c>
      <c r="J279" t="str">
        <f t="shared" si="9"/>
        <v>Ok</v>
      </c>
    </row>
    <row r="280" spans="1:10" hidden="1" x14ac:dyDescent="0.3">
      <c r="A280" t="s">
        <v>566</v>
      </c>
      <c r="B280" t="s">
        <v>567</v>
      </c>
      <c r="C280" t="s">
        <v>19</v>
      </c>
      <c r="D280">
        <v>43453</v>
      </c>
      <c r="E280">
        <v>209</v>
      </c>
      <c r="F280">
        <f>SUMIFS(Purchases!$C:$C,Purchases!$B:$B,A280)</f>
        <v>563</v>
      </c>
      <c r="G280">
        <f>SUMIFS(Sales!$C:$C,Sales!$B:$B,A280)</f>
        <v>147</v>
      </c>
      <c r="H280">
        <f t="shared" si="8"/>
        <v>625</v>
      </c>
      <c r="I280">
        <f>Table1[[#This Row],[Current Stock]]*Table1[[#This Row],[Unit Cost]]</f>
        <v>27158125</v>
      </c>
      <c r="J280" t="str">
        <f t="shared" si="9"/>
        <v>Ok</v>
      </c>
    </row>
    <row r="281" spans="1:10" hidden="1" x14ac:dyDescent="0.3">
      <c r="A281" t="s">
        <v>568</v>
      </c>
      <c r="B281" t="s">
        <v>569</v>
      </c>
      <c r="C281" t="s">
        <v>7</v>
      </c>
      <c r="D281">
        <v>33258</v>
      </c>
      <c r="E281">
        <v>351</v>
      </c>
      <c r="F281">
        <f>SUMIFS(Purchases!$C:$C,Purchases!$B:$B,A281)</f>
        <v>536</v>
      </c>
      <c r="G281">
        <f>SUMIFS(Sales!$C:$C,Sales!$B:$B,A281)</f>
        <v>299</v>
      </c>
      <c r="H281">
        <f t="shared" si="8"/>
        <v>588</v>
      </c>
      <c r="I281">
        <f>Table1[[#This Row],[Current Stock]]*Table1[[#This Row],[Unit Cost]]</f>
        <v>19555704</v>
      </c>
      <c r="J281" t="str">
        <f t="shared" si="9"/>
        <v>Ok</v>
      </c>
    </row>
    <row r="282" spans="1:10" hidden="1" x14ac:dyDescent="0.3">
      <c r="A282" t="s">
        <v>570</v>
      </c>
      <c r="B282" t="s">
        <v>571</v>
      </c>
      <c r="C282" t="s">
        <v>10</v>
      </c>
      <c r="D282">
        <v>929</v>
      </c>
      <c r="E282">
        <v>454</v>
      </c>
      <c r="F282">
        <f>SUMIFS(Purchases!$C:$C,Purchases!$B:$B,A282)</f>
        <v>656</v>
      </c>
      <c r="G282">
        <f>SUMIFS(Sales!$C:$C,Sales!$B:$B,A282)</f>
        <v>414</v>
      </c>
      <c r="H282">
        <f t="shared" si="8"/>
        <v>696</v>
      </c>
      <c r="I282">
        <f>Table1[[#This Row],[Current Stock]]*Table1[[#This Row],[Unit Cost]]</f>
        <v>646584</v>
      </c>
      <c r="J282" t="str">
        <f t="shared" si="9"/>
        <v>Ok</v>
      </c>
    </row>
    <row r="283" spans="1:10" hidden="1" x14ac:dyDescent="0.3">
      <c r="A283" t="s">
        <v>572</v>
      </c>
      <c r="B283" t="s">
        <v>573</v>
      </c>
      <c r="C283" t="s">
        <v>19</v>
      </c>
      <c r="D283">
        <v>32225</v>
      </c>
      <c r="E283">
        <v>74</v>
      </c>
      <c r="F283">
        <f>SUMIFS(Purchases!$C:$C,Purchases!$B:$B,A283)</f>
        <v>569</v>
      </c>
      <c r="G283">
        <f>SUMIFS(Sales!$C:$C,Sales!$B:$B,A283)</f>
        <v>251</v>
      </c>
      <c r="H283">
        <f t="shared" si="8"/>
        <v>392</v>
      </c>
      <c r="I283">
        <f>Table1[[#This Row],[Current Stock]]*Table1[[#This Row],[Unit Cost]]</f>
        <v>12632200</v>
      </c>
      <c r="J283" t="str">
        <f t="shared" si="9"/>
        <v>Ok</v>
      </c>
    </row>
    <row r="284" spans="1:10" x14ac:dyDescent="0.3">
      <c r="A284" t="s">
        <v>574</v>
      </c>
      <c r="B284" t="s">
        <v>575</v>
      </c>
      <c r="C284" t="s">
        <v>19</v>
      </c>
      <c r="D284">
        <v>23836</v>
      </c>
      <c r="E284">
        <v>345</v>
      </c>
      <c r="F284">
        <f>SUMIFS(Purchases!$C:$C,Purchases!$B:$B,A284)</f>
        <v>268</v>
      </c>
      <c r="G284">
        <f>SUMIFS(Sales!$C:$C,Sales!$B:$B,A284)</f>
        <v>604</v>
      </c>
      <c r="H284">
        <f t="shared" si="8"/>
        <v>9</v>
      </c>
      <c r="I284">
        <f>Table1[[#This Row],[Current Stock]]*Table1[[#This Row],[Unit Cost]]</f>
        <v>214524</v>
      </c>
      <c r="J284" t="str">
        <f t="shared" si="9"/>
        <v>Recorder</v>
      </c>
    </row>
    <row r="285" spans="1:10" hidden="1" x14ac:dyDescent="0.3">
      <c r="A285" t="s">
        <v>576</v>
      </c>
      <c r="B285" t="s">
        <v>577</v>
      </c>
      <c r="C285" t="s">
        <v>19</v>
      </c>
      <c r="D285">
        <v>46454</v>
      </c>
      <c r="E285">
        <v>98</v>
      </c>
      <c r="F285">
        <f>SUMIFS(Purchases!$C:$C,Purchases!$B:$B,A285)</f>
        <v>877</v>
      </c>
      <c r="G285">
        <f>SUMIFS(Sales!$C:$C,Sales!$B:$B,A285)</f>
        <v>375</v>
      </c>
      <c r="H285">
        <f t="shared" si="8"/>
        <v>600</v>
      </c>
      <c r="I285">
        <f>Table1[[#This Row],[Current Stock]]*Table1[[#This Row],[Unit Cost]]</f>
        <v>27872400</v>
      </c>
      <c r="J285" t="str">
        <f t="shared" si="9"/>
        <v>Ok</v>
      </c>
    </row>
    <row r="286" spans="1:10" hidden="1" x14ac:dyDescent="0.3">
      <c r="A286" t="s">
        <v>578</v>
      </c>
      <c r="B286" t="s">
        <v>579</v>
      </c>
      <c r="C286" t="s">
        <v>19</v>
      </c>
      <c r="D286">
        <v>11643</v>
      </c>
      <c r="E286">
        <v>395</v>
      </c>
      <c r="F286">
        <f>SUMIFS(Purchases!$C:$C,Purchases!$B:$B,A286)</f>
        <v>472</v>
      </c>
      <c r="G286">
        <f>SUMIFS(Sales!$C:$C,Sales!$B:$B,A286)</f>
        <v>582</v>
      </c>
      <c r="H286">
        <f t="shared" si="8"/>
        <v>285</v>
      </c>
      <c r="I286">
        <f>Table1[[#This Row],[Current Stock]]*Table1[[#This Row],[Unit Cost]]</f>
        <v>3318255</v>
      </c>
      <c r="J286" t="str">
        <f t="shared" si="9"/>
        <v>Ok</v>
      </c>
    </row>
    <row r="287" spans="1:10" hidden="1" x14ac:dyDescent="0.3">
      <c r="A287" t="s">
        <v>580</v>
      </c>
      <c r="B287" t="s">
        <v>581</v>
      </c>
      <c r="C287" t="s">
        <v>16</v>
      </c>
      <c r="D287">
        <v>42728</v>
      </c>
      <c r="E287">
        <v>158</v>
      </c>
      <c r="F287">
        <f>SUMIFS(Purchases!$C:$C,Purchases!$B:$B,A287)</f>
        <v>862</v>
      </c>
      <c r="G287">
        <f>SUMIFS(Sales!$C:$C,Sales!$B:$B,A287)</f>
        <v>181</v>
      </c>
      <c r="H287">
        <f t="shared" si="8"/>
        <v>839</v>
      </c>
      <c r="I287">
        <f>Table1[[#This Row],[Current Stock]]*Table1[[#This Row],[Unit Cost]]</f>
        <v>35848792</v>
      </c>
      <c r="J287" t="str">
        <f t="shared" si="9"/>
        <v>Ok</v>
      </c>
    </row>
    <row r="288" spans="1:10" hidden="1" x14ac:dyDescent="0.3">
      <c r="A288" t="s">
        <v>582</v>
      </c>
      <c r="B288" t="s">
        <v>583</v>
      </c>
      <c r="C288" t="s">
        <v>16</v>
      </c>
      <c r="D288">
        <v>35369</v>
      </c>
      <c r="E288">
        <v>416</v>
      </c>
      <c r="F288">
        <f>SUMIFS(Purchases!$C:$C,Purchases!$B:$B,A288)</f>
        <v>652</v>
      </c>
      <c r="G288">
        <f>SUMIFS(Sales!$C:$C,Sales!$B:$B,A288)</f>
        <v>240</v>
      </c>
      <c r="H288">
        <f t="shared" si="8"/>
        <v>828</v>
      </c>
      <c r="I288">
        <f>Table1[[#This Row],[Current Stock]]*Table1[[#This Row],[Unit Cost]]</f>
        <v>29285532</v>
      </c>
      <c r="J288" t="str">
        <f t="shared" si="9"/>
        <v>Ok</v>
      </c>
    </row>
    <row r="289" spans="1:10" hidden="1" x14ac:dyDescent="0.3">
      <c r="A289" t="s">
        <v>584</v>
      </c>
      <c r="B289" t="s">
        <v>585</v>
      </c>
      <c r="C289" t="s">
        <v>19</v>
      </c>
      <c r="D289">
        <v>30565</v>
      </c>
      <c r="E289">
        <v>243</v>
      </c>
      <c r="F289">
        <f>SUMIFS(Purchases!$C:$C,Purchases!$B:$B,A289)</f>
        <v>952</v>
      </c>
      <c r="G289">
        <f>SUMIFS(Sales!$C:$C,Sales!$B:$B,A289)</f>
        <v>519</v>
      </c>
      <c r="H289">
        <f t="shared" si="8"/>
        <v>676</v>
      </c>
      <c r="I289">
        <f>Table1[[#This Row],[Current Stock]]*Table1[[#This Row],[Unit Cost]]</f>
        <v>20661940</v>
      </c>
      <c r="J289" t="str">
        <f t="shared" si="9"/>
        <v>Ok</v>
      </c>
    </row>
    <row r="290" spans="1:10" hidden="1" x14ac:dyDescent="0.3">
      <c r="A290" t="s">
        <v>586</v>
      </c>
      <c r="B290" t="s">
        <v>587</v>
      </c>
      <c r="C290" t="s">
        <v>16</v>
      </c>
      <c r="D290">
        <v>17689</v>
      </c>
      <c r="E290">
        <v>185</v>
      </c>
      <c r="F290">
        <f>SUMIFS(Purchases!$C:$C,Purchases!$B:$B,A290)</f>
        <v>517</v>
      </c>
      <c r="G290">
        <f>SUMIFS(Sales!$C:$C,Sales!$B:$B,A290)</f>
        <v>362</v>
      </c>
      <c r="H290">
        <f t="shared" si="8"/>
        <v>340</v>
      </c>
      <c r="I290">
        <f>Table1[[#This Row],[Current Stock]]*Table1[[#This Row],[Unit Cost]]</f>
        <v>6014260</v>
      </c>
      <c r="J290" t="str">
        <f t="shared" si="9"/>
        <v>Ok</v>
      </c>
    </row>
    <row r="291" spans="1:10" hidden="1" x14ac:dyDescent="0.3">
      <c r="A291" t="s">
        <v>588</v>
      </c>
      <c r="B291" t="s">
        <v>589</v>
      </c>
      <c r="C291" t="s">
        <v>13</v>
      </c>
      <c r="D291">
        <v>5779</v>
      </c>
      <c r="E291">
        <v>162</v>
      </c>
      <c r="F291">
        <f>SUMIFS(Purchases!$C:$C,Purchases!$B:$B,A291)</f>
        <v>595</v>
      </c>
      <c r="G291">
        <f>SUMIFS(Sales!$C:$C,Sales!$B:$B,A291)</f>
        <v>348</v>
      </c>
      <c r="H291">
        <f t="shared" si="8"/>
        <v>409</v>
      </c>
      <c r="I291">
        <f>Table1[[#This Row],[Current Stock]]*Table1[[#This Row],[Unit Cost]]</f>
        <v>2363611</v>
      </c>
      <c r="J291" t="str">
        <f t="shared" si="9"/>
        <v>Ok</v>
      </c>
    </row>
    <row r="292" spans="1:10" hidden="1" x14ac:dyDescent="0.3">
      <c r="A292" t="s">
        <v>590</v>
      </c>
      <c r="B292" t="s">
        <v>591</v>
      </c>
      <c r="C292" t="s">
        <v>19</v>
      </c>
      <c r="D292">
        <v>16081</v>
      </c>
      <c r="E292">
        <v>404</v>
      </c>
      <c r="F292">
        <f>SUMIFS(Purchases!$C:$C,Purchases!$B:$B,A292)</f>
        <v>524</v>
      </c>
      <c r="G292">
        <f>SUMIFS(Sales!$C:$C,Sales!$B:$B,A292)</f>
        <v>471</v>
      </c>
      <c r="H292">
        <f t="shared" si="8"/>
        <v>457</v>
      </c>
      <c r="I292">
        <f>Table1[[#This Row],[Current Stock]]*Table1[[#This Row],[Unit Cost]]</f>
        <v>7349017</v>
      </c>
      <c r="J292" t="str">
        <f t="shared" si="9"/>
        <v>Ok</v>
      </c>
    </row>
    <row r="293" spans="1:10" hidden="1" x14ac:dyDescent="0.3">
      <c r="A293" t="s">
        <v>592</v>
      </c>
      <c r="B293" t="s">
        <v>593</v>
      </c>
      <c r="C293" t="s">
        <v>19</v>
      </c>
      <c r="D293">
        <v>37445</v>
      </c>
      <c r="E293">
        <v>332</v>
      </c>
      <c r="F293">
        <f>SUMIFS(Purchases!$C:$C,Purchases!$B:$B,A293)</f>
        <v>417</v>
      </c>
      <c r="G293">
        <f>SUMIFS(Sales!$C:$C,Sales!$B:$B,A293)</f>
        <v>281</v>
      </c>
      <c r="H293">
        <f t="shared" si="8"/>
        <v>468</v>
      </c>
      <c r="I293">
        <f>Table1[[#This Row],[Current Stock]]*Table1[[#This Row],[Unit Cost]]</f>
        <v>17524260</v>
      </c>
      <c r="J293" t="str">
        <f t="shared" si="9"/>
        <v>Ok</v>
      </c>
    </row>
    <row r="294" spans="1:10" hidden="1" x14ac:dyDescent="0.3">
      <c r="A294" t="s">
        <v>594</v>
      </c>
      <c r="B294" t="s">
        <v>595</v>
      </c>
      <c r="C294" t="s">
        <v>19</v>
      </c>
      <c r="D294">
        <v>22146</v>
      </c>
      <c r="E294">
        <v>34</v>
      </c>
      <c r="F294">
        <f>SUMIFS(Purchases!$C:$C,Purchases!$B:$B,A294)</f>
        <v>1012</v>
      </c>
      <c r="G294">
        <f>SUMIFS(Sales!$C:$C,Sales!$B:$B,A294)</f>
        <v>395</v>
      </c>
      <c r="H294">
        <f t="shared" si="8"/>
        <v>651</v>
      </c>
      <c r="I294">
        <f>Table1[[#This Row],[Current Stock]]*Table1[[#This Row],[Unit Cost]]</f>
        <v>14417046</v>
      </c>
      <c r="J294" t="str">
        <f t="shared" si="9"/>
        <v>Ok</v>
      </c>
    </row>
    <row r="295" spans="1:10" hidden="1" x14ac:dyDescent="0.3">
      <c r="A295" t="s">
        <v>596</v>
      </c>
      <c r="B295" t="s">
        <v>597</v>
      </c>
      <c r="C295" t="s">
        <v>19</v>
      </c>
      <c r="D295">
        <v>21400</v>
      </c>
      <c r="E295">
        <v>113</v>
      </c>
      <c r="F295">
        <f>SUMIFS(Purchases!$C:$C,Purchases!$B:$B,A295)</f>
        <v>713</v>
      </c>
      <c r="G295">
        <f>SUMIFS(Sales!$C:$C,Sales!$B:$B,A295)</f>
        <v>543</v>
      </c>
      <c r="H295">
        <f t="shared" si="8"/>
        <v>283</v>
      </c>
      <c r="I295">
        <f>Table1[[#This Row],[Current Stock]]*Table1[[#This Row],[Unit Cost]]</f>
        <v>6056200</v>
      </c>
      <c r="J295" t="str">
        <f t="shared" si="9"/>
        <v>Ok</v>
      </c>
    </row>
    <row r="296" spans="1:10" hidden="1" x14ac:dyDescent="0.3">
      <c r="A296" t="s">
        <v>598</v>
      </c>
      <c r="B296" t="s">
        <v>599</v>
      </c>
      <c r="C296" t="s">
        <v>19</v>
      </c>
      <c r="D296">
        <v>14001</v>
      </c>
      <c r="E296">
        <v>201</v>
      </c>
      <c r="F296">
        <f>SUMIFS(Purchases!$C:$C,Purchases!$B:$B,A296)</f>
        <v>588</v>
      </c>
      <c r="G296">
        <f>SUMIFS(Sales!$C:$C,Sales!$B:$B,A296)</f>
        <v>337</v>
      </c>
      <c r="H296">
        <f t="shared" si="8"/>
        <v>452</v>
      </c>
      <c r="I296">
        <f>Table1[[#This Row],[Current Stock]]*Table1[[#This Row],[Unit Cost]]</f>
        <v>6328452</v>
      </c>
      <c r="J296" t="str">
        <f t="shared" si="9"/>
        <v>Ok</v>
      </c>
    </row>
    <row r="297" spans="1:10" hidden="1" x14ac:dyDescent="0.3">
      <c r="A297" t="s">
        <v>600</v>
      </c>
      <c r="B297" t="s">
        <v>601</v>
      </c>
      <c r="C297" t="s">
        <v>10</v>
      </c>
      <c r="D297">
        <v>22404</v>
      </c>
      <c r="E297">
        <v>163</v>
      </c>
      <c r="F297">
        <f>SUMIFS(Purchases!$C:$C,Purchases!$B:$B,A297)</f>
        <v>754</v>
      </c>
      <c r="G297">
        <f>SUMIFS(Sales!$C:$C,Sales!$B:$B,A297)</f>
        <v>428</v>
      </c>
      <c r="H297">
        <f t="shared" si="8"/>
        <v>489</v>
      </c>
      <c r="I297">
        <f>Table1[[#This Row],[Current Stock]]*Table1[[#This Row],[Unit Cost]]</f>
        <v>10955556</v>
      </c>
      <c r="J297" t="str">
        <f t="shared" si="9"/>
        <v>Ok</v>
      </c>
    </row>
    <row r="298" spans="1:10" hidden="1" x14ac:dyDescent="0.3">
      <c r="A298" t="s">
        <v>602</v>
      </c>
      <c r="B298" t="s">
        <v>603</v>
      </c>
      <c r="C298" t="s">
        <v>16</v>
      </c>
      <c r="D298">
        <v>46052</v>
      </c>
      <c r="E298">
        <v>470</v>
      </c>
      <c r="F298">
        <f>SUMIFS(Purchases!$C:$C,Purchases!$B:$B,A298)</f>
        <v>227</v>
      </c>
      <c r="G298">
        <f>SUMIFS(Sales!$C:$C,Sales!$B:$B,A298)</f>
        <v>170</v>
      </c>
      <c r="H298">
        <f t="shared" si="8"/>
        <v>527</v>
      </c>
      <c r="I298">
        <f>Table1[[#This Row],[Current Stock]]*Table1[[#This Row],[Unit Cost]]</f>
        <v>24269404</v>
      </c>
      <c r="J298" t="str">
        <f t="shared" si="9"/>
        <v>Ok</v>
      </c>
    </row>
    <row r="299" spans="1:10" x14ac:dyDescent="0.3">
      <c r="A299" t="s">
        <v>604</v>
      </c>
      <c r="B299" t="s">
        <v>605</v>
      </c>
      <c r="C299" t="s">
        <v>10</v>
      </c>
      <c r="D299">
        <v>36524</v>
      </c>
      <c r="E299">
        <v>25</v>
      </c>
      <c r="F299">
        <f>SUMIFS(Purchases!$C:$C,Purchases!$B:$B,A299)</f>
        <v>110</v>
      </c>
      <c r="G299">
        <f>SUMIFS(Sales!$C:$C,Sales!$B:$B,A299)</f>
        <v>465</v>
      </c>
      <c r="H299">
        <f t="shared" si="8"/>
        <v>-330</v>
      </c>
      <c r="I299">
        <f>Table1[[#This Row],[Current Stock]]*Table1[[#This Row],[Unit Cost]]</f>
        <v>-12052920</v>
      </c>
      <c r="J299" t="str">
        <f t="shared" si="9"/>
        <v>Recorder</v>
      </c>
    </row>
    <row r="300" spans="1:10" hidden="1" x14ac:dyDescent="0.3">
      <c r="A300" t="s">
        <v>606</v>
      </c>
      <c r="B300" t="s">
        <v>607</v>
      </c>
      <c r="C300" t="s">
        <v>16</v>
      </c>
      <c r="D300">
        <v>12621</v>
      </c>
      <c r="E300">
        <v>63</v>
      </c>
      <c r="F300">
        <f>SUMIFS(Purchases!$C:$C,Purchases!$B:$B,A300)</f>
        <v>654</v>
      </c>
      <c r="G300">
        <f>SUMIFS(Sales!$C:$C,Sales!$B:$B,A300)</f>
        <v>257</v>
      </c>
      <c r="H300">
        <f t="shared" si="8"/>
        <v>460</v>
      </c>
      <c r="I300">
        <f>Table1[[#This Row],[Current Stock]]*Table1[[#This Row],[Unit Cost]]</f>
        <v>5805660</v>
      </c>
      <c r="J300" t="str">
        <f t="shared" si="9"/>
        <v>Ok</v>
      </c>
    </row>
    <row r="301" spans="1:10" hidden="1" x14ac:dyDescent="0.3">
      <c r="A301" t="s">
        <v>608</v>
      </c>
      <c r="B301" t="s">
        <v>609</v>
      </c>
      <c r="C301" t="s">
        <v>13</v>
      </c>
      <c r="D301">
        <v>47290</v>
      </c>
      <c r="E301">
        <v>228</v>
      </c>
      <c r="F301">
        <f>SUMIFS(Purchases!$C:$C,Purchases!$B:$B,A301)</f>
        <v>413</v>
      </c>
      <c r="G301">
        <f>SUMIFS(Sales!$C:$C,Sales!$B:$B,A301)</f>
        <v>416</v>
      </c>
      <c r="H301">
        <f t="shared" si="8"/>
        <v>225</v>
      </c>
      <c r="I301">
        <f>Table1[[#This Row],[Current Stock]]*Table1[[#This Row],[Unit Cost]]</f>
        <v>10640250</v>
      </c>
      <c r="J301" t="str">
        <f t="shared" si="9"/>
        <v>Ok</v>
      </c>
    </row>
    <row r="302" spans="1:10" hidden="1" x14ac:dyDescent="0.3">
      <c r="A302" t="s">
        <v>610</v>
      </c>
      <c r="B302" t="s">
        <v>611</v>
      </c>
      <c r="C302" t="s">
        <v>19</v>
      </c>
      <c r="D302">
        <v>36484</v>
      </c>
      <c r="E302">
        <v>408</v>
      </c>
      <c r="F302">
        <f>SUMIFS(Purchases!$C:$C,Purchases!$B:$B,A302)</f>
        <v>374</v>
      </c>
      <c r="G302">
        <f>SUMIFS(Sales!$C:$C,Sales!$B:$B,A302)</f>
        <v>550</v>
      </c>
      <c r="H302">
        <f t="shared" si="8"/>
        <v>232</v>
      </c>
      <c r="I302">
        <f>Table1[[#This Row],[Current Stock]]*Table1[[#This Row],[Unit Cost]]</f>
        <v>8464288</v>
      </c>
      <c r="J302" t="str">
        <f t="shared" si="9"/>
        <v>Ok</v>
      </c>
    </row>
    <row r="303" spans="1:10" hidden="1" x14ac:dyDescent="0.3">
      <c r="A303" t="s">
        <v>612</v>
      </c>
      <c r="B303" t="s">
        <v>613</v>
      </c>
      <c r="C303" t="s">
        <v>13</v>
      </c>
      <c r="D303">
        <v>45359</v>
      </c>
      <c r="E303">
        <v>263</v>
      </c>
      <c r="F303">
        <f>SUMIFS(Purchases!$C:$C,Purchases!$B:$B,A303)</f>
        <v>696</v>
      </c>
      <c r="G303">
        <f>SUMIFS(Sales!$C:$C,Sales!$B:$B,A303)</f>
        <v>407</v>
      </c>
      <c r="H303">
        <f t="shared" si="8"/>
        <v>552</v>
      </c>
      <c r="I303">
        <f>Table1[[#This Row],[Current Stock]]*Table1[[#This Row],[Unit Cost]]</f>
        <v>25038168</v>
      </c>
      <c r="J303" t="str">
        <f t="shared" si="9"/>
        <v>Ok</v>
      </c>
    </row>
    <row r="304" spans="1:10" hidden="1" x14ac:dyDescent="0.3">
      <c r="A304" t="s">
        <v>614</v>
      </c>
      <c r="B304" t="s">
        <v>615</v>
      </c>
      <c r="C304" t="s">
        <v>19</v>
      </c>
      <c r="D304">
        <v>29471</v>
      </c>
      <c r="E304">
        <v>425</v>
      </c>
      <c r="F304">
        <f>SUMIFS(Purchases!$C:$C,Purchases!$B:$B,A304)</f>
        <v>251</v>
      </c>
      <c r="G304">
        <f>SUMIFS(Sales!$C:$C,Sales!$B:$B,A304)</f>
        <v>311</v>
      </c>
      <c r="H304">
        <f t="shared" si="8"/>
        <v>365</v>
      </c>
      <c r="I304">
        <f>Table1[[#This Row],[Current Stock]]*Table1[[#This Row],[Unit Cost]]</f>
        <v>10756915</v>
      </c>
      <c r="J304" t="str">
        <f t="shared" si="9"/>
        <v>Ok</v>
      </c>
    </row>
    <row r="305" spans="1:10" hidden="1" x14ac:dyDescent="0.3">
      <c r="A305" t="s">
        <v>616</v>
      </c>
      <c r="B305" t="s">
        <v>617</v>
      </c>
      <c r="C305" t="s">
        <v>7</v>
      </c>
      <c r="D305">
        <v>6198</v>
      </c>
      <c r="E305">
        <v>170</v>
      </c>
      <c r="F305">
        <f>SUMIFS(Purchases!$C:$C,Purchases!$B:$B,A305)</f>
        <v>472</v>
      </c>
      <c r="G305">
        <f>SUMIFS(Sales!$C:$C,Sales!$B:$B,A305)</f>
        <v>238</v>
      </c>
      <c r="H305">
        <f t="shared" si="8"/>
        <v>404</v>
      </c>
      <c r="I305">
        <f>Table1[[#This Row],[Current Stock]]*Table1[[#This Row],[Unit Cost]]</f>
        <v>2503992</v>
      </c>
      <c r="J305" t="str">
        <f t="shared" si="9"/>
        <v>Ok</v>
      </c>
    </row>
    <row r="306" spans="1:10" hidden="1" x14ac:dyDescent="0.3">
      <c r="A306" t="s">
        <v>618</v>
      </c>
      <c r="B306" t="s">
        <v>619</v>
      </c>
      <c r="C306" t="s">
        <v>13</v>
      </c>
      <c r="D306">
        <v>26602</v>
      </c>
      <c r="E306">
        <v>374</v>
      </c>
      <c r="F306">
        <f>SUMIFS(Purchases!$C:$C,Purchases!$B:$B,A306)</f>
        <v>743</v>
      </c>
      <c r="G306">
        <f>SUMIFS(Sales!$C:$C,Sales!$B:$B,A306)</f>
        <v>208</v>
      </c>
      <c r="H306">
        <f t="shared" si="8"/>
        <v>909</v>
      </c>
      <c r="I306">
        <f>Table1[[#This Row],[Current Stock]]*Table1[[#This Row],[Unit Cost]]</f>
        <v>24181218</v>
      </c>
      <c r="J306" t="str">
        <f t="shared" si="9"/>
        <v>Ok</v>
      </c>
    </row>
    <row r="307" spans="1:10" hidden="1" x14ac:dyDescent="0.3">
      <c r="A307" t="s">
        <v>620</v>
      </c>
      <c r="B307" t="s">
        <v>621</v>
      </c>
      <c r="C307" t="s">
        <v>13</v>
      </c>
      <c r="D307">
        <v>20167</v>
      </c>
      <c r="E307">
        <v>359</v>
      </c>
      <c r="F307">
        <f>SUMIFS(Purchases!$C:$C,Purchases!$B:$B,A307)</f>
        <v>718</v>
      </c>
      <c r="G307">
        <f>SUMIFS(Sales!$C:$C,Sales!$B:$B,A307)</f>
        <v>215</v>
      </c>
      <c r="H307">
        <f t="shared" si="8"/>
        <v>862</v>
      </c>
      <c r="I307">
        <f>Table1[[#This Row],[Current Stock]]*Table1[[#This Row],[Unit Cost]]</f>
        <v>17383954</v>
      </c>
      <c r="J307" t="str">
        <f t="shared" si="9"/>
        <v>Ok</v>
      </c>
    </row>
    <row r="308" spans="1:10" hidden="1" x14ac:dyDescent="0.3">
      <c r="A308" t="s">
        <v>622</v>
      </c>
      <c r="B308" t="s">
        <v>623</v>
      </c>
      <c r="C308" t="s">
        <v>16</v>
      </c>
      <c r="D308">
        <v>24284</v>
      </c>
      <c r="E308">
        <v>262</v>
      </c>
      <c r="F308">
        <f>SUMIFS(Purchases!$C:$C,Purchases!$B:$B,A308)</f>
        <v>285</v>
      </c>
      <c r="G308">
        <f>SUMIFS(Sales!$C:$C,Sales!$B:$B,A308)</f>
        <v>374</v>
      </c>
      <c r="H308">
        <f t="shared" si="8"/>
        <v>173</v>
      </c>
      <c r="I308">
        <f>Table1[[#This Row],[Current Stock]]*Table1[[#This Row],[Unit Cost]]</f>
        <v>4201132</v>
      </c>
      <c r="J308" t="str">
        <f t="shared" si="9"/>
        <v>Ok</v>
      </c>
    </row>
    <row r="309" spans="1:10" hidden="1" x14ac:dyDescent="0.3">
      <c r="A309" t="s">
        <v>624</v>
      </c>
      <c r="B309" t="s">
        <v>625</v>
      </c>
      <c r="C309" t="s">
        <v>16</v>
      </c>
      <c r="D309">
        <v>34894</v>
      </c>
      <c r="E309">
        <v>196</v>
      </c>
      <c r="F309">
        <f>SUMIFS(Purchases!$C:$C,Purchases!$B:$B,A309)</f>
        <v>437</v>
      </c>
      <c r="G309">
        <f>SUMIFS(Sales!$C:$C,Sales!$B:$B,A309)</f>
        <v>485</v>
      </c>
      <c r="H309">
        <f t="shared" si="8"/>
        <v>148</v>
      </c>
      <c r="I309">
        <f>Table1[[#This Row],[Current Stock]]*Table1[[#This Row],[Unit Cost]]</f>
        <v>5164312</v>
      </c>
      <c r="J309" t="str">
        <f t="shared" si="9"/>
        <v>Ok</v>
      </c>
    </row>
    <row r="310" spans="1:10" hidden="1" x14ac:dyDescent="0.3">
      <c r="A310" t="s">
        <v>626</v>
      </c>
      <c r="B310" t="s">
        <v>627</v>
      </c>
      <c r="C310" t="s">
        <v>19</v>
      </c>
      <c r="D310">
        <v>48985</v>
      </c>
      <c r="E310">
        <v>301</v>
      </c>
      <c r="F310">
        <f>SUMIFS(Purchases!$C:$C,Purchases!$B:$B,A310)</f>
        <v>744</v>
      </c>
      <c r="G310">
        <f>SUMIFS(Sales!$C:$C,Sales!$B:$B,A310)</f>
        <v>413</v>
      </c>
      <c r="H310">
        <f t="shared" si="8"/>
        <v>632</v>
      </c>
      <c r="I310">
        <f>Table1[[#This Row],[Current Stock]]*Table1[[#This Row],[Unit Cost]]</f>
        <v>30958520</v>
      </c>
      <c r="J310" t="str">
        <f t="shared" si="9"/>
        <v>Ok</v>
      </c>
    </row>
    <row r="311" spans="1:10" hidden="1" x14ac:dyDescent="0.3">
      <c r="A311" t="s">
        <v>628</v>
      </c>
      <c r="B311" t="s">
        <v>629</v>
      </c>
      <c r="C311" t="s">
        <v>10</v>
      </c>
      <c r="D311">
        <v>23156</v>
      </c>
      <c r="E311">
        <v>379</v>
      </c>
      <c r="F311">
        <f>SUMIFS(Purchases!$C:$C,Purchases!$B:$B,A311)</f>
        <v>524</v>
      </c>
      <c r="G311">
        <f>SUMIFS(Sales!$C:$C,Sales!$B:$B,A311)</f>
        <v>608</v>
      </c>
      <c r="H311">
        <f t="shared" si="8"/>
        <v>295</v>
      </c>
      <c r="I311">
        <f>Table1[[#This Row],[Current Stock]]*Table1[[#This Row],[Unit Cost]]</f>
        <v>6831020</v>
      </c>
      <c r="J311" t="str">
        <f t="shared" si="9"/>
        <v>Ok</v>
      </c>
    </row>
    <row r="312" spans="1:10" hidden="1" x14ac:dyDescent="0.3">
      <c r="A312" t="s">
        <v>630</v>
      </c>
      <c r="B312" t="s">
        <v>631</v>
      </c>
      <c r="C312" t="s">
        <v>19</v>
      </c>
      <c r="D312">
        <v>17854</v>
      </c>
      <c r="E312">
        <v>176</v>
      </c>
      <c r="F312">
        <f>SUMIFS(Purchases!$C:$C,Purchases!$B:$B,A312)</f>
        <v>641</v>
      </c>
      <c r="G312">
        <f>SUMIFS(Sales!$C:$C,Sales!$B:$B,A312)</f>
        <v>736</v>
      </c>
      <c r="H312">
        <f t="shared" si="8"/>
        <v>81</v>
      </c>
      <c r="I312">
        <f>Table1[[#This Row],[Current Stock]]*Table1[[#This Row],[Unit Cost]]</f>
        <v>1446174</v>
      </c>
      <c r="J312" t="str">
        <f t="shared" si="9"/>
        <v>Ok</v>
      </c>
    </row>
    <row r="313" spans="1:10" hidden="1" x14ac:dyDescent="0.3">
      <c r="A313" t="s">
        <v>632</v>
      </c>
      <c r="B313" t="s">
        <v>633</v>
      </c>
      <c r="C313" t="s">
        <v>10</v>
      </c>
      <c r="D313">
        <v>15208</v>
      </c>
      <c r="E313">
        <v>81</v>
      </c>
      <c r="F313">
        <f>SUMIFS(Purchases!$C:$C,Purchases!$B:$B,A313)</f>
        <v>358</v>
      </c>
      <c r="G313">
        <f>SUMIFS(Sales!$C:$C,Sales!$B:$B,A313)</f>
        <v>379</v>
      </c>
      <c r="H313">
        <f t="shared" si="8"/>
        <v>60</v>
      </c>
      <c r="I313">
        <f>Table1[[#This Row],[Current Stock]]*Table1[[#This Row],[Unit Cost]]</f>
        <v>912480</v>
      </c>
      <c r="J313" t="str">
        <f t="shared" si="9"/>
        <v>Ok</v>
      </c>
    </row>
    <row r="314" spans="1:10" hidden="1" x14ac:dyDescent="0.3">
      <c r="A314" t="s">
        <v>634</v>
      </c>
      <c r="B314" t="s">
        <v>635</v>
      </c>
      <c r="C314" t="s">
        <v>13</v>
      </c>
      <c r="D314">
        <v>20779</v>
      </c>
      <c r="E314">
        <v>81</v>
      </c>
      <c r="F314">
        <f>SUMIFS(Purchases!$C:$C,Purchases!$B:$B,A314)</f>
        <v>387</v>
      </c>
      <c r="G314">
        <f>SUMIFS(Sales!$C:$C,Sales!$B:$B,A314)</f>
        <v>338</v>
      </c>
      <c r="H314">
        <f t="shared" si="8"/>
        <v>130</v>
      </c>
      <c r="I314">
        <f>Table1[[#This Row],[Current Stock]]*Table1[[#This Row],[Unit Cost]]</f>
        <v>2701270</v>
      </c>
      <c r="J314" t="str">
        <f t="shared" si="9"/>
        <v>Ok</v>
      </c>
    </row>
    <row r="315" spans="1:10" hidden="1" x14ac:dyDescent="0.3">
      <c r="A315" t="s">
        <v>636</v>
      </c>
      <c r="B315" t="s">
        <v>637</v>
      </c>
      <c r="C315" t="s">
        <v>16</v>
      </c>
      <c r="D315">
        <v>45330</v>
      </c>
      <c r="E315">
        <v>114</v>
      </c>
      <c r="F315">
        <f>SUMIFS(Purchases!$C:$C,Purchases!$B:$B,A315)</f>
        <v>487</v>
      </c>
      <c r="G315">
        <f>SUMIFS(Sales!$C:$C,Sales!$B:$B,A315)</f>
        <v>293</v>
      </c>
      <c r="H315">
        <f t="shared" si="8"/>
        <v>308</v>
      </c>
      <c r="I315">
        <f>Table1[[#This Row],[Current Stock]]*Table1[[#This Row],[Unit Cost]]</f>
        <v>13961640</v>
      </c>
      <c r="J315" t="str">
        <f t="shared" si="9"/>
        <v>Ok</v>
      </c>
    </row>
    <row r="316" spans="1:10" hidden="1" x14ac:dyDescent="0.3">
      <c r="A316" t="s">
        <v>638</v>
      </c>
      <c r="B316" t="s">
        <v>639</v>
      </c>
      <c r="C316" t="s">
        <v>13</v>
      </c>
      <c r="D316">
        <v>14280</v>
      </c>
      <c r="E316">
        <v>398</v>
      </c>
      <c r="F316">
        <f>SUMIFS(Purchases!$C:$C,Purchases!$B:$B,A316)</f>
        <v>954</v>
      </c>
      <c r="G316">
        <f>SUMIFS(Sales!$C:$C,Sales!$B:$B,A316)</f>
        <v>191</v>
      </c>
      <c r="H316">
        <f t="shared" si="8"/>
        <v>1161</v>
      </c>
      <c r="I316">
        <f>Table1[[#This Row],[Current Stock]]*Table1[[#This Row],[Unit Cost]]</f>
        <v>16579080</v>
      </c>
      <c r="J316" t="str">
        <f t="shared" si="9"/>
        <v>Ok</v>
      </c>
    </row>
    <row r="317" spans="1:10" hidden="1" x14ac:dyDescent="0.3">
      <c r="A317" t="s">
        <v>640</v>
      </c>
      <c r="B317" t="s">
        <v>641</v>
      </c>
      <c r="C317" t="s">
        <v>19</v>
      </c>
      <c r="D317">
        <v>18220</v>
      </c>
      <c r="E317">
        <v>390</v>
      </c>
      <c r="F317">
        <f>SUMIFS(Purchases!$C:$C,Purchases!$B:$B,A317)</f>
        <v>885</v>
      </c>
      <c r="G317">
        <f>SUMIFS(Sales!$C:$C,Sales!$B:$B,A317)</f>
        <v>376</v>
      </c>
      <c r="H317">
        <f t="shared" si="8"/>
        <v>899</v>
      </c>
      <c r="I317">
        <f>Table1[[#This Row],[Current Stock]]*Table1[[#This Row],[Unit Cost]]</f>
        <v>16379780</v>
      </c>
      <c r="J317" t="str">
        <f t="shared" si="9"/>
        <v>Ok</v>
      </c>
    </row>
    <row r="318" spans="1:10" hidden="1" x14ac:dyDescent="0.3">
      <c r="A318" t="s">
        <v>642</v>
      </c>
      <c r="B318" t="s">
        <v>643</v>
      </c>
      <c r="C318" t="s">
        <v>16</v>
      </c>
      <c r="D318">
        <v>49920</v>
      </c>
      <c r="E318">
        <v>288</v>
      </c>
      <c r="F318">
        <f>SUMIFS(Purchases!$C:$C,Purchases!$B:$B,A318)</f>
        <v>534</v>
      </c>
      <c r="G318">
        <f>SUMIFS(Sales!$C:$C,Sales!$B:$B,A318)</f>
        <v>351</v>
      </c>
      <c r="H318">
        <f t="shared" si="8"/>
        <v>471</v>
      </c>
      <c r="I318">
        <f>Table1[[#This Row],[Current Stock]]*Table1[[#This Row],[Unit Cost]]</f>
        <v>23512320</v>
      </c>
      <c r="J318" t="str">
        <f t="shared" si="9"/>
        <v>Ok</v>
      </c>
    </row>
    <row r="319" spans="1:10" hidden="1" x14ac:dyDescent="0.3">
      <c r="A319" t="s">
        <v>644</v>
      </c>
      <c r="B319" t="s">
        <v>645</v>
      </c>
      <c r="C319" t="s">
        <v>16</v>
      </c>
      <c r="D319">
        <v>18646</v>
      </c>
      <c r="E319">
        <v>71</v>
      </c>
      <c r="F319">
        <f>SUMIFS(Purchases!$C:$C,Purchases!$B:$B,A319)</f>
        <v>306</v>
      </c>
      <c r="G319">
        <f>SUMIFS(Sales!$C:$C,Sales!$B:$B,A319)</f>
        <v>253</v>
      </c>
      <c r="H319">
        <f t="shared" si="8"/>
        <v>124</v>
      </c>
      <c r="I319">
        <f>Table1[[#This Row],[Current Stock]]*Table1[[#This Row],[Unit Cost]]</f>
        <v>2312104</v>
      </c>
      <c r="J319" t="str">
        <f t="shared" si="9"/>
        <v>Ok</v>
      </c>
    </row>
    <row r="320" spans="1:10" hidden="1" x14ac:dyDescent="0.3">
      <c r="A320" t="s">
        <v>646</v>
      </c>
      <c r="B320" t="s">
        <v>647</v>
      </c>
      <c r="C320" t="s">
        <v>13</v>
      </c>
      <c r="D320">
        <v>19514</v>
      </c>
      <c r="E320">
        <v>136</v>
      </c>
      <c r="F320">
        <f>SUMIFS(Purchases!$C:$C,Purchases!$B:$B,A320)</f>
        <v>449</v>
      </c>
      <c r="G320">
        <f>SUMIFS(Sales!$C:$C,Sales!$B:$B,A320)</f>
        <v>162</v>
      </c>
      <c r="H320">
        <f t="shared" si="8"/>
        <v>423</v>
      </c>
      <c r="I320">
        <f>Table1[[#This Row],[Current Stock]]*Table1[[#This Row],[Unit Cost]]</f>
        <v>8254422</v>
      </c>
      <c r="J320" t="str">
        <f t="shared" si="9"/>
        <v>Ok</v>
      </c>
    </row>
    <row r="321" spans="1:10" hidden="1" x14ac:dyDescent="0.3">
      <c r="A321" t="s">
        <v>648</v>
      </c>
      <c r="B321" t="s">
        <v>649</v>
      </c>
      <c r="C321" t="s">
        <v>10</v>
      </c>
      <c r="D321">
        <v>11859</v>
      </c>
      <c r="E321">
        <v>174</v>
      </c>
      <c r="F321">
        <f>SUMIFS(Purchases!$C:$C,Purchases!$B:$B,A321)</f>
        <v>637</v>
      </c>
      <c r="G321">
        <f>SUMIFS(Sales!$C:$C,Sales!$B:$B,A321)</f>
        <v>347</v>
      </c>
      <c r="H321">
        <f t="shared" si="8"/>
        <v>464</v>
      </c>
      <c r="I321">
        <f>Table1[[#This Row],[Current Stock]]*Table1[[#This Row],[Unit Cost]]</f>
        <v>5502576</v>
      </c>
      <c r="J321" t="str">
        <f t="shared" si="9"/>
        <v>Ok</v>
      </c>
    </row>
    <row r="322" spans="1:10" hidden="1" x14ac:dyDescent="0.3">
      <c r="A322" t="s">
        <v>650</v>
      </c>
      <c r="B322" t="s">
        <v>651</v>
      </c>
      <c r="C322" t="s">
        <v>7</v>
      </c>
      <c r="D322">
        <v>46500</v>
      </c>
      <c r="E322">
        <v>293</v>
      </c>
      <c r="F322">
        <f>SUMIFS(Purchases!$C:$C,Purchases!$B:$B,A322)</f>
        <v>700</v>
      </c>
      <c r="G322">
        <f>SUMIFS(Sales!$C:$C,Sales!$B:$B,A322)</f>
        <v>228</v>
      </c>
      <c r="H322">
        <f t="shared" ref="H322:H385" si="10">E322+F322-G322</f>
        <v>765</v>
      </c>
      <c r="I322">
        <f>Table1[[#This Row],[Current Stock]]*Table1[[#This Row],[Unit Cost]]</f>
        <v>35572500</v>
      </c>
      <c r="J322" t="str">
        <f t="shared" ref="J322:J385" si="11">IF(H322&lt;50,"Recorder","Ok")</f>
        <v>Ok</v>
      </c>
    </row>
    <row r="323" spans="1:10" hidden="1" x14ac:dyDescent="0.3">
      <c r="A323" t="s">
        <v>652</v>
      </c>
      <c r="B323" t="s">
        <v>653</v>
      </c>
      <c r="C323" t="s">
        <v>13</v>
      </c>
      <c r="D323">
        <v>18077</v>
      </c>
      <c r="E323">
        <v>43</v>
      </c>
      <c r="F323">
        <f>SUMIFS(Purchases!$C:$C,Purchases!$B:$B,A323)</f>
        <v>721</v>
      </c>
      <c r="G323">
        <f>SUMIFS(Sales!$C:$C,Sales!$B:$B,A323)</f>
        <v>386</v>
      </c>
      <c r="H323">
        <f t="shared" si="10"/>
        <v>378</v>
      </c>
      <c r="I323">
        <f>Table1[[#This Row],[Current Stock]]*Table1[[#This Row],[Unit Cost]]</f>
        <v>6833106</v>
      </c>
      <c r="J323" t="str">
        <f t="shared" si="11"/>
        <v>Ok</v>
      </c>
    </row>
    <row r="324" spans="1:10" hidden="1" x14ac:dyDescent="0.3">
      <c r="A324" t="s">
        <v>654</v>
      </c>
      <c r="B324" t="s">
        <v>655</v>
      </c>
      <c r="C324" t="s">
        <v>7</v>
      </c>
      <c r="D324">
        <v>36364</v>
      </c>
      <c r="E324">
        <v>169</v>
      </c>
      <c r="F324">
        <f>SUMIFS(Purchases!$C:$C,Purchases!$B:$B,A324)</f>
        <v>741</v>
      </c>
      <c r="G324">
        <f>SUMIFS(Sales!$C:$C,Sales!$B:$B,A324)</f>
        <v>362</v>
      </c>
      <c r="H324">
        <f t="shared" si="10"/>
        <v>548</v>
      </c>
      <c r="I324">
        <f>Table1[[#This Row],[Current Stock]]*Table1[[#This Row],[Unit Cost]]</f>
        <v>19927472</v>
      </c>
      <c r="J324" t="str">
        <f t="shared" si="11"/>
        <v>Ok</v>
      </c>
    </row>
    <row r="325" spans="1:10" hidden="1" x14ac:dyDescent="0.3">
      <c r="A325" t="s">
        <v>656</v>
      </c>
      <c r="B325" t="s">
        <v>657</v>
      </c>
      <c r="C325" t="s">
        <v>13</v>
      </c>
      <c r="D325">
        <v>41903</v>
      </c>
      <c r="E325">
        <v>464</v>
      </c>
      <c r="F325">
        <f>SUMIFS(Purchases!$C:$C,Purchases!$B:$B,A325)</f>
        <v>267</v>
      </c>
      <c r="G325">
        <f>SUMIFS(Sales!$C:$C,Sales!$B:$B,A325)</f>
        <v>605</v>
      </c>
      <c r="H325">
        <f t="shared" si="10"/>
        <v>126</v>
      </c>
      <c r="I325">
        <f>Table1[[#This Row],[Current Stock]]*Table1[[#This Row],[Unit Cost]]</f>
        <v>5279778</v>
      </c>
      <c r="J325" t="str">
        <f t="shared" si="11"/>
        <v>Ok</v>
      </c>
    </row>
    <row r="326" spans="1:10" hidden="1" x14ac:dyDescent="0.3">
      <c r="A326" t="s">
        <v>658</v>
      </c>
      <c r="B326" t="s">
        <v>659</v>
      </c>
      <c r="C326" t="s">
        <v>19</v>
      </c>
      <c r="D326">
        <v>6823</v>
      </c>
      <c r="E326">
        <v>466</v>
      </c>
      <c r="F326">
        <f>SUMIFS(Purchases!$C:$C,Purchases!$B:$B,A326)</f>
        <v>345</v>
      </c>
      <c r="G326">
        <f>SUMIFS(Sales!$C:$C,Sales!$B:$B,A326)</f>
        <v>338</v>
      </c>
      <c r="H326">
        <f t="shared" si="10"/>
        <v>473</v>
      </c>
      <c r="I326">
        <f>Table1[[#This Row],[Current Stock]]*Table1[[#This Row],[Unit Cost]]</f>
        <v>3227279</v>
      </c>
      <c r="J326" t="str">
        <f t="shared" si="11"/>
        <v>Ok</v>
      </c>
    </row>
    <row r="327" spans="1:10" hidden="1" x14ac:dyDescent="0.3">
      <c r="A327" t="s">
        <v>660</v>
      </c>
      <c r="B327" t="s">
        <v>661</v>
      </c>
      <c r="C327" t="s">
        <v>7</v>
      </c>
      <c r="D327">
        <v>37721</v>
      </c>
      <c r="E327">
        <v>165</v>
      </c>
      <c r="F327">
        <f>SUMIFS(Purchases!$C:$C,Purchases!$B:$B,A327)</f>
        <v>369</v>
      </c>
      <c r="G327">
        <f>SUMIFS(Sales!$C:$C,Sales!$B:$B,A327)</f>
        <v>398</v>
      </c>
      <c r="H327">
        <f t="shared" si="10"/>
        <v>136</v>
      </c>
      <c r="I327">
        <f>Table1[[#This Row],[Current Stock]]*Table1[[#This Row],[Unit Cost]]</f>
        <v>5130056</v>
      </c>
      <c r="J327" t="str">
        <f t="shared" si="11"/>
        <v>Ok</v>
      </c>
    </row>
    <row r="328" spans="1:10" hidden="1" x14ac:dyDescent="0.3">
      <c r="A328" t="s">
        <v>662</v>
      </c>
      <c r="B328" t="s">
        <v>663</v>
      </c>
      <c r="C328" t="s">
        <v>19</v>
      </c>
      <c r="D328">
        <v>31473</v>
      </c>
      <c r="E328">
        <v>245</v>
      </c>
      <c r="F328">
        <f>SUMIFS(Purchases!$C:$C,Purchases!$B:$B,A328)</f>
        <v>442</v>
      </c>
      <c r="G328">
        <f>SUMIFS(Sales!$C:$C,Sales!$B:$B,A328)</f>
        <v>305</v>
      </c>
      <c r="H328">
        <f t="shared" si="10"/>
        <v>382</v>
      </c>
      <c r="I328">
        <f>Table1[[#This Row],[Current Stock]]*Table1[[#This Row],[Unit Cost]]</f>
        <v>12022686</v>
      </c>
      <c r="J328" t="str">
        <f t="shared" si="11"/>
        <v>Ok</v>
      </c>
    </row>
    <row r="329" spans="1:10" hidden="1" x14ac:dyDescent="0.3">
      <c r="A329" t="s">
        <v>664</v>
      </c>
      <c r="B329" t="s">
        <v>665</v>
      </c>
      <c r="C329" t="s">
        <v>10</v>
      </c>
      <c r="D329">
        <v>12182</v>
      </c>
      <c r="E329">
        <v>46</v>
      </c>
      <c r="F329">
        <f>SUMIFS(Purchases!$C:$C,Purchases!$B:$B,A329)</f>
        <v>798</v>
      </c>
      <c r="G329">
        <f>SUMIFS(Sales!$C:$C,Sales!$B:$B,A329)</f>
        <v>386</v>
      </c>
      <c r="H329">
        <f t="shared" si="10"/>
        <v>458</v>
      </c>
      <c r="I329">
        <f>Table1[[#This Row],[Current Stock]]*Table1[[#This Row],[Unit Cost]]</f>
        <v>5579356</v>
      </c>
      <c r="J329" t="str">
        <f t="shared" si="11"/>
        <v>Ok</v>
      </c>
    </row>
    <row r="330" spans="1:10" hidden="1" x14ac:dyDescent="0.3">
      <c r="A330" t="s">
        <v>666</v>
      </c>
      <c r="B330" t="s">
        <v>667</v>
      </c>
      <c r="C330" t="s">
        <v>10</v>
      </c>
      <c r="D330">
        <v>31408</v>
      </c>
      <c r="E330">
        <v>78</v>
      </c>
      <c r="F330">
        <f>SUMIFS(Purchases!$C:$C,Purchases!$B:$B,A330)</f>
        <v>816</v>
      </c>
      <c r="G330">
        <f>SUMIFS(Sales!$C:$C,Sales!$B:$B,A330)</f>
        <v>474</v>
      </c>
      <c r="H330">
        <f t="shared" si="10"/>
        <v>420</v>
      </c>
      <c r="I330">
        <f>Table1[[#This Row],[Current Stock]]*Table1[[#This Row],[Unit Cost]]</f>
        <v>13191360</v>
      </c>
      <c r="J330" t="str">
        <f t="shared" si="11"/>
        <v>Ok</v>
      </c>
    </row>
    <row r="331" spans="1:10" hidden="1" x14ac:dyDescent="0.3">
      <c r="A331" t="s">
        <v>668</v>
      </c>
      <c r="B331" t="s">
        <v>669</v>
      </c>
      <c r="C331" t="s">
        <v>7</v>
      </c>
      <c r="D331">
        <v>26360</v>
      </c>
      <c r="E331">
        <v>271</v>
      </c>
      <c r="F331">
        <f>SUMIFS(Purchases!$C:$C,Purchases!$B:$B,A331)</f>
        <v>448</v>
      </c>
      <c r="G331">
        <f>SUMIFS(Sales!$C:$C,Sales!$B:$B,A331)</f>
        <v>289</v>
      </c>
      <c r="H331">
        <f t="shared" si="10"/>
        <v>430</v>
      </c>
      <c r="I331">
        <f>Table1[[#This Row],[Current Stock]]*Table1[[#This Row],[Unit Cost]]</f>
        <v>11334800</v>
      </c>
      <c r="J331" t="str">
        <f t="shared" si="11"/>
        <v>Ok</v>
      </c>
    </row>
    <row r="332" spans="1:10" hidden="1" x14ac:dyDescent="0.3">
      <c r="A332" t="s">
        <v>670</v>
      </c>
      <c r="B332" t="s">
        <v>671</v>
      </c>
      <c r="C332" t="s">
        <v>7</v>
      </c>
      <c r="D332">
        <v>37915</v>
      </c>
      <c r="E332">
        <v>342</v>
      </c>
      <c r="F332">
        <f>SUMIFS(Purchases!$C:$C,Purchases!$B:$B,A332)</f>
        <v>593</v>
      </c>
      <c r="G332">
        <f>SUMIFS(Sales!$C:$C,Sales!$B:$B,A332)</f>
        <v>279</v>
      </c>
      <c r="H332">
        <f t="shared" si="10"/>
        <v>656</v>
      </c>
      <c r="I332">
        <f>Table1[[#This Row],[Current Stock]]*Table1[[#This Row],[Unit Cost]]</f>
        <v>24872240</v>
      </c>
      <c r="J332" t="str">
        <f t="shared" si="11"/>
        <v>Ok</v>
      </c>
    </row>
    <row r="333" spans="1:10" hidden="1" x14ac:dyDescent="0.3">
      <c r="A333" t="s">
        <v>672</v>
      </c>
      <c r="B333" t="s">
        <v>673</v>
      </c>
      <c r="C333" t="s">
        <v>7</v>
      </c>
      <c r="D333">
        <v>10043</v>
      </c>
      <c r="E333">
        <v>96</v>
      </c>
      <c r="F333">
        <f>SUMIFS(Purchases!$C:$C,Purchases!$B:$B,A333)</f>
        <v>734</v>
      </c>
      <c r="G333">
        <f>SUMIFS(Sales!$C:$C,Sales!$B:$B,A333)</f>
        <v>206</v>
      </c>
      <c r="H333">
        <f t="shared" si="10"/>
        <v>624</v>
      </c>
      <c r="I333">
        <f>Table1[[#This Row],[Current Stock]]*Table1[[#This Row],[Unit Cost]]</f>
        <v>6266832</v>
      </c>
      <c r="J333" t="str">
        <f t="shared" si="11"/>
        <v>Ok</v>
      </c>
    </row>
    <row r="334" spans="1:10" hidden="1" x14ac:dyDescent="0.3">
      <c r="A334" t="s">
        <v>674</v>
      </c>
      <c r="B334" t="s">
        <v>675</v>
      </c>
      <c r="C334" t="s">
        <v>16</v>
      </c>
      <c r="D334">
        <v>20012</v>
      </c>
      <c r="E334">
        <v>63</v>
      </c>
      <c r="F334">
        <f>SUMIFS(Purchases!$C:$C,Purchases!$B:$B,A334)</f>
        <v>564</v>
      </c>
      <c r="G334">
        <f>SUMIFS(Sales!$C:$C,Sales!$B:$B,A334)</f>
        <v>336</v>
      </c>
      <c r="H334">
        <f t="shared" si="10"/>
        <v>291</v>
      </c>
      <c r="I334">
        <f>Table1[[#This Row],[Current Stock]]*Table1[[#This Row],[Unit Cost]]</f>
        <v>5823492</v>
      </c>
      <c r="J334" t="str">
        <f t="shared" si="11"/>
        <v>Ok</v>
      </c>
    </row>
    <row r="335" spans="1:10" hidden="1" x14ac:dyDescent="0.3">
      <c r="A335" t="s">
        <v>676</v>
      </c>
      <c r="B335" t="s">
        <v>677</v>
      </c>
      <c r="C335" t="s">
        <v>13</v>
      </c>
      <c r="D335">
        <v>7862</v>
      </c>
      <c r="E335">
        <v>305</v>
      </c>
      <c r="F335">
        <f>SUMIFS(Purchases!$C:$C,Purchases!$B:$B,A335)</f>
        <v>326</v>
      </c>
      <c r="G335">
        <f>SUMIFS(Sales!$C:$C,Sales!$B:$B,A335)</f>
        <v>201</v>
      </c>
      <c r="H335">
        <f t="shared" si="10"/>
        <v>430</v>
      </c>
      <c r="I335">
        <f>Table1[[#This Row],[Current Stock]]*Table1[[#This Row],[Unit Cost]]</f>
        <v>3380660</v>
      </c>
      <c r="J335" t="str">
        <f t="shared" si="11"/>
        <v>Ok</v>
      </c>
    </row>
    <row r="336" spans="1:10" hidden="1" x14ac:dyDescent="0.3">
      <c r="A336" t="s">
        <v>678</v>
      </c>
      <c r="B336" t="s">
        <v>679</v>
      </c>
      <c r="C336" t="s">
        <v>19</v>
      </c>
      <c r="D336">
        <v>39835</v>
      </c>
      <c r="E336">
        <v>325</v>
      </c>
      <c r="F336">
        <f>SUMIFS(Purchases!$C:$C,Purchases!$B:$B,A336)</f>
        <v>500</v>
      </c>
      <c r="G336">
        <f>SUMIFS(Sales!$C:$C,Sales!$B:$B,A336)</f>
        <v>432</v>
      </c>
      <c r="H336">
        <f t="shared" si="10"/>
        <v>393</v>
      </c>
      <c r="I336">
        <f>Table1[[#This Row],[Current Stock]]*Table1[[#This Row],[Unit Cost]]</f>
        <v>15655155</v>
      </c>
      <c r="J336" t="str">
        <f t="shared" si="11"/>
        <v>Ok</v>
      </c>
    </row>
    <row r="337" spans="1:10" hidden="1" x14ac:dyDescent="0.3">
      <c r="A337" t="s">
        <v>680</v>
      </c>
      <c r="B337" t="s">
        <v>681</v>
      </c>
      <c r="C337" t="s">
        <v>16</v>
      </c>
      <c r="D337">
        <v>14890</v>
      </c>
      <c r="E337">
        <v>417</v>
      </c>
      <c r="F337">
        <f>SUMIFS(Purchases!$C:$C,Purchases!$B:$B,A337)</f>
        <v>617</v>
      </c>
      <c r="G337">
        <f>SUMIFS(Sales!$C:$C,Sales!$B:$B,A337)</f>
        <v>313</v>
      </c>
      <c r="H337">
        <f t="shared" si="10"/>
        <v>721</v>
      </c>
      <c r="I337">
        <f>Table1[[#This Row],[Current Stock]]*Table1[[#This Row],[Unit Cost]]</f>
        <v>10735690</v>
      </c>
      <c r="J337" t="str">
        <f t="shared" si="11"/>
        <v>Ok</v>
      </c>
    </row>
    <row r="338" spans="1:10" hidden="1" x14ac:dyDescent="0.3">
      <c r="A338" t="s">
        <v>682</v>
      </c>
      <c r="B338" t="s">
        <v>683</v>
      </c>
      <c r="C338" t="s">
        <v>16</v>
      </c>
      <c r="D338">
        <v>25028</v>
      </c>
      <c r="E338">
        <v>250</v>
      </c>
      <c r="F338">
        <f>SUMIFS(Purchases!$C:$C,Purchases!$B:$B,A338)</f>
        <v>889</v>
      </c>
      <c r="G338">
        <f>SUMIFS(Sales!$C:$C,Sales!$B:$B,A338)</f>
        <v>272</v>
      </c>
      <c r="H338">
        <f t="shared" si="10"/>
        <v>867</v>
      </c>
      <c r="I338">
        <f>Table1[[#This Row],[Current Stock]]*Table1[[#This Row],[Unit Cost]]</f>
        <v>21699276</v>
      </c>
      <c r="J338" t="str">
        <f t="shared" si="11"/>
        <v>Ok</v>
      </c>
    </row>
    <row r="339" spans="1:10" hidden="1" x14ac:dyDescent="0.3">
      <c r="A339" t="s">
        <v>684</v>
      </c>
      <c r="B339" t="s">
        <v>685</v>
      </c>
      <c r="C339" t="s">
        <v>19</v>
      </c>
      <c r="D339">
        <v>19587</v>
      </c>
      <c r="E339">
        <v>460</v>
      </c>
      <c r="F339">
        <f>SUMIFS(Purchases!$C:$C,Purchases!$B:$B,A339)</f>
        <v>649</v>
      </c>
      <c r="G339">
        <f>SUMIFS(Sales!$C:$C,Sales!$B:$B,A339)</f>
        <v>529</v>
      </c>
      <c r="H339">
        <f t="shared" si="10"/>
        <v>580</v>
      </c>
      <c r="I339">
        <f>Table1[[#This Row],[Current Stock]]*Table1[[#This Row],[Unit Cost]]</f>
        <v>11360460</v>
      </c>
      <c r="J339" t="str">
        <f t="shared" si="11"/>
        <v>Ok</v>
      </c>
    </row>
    <row r="340" spans="1:10" hidden="1" x14ac:dyDescent="0.3">
      <c r="A340" t="s">
        <v>686</v>
      </c>
      <c r="B340" t="s">
        <v>687</v>
      </c>
      <c r="C340" t="s">
        <v>16</v>
      </c>
      <c r="D340">
        <v>28203</v>
      </c>
      <c r="E340">
        <v>176</v>
      </c>
      <c r="F340">
        <f>SUMIFS(Purchases!$C:$C,Purchases!$B:$B,A340)</f>
        <v>583</v>
      </c>
      <c r="G340">
        <f>SUMIFS(Sales!$C:$C,Sales!$B:$B,A340)</f>
        <v>476</v>
      </c>
      <c r="H340">
        <f t="shared" si="10"/>
        <v>283</v>
      </c>
      <c r="I340">
        <f>Table1[[#This Row],[Current Stock]]*Table1[[#This Row],[Unit Cost]]</f>
        <v>7981449</v>
      </c>
      <c r="J340" t="str">
        <f t="shared" si="11"/>
        <v>Ok</v>
      </c>
    </row>
    <row r="341" spans="1:10" hidden="1" x14ac:dyDescent="0.3">
      <c r="A341" t="s">
        <v>688</v>
      </c>
      <c r="B341" t="s">
        <v>689</v>
      </c>
      <c r="C341" t="s">
        <v>16</v>
      </c>
      <c r="D341">
        <v>40799</v>
      </c>
      <c r="E341">
        <v>50</v>
      </c>
      <c r="F341">
        <f>SUMIFS(Purchases!$C:$C,Purchases!$B:$B,A341)</f>
        <v>558</v>
      </c>
      <c r="G341">
        <f>SUMIFS(Sales!$C:$C,Sales!$B:$B,A341)</f>
        <v>145</v>
      </c>
      <c r="H341">
        <f t="shared" si="10"/>
        <v>463</v>
      </c>
      <c r="I341">
        <f>Table1[[#This Row],[Current Stock]]*Table1[[#This Row],[Unit Cost]]</f>
        <v>18889937</v>
      </c>
      <c r="J341" t="str">
        <f t="shared" si="11"/>
        <v>Ok</v>
      </c>
    </row>
    <row r="342" spans="1:10" x14ac:dyDescent="0.3">
      <c r="A342" t="s">
        <v>690</v>
      </c>
      <c r="B342" t="s">
        <v>691</v>
      </c>
      <c r="C342" t="s">
        <v>16</v>
      </c>
      <c r="D342">
        <v>48602</v>
      </c>
      <c r="E342">
        <v>70</v>
      </c>
      <c r="F342">
        <f>SUMIFS(Purchases!$C:$C,Purchases!$B:$B,A342)</f>
        <v>337</v>
      </c>
      <c r="G342">
        <f>SUMIFS(Sales!$C:$C,Sales!$B:$B,A342)</f>
        <v>519</v>
      </c>
      <c r="H342">
        <f t="shared" si="10"/>
        <v>-112</v>
      </c>
      <c r="I342">
        <f>Table1[[#This Row],[Current Stock]]*Table1[[#This Row],[Unit Cost]]</f>
        <v>-5443424</v>
      </c>
      <c r="J342" t="str">
        <f t="shared" si="11"/>
        <v>Recorder</v>
      </c>
    </row>
    <row r="343" spans="1:10" hidden="1" x14ac:dyDescent="0.3">
      <c r="A343" t="s">
        <v>692</v>
      </c>
      <c r="B343" t="s">
        <v>693</v>
      </c>
      <c r="C343" t="s">
        <v>13</v>
      </c>
      <c r="D343">
        <v>41093</v>
      </c>
      <c r="E343">
        <v>128</v>
      </c>
      <c r="F343">
        <f>SUMIFS(Purchases!$C:$C,Purchases!$B:$B,A343)</f>
        <v>612</v>
      </c>
      <c r="G343">
        <f>SUMIFS(Sales!$C:$C,Sales!$B:$B,A343)</f>
        <v>364</v>
      </c>
      <c r="H343">
        <f t="shared" si="10"/>
        <v>376</v>
      </c>
      <c r="I343">
        <f>Table1[[#This Row],[Current Stock]]*Table1[[#This Row],[Unit Cost]]</f>
        <v>15450968</v>
      </c>
      <c r="J343" t="str">
        <f t="shared" si="11"/>
        <v>Ok</v>
      </c>
    </row>
    <row r="344" spans="1:10" x14ac:dyDescent="0.3">
      <c r="A344" t="s">
        <v>694</v>
      </c>
      <c r="B344" t="s">
        <v>695</v>
      </c>
      <c r="C344" t="s">
        <v>10</v>
      </c>
      <c r="D344">
        <v>43381</v>
      </c>
      <c r="E344">
        <v>61</v>
      </c>
      <c r="F344">
        <f>SUMIFS(Purchases!$C:$C,Purchases!$B:$B,A344)</f>
        <v>281</v>
      </c>
      <c r="G344">
        <f>SUMIFS(Sales!$C:$C,Sales!$B:$B,A344)</f>
        <v>525</v>
      </c>
      <c r="H344">
        <f t="shared" si="10"/>
        <v>-183</v>
      </c>
      <c r="I344">
        <f>Table1[[#This Row],[Current Stock]]*Table1[[#This Row],[Unit Cost]]</f>
        <v>-7938723</v>
      </c>
      <c r="J344" t="str">
        <f t="shared" si="11"/>
        <v>Recorder</v>
      </c>
    </row>
    <row r="345" spans="1:10" hidden="1" x14ac:dyDescent="0.3">
      <c r="A345" t="s">
        <v>696</v>
      </c>
      <c r="B345" t="s">
        <v>697</v>
      </c>
      <c r="C345" t="s">
        <v>13</v>
      </c>
      <c r="D345">
        <v>15819</v>
      </c>
      <c r="E345">
        <v>108</v>
      </c>
      <c r="F345">
        <f>SUMIFS(Purchases!$C:$C,Purchases!$B:$B,A345)</f>
        <v>624</v>
      </c>
      <c r="G345">
        <f>SUMIFS(Sales!$C:$C,Sales!$B:$B,A345)</f>
        <v>176</v>
      </c>
      <c r="H345">
        <f t="shared" si="10"/>
        <v>556</v>
      </c>
      <c r="I345">
        <f>Table1[[#This Row],[Current Stock]]*Table1[[#This Row],[Unit Cost]]</f>
        <v>8795364</v>
      </c>
      <c r="J345" t="str">
        <f t="shared" si="11"/>
        <v>Ok</v>
      </c>
    </row>
    <row r="346" spans="1:10" hidden="1" x14ac:dyDescent="0.3">
      <c r="A346" t="s">
        <v>698</v>
      </c>
      <c r="B346" t="s">
        <v>699</v>
      </c>
      <c r="C346" t="s">
        <v>16</v>
      </c>
      <c r="D346">
        <v>5019</v>
      </c>
      <c r="E346">
        <v>100</v>
      </c>
      <c r="F346">
        <f>SUMIFS(Purchases!$C:$C,Purchases!$B:$B,A346)</f>
        <v>664</v>
      </c>
      <c r="G346">
        <f>SUMIFS(Sales!$C:$C,Sales!$B:$B,A346)</f>
        <v>144</v>
      </c>
      <c r="H346">
        <f t="shared" si="10"/>
        <v>620</v>
      </c>
      <c r="I346">
        <f>Table1[[#This Row],[Current Stock]]*Table1[[#This Row],[Unit Cost]]</f>
        <v>3111780</v>
      </c>
      <c r="J346" t="str">
        <f t="shared" si="11"/>
        <v>Ok</v>
      </c>
    </row>
    <row r="347" spans="1:10" hidden="1" x14ac:dyDescent="0.3">
      <c r="A347" t="s">
        <v>700</v>
      </c>
      <c r="B347" t="s">
        <v>701</v>
      </c>
      <c r="C347" t="s">
        <v>7</v>
      </c>
      <c r="D347">
        <v>26872</v>
      </c>
      <c r="E347">
        <v>250</v>
      </c>
      <c r="F347">
        <f>SUMIFS(Purchases!$C:$C,Purchases!$B:$B,A347)</f>
        <v>415</v>
      </c>
      <c r="G347">
        <f>SUMIFS(Sales!$C:$C,Sales!$B:$B,A347)</f>
        <v>221</v>
      </c>
      <c r="H347">
        <f t="shared" si="10"/>
        <v>444</v>
      </c>
      <c r="I347">
        <f>Table1[[#This Row],[Current Stock]]*Table1[[#This Row],[Unit Cost]]</f>
        <v>11931168</v>
      </c>
      <c r="J347" t="str">
        <f t="shared" si="11"/>
        <v>Ok</v>
      </c>
    </row>
    <row r="348" spans="1:10" hidden="1" x14ac:dyDescent="0.3">
      <c r="A348" t="s">
        <v>702</v>
      </c>
      <c r="B348" t="s">
        <v>703</v>
      </c>
      <c r="C348" t="s">
        <v>16</v>
      </c>
      <c r="D348">
        <v>30896</v>
      </c>
      <c r="E348">
        <v>169</v>
      </c>
      <c r="F348">
        <f>SUMIFS(Purchases!$C:$C,Purchases!$B:$B,A348)</f>
        <v>875</v>
      </c>
      <c r="G348">
        <f>SUMIFS(Sales!$C:$C,Sales!$B:$B,A348)</f>
        <v>230</v>
      </c>
      <c r="H348">
        <f t="shared" si="10"/>
        <v>814</v>
      </c>
      <c r="I348">
        <f>Table1[[#This Row],[Current Stock]]*Table1[[#This Row],[Unit Cost]]</f>
        <v>25149344</v>
      </c>
      <c r="J348" t="str">
        <f t="shared" si="11"/>
        <v>Ok</v>
      </c>
    </row>
    <row r="349" spans="1:10" hidden="1" x14ac:dyDescent="0.3">
      <c r="A349" t="s">
        <v>704</v>
      </c>
      <c r="B349" t="s">
        <v>705</v>
      </c>
      <c r="C349" t="s">
        <v>7</v>
      </c>
      <c r="D349">
        <v>15270</v>
      </c>
      <c r="E349">
        <v>167</v>
      </c>
      <c r="F349">
        <f>SUMIFS(Purchases!$C:$C,Purchases!$B:$B,A349)</f>
        <v>464</v>
      </c>
      <c r="G349">
        <f>SUMIFS(Sales!$C:$C,Sales!$B:$B,A349)</f>
        <v>308</v>
      </c>
      <c r="H349">
        <f t="shared" si="10"/>
        <v>323</v>
      </c>
      <c r="I349">
        <f>Table1[[#This Row],[Current Stock]]*Table1[[#This Row],[Unit Cost]]</f>
        <v>4932210</v>
      </c>
      <c r="J349" t="str">
        <f t="shared" si="11"/>
        <v>Ok</v>
      </c>
    </row>
    <row r="350" spans="1:10" hidden="1" x14ac:dyDescent="0.3">
      <c r="A350" t="s">
        <v>706</v>
      </c>
      <c r="B350" t="s">
        <v>707</v>
      </c>
      <c r="C350" t="s">
        <v>10</v>
      </c>
      <c r="D350">
        <v>46170</v>
      </c>
      <c r="E350">
        <v>460</v>
      </c>
      <c r="F350">
        <f>SUMIFS(Purchases!$C:$C,Purchases!$B:$B,A350)</f>
        <v>797</v>
      </c>
      <c r="G350">
        <f>SUMIFS(Sales!$C:$C,Sales!$B:$B,A350)</f>
        <v>389</v>
      </c>
      <c r="H350">
        <f t="shared" si="10"/>
        <v>868</v>
      </c>
      <c r="I350">
        <f>Table1[[#This Row],[Current Stock]]*Table1[[#This Row],[Unit Cost]]</f>
        <v>40075560</v>
      </c>
      <c r="J350" t="str">
        <f t="shared" si="11"/>
        <v>Ok</v>
      </c>
    </row>
    <row r="351" spans="1:10" hidden="1" x14ac:dyDescent="0.3">
      <c r="A351" t="s">
        <v>708</v>
      </c>
      <c r="B351" t="s">
        <v>709</v>
      </c>
      <c r="C351" t="s">
        <v>19</v>
      </c>
      <c r="D351">
        <v>4764</v>
      </c>
      <c r="E351">
        <v>371</v>
      </c>
      <c r="F351">
        <f>SUMIFS(Purchases!$C:$C,Purchases!$B:$B,A351)</f>
        <v>567</v>
      </c>
      <c r="G351">
        <f>SUMIFS(Sales!$C:$C,Sales!$B:$B,A351)</f>
        <v>296</v>
      </c>
      <c r="H351">
        <f t="shared" si="10"/>
        <v>642</v>
      </c>
      <c r="I351">
        <f>Table1[[#This Row],[Current Stock]]*Table1[[#This Row],[Unit Cost]]</f>
        <v>3058488</v>
      </c>
      <c r="J351" t="str">
        <f t="shared" si="11"/>
        <v>Ok</v>
      </c>
    </row>
    <row r="352" spans="1:10" hidden="1" x14ac:dyDescent="0.3">
      <c r="A352" t="s">
        <v>710</v>
      </c>
      <c r="B352" t="s">
        <v>711</v>
      </c>
      <c r="C352" t="s">
        <v>13</v>
      </c>
      <c r="D352">
        <v>17437</v>
      </c>
      <c r="E352">
        <v>423</v>
      </c>
      <c r="F352">
        <f>SUMIFS(Purchases!$C:$C,Purchases!$B:$B,A352)</f>
        <v>783</v>
      </c>
      <c r="G352">
        <f>SUMIFS(Sales!$C:$C,Sales!$B:$B,A352)</f>
        <v>455</v>
      </c>
      <c r="H352">
        <f t="shared" si="10"/>
        <v>751</v>
      </c>
      <c r="I352">
        <f>Table1[[#This Row],[Current Stock]]*Table1[[#This Row],[Unit Cost]]</f>
        <v>13095187</v>
      </c>
      <c r="J352" t="str">
        <f t="shared" si="11"/>
        <v>Ok</v>
      </c>
    </row>
    <row r="353" spans="1:10" hidden="1" x14ac:dyDescent="0.3">
      <c r="A353" t="s">
        <v>712</v>
      </c>
      <c r="B353" t="s">
        <v>713</v>
      </c>
      <c r="C353" t="s">
        <v>16</v>
      </c>
      <c r="D353">
        <v>43431</v>
      </c>
      <c r="E353">
        <v>431</v>
      </c>
      <c r="F353">
        <f>SUMIFS(Purchases!$C:$C,Purchases!$B:$B,A353)</f>
        <v>626</v>
      </c>
      <c r="G353">
        <f>SUMIFS(Sales!$C:$C,Sales!$B:$B,A353)</f>
        <v>417</v>
      </c>
      <c r="H353">
        <f t="shared" si="10"/>
        <v>640</v>
      </c>
      <c r="I353">
        <f>Table1[[#This Row],[Current Stock]]*Table1[[#This Row],[Unit Cost]]</f>
        <v>27795840</v>
      </c>
      <c r="J353" t="str">
        <f t="shared" si="11"/>
        <v>Ok</v>
      </c>
    </row>
    <row r="354" spans="1:10" x14ac:dyDescent="0.3">
      <c r="A354" t="s">
        <v>714</v>
      </c>
      <c r="B354" t="s">
        <v>715</v>
      </c>
      <c r="C354" t="s">
        <v>13</v>
      </c>
      <c r="D354">
        <v>27961</v>
      </c>
      <c r="E354">
        <v>78</v>
      </c>
      <c r="F354">
        <f>SUMIFS(Purchases!$C:$C,Purchases!$B:$B,A354)</f>
        <v>301</v>
      </c>
      <c r="G354">
        <f>SUMIFS(Sales!$C:$C,Sales!$B:$B,A354)</f>
        <v>382</v>
      </c>
      <c r="H354">
        <f t="shared" si="10"/>
        <v>-3</v>
      </c>
      <c r="I354">
        <f>Table1[[#This Row],[Current Stock]]*Table1[[#This Row],[Unit Cost]]</f>
        <v>-83883</v>
      </c>
      <c r="J354" t="str">
        <f t="shared" si="11"/>
        <v>Recorder</v>
      </c>
    </row>
    <row r="355" spans="1:10" hidden="1" x14ac:dyDescent="0.3">
      <c r="A355" t="s">
        <v>716</v>
      </c>
      <c r="B355" t="s">
        <v>717</v>
      </c>
      <c r="C355" t="s">
        <v>16</v>
      </c>
      <c r="D355">
        <v>14833</v>
      </c>
      <c r="E355">
        <v>351</v>
      </c>
      <c r="F355">
        <f>SUMIFS(Purchases!$C:$C,Purchases!$B:$B,A355)</f>
        <v>552</v>
      </c>
      <c r="G355">
        <f>SUMIFS(Sales!$C:$C,Sales!$B:$B,A355)</f>
        <v>127</v>
      </c>
      <c r="H355">
        <f t="shared" si="10"/>
        <v>776</v>
      </c>
      <c r="I355">
        <f>Table1[[#This Row],[Current Stock]]*Table1[[#This Row],[Unit Cost]]</f>
        <v>11510408</v>
      </c>
      <c r="J355" t="str">
        <f t="shared" si="11"/>
        <v>Ok</v>
      </c>
    </row>
    <row r="356" spans="1:10" hidden="1" x14ac:dyDescent="0.3">
      <c r="A356" t="s">
        <v>718</v>
      </c>
      <c r="B356" t="s">
        <v>719</v>
      </c>
      <c r="C356" t="s">
        <v>13</v>
      </c>
      <c r="D356">
        <v>17508</v>
      </c>
      <c r="E356">
        <v>443</v>
      </c>
      <c r="F356">
        <f>SUMIFS(Purchases!$C:$C,Purchases!$B:$B,A356)</f>
        <v>546</v>
      </c>
      <c r="G356">
        <f>SUMIFS(Sales!$C:$C,Sales!$B:$B,A356)</f>
        <v>215</v>
      </c>
      <c r="H356">
        <f t="shared" si="10"/>
        <v>774</v>
      </c>
      <c r="I356">
        <f>Table1[[#This Row],[Current Stock]]*Table1[[#This Row],[Unit Cost]]</f>
        <v>13551192</v>
      </c>
      <c r="J356" t="str">
        <f t="shared" si="11"/>
        <v>Ok</v>
      </c>
    </row>
    <row r="357" spans="1:10" hidden="1" x14ac:dyDescent="0.3">
      <c r="A357" t="s">
        <v>720</v>
      </c>
      <c r="B357" t="s">
        <v>721</v>
      </c>
      <c r="C357" t="s">
        <v>13</v>
      </c>
      <c r="D357">
        <v>4779</v>
      </c>
      <c r="E357">
        <v>50</v>
      </c>
      <c r="F357">
        <f>SUMIFS(Purchases!$C:$C,Purchases!$B:$B,A357)</f>
        <v>396</v>
      </c>
      <c r="G357">
        <f>SUMIFS(Sales!$C:$C,Sales!$B:$B,A357)</f>
        <v>277</v>
      </c>
      <c r="H357">
        <f t="shared" si="10"/>
        <v>169</v>
      </c>
      <c r="I357">
        <f>Table1[[#This Row],[Current Stock]]*Table1[[#This Row],[Unit Cost]]</f>
        <v>807651</v>
      </c>
      <c r="J357" t="str">
        <f t="shared" si="11"/>
        <v>Ok</v>
      </c>
    </row>
    <row r="358" spans="1:10" hidden="1" x14ac:dyDescent="0.3">
      <c r="A358" t="s">
        <v>722</v>
      </c>
      <c r="B358" t="s">
        <v>723</v>
      </c>
      <c r="C358" t="s">
        <v>13</v>
      </c>
      <c r="D358">
        <v>20259</v>
      </c>
      <c r="E358">
        <v>324</v>
      </c>
      <c r="F358">
        <f>SUMIFS(Purchases!$C:$C,Purchases!$B:$B,A358)</f>
        <v>543</v>
      </c>
      <c r="G358">
        <f>SUMIFS(Sales!$C:$C,Sales!$B:$B,A358)</f>
        <v>551</v>
      </c>
      <c r="H358">
        <f t="shared" si="10"/>
        <v>316</v>
      </c>
      <c r="I358">
        <f>Table1[[#This Row],[Current Stock]]*Table1[[#This Row],[Unit Cost]]</f>
        <v>6401844</v>
      </c>
      <c r="J358" t="str">
        <f t="shared" si="11"/>
        <v>Ok</v>
      </c>
    </row>
    <row r="359" spans="1:10" hidden="1" x14ac:dyDescent="0.3">
      <c r="A359" t="s">
        <v>724</v>
      </c>
      <c r="B359" t="s">
        <v>725</v>
      </c>
      <c r="C359" t="s">
        <v>16</v>
      </c>
      <c r="D359">
        <v>19014</v>
      </c>
      <c r="E359">
        <v>244</v>
      </c>
      <c r="F359">
        <f>SUMIFS(Purchases!$C:$C,Purchases!$B:$B,A359)</f>
        <v>870</v>
      </c>
      <c r="G359">
        <f>SUMIFS(Sales!$C:$C,Sales!$B:$B,A359)</f>
        <v>449</v>
      </c>
      <c r="H359">
        <f t="shared" si="10"/>
        <v>665</v>
      </c>
      <c r="I359">
        <f>Table1[[#This Row],[Current Stock]]*Table1[[#This Row],[Unit Cost]]</f>
        <v>12644310</v>
      </c>
      <c r="J359" t="str">
        <f t="shared" si="11"/>
        <v>Ok</v>
      </c>
    </row>
    <row r="360" spans="1:10" hidden="1" x14ac:dyDescent="0.3">
      <c r="A360" t="s">
        <v>726</v>
      </c>
      <c r="B360" t="s">
        <v>727</v>
      </c>
      <c r="C360" t="s">
        <v>7</v>
      </c>
      <c r="D360">
        <v>30816</v>
      </c>
      <c r="E360">
        <v>372</v>
      </c>
      <c r="F360">
        <f>SUMIFS(Purchases!$C:$C,Purchases!$B:$B,A360)</f>
        <v>618</v>
      </c>
      <c r="G360">
        <f>SUMIFS(Sales!$C:$C,Sales!$B:$B,A360)</f>
        <v>561</v>
      </c>
      <c r="H360">
        <f t="shared" si="10"/>
        <v>429</v>
      </c>
      <c r="I360">
        <f>Table1[[#This Row],[Current Stock]]*Table1[[#This Row],[Unit Cost]]</f>
        <v>13220064</v>
      </c>
      <c r="J360" t="str">
        <f t="shared" si="11"/>
        <v>Ok</v>
      </c>
    </row>
    <row r="361" spans="1:10" hidden="1" x14ac:dyDescent="0.3">
      <c r="A361" t="s">
        <v>728</v>
      </c>
      <c r="B361" t="s">
        <v>729</v>
      </c>
      <c r="C361" t="s">
        <v>10</v>
      </c>
      <c r="D361">
        <v>45957</v>
      </c>
      <c r="E361">
        <v>226</v>
      </c>
      <c r="F361">
        <f>SUMIFS(Purchases!$C:$C,Purchases!$B:$B,A361)</f>
        <v>602</v>
      </c>
      <c r="G361">
        <f>SUMIFS(Sales!$C:$C,Sales!$B:$B,A361)</f>
        <v>366</v>
      </c>
      <c r="H361">
        <f t="shared" si="10"/>
        <v>462</v>
      </c>
      <c r="I361">
        <f>Table1[[#This Row],[Current Stock]]*Table1[[#This Row],[Unit Cost]]</f>
        <v>21232134</v>
      </c>
      <c r="J361" t="str">
        <f t="shared" si="11"/>
        <v>Ok</v>
      </c>
    </row>
    <row r="362" spans="1:10" hidden="1" x14ac:dyDescent="0.3">
      <c r="A362" t="s">
        <v>730</v>
      </c>
      <c r="B362" t="s">
        <v>731</v>
      </c>
      <c r="C362" t="s">
        <v>10</v>
      </c>
      <c r="D362">
        <v>32898</v>
      </c>
      <c r="E362">
        <v>296</v>
      </c>
      <c r="F362">
        <f>SUMIFS(Purchases!$C:$C,Purchases!$B:$B,A362)</f>
        <v>653</v>
      </c>
      <c r="G362">
        <f>SUMIFS(Sales!$C:$C,Sales!$B:$B,A362)</f>
        <v>328</v>
      </c>
      <c r="H362">
        <f t="shared" si="10"/>
        <v>621</v>
      </c>
      <c r="I362">
        <f>Table1[[#This Row],[Current Stock]]*Table1[[#This Row],[Unit Cost]]</f>
        <v>20429658</v>
      </c>
      <c r="J362" t="str">
        <f t="shared" si="11"/>
        <v>Ok</v>
      </c>
    </row>
    <row r="363" spans="1:10" x14ac:dyDescent="0.3">
      <c r="A363" t="s">
        <v>732</v>
      </c>
      <c r="B363" t="s">
        <v>733</v>
      </c>
      <c r="C363" t="s">
        <v>19</v>
      </c>
      <c r="D363">
        <v>28788</v>
      </c>
      <c r="E363">
        <v>61</v>
      </c>
      <c r="F363">
        <f>SUMIFS(Purchases!$C:$C,Purchases!$B:$B,A363)</f>
        <v>376</v>
      </c>
      <c r="G363">
        <f>SUMIFS(Sales!$C:$C,Sales!$B:$B,A363)</f>
        <v>388</v>
      </c>
      <c r="H363">
        <f t="shared" si="10"/>
        <v>49</v>
      </c>
      <c r="I363">
        <f>Table1[[#This Row],[Current Stock]]*Table1[[#This Row],[Unit Cost]]</f>
        <v>1410612</v>
      </c>
      <c r="J363" t="str">
        <f t="shared" si="11"/>
        <v>Recorder</v>
      </c>
    </row>
    <row r="364" spans="1:10" hidden="1" x14ac:dyDescent="0.3">
      <c r="A364" t="s">
        <v>734</v>
      </c>
      <c r="B364" t="s">
        <v>735</v>
      </c>
      <c r="C364" t="s">
        <v>16</v>
      </c>
      <c r="D364">
        <v>2712</v>
      </c>
      <c r="E364">
        <v>475</v>
      </c>
      <c r="F364">
        <f>SUMIFS(Purchases!$C:$C,Purchases!$B:$B,A364)</f>
        <v>121</v>
      </c>
      <c r="G364">
        <f>SUMIFS(Sales!$C:$C,Sales!$B:$B,A364)</f>
        <v>412</v>
      </c>
      <c r="H364">
        <f t="shared" si="10"/>
        <v>184</v>
      </c>
      <c r="I364">
        <f>Table1[[#This Row],[Current Stock]]*Table1[[#This Row],[Unit Cost]]</f>
        <v>499008</v>
      </c>
      <c r="J364" t="str">
        <f t="shared" si="11"/>
        <v>Ok</v>
      </c>
    </row>
    <row r="365" spans="1:10" hidden="1" x14ac:dyDescent="0.3">
      <c r="A365" t="s">
        <v>736</v>
      </c>
      <c r="B365" t="s">
        <v>737</v>
      </c>
      <c r="C365" t="s">
        <v>19</v>
      </c>
      <c r="D365">
        <v>48238</v>
      </c>
      <c r="E365">
        <v>185</v>
      </c>
      <c r="F365">
        <f>SUMIFS(Purchases!$C:$C,Purchases!$B:$B,A365)</f>
        <v>663</v>
      </c>
      <c r="G365">
        <f>SUMIFS(Sales!$C:$C,Sales!$B:$B,A365)</f>
        <v>157</v>
      </c>
      <c r="H365">
        <f t="shared" si="10"/>
        <v>691</v>
      </c>
      <c r="I365">
        <f>Table1[[#This Row],[Current Stock]]*Table1[[#This Row],[Unit Cost]]</f>
        <v>33332458</v>
      </c>
      <c r="J365" t="str">
        <f t="shared" si="11"/>
        <v>Ok</v>
      </c>
    </row>
    <row r="366" spans="1:10" hidden="1" x14ac:dyDescent="0.3">
      <c r="A366" t="s">
        <v>738</v>
      </c>
      <c r="B366" t="s">
        <v>739</v>
      </c>
      <c r="C366" t="s">
        <v>16</v>
      </c>
      <c r="D366">
        <v>16508</v>
      </c>
      <c r="E366">
        <v>33</v>
      </c>
      <c r="F366">
        <f>SUMIFS(Purchases!$C:$C,Purchases!$B:$B,A366)</f>
        <v>1169</v>
      </c>
      <c r="G366">
        <f>SUMIFS(Sales!$C:$C,Sales!$B:$B,A366)</f>
        <v>522</v>
      </c>
      <c r="H366">
        <f t="shared" si="10"/>
        <v>680</v>
      </c>
      <c r="I366">
        <f>Table1[[#This Row],[Current Stock]]*Table1[[#This Row],[Unit Cost]]</f>
        <v>11225440</v>
      </c>
      <c r="J366" t="str">
        <f t="shared" si="11"/>
        <v>Ok</v>
      </c>
    </row>
    <row r="367" spans="1:10" hidden="1" x14ac:dyDescent="0.3">
      <c r="A367" t="s">
        <v>740</v>
      </c>
      <c r="B367" t="s">
        <v>741</v>
      </c>
      <c r="C367" t="s">
        <v>7</v>
      </c>
      <c r="D367">
        <v>15102</v>
      </c>
      <c r="E367">
        <v>365</v>
      </c>
      <c r="F367">
        <f>SUMIFS(Purchases!$C:$C,Purchases!$B:$B,A367)</f>
        <v>176</v>
      </c>
      <c r="G367">
        <f>SUMIFS(Sales!$C:$C,Sales!$B:$B,A367)</f>
        <v>259</v>
      </c>
      <c r="H367">
        <f t="shared" si="10"/>
        <v>282</v>
      </c>
      <c r="I367">
        <f>Table1[[#This Row],[Current Stock]]*Table1[[#This Row],[Unit Cost]]</f>
        <v>4258764</v>
      </c>
      <c r="J367" t="str">
        <f t="shared" si="11"/>
        <v>Ok</v>
      </c>
    </row>
    <row r="368" spans="1:10" x14ac:dyDescent="0.3">
      <c r="A368" t="s">
        <v>742</v>
      </c>
      <c r="B368" t="s">
        <v>743</v>
      </c>
      <c r="C368" t="s">
        <v>16</v>
      </c>
      <c r="D368">
        <v>38577</v>
      </c>
      <c r="E368">
        <v>30</v>
      </c>
      <c r="F368">
        <f>SUMIFS(Purchases!$C:$C,Purchases!$B:$B,A368)</f>
        <v>355</v>
      </c>
      <c r="G368">
        <f>SUMIFS(Sales!$C:$C,Sales!$B:$B,A368)</f>
        <v>356</v>
      </c>
      <c r="H368">
        <f t="shared" si="10"/>
        <v>29</v>
      </c>
      <c r="I368">
        <f>Table1[[#This Row],[Current Stock]]*Table1[[#This Row],[Unit Cost]]</f>
        <v>1118733</v>
      </c>
      <c r="J368" t="str">
        <f t="shared" si="11"/>
        <v>Recorder</v>
      </c>
    </row>
    <row r="369" spans="1:10" hidden="1" x14ac:dyDescent="0.3">
      <c r="A369" t="s">
        <v>744</v>
      </c>
      <c r="B369" t="s">
        <v>745</v>
      </c>
      <c r="C369" t="s">
        <v>10</v>
      </c>
      <c r="D369">
        <v>37864</v>
      </c>
      <c r="E369">
        <v>40</v>
      </c>
      <c r="F369">
        <f>SUMIFS(Purchases!$C:$C,Purchases!$B:$B,A369)</f>
        <v>464</v>
      </c>
      <c r="G369">
        <f>SUMIFS(Sales!$C:$C,Sales!$B:$B,A369)</f>
        <v>248</v>
      </c>
      <c r="H369">
        <f t="shared" si="10"/>
        <v>256</v>
      </c>
      <c r="I369">
        <f>Table1[[#This Row],[Current Stock]]*Table1[[#This Row],[Unit Cost]]</f>
        <v>9693184</v>
      </c>
      <c r="J369" t="str">
        <f t="shared" si="11"/>
        <v>Ok</v>
      </c>
    </row>
    <row r="370" spans="1:10" hidden="1" x14ac:dyDescent="0.3">
      <c r="A370" t="s">
        <v>746</v>
      </c>
      <c r="B370" t="s">
        <v>747</v>
      </c>
      <c r="C370" t="s">
        <v>13</v>
      </c>
      <c r="D370">
        <v>30934</v>
      </c>
      <c r="E370">
        <v>285</v>
      </c>
      <c r="F370">
        <f>SUMIFS(Purchases!$C:$C,Purchases!$B:$B,A370)</f>
        <v>561</v>
      </c>
      <c r="G370">
        <f>SUMIFS(Sales!$C:$C,Sales!$B:$B,A370)</f>
        <v>198</v>
      </c>
      <c r="H370">
        <f t="shared" si="10"/>
        <v>648</v>
      </c>
      <c r="I370">
        <f>Table1[[#This Row],[Current Stock]]*Table1[[#This Row],[Unit Cost]]</f>
        <v>20045232</v>
      </c>
      <c r="J370" t="str">
        <f t="shared" si="11"/>
        <v>Ok</v>
      </c>
    </row>
    <row r="371" spans="1:10" hidden="1" x14ac:dyDescent="0.3">
      <c r="A371" t="s">
        <v>748</v>
      </c>
      <c r="B371" t="s">
        <v>749</v>
      </c>
      <c r="C371" t="s">
        <v>19</v>
      </c>
      <c r="D371">
        <v>18329</v>
      </c>
      <c r="E371">
        <v>112</v>
      </c>
      <c r="F371">
        <f>SUMIFS(Purchases!$C:$C,Purchases!$B:$B,A371)</f>
        <v>664</v>
      </c>
      <c r="G371">
        <f>SUMIFS(Sales!$C:$C,Sales!$B:$B,A371)</f>
        <v>407</v>
      </c>
      <c r="H371">
        <f t="shared" si="10"/>
        <v>369</v>
      </c>
      <c r="I371">
        <f>Table1[[#This Row],[Current Stock]]*Table1[[#This Row],[Unit Cost]]</f>
        <v>6763401</v>
      </c>
      <c r="J371" t="str">
        <f t="shared" si="11"/>
        <v>Ok</v>
      </c>
    </row>
    <row r="372" spans="1:10" hidden="1" x14ac:dyDescent="0.3">
      <c r="A372" t="s">
        <v>750</v>
      </c>
      <c r="B372" t="s">
        <v>751</v>
      </c>
      <c r="C372" t="s">
        <v>16</v>
      </c>
      <c r="D372">
        <v>28666</v>
      </c>
      <c r="E372">
        <v>345</v>
      </c>
      <c r="F372">
        <f>SUMIFS(Purchases!$C:$C,Purchases!$B:$B,A372)</f>
        <v>582</v>
      </c>
      <c r="G372">
        <f>SUMIFS(Sales!$C:$C,Sales!$B:$B,A372)</f>
        <v>432</v>
      </c>
      <c r="H372">
        <f t="shared" si="10"/>
        <v>495</v>
      </c>
      <c r="I372">
        <f>Table1[[#This Row],[Current Stock]]*Table1[[#This Row],[Unit Cost]]</f>
        <v>14189670</v>
      </c>
      <c r="J372" t="str">
        <f t="shared" si="11"/>
        <v>Ok</v>
      </c>
    </row>
    <row r="373" spans="1:10" hidden="1" x14ac:dyDescent="0.3">
      <c r="A373" t="s">
        <v>752</v>
      </c>
      <c r="B373" t="s">
        <v>753</v>
      </c>
      <c r="C373" t="s">
        <v>19</v>
      </c>
      <c r="D373">
        <v>6079</v>
      </c>
      <c r="E373">
        <v>260</v>
      </c>
      <c r="F373">
        <f>SUMIFS(Purchases!$C:$C,Purchases!$B:$B,A373)</f>
        <v>507</v>
      </c>
      <c r="G373">
        <f>SUMIFS(Sales!$C:$C,Sales!$B:$B,A373)</f>
        <v>279</v>
      </c>
      <c r="H373">
        <f t="shared" si="10"/>
        <v>488</v>
      </c>
      <c r="I373">
        <f>Table1[[#This Row],[Current Stock]]*Table1[[#This Row],[Unit Cost]]</f>
        <v>2966552</v>
      </c>
      <c r="J373" t="str">
        <f t="shared" si="11"/>
        <v>Ok</v>
      </c>
    </row>
    <row r="374" spans="1:10" hidden="1" x14ac:dyDescent="0.3">
      <c r="A374" t="s">
        <v>754</v>
      </c>
      <c r="B374" t="s">
        <v>755</v>
      </c>
      <c r="C374" t="s">
        <v>10</v>
      </c>
      <c r="D374">
        <v>26861</v>
      </c>
      <c r="E374">
        <v>190</v>
      </c>
      <c r="F374">
        <f>SUMIFS(Purchases!$C:$C,Purchases!$B:$B,A374)</f>
        <v>656</v>
      </c>
      <c r="G374">
        <f>SUMIFS(Sales!$C:$C,Sales!$B:$B,A374)</f>
        <v>277</v>
      </c>
      <c r="H374">
        <f t="shared" si="10"/>
        <v>569</v>
      </c>
      <c r="I374">
        <f>Table1[[#This Row],[Current Stock]]*Table1[[#This Row],[Unit Cost]]</f>
        <v>15283909</v>
      </c>
      <c r="J374" t="str">
        <f t="shared" si="11"/>
        <v>Ok</v>
      </c>
    </row>
    <row r="375" spans="1:10" hidden="1" x14ac:dyDescent="0.3">
      <c r="A375" t="s">
        <v>756</v>
      </c>
      <c r="B375" t="s">
        <v>757</v>
      </c>
      <c r="C375" t="s">
        <v>10</v>
      </c>
      <c r="D375">
        <v>44017</v>
      </c>
      <c r="E375">
        <v>73</v>
      </c>
      <c r="F375">
        <f>SUMIFS(Purchases!$C:$C,Purchases!$B:$B,A375)</f>
        <v>609</v>
      </c>
      <c r="G375">
        <f>SUMIFS(Sales!$C:$C,Sales!$B:$B,A375)</f>
        <v>296</v>
      </c>
      <c r="H375">
        <f t="shared" si="10"/>
        <v>386</v>
      </c>
      <c r="I375">
        <f>Table1[[#This Row],[Current Stock]]*Table1[[#This Row],[Unit Cost]]</f>
        <v>16990562</v>
      </c>
      <c r="J375" t="str">
        <f t="shared" si="11"/>
        <v>Ok</v>
      </c>
    </row>
    <row r="376" spans="1:10" hidden="1" x14ac:dyDescent="0.3">
      <c r="A376" t="s">
        <v>758</v>
      </c>
      <c r="B376" t="s">
        <v>759</v>
      </c>
      <c r="C376" t="s">
        <v>13</v>
      </c>
      <c r="D376">
        <v>21714</v>
      </c>
      <c r="E376">
        <v>230</v>
      </c>
      <c r="F376">
        <f>SUMIFS(Purchases!$C:$C,Purchases!$B:$B,A376)</f>
        <v>320</v>
      </c>
      <c r="G376">
        <f>SUMIFS(Sales!$C:$C,Sales!$B:$B,A376)</f>
        <v>233</v>
      </c>
      <c r="H376">
        <f t="shared" si="10"/>
        <v>317</v>
      </c>
      <c r="I376">
        <f>Table1[[#This Row],[Current Stock]]*Table1[[#This Row],[Unit Cost]]</f>
        <v>6883338</v>
      </c>
      <c r="J376" t="str">
        <f t="shared" si="11"/>
        <v>Ok</v>
      </c>
    </row>
    <row r="377" spans="1:10" hidden="1" x14ac:dyDescent="0.3">
      <c r="A377" t="s">
        <v>760</v>
      </c>
      <c r="B377" t="s">
        <v>761</v>
      </c>
      <c r="C377" t="s">
        <v>19</v>
      </c>
      <c r="D377">
        <v>18988</v>
      </c>
      <c r="E377">
        <v>359</v>
      </c>
      <c r="F377">
        <f>SUMIFS(Purchases!$C:$C,Purchases!$B:$B,A377)</f>
        <v>964</v>
      </c>
      <c r="G377">
        <f>SUMIFS(Sales!$C:$C,Sales!$B:$B,A377)</f>
        <v>338</v>
      </c>
      <c r="H377">
        <f t="shared" si="10"/>
        <v>985</v>
      </c>
      <c r="I377">
        <f>Table1[[#This Row],[Current Stock]]*Table1[[#This Row],[Unit Cost]]</f>
        <v>18703180</v>
      </c>
      <c r="J377" t="str">
        <f t="shared" si="11"/>
        <v>Ok</v>
      </c>
    </row>
    <row r="378" spans="1:10" hidden="1" x14ac:dyDescent="0.3">
      <c r="A378" t="s">
        <v>762</v>
      </c>
      <c r="B378" t="s">
        <v>763</v>
      </c>
      <c r="C378" t="s">
        <v>19</v>
      </c>
      <c r="D378">
        <v>49940</v>
      </c>
      <c r="E378">
        <v>301</v>
      </c>
      <c r="F378">
        <f>SUMIFS(Purchases!$C:$C,Purchases!$B:$B,A378)</f>
        <v>425</v>
      </c>
      <c r="G378">
        <f>SUMIFS(Sales!$C:$C,Sales!$B:$B,A378)</f>
        <v>194</v>
      </c>
      <c r="H378">
        <f t="shared" si="10"/>
        <v>532</v>
      </c>
      <c r="I378">
        <f>Table1[[#This Row],[Current Stock]]*Table1[[#This Row],[Unit Cost]]</f>
        <v>26568080</v>
      </c>
      <c r="J378" t="str">
        <f t="shared" si="11"/>
        <v>Ok</v>
      </c>
    </row>
    <row r="379" spans="1:10" hidden="1" x14ac:dyDescent="0.3">
      <c r="A379" t="s">
        <v>764</v>
      </c>
      <c r="B379" t="s">
        <v>765</v>
      </c>
      <c r="C379" t="s">
        <v>7</v>
      </c>
      <c r="D379">
        <v>29907</v>
      </c>
      <c r="E379">
        <v>65</v>
      </c>
      <c r="F379">
        <f>SUMIFS(Purchases!$C:$C,Purchases!$B:$B,A379)</f>
        <v>552</v>
      </c>
      <c r="G379">
        <f>SUMIFS(Sales!$C:$C,Sales!$B:$B,A379)</f>
        <v>167</v>
      </c>
      <c r="H379">
        <f t="shared" si="10"/>
        <v>450</v>
      </c>
      <c r="I379">
        <f>Table1[[#This Row],[Current Stock]]*Table1[[#This Row],[Unit Cost]]</f>
        <v>13458150</v>
      </c>
      <c r="J379" t="str">
        <f t="shared" si="11"/>
        <v>Ok</v>
      </c>
    </row>
    <row r="380" spans="1:10" hidden="1" x14ac:dyDescent="0.3">
      <c r="A380" t="s">
        <v>766</v>
      </c>
      <c r="B380" t="s">
        <v>767</v>
      </c>
      <c r="C380" t="s">
        <v>10</v>
      </c>
      <c r="D380">
        <v>16641</v>
      </c>
      <c r="E380">
        <v>185</v>
      </c>
      <c r="F380">
        <f>SUMIFS(Purchases!$C:$C,Purchases!$B:$B,A380)</f>
        <v>562</v>
      </c>
      <c r="G380">
        <f>SUMIFS(Sales!$C:$C,Sales!$B:$B,A380)</f>
        <v>277</v>
      </c>
      <c r="H380">
        <f t="shared" si="10"/>
        <v>470</v>
      </c>
      <c r="I380">
        <f>Table1[[#This Row],[Current Stock]]*Table1[[#This Row],[Unit Cost]]</f>
        <v>7821270</v>
      </c>
      <c r="J380" t="str">
        <f t="shared" si="11"/>
        <v>Ok</v>
      </c>
    </row>
    <row r="381" spans="1:10" hidden="1" x14ac:dyDescent="0.3">
      <c r="A381" t="s">
        <v>768</v>
      </c>
      <c r="B381" t="s">
        <v>769</v>
      </c>
      <c r="C381" t="s">
        <v>7</v>
      </c>
      <c r="D381">
        <v>26588</v>
      </c>
      <c r="E381">
        <v>462</v>
      </c>
      <c r="F381">
        <f>SUMIFS(Purchases!$C:$C,Purchases!$B:$B,A381)</f>
        <v>521</v>
      </c>
      <c r="G381">
        <f>SUMIFS(Sales!$C:$C,Sales!$B:$B,A381)</f>
        <v>537</v>
      </c>
      <c r="H381">
        <f t="shared" si="10"/>
        <v>446</v>
      </c>
      <c r="I381">
        <f>Table1[[#This Row],[Current Stock]]*Table1[[#This Row],[Unit Cost]]</f>
        <v>11858248</v>
      </c>
      <c r="J381" t="str">
        <f t="shared" si="11"/>
        <v>Ok</v>
      </c>
    </row>
    <row r="382" spans="1:10" hidden="1" x14ac:dyDescent="0.3">
      <c r="A382" t="s">
        <v>770</v>
      </c>
      <c r="B382" t="s">
        <v>771</v>
      </c>
      <c r="C382" t="s">
        <v>16</v>
      </c>
      <c r="D382">
        <v>175</v>
      </c>
      <c r="E382">
        <v>356</v>
      </c>
      <c r="F382">
        <f>SUMIFS(Purchases!$C:$C,Purchases!$B:$B,A382)</f>
        <v>404</v>
      </c>
      <c r="G382">
        <f>SUMIFS(Sales!$C:$C,Sales!$B:$B,A382)</f>
        <v>416</v>
      </c>
      <c r="H382">
        <f t="shared" si="10"/>
        <v>344</v>
      </c>
      <c r="I382">
        <f>Table1[[#This Row],[Current Stock]]*Table1[[#This Row],[Unit Cost]]</f>
        <v>60200</v>
      </c>
      <c r="J382" t="str">
        <f t="shared" si="11"/>
        <v>Ok</v>
      </c>
    </row>
    <row r="383" spans="1:10" hidden="1" x14ac:dyDescent="0.3">
      <c r="A383" t="s">
        <v>772</v>
      </c>
      <c r="B383" t="s">
        <v>773</v>
      </c>
      <c r="C383" t="s">
        <v>16</v>
      </c>
      <c r="D383">
        <v>30376</v>
      </c>
      <c r="E383">
        <v>231</v>
      </c>
      <c r="F383">
        <f>SUMIFS(Purchases!$C:$C,Purchases!$B:$B,A383)</f>
        <v>490</v>
      </c>
      <c r="G383">
        <f>SUMIFS(Sales!$C:$C,Sales!$B:$B,A383)</f>
        <v>393</v>
      </c>
      <c r="H383">
        <f t="shared" si="10"/>
        <v>328</v>
      </c>
      <c r="I383">
        <f>Table1[[#This Row],[Current Stock]]*Table1[[#This Row],[Unit Cost]]</f>
        <v>9963328</v>
      </c>
      <c r="J383" t="str">
        <f t="shared" si="11"/>
        <v>Ok</v>
      </c>
    </row>
    <row r="384" spans="1:10" hidden="1" x14ac:dyDescent="0.3">
      <c r="A384" t="s">
        <v>774</v>
      </c>
      <c r="B384" t="s">
        <v>775</v>
      </c>
      <c r="C384" t="s">
        <v>7</v>
      </c>
      <c r="D384">
        <v>12393</v>
      </c>
      <c r="E384">
        <v>285</v>
      </c>
      <c r="F384">
        <f>SUMIFS(Purchases!$C:$C,Purchases!$B:$B,A384)</f>
        <v>692</v>
      </c>
      <c r="G384">
        <f>SUMIFS(Sales!$C:$C,Sales!$B:$B,A384)</f>
        <v>283</v>
      </c>
      <c r="H384">
        <f t="shared" si="10"/>
        <v>694</v>
      </c>
      <c r="I384">
        <f>Table1[[#This Row],[Current Stock]]*Table1[[#This Row],[Unit Cost]]</f>
        <v>8600742</v>
      </c>
      <c r="J384" t="str">
        <f t="shared" si="11"/>
        <v>Ok</v>
      </c>
    </row>
    <row r="385" spans="1:10" hidden="1" x14ac:dyDescent="0.3">
      <c r="A385" t="s">
        <v>776</v>
      </c>
      <c r="B385" t="s">
        <v>777</v>
      </c>
      <c r="C385" t="s">
        <v>10</v>
      </c>
      <c r="D385">
        <v>40904</v>
      </c>
      <c r="E385">
        <v>407</v>
      </c>
      <c r="F385">
        <f>SUMIFS(Purchases!$C:$C,Purchases!$B:$B,A385)</f>
        <v>600</v>
      </c>
      <c r="G385">
        <f>SUMIFS(Sales!$C:$C,Sales!$B:$B,A385)</f>
        <v>387</v>
      </c>
      <c r="H385">
        <f t="shared" si="10"/>
        <v>620</v>
      </c>
      <c r="I385">
        <f>Table1[[#This Row],[Current Stock]]*Table1[[#This Row],[Unit Cost]]</f>
        <v>25360480</v>
      </c>
      <c r="J385" t="str">
        <f t="shared" si="11"/>
        <v>Ok</v>
      </c>
    </row>
    <row r="386" spans="1:10" x14ac:dyDescent="0.3">
      <c r="A386" t="s">
        <v>778</v>
      </c>
      <c r="B386" t="s">
        <v>779</v>
      </c>
      <c r="C386" t="s">
        <v>19</v>
      </c>
      <c r="D386">
        <v>41086</v>
      </c>
      <c r="E386">
        <v>246</v>
      </c>
      <c r="F386">
        <f>SUMIFS(Purchases!$C:$C,Purchases!$B:$B,A386)</f>
        <v>99</v>
      </c>
      <c r="G386">
        <f>SUMIFS(Sales!$C:$C,Sales!$B:$B,A386)</f>
        <v>366</v>
      </c>
      <c r="H386">
        <f t="shared" ref="H386:H449" si="12">E386+F386-G386</f>
        <v>-21</v>
      </c>
      <c r="I386">
        <f>Table1[[#This Row],[Current Stock]]*Table1[[#This Row],[Unit Cost]]</f>
        <v>-862806</v>
      </c>
      <c r="J386" t="str">
        <f t="shared" ref="J386:J449" si="13">IF(H386&lt;50,"Recorder","Ok")</f>
        <v>Recorder</v>
      </c>
    </row>
    <row r="387" spans="1:10" hidden="1" x14ac:dyDescent="0.3">
      <c r="A387" t="s">
        <v>780</v>
      </c>
      <c r="B387" t="s">
        <v>781</v>
      </c>
      <c r="C387" t="s">
        <v>7</v>
      </c>
      <c r="D387">
        <v>13440</v>
      </c>
      <c r="E387">
        <v>156</v>
      </c>
      <c r="F387">
        <f>SUMIFS(Purchases!$C:$C,Purchases!$B:$B,A387)</f>
        <v>474</v>
      </c>
      <c r="G387">
        <f>SUMIFS(Sales!$C:$C,Sales!$B:$B,A387)</f>
        <v>462</v>
      </c>
      <c r="H387">
        <f t="shared" si="12"/>
        <v>168</v>
      </c>
      <c r="I387">
        <f>Table1[[#This Row],[Current Stock]]*Table1[[#This Row],[Unit Cost]]</f>
        <v>2257920</v>
      </c>
      <c r="J387" t="str">
        <f t="shared" si="13"/>
        <v>Ok</v>
      </c>
    </row>
    <row r="388" spans="1:10" hidden="1" x14ac:dyDescent="0.3">
      <c r="A388" t="s">
        <v>782</v>
      </c>
      <c r="B388" t="s">
        <v>783</v>
      </c>
      <c r="C388" t="s">
        <v>16</v>
      </c>
      <c r="D388">
        <v>8686</v>
      </c>
      <c r="E388">
        <v>494</v>
      </c>
      <c r="F388">
        <f>SUMIFS(Purchases!$C:$C,Purchases!$B:$B,A388)</f>
        <v>536</v>
      </c>
      <c r="G388">
        <f>SUMIFS(Sales!$C:$C,Sales!$B:$B,A388)</f>
        <v>326</v>
      </c>
      <c r="H388">
        <f t="shared" si="12"/>
        <v>704</v>
      </c>
      <c r="I388">
        <f>Table1[[#This Row],[Current Stock]]*Table1[[#This Row],[Unit Cost]]</f>
        <v>6114944</v>
      </c>
      <c r="J388" t="str">
        <f t="shared" si="13"/>
        <v>Ok</v>
      </c>
    </row>
    <row r="389" spans="1:10" hidden="1" x14ac:dyDescent="0.3">
      <c r="A389" t="s">
        <v>784</v>
      </c>
      <c r="B389" t="s">
        <v>785</v>
      </c>
      <c r="C389" t="s">
        <v>10</v>
      </c>
      <c r="D389">
        <v>28812</v>
      </c>
      <c r="E389">
        <v>470</v>
      </c>
      <c r="F389">
        <f>SUMIFS(Purchases!$C:$C,Purchases!$B:$B,A389)</f>
        <v>759</v>
      </c>
      <c r="G389">
        <f>SUMIFS(Sales!$C:$C,Sales!$B:$B,A389)</f>
        <v>650</v>
      </c>
      <c r="H389">
        <f t="shared" si="12"/>
        <v>579</v>
      </c>
      <c r="I389">
        <f>Table1[[#This Row],[Current Stock]]*Table1[[#This Row],[Unit Cost]]</f>
        <v>16682148</v>
      </c>
      <c r="J389" t="str">
        <f t="shared" si="13"/>
        <v>Ok</v>
      </c>
    </row>
    <row r="390" spans="1:10" hidden="1" x14ac:dyDescent="0.3">
      <c r="A390" t="s">
        <v>786</v>
      </c>
      <c r="B390" t="s">
        <v>787</v>
      </c>
      <c r="C390" t="s">
        <v>19</v>
      </c>
      <c r="D390">
        <v>8057</v>
      </c>
      <c r="E390">
        <v>34</v>
      </c>
      <c r="F390">
        <f>SUMIFS(Purchases!$C:$C,Purchases!$B:$B,A390)</f>
        <v>278</v>
      </c>
      <c r="G390">
        <f>SUMIFS(Sales!$C:$C,Sales!$B:$B,A390)</f>
        <v>260</v>
      </c>
      <c r="H390">
        <f t="shared" si="12"/>
        <v>52</v>
      </c>
      <c r="I390">
        <f>Table1[[#This Row],[Current Stock]]*Table1[[#This Row],[Unit Cost]]</f>
        <v>418964</v>
      </c>
      <c r="J390" t="str">
        <f t="shared" si="13"/>
        <v>Ok</v>
      </c>
    </row>
    <row r="391" spans="1:10" hidden="1" x14ac:dyDescent="0.3">
      <c r="A391" t="s">
        <v>788</v>
      </c>
      <c r="B391" t="s">
        <v>789</v>
      </c>
      <c r="C391" t="s">
        <v>16</v>
      </c>
      <c r="D391">
        <v>15782</v>
      </c>
      <c r="E391">
        <v>383</v>
      </c>
      <c r="F391">
        <f>SUMIFS(Purchases!$C:$C,Purchases!$B:$B,A391)</f>
        <v>572</v>
      </c>
      <c r="G391">
        <f>SUMIFS(Sales!$C:$C,Sales!$B:$B,A391)</f>
        <v>292</v>
      </c>
      <c r="H391">
        <f t="shared" si="12"/>
        <v>663</v>
      </c>
      <c r="I391">
        <f>Table1[[#This Row],[Current Stock]]*Table1[[#This Row],[Unit Cost]]</f>
        <v>10463466</v>
      </c>
      <c r="J391" t="str">
        <f t="shared" si="13"/>
        <v>Ok</v>
      </c>
    </row>
    <row r="392" spans="1:10" hidden="1" x14ac:dyDescent="0.3">
      <c r="A392" t="s">
        <v>790</v>
      </c>
      <c r="B392" t="s">
        <v>791</v>
      </c>
      <c r="C392" t="s">
        <v>13</v>
      </c>
      <c r="D392">
        <v>20465</v>
      </c>
      <c r="E392">
        <v>302</v>
      </c>
      <c r="F392">
        <f>SUMIFS(Purchases!$C:$C,Purchases!$B:$B,A392)</f>
        <v>512</v>
      </c>
      <c r="G392">
        <f>SUMIFS(Sales!$C:$C,Sales!$B:$B,A392)</f>
        <v>479</v>
      </c>
      <c r="H392">
        <f t="shared" si="12"/>
        <v>335</v>
      </c>
      <c r="I392">
        <f>Table1[[#This Row],[Current Stock]]*Table1[[#This Row],[Unit Cost]]</f>
        <v>6855775</v>
      </c>
      <c r="J392" t="str">
        <f t="shared" si="13"/>
        <v>Ok</v>
      </c>
    </row>
    <row r="393" spans="1:10" hidden="1" x14ac:dyDescent="0.3">
      <c r="A393" t="s">
        <v>792</v>
      </c>
      <c r="B393" t="s">
        <v>793</v>
      </c>
      <c r="C393" t="s">
        <v>7</v>
      </c>
      <c r="D393">
        <v>36292</v>
      </c>
      <c r="E393">
        <v>228</v>
      </c>
      <c r="F393">
        <f>SUMIFS(Purchases!$C:$C,Purchases!$B:$B,A393)</f>
        <v>723</v>
      </c>
      <c r="G393">
        <f>SUMIFS(Sales!$C:$C,Sales!$B:$B,A393)</f>
        <v>239</v>
      </c>
      <c r="H393">
        <f t="shared" si="12"/>
        <v>712</v>
      </c>
      <c r="I393">
        <f>Table1[[#This Row],[Current Stock]]*Table1[[#This Row],[Unit Cost]]</f>
        <v>25839904</v>
      </c>
      <c r="J393" t="str">
        <f t="shared" si="13"/>
        <v>Ok</v>
      </c>
    </row>
    <row r="394" spans="1:10" hidden="1" x14ac:dyDescent="0.3">
      <c r="A394" t="s">
        <v>794</v>
      </c>
      <c r="B394" t="s">
        <v>795</v>
      </c>
      <c r="C394" t="s">
        <v>7</v>
      </c>
      <c r="D394">
        <v>14825</v>
      </c>
      <c r="E394">
        <v>450</v>
      </c>
      <c r="F394">
        <f>SUMIFS(Purchases!$C:$C,Purchases!$B:$B,A394)</f>
        <v>855</v>
      </c>
      <c r="G394">
        <f>SUMIFS(Sales!$C:$C,Sales!$B:$B,A394)</f>
        <v>476</v>
      </c>
      <c r="H394">
        <f t="shared" si="12"/>
        <v>829</v>
      </c>
      <c r="I394">
        <f>Table1[[#This Row],[Current Stock]]*Table1[[#This Row],[Unit Cost]]</f>
        <v>12289925</v>
      </c>
      <c r="J394" t="str">
        <f t="shared" si="13"/>
        <v>Ok</v>
      </c>
    </row>
    <row r="395" spans="1:10" hidden="1" x14ac:dyDescent="0.3">
      <c r="A395" t="s">
        <v>796</v>
      </c>
      <c r="B395" t="s">
        <v>797</v>
      </c>
      <c r="C395" t="s">
        <v>7</v>
      </c>
      <c r="D395">
        <v>30341</v>
      </c>
      <c r="E395">
        <v>80</v>
      </c>
      <c r="F395">
        <f>SUMIFS(Purchases!$C:$C,Purchases!$B:$B,A395)</f>
        <v>583</v>
      </c>
      <c r="G395">
        <f>SUMIFS(Sales!$C:$C,Sales!$B:$B,A395)</f>
        <v>420</v>
      </c>
      <c r="H395">
        <f t="shared" si="12"/>
        <v>243</v>
      </c>
      <c r="I395">
        <f>Table1[[#This Row],[Current Stock]]*Table1[[#This Row],[Unit Cost]]</f>
        <v>7372863</v>
      </c>
      <c r="J395" t="str">
        <f t="shared" si="13"/>
        <v>Ok</v>
      </c>
    </row>
    <row r="396" spans="1:10" hidden="1" x14ac:dyDescent="0.3">
      <c r="A396" t="s">
        <v>798</v>
      </c>
      <c r="B396" t="s">
        <v>799</v>
      </c>
      <c r="C396" t="s">
        <v>13</v>
      </c>
      <c r="D396">
        <v>32761</v>
      </c>
      <c r="E396">
        <v>497</v>
      </c>
      <c r="F396">
        <f>SUMIFS(Purchases!$C:$C,Purchases!$B:$B,A396)</f>
        <v>533</v>
      </c>
      <c r="G396">
        <f>SUMIFS(Sales!$C:$C,Sales!$B:$B,A396)</f>
        <v>496</v>
      </c>
      <c r="H396">
        <f t="shared" si="12"/>
        <v>534</v>
      </c>
      <c r="I396">
        <f>Table1[[#This Row],[Current Stock]]*Table1[[#This Row],[Unit Cost]]</f>
        <v>17494374</v>
      </c>
      <c r="J396" t="str">
        <f t="shared" si="13"/>
        <v>Ok</v>
      </c>
    </row>
    <row r="397" spans="1:10" hidden="1" x14ac:dyDescent="0.3">
      <c r="A397" t="s">
        <v>800</v>
      </c>
      <c r="B397" t="s">
        <v>801</v>
      </c>
      <c r="C397" t="s">
        <v>10</v>
      </c>
      <c r="D397">
        <v>33449</v>
      </c>
      <c r="E397">
        <v>381</v>
      </c>
      <c r="F397">
        <f>SUMIFS(Purchases!$C:$C,Purchases!$B:$B,A397)</f>
        <v>445</v>
      </c>
      <c r="G397">
        <f>SUMIFS(Sales!$C:$C,Sales!$B:$B,A397)</f>
        <v>419</v>
      </c>
      <c r="H397">
        <f t="shared" si="12"/>
        <v>407</v>
      </c>
      <c r="I397">
        <f>Table1[[#This Row],[Current Stock]]*Table1[[#This Row],[Unit Cost]]</f>
        <v>13613743</v>
      </c>
      <c r="J397" t="str">
        <f t="shared" si="13"/>
        <v>Ok</v>
      </c>
    </row>
    <row r="398" spans="1:10" hidden="1" x14ac:dyDescent="0.3">
      <c r="A398" t="s">
        <v>802</v>
      </c>
      <c r="B398" t="s">
        <v>803</v>
      </c>
      <c r="C398" t="s">
        <v>10</v>
      </c>
      <c r="D398">
        <v>27329</v>
      </c>
      <c r="E398">
        <v>447</v>
      </c>
      <c r="F398">
        <f>SUMIFS(Purchases!$C:$C,Purchases!$B:$B,A398)</f>
        <v>699</v>
      </c>
      <c r="G398">
        <f>SUMIFS(Sales!$C:$C,Sales!$B:$B,A398)</f>
        <v>346</v>
      </c>
      <c r="H398">
        <f t="shared" si="12"/>
        <v>800</v>
      </c>
      <c r="I398">
        <f>Table1[[#This Row],[Current Stock]]*Table1[[#This Row],[Unit Cost]]</f>
        <v>21863200</v>
      </c>
      <c r="J398" t="str">
        <f t="shared" si="13"/>
        <v>Ok</v>
      </c>
    </row>
    <row r="399" spans="1:10" hidden="1" x14ac:dyDescent="0.3">
      <c r="A399" t="s">
        <v>804</v>
      </c>
      <c r="B399" t="s">
        <v>805</v>
      </c>
      <c r="C399" t="s">
        <v>19</v>
      </c>
      <c r="D399">
        <v>31047</v>
      </c>
      <c r="E399">
        <v>144</v>
      </c>
      <c r="F399">
        <f>SUMIFS(Purchases!$C:$C,Purchases!$B:$B,A399)</f>
        <v>599</v>
      </c>
      <c r="G399">
        <f>SUMIFS(Sales!$C:$C,Sales!$B:$B,A399)</f>
        <v>269</v>
      </c>
      <c r="H399">
        <f t="shared" si="12"/>
        <v>474</v>
      </c>
      <c r="I399">
        <f>Table1[[#This Row],[Current Stock]]*Table1[[#This Row],[Unit Cost]]</f>
        <v>14716278</v>
      </c>
      <c r="J399" t="str">
        <f t="shared" si="13"/>
        <v>Ok</v>
      </c>
    </row>
    <row r="400" spans="1:10" hidden="1" x14ac:dyDescent="0.3">
      <c r="A400" t="s">
        <v>806</v>
      </c>
      <c r="B400" t="s">
        <v>807</v>
      </c>
      <c r="C400" t="s">
        <v>19</v>
      </c>
      <c r="D400">
        <v>36227</v>
      </c>
      <c r="E400">
        <v>94</v>
      </c>
      <c r="F400">
        <f>SUMIFS(Purchases!$C:$C,Purchases!$B:$B,A400)</f>
        <v>400</v>
      </c>
      <c r="G400">
        <f>SUMIFS(Sales!$C:$C,Sales!$B:$B,A400)</f>
        <v>388</v>
      </c>
      <c r="H400">
        <f t="shared" si="12"/>
        <v>106</v>
      </c>
      <c r="I400">
        <f>Table1[[#This Row],[Current Stock]]*Table1[[#This Row],[Unit Cost]]</f>
        <v>3840062</v>
      </c>
      <c r="J400" t="str">
        <f t="shared" si="13"/>
        <v>Ok</v>
      </c>
    </row>
    <row r="401" spans="1:10" hidden="1" x14ac:dyDescent="0.3">
      <c r="A401" t="s">
        <v>808</v>
      </c>
      <c r="B401" t="s">
        <v>809</v>
      </c>
      <c r="C401" t="s">
        <v>19</v>
      </c>
      <c r="D401">
        <v>12591</v>
      </c>
      <c r="E401">
        <v>491</v>
      </c>
      <c r="F401">
        <f>SUMIFS(Purchases!$C:$C,Purchases!$B:$B,A401)</f>
        <v>567</v>
      </c>
      <c r="G401">
        <f>SUMIFS(Sales!$C:$C,Sales!$B:$B,A401)</f>
        <v>445</v>
      </c>
      <c r="H401">
        <f t="shared" si="12"/>
        <v>613</v>
      </c>
      <c r="I401">
        <f>Table1[[#This Row],[Current Stock]]*Table1[[#This Row],[Unit Cost]]</f>
        <v>7718283</v>
      </c>
      <c r="J401" t="str">
        <f t="shared" si="13"/>
        <v>Ok</v>
      </c>
    </row>
    <row r="402" spans="1:10" hidden="1" x14ac:dyDescent="0.3">
      <c r="A402" t="s">
        <v>810</v>
      </c>
      <c r="B402" t="s">
        <v>811</v>
      </c>
      <c r="C402" t="s">
        <v>16</v>
      </c>
      <c r="D402">
        <v>33408</v>
      </c>
      <c r="E402">
        <v>402</v>
      </c>
      <c r="F402">
        <f>SUMIFS(Purchases!$C:$C,Purchases!$B:$B,A402)</f>
        <v>326</v>
      </c>
      <c r="G402">
        <f>SUMIFS(Sales!$C:$C,Sales!$B:$B,A402)</f>
        <v>344</v>
      </c>
      <c r="H402">
        <f t="shared" si="12"/>
        <v>384</v>
      </c>
      <c r="I402">
        <f>Table1[[#This Row],[Current Stock]]*Table1[[#This Row],[Unit Cost]]</f>
        <v>12828672</v>
      </c>
      <c r="J402" t="str">
        <f t="shared" si="13"/>
        <v>Ok</v>
      </c>
    </row>
    <row r="403" spans="1:10" hidden="1" x14ac:dyDescent="0.3">
      <c r="A403" t="s">
        <v>812</v>
      </c>
      <c r="B403" t="s">
        <v>813</v>
      </c>
      <c r="C403" t="s">
        <v>13</v>
      </c>
      <c r="D403">
        <v>4675</v>
      </c>
      <c r="E403">
        <v>161</v>
      </c>
      <c r="F403">
        <f>SUMIFS(Purchases!$C:$C,Purchases!$B:$B,A403)</f>
        <v>520</v>
      </c>
      <c r="G403">
        <f>SUMIFS(Sales!$C:$C,Sales!$B:$B,A403)</f>
        <v>334</v>
      </c>
      <c r="H403">
        <f t="shared" si="12"/>
        <v>347</v>
      </c>
      <c r="I403">
        <f>Table1[[#This Row],[Current Stock]]*Table1[[#This Row],[Unit Cost]]</f>
        <v>1622225</v>
      </c>
      <c r="J403" t="str">
        <f t="shared" si="13"/>
        <v>Ok</v>
      </c>
    </row>
    <row r="404" spans="1:10" hidden="1" x14ac:dyDescent="0.3">
      <c r="A404" t="s">
        <v>814</v>
      </c>
      <c r="B404" t="s">
        <v>815</v>
      </c>
      <c r="C404" t="s">
        <v>19</v>
      </c>
      <c r="D404">
        <v>22374</v>
      </c>
      <c r="E404">
        <v>498</v>
      </c>
      <c r="F404">
        <f>SUMIFS(Purchases!$C:$C,Purchases!$B:$B,A404)</f>
        <v>880</v>
      </c>
      <c r="G404">
        <f>SUMIFS(Sales!$C:$C,Sales!$B:$B,A404)</f>
        <v>417</v>
      </c>
      <c r="H404">
        <f t="shared" si="12"/>
        <v>961</v>
      </c>
      <c r="I404">
        <f>Table1[[#This Row],[Current Stock]]*Table1[[#This Row],[Unit Cost]]</f>
        <v>21501414</v>
      </c>
      <c r="J404" t="str">
        <f t="shared" si="13"/>
        <v>Ok</v>
      </c>
    </row>
    <row r="405" spans="1:10" hidden="1" x14ac:dyDescent="0.3">
      <c r="A405" t="s">
        <v>816</v>
      </c>
      <c r="B405" t="s">
        <v>817</v>
      </c>
      <c r="C405" t="s">
        <v>16</v>
      </c>
      <c r="D405">
        <v>17609</v>
      </c>
      <c r="E405">
        <v>440</v>
      </c>
      <c r="F405">
        <f>SUMIFS(Purchases!$C:$C,Purchases!$B:$B,A405)</f>
        <v>510</v>
      </c>
      <c r="G405">
        <f>SUMIFS(Sales!$C:$C,Sales!$B:$B,A405)</f>
        <v>224</v>
      </c>
      <c r="H405">
        <f t="shared" si="12"/>
        <v>726</v>
      </c>
      <c r="I405">
        <f>Table1[[#This Row],[Current Stock]]*Table1[[#This Row],[Unit Cost]]</f>
        <v>12784134</v>
      </c>
      <c r="J405" t="str">
        <f t="shared" si="13"/>
        <v>Ok</v>
      </c>
    </row>
    <row r="406" spans="1:10" hidden="1" x14ac:dyDescent="0.3">
      <c r="A406" t="s">
        <v>818</v>
      </c>
      <c r="B406" t="s">
        <v>819</v>
      </c>
      <c r="C406" t="s">
        <v>7</v>
      </c>
      <c r="D406">
        <v>18636</v>
      </c>
      <c r="E406">
        <v>391</v>
      </c>
      <c r="F406">
        <f>SUMIFS(Purchases!$C:$C,Purchases!$B:$B,A406)</f>
        <v>314</v>
      </c>
      <c r="G406">
        <f>SUMIFS(Sales!$C:$C,Sales!$B:$B,A406)</f>
        <v>357</v>
      </c>
      <c r="H406">
        <f t="shared" si="12"/>
        <v>348</v>
      </c>
      <c r="I406">
        <f>Table1[[#This Row],[Current Stock]]*Table1[[#This Row],[Unit Cost]]</f>
        <v>6485328</v>
      </c>
      <c r="J406" t="str">
        <f t="shared" si="13"/>
        <v>Ok</v>
      </c>
    </row>
    <row r="407" spans="1:10" hidden="1" x14ac:dyDescent="0.3">
      <c r="A407" t="s">
        <v>820</v>
      </c>
      <c r="B407" t="s">
        <v>821</v>
      </c>
      <c r="C407" t="s">
        <v>10</v>
      </c>
      <c r="D407">
        <v>38565</v>
      </c>
      <c r="E407">
        <v>316</v>
      </c>
      <c r="F407">
        <f>SUMIFS(Purchases!$C:$C,Purchases!$B:$B,A407)</f>
        <v>613</v>
      </c>
      <c r="G407">
        <f>SUMIFS(Sales!$C:$C,Sales!$B:$B,A407)</f>
        <v>308</v>
      </c>
      <c r="H407">
        <f t="shared" si="12"/>
        <v>621</v>
      </c>
      <c r="I407">
        <f>Table1[[#This Row],[Current Stock]]*Table1[[#This Row],[Unit Cost]]</f>
        <v>23948865</v>
      </c>
      <c r="J407" t="str">
        <f t="shared" si="13"/>
        <v>Ok</v>
      </c>
    </row>
    <row r="408" spans="1:10" hidden="1" x14ac:dyDescent="0.3">
      <c r="A408" t="s">
        <v>822</v>
      </c>
      <c r="B408" t="s">
        <v>823</v>
      </c>
      <c r="C408" t="s">
        <v>19</v>
      </c>
      <c r="D408">
        <v>9838</v>
      </c>
      <c r="E408">
        <v>248</v>
      </c>
      <c r="F408">
        <f>SUMIFS(Purchases!$C:$C,Purchases!$B:$B,A408)</f>
        <v>608</v>
      </c>
      <c r="G408">
        <f>SUMIFS(Sales!$C:$C,Sales!$B:$B,A408)</f>
        <v>337</v>
      </c>
      <c r="H408">
        <f t="shared" si="12"/>
        <v>519</v>
      </c>
      <c r="I408">
        <f>Table1[[#This Row],[Current Stock]]*Table1[[#This Row],[Unit Cost]]</f>
        <v>5105922</v>
      </c>
      <c r="J408" t="str">
        <f t="shared" si="13"/>
        <v>Ok</v>
      </c>
    </row>
    <row r="409" spans="1:10" hidden="1" x14ac:dyDescent="0.3">
      <c r="A409" t="s">
        <v>824</v>
      </c>
      <c r="B409" t="s">
        <v>825</v>
      </c>
      <c r="C409" t="s">
        <v>16</v>
      </c>
      <c r="D409">
        <v>31841</v>
      </c>
      <c r="E409">
        <v>196</v>
      </c>
      <c r="F409">
        <f>SUMIFS(Purchases!$C:$C,Purchases!$B:$B,A409)</f>
        <v>399</v>
      </c>
      <c r="G409">
        <f>SUMIFS(Sales!$C:$C,Sales!$B:$B,A409)</f>
        <v>356</v>
      </c>
      <c r="H409">
        <f t="shared" si="12"/>
        <v>239</v>
      </c>
      <c r="I409">
        <f>Table1[[#This Row],[Current Stock]]*Table1[[#This Row],[Unit Cost]]</f>
        <v>7609999</v>
      </c>
      <c r="J409" t="str">
        <f t="shared" si="13"/>
        <v>Ok</v>
      </c>
    </row>
    <row r="410" spans="1:10" hidden="1" x14ac:dyDescent="0.3">
      <c r="A410" t="s">
        <v>826</v>
      </c>
      <c r="B410" t="s">
        <v>827</v>
      </c>
      <c r="C410" t="s">
        <v>10</v>
      </c>
      <c r="D410">
        <v>36270</v>
      </c>
      <c r="E410">
        <v>410</v>
      </c>
      <c r="F410">
        <f>SUMIFS(Purchases!$C:$C,Purchases!$B:$B,A410)</f>
        <v>184</v>
      </c>
      <c r="G410">
        <f>SUMIFS(Sales!$C:$C,Sales!$B:$B,A410)</f>
        <v>305</v>
      </c>
      <c r="H410">
        <f t="shared" si="12"/>
        <v>289</v>
      </c>
      <c r="I410">
        <f>Table1[[#This Row],[Current Stock]]*Table1[[#This Row],[Unit Cost]]</f>
        <v>10482030</v>
      </c>
      <c r="J410" t="str">
        <f t="shared" si="13"/>
        <v>Ok</v>
      </c>
    </row>
    <row r="411" spans="1:10" hidden="1" x14ac:dyDescent="0.3">
      <c r="A411" t="s">
        <v>828</v>
      </c>
      <c r="B411" t="s">
        <v>829</v>
      </c>
      <c r="C411" t="s">
        <v>16</v>
      </c>
      <c r="D411">
        <v>24820</v>
      </c>
      <c r="E411">
        <v>253</v>
      </c>
      <c r="F411">
        <f>SUMIFS(Purchases!$C:$C,Purchases!$B:$B,A411)</f>
        <v>743</v>
      </c>
      <c r="G411">
        <f>SUMIFS(Sales!$C:$C,Sales!$B:$B,A411)</f>
        <v>465</v>
      </c>
      <c r="H411">
        <f t="shared" si="12"/>
        <v>531</v>
      </c>
      <c r="I411">
        <f>Table1[[#This Row],[Current Stock]]*Table1[[#This Row],[Unit Cost]]</f>
        <v>13179420</v>
      </c>
      <c r="J411" t="str">
        <f t="shared" si="13"/>
        <v>Ok</v>
      </c>
    </row>
    <row r="412" spans="1:10" hidden="1" x14ac:dyDescent="0.3">
      <c r="A412" t="s">
        <v>830</v>
      </c>
      <c r="B412" t="s">
        <v>831</v>
      </c>
      <c r="C412" t="s">
        <v>10</v>
      </c>
      <c r="D412">
        <v>12463</v>
      </c>
      <c r="E412">
        <v>377</v>
      </c>
      <c r="F412">
        <f>SUMIFS(Purchases!$C:$C,Purchases!$B:$B,A412)</f>
        <v>640</v>
      </c>
      <c r="G412">
        <f>SUMIFS(Sales!$C:$C,Sales!$B:$B,A412)</f>
        <v>205</v>
      </c>
      <c r="H412">
        <f t="shared" si="12"/>
        <v>812</v>
      </c>
      <c r="I412">
        <f>Table1[[#This Row],[Current Stock]]*Table1[[#This Row],[Unit Cost]]</f>
        <v>10119956</v>
      </c>
      <c r="J412" t="str">
        <f t="shared" si="13"/>
        <v>Ok</v>
      </c>
    </row>
    <row r="413" spans="1:10" hidden="1" x14ac:dyDescent="0.3">
      <c r="A413" t="s">
        <v>832</v>
      </c>
      <c r="B413" t="s">
        <v>833</v>
      </c>
      <c r="C413" t="s">
        <v>13</v>
      </c>
      <c r="D413">
        <v>37573</v>
      </c>
      <c r="E413">
        <v>216</v>
      </c>
      <c r="F413">
        <f>SUMIFS(Purchases!$C:$C,Purchases!$B:$B,A413)</f>
        <v>715</v>
      </c>
      <c r="G413">
        <f>SUMIFS(Sales!$C:$C,Sales!$B:$B,A413)</f>
        <v>289</v>
      </c>
      <c r="H413">
        <f t="shared" si="12"/>
        <v>642</v>
      </c>
      <c r="I413">
        <f>Table1[[#This Row],[Current Stock]]*Table1[[#This Row],[Unit Cost]]</f>
        <v>24121866</v>
      </c>
      <c r="J413" t="str">
        <f t="shared" si="13"/>
        <v>Ok</v>
      </c>
    </row>
    <row r="414" spans="1:10" hidden="1" x14ac:dyDescent="0.3">
      <c r="A414" t="s">
        <v>834</v>
      </c>
      <c r="B414" t="s">
        <v>835</v>
      </c>
      <c r="C414" t="s">
        <v>13</v>
      </c>
      <c r="D414">
        <v>27020</v>
      </c>
      <c r="E414">
        <v>42</v>
      </c>
      <c r="F414">
        <f>SUMIFS(Purchases!$C:$C,Purchases!$B:$B,A414)</f>
        <v>730</v>
      </c>
      <c r="G414">
        <f>SUMIFS(Sales!$C:$C,Sales!$B:$B,A414)</f>
        <v>315</v>
      </c>
      <c r="H414">
        <f t="shared" si="12"/>
        <v>457</v>
      </c>
      <c r="I414">
        <f>Table1[[#This Row],[Current Stock]]*Table1[[#This Row],[Unit Cost]]</f>
        <v>12348140</v>
      </c>
      <c r="J414" t="str">
        <f t="shared" si="13"/>
        <v>Ok</v>
      </c>
    </row>
    <row r="415" spans="1:10" hidden="1" x14ac:dyDescent="0.3">
      <c r="A415" t="s">
        <v>836</v>
      </c>
      <c r="B415" t="s">
        <v>837</v>
      </c>
      <c r="C415" t="s">
        <v>10</v>
      </c>
      <c r="D415">
        <v>48904</v>
      </c>
      <c r="E415">
        <v>262</v>
      </c>
      <c r="F415">
        <f>SUMIFS(Purchases!$C:$C,Purchases!$B:$B,A415)</f>
        <v>618</v>
      </c>
      <c r="G415">
        <f>SUMIFS(Sales!$C:$C,Sales!$B:$B,A415)</f>
        <v>587</v>
      </c>
      <c r="H415">
        <f t="shared" si="12"/>
        <v>293</v>
      </c>
      <c r="I415">
        <f>Table1[[#This Row],[Current Stock]]*Table1[[#This Row],[Unit Cost]]</f>
        <v>14328872</v>
      </c>
      <c r="J415" t="str">
        <f t="shared" si="13"/>
        <v>Ok</v>
      </c>
    </row>
    <row r="416" spans="1:10" hidden="1" x14ac:dyDescent="0.3">
      <c r="A416" t="s">
        <v>838</v>
      </c>
      <c r="B416" t="s">
        <v>839</v>
      </c>
      <c r="C416" t="s">
        <v>19</v>
      </c>
      <c r="D416">
        <v>25402</v>
      </c>
      <c r="E416">
        <v>359</v>
      </c>
      <c r="F416">
        <f>SUMIFS(Purchases!$C:$C,Purchases!$B:$B,A416)</f>
        <v>370</v>
      </c>
      <c r="G416">
        <f>SUMIFS(Sales!$C:$C,Sales!$B:$B,A416)</f>
        <v>456</v>
      </c>
      <c r="H416">
        <f t="shared" si="12"/>
        <v>273</v>
      </c>
      <c r="I416">
        <f>Table1[[#This Row],[Current Stock]]*Table1[[#This Row],[Unit Cost]]</f>
        <v>6934746</v>
      </c>
      <c r="J416" t="str">
        <f t="shared" si="13"/>
        <v>Ok</v>
      </c>
    </row>
    <row r="417" spans="1:10" x14ac:dyDescent="0.3">
      <c r="A417" t="s">
        <v>840</v>
      </c>
      <c r="B417" t="s">
        <v>841</v>
      </c>
      <c r="C417" t="s">
        <v>13</v>
      </c>
      <c r="D417">
        <v>32561</v>
      </c>
      <c r="E417">
        <v>38</v>
      </c>
      <c r="F417">
        <f>SUMIFS(Purchases!$C:$C,Purchases!$B:$B,A417)</f>
        <v>232</v>
      </c>
      <c r="G417">
        <f>SUMIFS(Sales!$C:$C,Sales!$B:$B,A417)</f>
        <v>276</v>
      </c>
      <c r="H417">
        <f t="shared" si="12"/>
        <v>-6</v>
      </c>
      <c r="I417">
        <f>Table1[[#This Row],[Current Stock]]*Table1[[#This Row],[Unit Cost]]</f>
        <v>-195366</v>
      </c>
      <c r="J417" t="str">
        <f t="shared" si="13"/>
        <v>Recorder</v>
      </c>
    </row>
    <row r="418" spans="1:10" hidden="1" x14ac:dyDescent="0.3">
      <c r="A418" t="s">
        <v>842</v>
      </c>
      <c r="B418" t="s">
        <v>843</v>
      </c>
      <c r="C418" t="s">
        <v>13</v>
      </c>
      <c r="D418">
        <v>33018</v>
      </c>
      <c r="E418">
        <v>322</v>
      </c>
      <c r="F418">
        <f>SUMIFS(Purchases!$C:$C,Purchases!$B:$B,A418)</f>
        <v>832</v>
      </c>
      <c r="G418">
        <f>SUMIFS(Sales!$C:$C,Sales!$B:$B,A418)</f>
        <v>401</v>
      </c>
      <c r="H418">
        <f t="shared" si="12"/>
        <v>753</v>
      </c>
      <c r="I418">
        <f>Table1[[#This Row],[Current Stock]]*Table1[[#This Row],[Unit Cost]]</f>
        <v>24862554</v>
      </c>
      <c r="J418" t="str">
        <f t="shared" si="13"/>
        <v>Ok</v>
      </c>
    </row>
    <row r="419" spans="1:10" hidden="1" x14ac:dyDescent="0.3">
      <c r="A419" t="s">
        <v>844</v>
      </c>
      <c r="B419" t="s">
        <v>845</v>
      </c>
      <c r="C419" t="s">
        <v>10</v>
      </c>
      <c r="D419">
        <v>6677</v>
      </c>
      <c r="E419">
        <v>467</v>
      </c>
      <c r="F419">
        <f>SUMIFS(Purchases!$C:$C,Purchases!$B:$B,A419)</f>
        <v>416</v>
      </c>
      <c r="G419">
        <f>SUMIFS(Sales!$C:$C,Sales!$B:$B,A419)</f>
        <v>362</v>
      </c>
      <c r="H419">
        <f t="shared" si="12"/>
        <v>521</v>
      </c>
      <c r="I419">
        <f>Table1[[#This Row],[Current Stock]]*Table1[[#This Row],[Unit Cost]]</f>
        <v>3478717</v>
      </c>
      <c r="J419" t="str">
        <f t="shared" si="13"/>
        <v>Ok</v>
      </c>
    </row>
    <row r="420" spans="1:10" hidden="1" x14ac:dyDescent="0.3">
      <c r="A420" t="s">
        <v>846</v>
      </c>
      <c r="B420" t="s">
        <v>847</v>
      </c>
      <c r="C420" t="s">
        <v>19</v>
      </c>
      <c r="D420">
        <v>6634</v>
      </c>
      <c r="E420">
        <v>289</v>
      </c>
      <c r="F420">
        <f>SUMIFS(Purchases!$C:$C,Purchases!$B:$B,A420)</f>
        <v>519</v>
      </c>
      <c r="G420">
        <f>SUMIFS(Sales!$C:$C,Sales!$B:$B,A420)</f>
        <v>388</v>
      </c>
      <c r="H420">
        <f t="shared" si="12"/>
        <v>420</v>
      </c>
      <c r="I420">
        <f>Table1[[#This Row],[Current Stock]]*Table1[[#This Row],[Unit Cost]]</f>
        <v>2786280</v>
      </c>
      <c r="J420" t="str">
        <f t="shared" si="13"/>
        <v>Ok</v>
      </c>
    </row>
    <row r="421" spans="1:10" hidden="1" x14ac:dyDescent="0.3">
      <c r="A421" t="s">
        <v>848</v>
      </c>
      <c r="B421" t="s">
        <v>849</v>
      </c>
      <c r="C421" t="s">
        <v>19</v>
      </c>
      <c r="D421">
        <v>1105</v>
      </c>
      <c r="E421">
        <v>389</v>
      </c>
      <c r="F421">
        <f>SUMIFS(Purchases!$C:$C,Purchases!$B:$B,A421)</f>
        <v>542</v>
      </c>
      <c r="G421">
        <f>SUMIFS(Sales!$C:$C,Sales!$B:$B,A421)</f>
        <v>426</v>
      </c>
      <c r="H421">
        <f t="shared" si="12"/>
        <v>505</v>
      </c>
      <c r="I421">
        <f>Table1[[#This Row],[Current Stock]]*Table1[[#This Row],[Unit Cost]]</f>
        <v>558025</v>
      </c>
      <c r="J421" t="str">
        <f t="shared" si="13"/>
        <v>Ok</v>
      </c>
    </row>
    <row r="422" spans="1:10" hidden="1" x14ac:dyDescent="0.3">
      <c r="A422" t="s">
        <v>850</v>
      </c>
      <c r="B422" t="s">
        <v>851</v>
      </c>
      <c r="C422" t="s">
        <v>13</v>
      </c>
      <c r="D422">
        <v>26968</v>
      </c>
      <c r="E422">
        <v>465</v>
      </c>
      <c r="F422">
        <f>SUMIFS(Purchases!$C:$C,Purchases!$B:$B,A422)</f>
        <v>717</v>
      </c>
      <c r="G422">
        <f>SUMIFS(Sales!$C:$C,Sales!$B:$B,A422)</f>
        <v>385</v>
      </c>
      <c r="H422">
        <f t="shared" si="12"/>
        <v>797</v>
      </c>
      <c r="I422">
        <f>Table1[[#This Row],[Current Stock]]*Table1[[#This Row],[Unit Cost]]</f>
        <v>21493496</v>
      </c>
      <c r="J422" t="str">
        <f t="shared" si="13"/>
        <v>Ok</v>
      </c>
    </row>
    <row r="423" spans="1:10" hidden="1" x14ac:dyDescent="0.3">
      <c r="A423" t="s">
        <v>852</v>
      </c>
      <c r="B423" t="s">
        <v>853</v>
      </c>
      <c r="C423" t="s">
        <v>13</v>
      </c>
      <c r="D423">
        <v>5003</v>
      </c>
      <c r="E423">
        <v>260</v>
      </c>
      <c r="F423">
        <f>SUMIFS(Purchases!$C:$C,Purchases!$B:$B,A423)</f>
        <v>536</v>
      </c>
      <c r="G423">
        <f>SUMIFS(Sales!$C:$C,Sales!$B:$B,A423)</f>
        <v>386</v>
      </c>
      <c r="H423">
        <f t="shared" si="12"/>
        <v>410</v>
      </c>
      <c r="I423">
        <f>Table1[[#This Row],[Current Stock]]*Table1[[#This Row],[Unit Cost]]</f>
        <v>2051230</v>
      </c>
      <c r="J423" t="str">
        <f t="shared" si="13"/>
        <v>Ok</v>
      </c>
    </row>
    <row r="424" spans="1:10" hidden="1" x14ac:dyDescent="0.3">
      <c r="A424" t="s">
        <v>854</v>
      </c>
      <c r="B424" t="s">
        <v>855</v>
      </c>
      <c r="C424" t="s">
        <v>10</v>
      </c>
      <c r="D424">
        <v>22287</v>
      </c>
      <c r="E424">
        <v>339</v>
      </c>
      <c r="F424">
        <f>SUMIFS(Purchases!$C:$C,Purchases!$B:$B,A424)</f>
        <v>367</v>
      </c>
      <c r="G424">
        <f>SUMIFS(Sales!$C:$C,Sales!$B:$B,A424)</f>
        <v>272</v>
      </c>
      <c r="H424">
        <f t="shared" si="12"/>
        <v>434</v>
      </c>
      <c r="I424">
        <f>Table1[[#This Row],[Current Stock]]*Table1[[#This Row],[Unit Cost]]</f>
        <v>9672558</v>
      </c>
      <c r="J424" t="str">
        <f t="shared" si="13"/>
        <v>Ok</v>
      </c>
    </row>
    <row r="425" spans="1:10" hidden="1" x14ac:dyDescent="0.3">
      <c r="A425" t="s">
        <v>856</v>
      </c>
      <c r="B425" t="s">
        <v>857</v>
      </c>
      <c r="C425" t="s">
        <v>19</v>
      </c>
      <c r="D425">
        <v>42687</v>
      </c>
      <c r="E425">
        <v>61</v>
      </c>
      <c r="F425">
        <f>SUMIFS(Purchases!$C:$C,Purchases!$B:$B,A425)</f>
        <v>481</v>
      </c>
      <c r="G425">
        <f>SUMIFS(Sales!$C:$C,Sales!$B:$B,A425)</f>
        <v>211</v>
      </c>
      <c r="H425">
        <f t="shared" si="12"/>
        <v>331</v>
      </c>
      <c r="I425">
        <f>Table1[[#This Row],[Current Stock]]*Table1[[#This Row],[Unit Cost]]</f>
        <v>14129397</v>
      </c>
      <c r="J425" t="str">
        <f t="shared" si="13"/>
        <v>Ok</v>
      </c>
    </row>
    <row r="426" spans="1:10" hidden="1" x14ac:dyDescent="0.3">
      <c r="A426" t="s">
        <v>858</v>
      </c>
      <c r="B426" t="s">
        <v>859</v>
      </c>
      <c r="C426" t="s">
        <v>10</v>
      </c>
      <c r="D426">
        <v>44294</v>
      </c>
      <c r="E426">
        <v>459</v>
      </c>
      <c r="F426">
        <f>SUMIFS(Purchases!$C:$C,Purchases!$B:$B,A426)</f>
        <v>946</v>
      </c>
      <c r="G426">
        <f>SUMIFS(Sales!$C:$C,Sales!$B:$B,A426)</f>
        <v>448</v>
      </c>
      <c r="H426">
        <f t="shared" si="12"/>
        <v>957</v>
      </c>
      <c r="I426">
        <f>Table1[[#This Row],[Current Stock]]*Table1[[#This Row],[Unit Cost]]</f>
        <v>42389358</v>
      </c>
      <c r="J426" t="str">
        <f t="shared" si="13"/>
        <v>Ok</v>
      </c>
    </row>
    <row r="427" spans="1:10" hidden="1" x14ac:dyDescent="0.3">
      <c r="A427" t="s">
        <v>860</v>
      </c>
      <c r="B427" t="s">
        <v>861</v>
      </c>
      <c r="C427" t="s">
        <v>16</v>
      </c>
      <c r="D427">
        <v>25004</v>
      </c>
      <c r="E427">
        <v>182</v>
      </c>
      <c r="F427">
        <f>SUMIFS(Purchases!$C:$C,Purchases!$B:$B,A427)</f>
        <v>542</v>
      </c>
      <c r="G427">
        <f>SUMIFS(Sales!$C:$C,Sales!$B:$B,A427)</f>
        <v>185</v>
      </c>
      <c r="H427">
        <f t="shared" si="12"/>
        <v>539</v>
      </c>
      <c r="I427">
        <f>Table1[[#This Row],[Current Stock]]*Table1[[#This Row],[Unit Cost]]</f>
        <v>13477156</v>
      </c>
      <c r="J427" t="str">
        <f t="shared" si="13"/>
        <v>Ok</v>
      </c>
    </row>
    <row r="428" spans="1:10" hidden="1" x14ac:dyDescent="0.3">
      <c r="A428" t="s">
        <v>862</v>
      </c>
      <c r="B428" t="s">
        <v>863</v>
      </c>
      <c r="C428" t="s">
        <v>19</v>
      </c>
      <c r="D428">
        <v>35556</v>
      </c>
      <c r="E428">
        <v>38</v>
      </c>
      <c r="F428">
        <f>SUMIFS(Purchases!$C:$C,Purchases!$B:$B,A428)</f>
        <v>350</v>
      </c>
      <c r="G428">
        <f>SUMIFS(Sales!$C:$C,Sales!$B:$B,A428)</f>
        <v>283</v>
      </c>
      <c r="H428">
        <f t="shared" si="12"/>
        <v>105</v>
      </c>
      <c r="I428">
        <f>Table1[[#This Row],[Current Stock]]*Table1[[#This Row],[Unit Cost]]</f>
        <v>3733380</v>
      </c>
      <c r="J428" t="str">
        <f t="shared" si="13"/>
        <v>Ok</v>
      </c>
    </row>
    <row r="429" spans="1:10" hidden="1" x14ac:dyDescent="0.3">
      <c r="A429" t="s">
        <v>864</v>
      </c>
      <c r="B429" t="s">
        <v>865</v>
      </c>
      <c r="C429" t="s">
        <v>16</v>
      </c>
      <c r="D429">
        <v>4584</v>
      </c>
      <c r="E429">
        <v>140</v>
      </c>
      <c r="F429">
        <f>SUMIFS(Purchases!$C:$C,Purchases!$B:$B,A429)</f>
        <v>563</v>
      </c>
      <c r="G429">
        <f>SUMIFS(Sales!$C:$C,Sales!$B:$B,A429)</f>
        <v>272</v>
      </c>
      <c r="H429">
        <f t="shared" si="12"/>
        <v>431</v>
      </c>
      <c r="I429">
        <f>Table1[[#This Row],[Current Stock]]*Table1[[#This Row],[Unit Cost]]</f>
        <v>1975704</v>
      </c>
      <c r="J429" t="str">
        <f t="shared" si="13"/>
        <v>Ok</v>
      </c>
    </row>
    <row r="430" spans="1:10" hidden="1" x14ac:dyDescent="0.3">
      <c r="A430" t="s">
        <v>866</v>
      </c>
      <c r="B430" t="s">
        <v>867</v>
      </c>
      <c r="C430" t="s">
        <v>10</v>
      </c>
      <c r="D430">
        <v>15008</v>
      </c>
      <c r="E430">
        <v>402</v>
      </c>
      <c r="F430">
        <f>SUMIFS(Purchases!$C:$C,Purchases!$B:$B,A430)</f>
        <v>625</v>
      </c>
      <c r="G430">
        <f>SUMIFS(Sales!$C:$C,Sales!$B:$B,A430)</f>
        <v>348</v>
      </c>
      <c r="H430">
        <f t="shared" si="12"/>
        <v>679</v>
      </c>
      <c r="I430">
        <f>Table1[[#This Row],[Current Stock]]*Table1[[#This Row],[Unit Cost]]</f>
        <v>10190432</v>
      </c>
      <c r="J430" t="str">
        <f t="shared" si="13"/>
        <v>Ok</v>
      </c>
    </row>
    <row r="431" spans="1:10" hidden="1" x14ac:dyDescent="0.3">
      <c r="A431" t="s">
        <v>868</v>
      </c>
      <c r="B431" t="s">
        <v>869</v>
      </c>
      <c r="C431" t="s">
        <v>7</v>
      </c>
      <c r="D431">
        <v>28540</v>
      </c>
      <c r="E431">
        <v>70</v>
      </c>
      <c r="F431">
        <f>SUMIFS(Purchases!$C:$C,Purchases!$B:$B,A431)</f>
        <v>477</v>
      </c>
      <c r="G431">
        <f>SUMIFS(Sales!$C:$C,Sales!$B:$B,A431)</f>
        <v>345</v>
      </c>
      <c r="H431">
        <f t="shared" si="12"/>
        <v>202</v>
      </c>
      <c r="I431">
        <f>Table1[[#This Row],[Current Stock]]*Table1[[#This Row],[Unit Cost]]</f>
        <v>5765080</v>
      </c>
      <c r="J431" t="str">
        <f t="shared" si="13"/>
        <v>Ok</v>
      </c>
    </row>
    <row r="432" spans="1:10" x14ac:dyDescent="0.3">
      <c r="A432" t="s">
        <v>870</v>
      </c>
      <c r="B432" t="s">
        <v>871</v>
      </c>
      <c r="C432" t="s">
        <v>7</v>
      </c>
      <c r="D432">
        <v>29176</v>
      </c>
      <c r="E432">
        <v>105</v>
      </c>
      <c r="F432">
        <f>SUMIFS(Purchases!$C:$C,Purchases!$B:$B,A432)</f>
        <v>350</v>
      </c>
      <c r="G432">
        <f>SUMIFS(Sales!$C:$C,Sales!$B:$B,A432)</f>
        <v>513</v>
      </c>
      <c r="H432">
        <f t="shared" si="12"/>
        <v>-58</v>
      </c>
      <c r="I432">
        <f>Table1[[#This Row],[Current Stock]]*Table1[[#This Row],[Unit Cost]]</f>
        <v>-1692208</v>
      </c>
      <c r="J432" t="str">
        <f t="shared" si="13"/>
        <v>Recorder</v>
      </c>
    </row>
    <row r="433" spans="1:10" hidden="1" x14ac:dyDescent="0.3">
      <c r="A433" t="s">
        <v>872</v>
      </c>
      <c r="B433" t="s">
        <v>873</v>
      </c>
      <c r="C433" t="s">
        <v>10</v>
      </c>
      <c r="D433">
        <v>1997</v>
      </c>
      <c r="E433">
        <v>43</v>
      </c>
      <c r="F433">
        <f>SUMIFS(Purchases!$C:$C,Purchases!$B:$B,A433)</f>
        <v>447</v>
      </c>
      <c r="G433">
        <f>SUMIFS(Sales!$C:$C,Sales!$B:$B,A433)</f>
        <v>239</v>
      </c>
      <c r="H433">
        <f t="shared" si="12"/>
        <v>251</v>
      </c>
      <c r="I433">
        <f>Table1[[#This Row],[Current Stock]]*Table1[[#This Row],[Unit Cost]]</f>
        <v>501247</v>
      </c>
      <c r="J433" t="str">
        <f t="shared" si="13"/>
        <v>Ok</v>
      </c>
    </row>
    <row r="434" spans="1:10" hidden="1" x14ac:dyDescent="0.3">
      <c r="A434" t="s">
        <v>874</v>
      </c>
      <c r="B434" t="s">
        <v>875</v>
      </c>
      <c r="C434" t="s">
        <v>10</v>
      </c>
      <c r="D434">
        <v>3777</v>
      </c>
      <c r="E434">
        <v>170</v>
      </c>
      <c r="F434">
        <f>SUMIFS(Purchases!$C:$C,Purchases!$B:$B,A434)</f>
        <v>305</v>
      </c>
      <c r="G434">
        <f>SUMIFS(Sales!$C:$C,Sales!$B:$B,A434)</f>
        <v>308</v>
      </c>
      <c r="H434">
        <f t="shared" si="12"/>
        <v>167</v>
      </c>
      <c r="I434">
        <f>Table1[[#This Row],[Current Stock]]*Table1[[#This Row],[Unit Cost]]</f>
        <v>630759</v>
      </c>
      <c r="J434" t="str">
        <f t="shared" si="13"/>
        <v>Ok</v>
      </c>
    </row>
    <row r="435" spans="1:10" hidden="1" x14ac:dyDescent="0.3">
      <c r="A435" t="s">
        <v>876</v>
      </c>
      <c r="B435" t="s">
        <v>877</v>
      </c>
      <c r="C435" t="s">
        <v>10</v>
      </c>
      <c r="D435">
        <v>24665</v>
      </c>
      <c r="E435">
        <v>240</v>
      </c>
      <c r="F435">
        <f>SUMIFS(Purchases!$C:$C,Purchases!$B:$B,A435)</f>
        <v>646</v>
      </c>
      <c r="G435">
        <f>SUMIFS(Sales!$C:$C,Sales!$B:$B,A435)</f>
        <v>322</v>
      </c>
      <c r="H435">
        <f t="shared" si="12"/>
        <v>564</v>
      </c>
      <c r="I435">
        <f>Table1[[#This Row],[Current Stock]]*Table1[[#This Row],[Unit Cost]]</f>
        <v>13911060</v>
      </c>
      <c r="J435" t="str">
        <f t="shared" si="13"/>
        <v>Ok</v>
      </c>
    </row>
    <row r="436" spans="1:10" hidden="1" x14ac:dyDescent="0.3">
      <c r="A436" t="s">
        <v>878</v>
      </c>
      <c r="B436" t="s">
        <v>879</v>
      </c>
      <c r="C436" t="s">
        <v>13</v>
      </c>
      <c r="D436">
        <v>16103</v>
      </c>
      <c r="E436">
        <v>291</v>
      </c>
      <c r="F436">
        <f>SUMIFS(Purchases!$C:$C,Purchases!$B:$B,A436)</f>
        <v>428</v>
      </c>
      <c r="G436">
        <f>SUMIFS(Sales!$C:$C,Sales!$B:$B,A436)</f>
        <v>240</v>
      </c>
      <c r="H436">
        <f t="shared" si="12"/>
        <v>479</v>
      </c>
      <c r="I436">
        <f>Table1[[#This Row],[Current Stock]]*Table1[[#This Row],[Unit Cost]]</f>
        <v>7713337</v>
      </c>
      <c r="J436" t="str">
        <f t="shared" si="13"/>
        <v>Ok</v>
      </c>
    </row>
    <row r="437" spans="1:10" hidden="1" x14ac:dyDescent="0.3">
      <c r="A437" t="s">
        <v>880</v>
      </c>
      <c r="B437" t="s">
        <v>881</v>
      </c>
      <c r="C437" t="s">
        <v>19</v>
      </c>
      <c r="D437">
        <v>37188</v>
      </c>
      <c r="E437">
        <v>369</v>
      </c>
      <c r="F437">
        <f>SUMIFS(Purchases!$C:$C,Purchases!$B:$B,A437)</f>
        <v>416</v>
      </c>
      <c r="G437">
        <f>SUMIFS(Sales!$C:$C,Sales!$B:$B,A437)</f>
        <v>268</v>
      </c>
      <c r="H437">
        <f t="shared" si="12"/>
        <v>517</v>
      </c>
      <c r="I437">
        <f>Table1[[#This Row],[Current Stock]]*Table1[[#This Row],[Unit Cost]]</f>
        <v>19226196</v>
      </c>
      <c r="J437" t="str">
        <f t="shared" si="13"/>
        <v>Ok</v>
      </c>
    </row>
    <row r="438" spans="1:10" hidden="1" x14ac:dyDescent="0.3">
      <c r="A438" t="s">
        <v>882</v>
      </c>
      <c r="B438" t="s">
        <v>883</v>
      </c>
      <c r="C438" t="s">
        <v>13</v>
      </c>
      <c r="D438">
        <v>11240</v>
      </c>
      <c r="E438">
        <v>109</v>
      </c>
      <c r="F438">
        <f>SUMIFS(Purchases!$C:$C,Purchases!$B:$B,A438)</f>
        <v>521</v>
      </c>
      <c r="G438">
        <f>SUMIFS(Sales!$C:$C,Sales!$B:$B,A438)</f>
        <v>423</v>
      </c>
      <c r="H438">
        <f t="shared" si="12"/>
        <v>207</v>
      </c>
      <c r="I438">
        <f>Table1[[#This Row],[Current Stock]]*Table1[[#This Row],[Unit Cost]]</f>
        <v>2326680</v>
      </c>
      <c r="J438" t="str">
        <f t="shared" si="13"/>
        <v>Ok</v>
      </c>
    </row>
    <row r="439" spans="1:10" hidden="1" x14ac:dyDescent="0.3">
      <c r="A439" t="s">
        <v>884</v>
      </c>
      <c r="B439" t="s">
        <v>885</v>
      </c>
      <c r="C439" t="s">
        <v>7</v>
      </c>
      <c r="D439">
        <v>40043</v>
      </c>
      <c r="E439">
        <v>465</v>
      </c>
      <c r="F439">
        <f>SUMIFS(Purchases!$C:$C,Purchases!$B:$B,A439)</f>
        <v>372</v>
      </c>
      <c r="G439">
        <f>SUMIFS(Sales!$C:$C,Sales!$B:$B,A439)</f>
        <v>413</v>
      </c>
      <c r="H439">
        <f t="shared" si="12"/>
        <v>424</v>
      </c>
      <c r="I439">
        <f>Table1[[#This Row],[Current Stock]]*Table1[[#This Row],[Unit Cost]]</f>
        <v>16978232</v>
      </c>
      <c r="J439" t="str">
        <f t="shared" si="13"/>
        <v>Ok</v>
      </c>
    </row>
    <row r="440" spans="1:10" hidden="1" x14ac:dyDescent="0.3">
      <c r="A440" t="s">
        <v>886</v>
      </c>
      <c r="B440" t="s">
        <v>887</v>
      </c>
      <c r="C440" t="s">
        <v>19</v>
      </c>
      <c r="D440">
        <v>40713</v>
      </c>
      <c r="E440">
        <v>369</v>
      </c>
      <c r="F440">
        <f>SUMIFS(Purchases!$C:$C,Purchases!$B:$B,A440)</f>
        <v>520</v>
      </c>
      <c r="G440">
        <f>SUMIFS(Sales!$C:$C,Sales!$B:$B,A440)</f>
        <v>585</v>
      </c>
      <c r="H440">
        <f t="shared" si="12"/>
        <v>304</v>
      </c>
      <c r="I440">
        <f>Table1[[#This Row],[Current Stock]]*Table1[[#This Row],[Unit Cost]]</f>
        <v>12376752</v>
      </c>
      <c r="J440" t="str">
        <f t="shared" si="13"/>
        <v>Ok</v>
      </c>
    </row>
    <row r="441" spans="1:10" hidden="1" x14ac:dyDescent="0.3">
      <c r="A441" t="s">
        <v>888</v>
      </c>
      <c r="B441" t="s">
        <v>889</v>
      </c>
      <c r="C441" t="s">
        <v>13</v>
      </c>
      <c r="D441">
        <v>32715</v>
      </c>
      <c r="E441">
        <v>487</v>
      </c>
      <c r="F441">
        <f>SUMIFS(Purchases!$C:$C,Purchases!$B:$B,A441)</f>
        <v>403</v>
      </c>
      <c r="G441">
        <f>SUMIFS(Sales!$C:$C,Sales!$B:$B,A441)</f>
        <v>490</v>
      </c>
      <c r="H441">
        <f t="shared" si="12"/>
        <v>400</v>
      </c>
      <c r="I441">
        <f>Table1[[#This Row],[Current Stock]]*Table1[[#This Row],[Unit Cost]]</f>
        <v>13086000</v>
      </c>
      <c r="J441" t="str">
        <f t="shared" si="13"/>
        <v>Ok</v>
      </c>
    </row>
    <row r="442" spans="1:10" hidden="1" x14ac:dyDescent="0.3">
      <c r="A442" t="s">
        <v>890</v>
      </c>
      <c r="B442" t="s">
        <v>891</v>
      </c>
      <c r="C442" t="s">
        <v>16</v>
      </c>
      <c r="D442">
        <v>9479</v>
      </c>
      <c r="E442">
        <v>138</v>
      </c>
      <c r="F442">
        <f>SUMIFS(Purchases!$C:$C,Purchases!$B:$B,A442)</f>
        <v>626</v>
      </c>
      <c r="G442">
        <f>SUMIFS(Sales!$C:$C,Sales!$B:$B,A442)</f>
        <v>248</v>
      </c>
      <c r="H442">
        <f t="shared" si="12"/>
        <v>516</v>
      </c>
      <c r="I442">
        <f>Table1[[#This Row],[Current Stock]]*Table1[[#This Row],[Unit Cost]]</f>
        <v>4891164</v>
      </c>
      <c r="J442" t="str">
        <f t="shared" si="13"/>
        <v>Ok</v>
      </c>
    </row>
    <row r="443" spans="1:10" hidden="1" x14ac:dyDescent="0.3">
      <c r="A443" t="s">
        <v>892</v>
      </c>
      <c r="B443" t="s">
        <v>893</v>
      </c>
      <c r="C443" t="s">
        <v>19</v>
      </c>
      <c r="D443">
        <v>41905</v>
      </c>
      <c r="E443">
        <v>150</v>
      </c>
      <c r="F443">
        <f>SUMIFS(Purchases!$C:$C,Purchases!$B:$B,A443)</f>
        <v>609</v>
      </c>
      <c r="G443">
        <f>SUMIFS(Sales!$C:$C,Sales!$B:$B,A443)</f>
        <v>332</v>
      </c>
      <c r="H443">
        <f t="shared" si="12"/>
        <v>427</v>
      </c>
      <c r="I443">
        <f>Table1[[#This Row],[Current Stock]]*Table1[[#This Row],[Unit Cost]]</f>
        <v>17893435</v>
      </c>
      <c r="J443" t="str">
        <f t="shared" si="13"/>
        <v>Ok</v>
      </c>
    </row>
    <row r="444" spans="1:10" hidden="1" x14ac:dyDescent="0.3">
      <c r="A444" t="s">
        <v>894</v>
      </c>
      <c r="B444" t="s">
        <v>895</v>
      </c>
      <c r="C444" t="s">
        <v>19</v>
      </c>
      <c r="D444">
        <v>16833</v>
      </c>
      <c r="E444">
        <v>361</v>
      </c>
      <c r="F444">
        <f>SUMIFS(Purchases!$C:$C,Purchases!$B:$B,A444)</f>
        <v>633</v>
      </c>
      <c r="G444">
        <f>SUMIFS(Sales!$C:$C,Sales!$B:$B,A444)</f>
        <v>237</v>
      </c>
      <c r="H444">
        <f t="shared" si="12"/>
        <v>757</v>
      </c>
      <c r="I444">
        <f>Table1[[#This Row],[Current Stock]]*Table1[[#This Row],[Unit Cost]]</f>
        <v>12742581</v>
      </c>
      <c r="J444" t="str">
        <f t="shared" si="13"/>
        <v>Ok</v>
      </c>
    </row>
    <row r="445" spans="1:10" hidden="1" x14ac:dyDescent="0.3">
      <c r="A445" t="s">
        <v>896</v>
      </c>
      <c r="B445" t="s">
        <v>897</v>
      </c>
      <c r="C445" t="s">
        <v>7</v>
      </c>
      <c r="D445">
        <v>30590</v>
      </c>
      <c r="E445">
        <v>481</v>
      </c>
      <c r="F445">
        <f>SUMIFS(Purchases!$C:$C,Purchases!$B:$B,A445)</f>
        <v>443</v>
      </c>
      <c r="G445">
        <f>SUMIFS(Sales!$C:$C,Sales!$B:$B,A445)</f>
        <v>273</v>
      </c>
      <c r="H445">
        <f t="shared" si="12"/>
        <v>651</v>
      </c>
      <c r="I445">
        <f>Table1[[#This Row],[Current Stock]]*Table1[[#This Row],[Unit Cost]]</f>
        <v>19914090</v>
      </c>
      <c r="J445" t="str">
        <f t="shared" si="13"/>
        <v>Ok</v>
      </c>
    </row>
    <row r="446" spans="1:10" hidden="1" x14ac:dyDescent="0.3">
      <c r="A446" t="s">
        <v>898</v>
      </c>
      <c r="B446" t="s">
        <v>899</v>
      </c>
      <c r="C446" t="s">
        <v>10</v>
      </c>
      <c r="D446">
        <v>44507</v>
      </c>
      <c r="E446">
        <v>299</v>
      </c>
      <c r="F446">
        <f>SUMIFS(Purchases!$C:$C,Purchases!$B:$B,A446)</f>
        <v>1020</v>
      </c>
      <c r="G446">
        <f>SUMIFS(Sales!$C:$C,Sales!$B:$B,A446)</f>
        <v>343</v>
      </c>
      <c r="H446">
        <f t="shared" si="12"/>
        <v>976</v>
      </c>
      <c r="I446">
        <f>Table1[[#This Row],[Current Stock]]*Table1[[#This Row],[Unit Cost]]</f>
        <v>43438832</v>
      </c>
      <c r="J446" t="str">
        <f t="shared" si="13"/>
        <v>Ok</v>
      </c>
    </row>
    <row r="447" spans="1:10" x14ac:dyDescent="0.3">
      <c r="A447" t="s">
        <v>900</v>
      </c>
      <c r="B447" t="s">
        <v>901</v>
      </c>
      <c r="C447" t="s">
        <v>13</v>
      </c>
      <c r="D447">
        <v>4940</v>
      </c>
      <c r="E447">
        <v>246</v>
      </c>
      <c r="F447">
        <f>SUMIFS(Purchases!$C:$C,Purchases!$B:$B,A447)</f>
        <v>260</v>
      </c>
      <c r="G447">
        <f>SUMIFS(Sales!$C:$C,Sales!$B:$B,A447)</f>
        <v>507</v>
      </c>
      <c r="H447">
        <f t="shared" si="12"/>
        <v>-1</v>
      </c>
      <c r="I447">
        <f>Table1[[#This Row],[Current Stock]]*Table1[[#This Row],[Unit Cost]]</f>
        <v>-4940</v>
      </c>
      <c r="J447" t="str">
        <f t="shared" si="13"/>
        <v>Recorder</v>
      </c>
    </row>
    <row r="448" spans="1:10" hidden="1" x14ac:dyDescent="0.3">
      <c r="A448" t="s">
        <v>902</v>
      </c>
      <c r="B448" t="s">
        <v>903</v>
      </c>
      <c r="C448" t="s">
        <v>10</v>
      </c>
      <c r="D448">
        <v>38607</v>
      </c>
      <c r="E448">
        <v>173</v>
      </c>
      <c r="F448">
        <f>SUMIFS(Purchases!$C:$C,Purchases!$B:$B,A448)</f>
        <v>621</v>
      </c>
      <c r="G448">
        <f>SUMIFS(Sales!$C:$C,Sales!$B:$B,A448)</f>
        <v>195</v>
      </c>
      <c r="H448">
        <f t="shared" si="12"/>
        <v>599</v>
      </c>
      <c r="I448">
        <f>Table1[[#This Row],[Current Stock]]*Table1[[#This Row],[Unit Cost]]</f>
        <v>23125593</v>
      </c>
      <c r="J448" t="str">
        <f t="shared" si="13"/>
        <v>Ok</v>
      </c>
    </row>
    <row r="449" spans="1:10" hidden="1" x14ac:dyDescent="0.3">
      <c r="A449" t="s">
        <v>904</v>
      </c>
      <c r="B449" t="s">
        <v>905</v>
      </c>
      <c r="C449" t="s">
        <v>19</v>
      </c>
      <c r="D449">
        <v>45340</v>
      </c>
      <c r="E449">
        <v>148</v>
      </c>
      <c r="F449">
        <f>SUMIFS(Purchases!$C:$C,Purchases!$B:$B,A449)</f>
        <v>526</v>
      </c>
      <c r="G449">
        <f>SUMIFS(Sales!$C:$C,Sales!$B:$B,A449)</f>
        <v>375</v>
      </c>
      <c r="H449">
        <f t="shared" si="12"/>
        <v>299</v>
      </c>
      <c r="I449">
        <f>Table1[[#This Row],[Current Stock]]*Table1[[#This Row],[Unit Cost]]</f>
        <v>13556660</v>
      </c>
      <c r="J449" t="str">
        <f t="shared" si="13"/>
        <v>Ok</v>
      </c>
    </row>
    <row r="450" spans="1:10" hidden="1" x14ac:dyDescent="0.3">
      <c r="A450" t="s">
        <v>906</v>
      </c>
      <c r="B450" t="s">
        <v>907</v>
      </c>
      <c r="C450" t="s">
        <v>19</v>
      </c>
      <c r="D450">
        <v>19899</v>
      </c>
      <c r="E450">
        <v>121</v>
      </c>
      <c r="F450">
        <f>SUMIFS(Purchases!$C:$C,Purchases!$B:$B,A450)</f>
        <v>368</v>
      </c>
      <c r="G450">
        <f>SUMIFS(Sales!$C:$C,Sales!$B:$B,A450)</f>
        <v>434</v>
      </c>
      <c r="H450">
        <f t="shared" ref="H450:H501" si="14">E450+F450-G450</f>
        <v>55</v>
      </c>
      <c r="I450">
        <f>Table1[[#This Row],[Current Stock]]*Table1[[#This Row],[Unit Cost]]</f>
        <v>1094445</v>
      </c>
      <c r="J450" t="str">
        <f t="shared" ref="J450:J501" si="15">IF(H450&lt;50,"Recorder","Ok")</f>
        <v>Ok</v>
      </c>
    </row>
    <row r="451" spans="1:10" hidden="1" x14ac:dyDescent="0.3">
      <c r="A451" t="s">
        <v>908</v>
      </c>
      <c r="B451" t="s">
        <v>909</v>
      </c>
      <c r="C451" t="s">
        <v>19</v>
      </c>
      <c r="D451">
        <v>31767</v>
      </c>
      <c r="E451">
        <v>74</v>
      </c>
      <c r="F451">
        <f>SUMIFS(Purchases!$C:$C,Purchases!$B:$B,A451)</f>
        <v>877</v>
      </c>
      <c r="G451">
        <f>SUMIFS(Sales!$C:$C,Sales!$B:$B,A451)</f>
        <v>291</v>
      </c>
      <c r="H451">
        <f t="shared" si="14"/>
        <v>660</v>
      </c>
      <c r="I451">
        <f>Table1[[#This Row],[Current Stock]]*Table1[[#This Row],[Unit Cost]]</f>
        <v>20966220</v>
      </c>
      <c r="J451" t="str">
        <f t="shared" si="15"/>
        <v>Ok</v>
      </c>
    </row>
    <row r="452" spans="1:10" hidden="1" x14ac:dyDescent="0.3">
      <c r="A452" t="s">
        <v>910</v>
      </c>
      <c r="B452" t="s">
        <v>911</v>
      </c>
      <c r="C452" t="s">
        <v>13</v>
      </c>
      <c r="D452">
        <v>25093</v>
      </c>
      <c r="E452">
        <v>312</v>
      </c>
      <c r="F452">
        <f>SUMIFS(Purchases!$C:$C,Purchases!$B:$B,A452)</f>
        <v>581</v>
      </c>
      <c r="G452">
        <f>SUMIFS(Sales!$C:$C,Sales!$B:$B,A452)</f>
        <v>479</v>
      </c>
      <c r="H452">
        <f t="shared" si="14"/>
        <v>414</v>
      </c>
      <c r="I452">
        <f>Table1[[#This Row],[Current Stock]]*Table1[[#This Row],[Unit Cost]]</f>
        <v>10388502</v>
      </c>
      <c r="J452" t="str">
        <f t="shared" si="15"/>
        <v>Ok</v>
      </c>
    </row>
    <row r="453" spans="1:10" hidden="1" x14ac:dyDescent="0.3">
      <c r="A453" t="s">
        <v>912</v>
      </c>
      <c r="B453" t="s">
        <v>913</v>
      </c>
      <c r="C453" t="s">
        <v>10</v>
      </c>
      <c r="D453">
        <v>37770</v>
      </c>
      <c r="E453">
        <v>171</v>
      </c>
      <c r="F453">
        <f>SUMIFS(Purchases!$C:$C,Purchases!$B:$B,A453)</f>
        <v>385</v>
      </c>
      <c r="G453">
        <f>SUMIFS(Sales!$C:$C,Sales!$B:$B,A453)</f>
        <v>461</v>
      </c>
      <c r="H453">
        <f t="shared" si="14"/>
        <v>95</v>
      </c>
      <c r="I453">
        <f>Table1[[#This Row],[Current Stock]]*Table1[[#This Row],[Unit Cost]]</f>
        <v>3588150</v>
      </c>
      <c r="J453" t="str">
        <f t="shared" si="15"/>
        <v>Ok</v>
      </c>
    </row>
    <row r="454" spans="1:10" hidden="1" x14ac:dyDescent="0.3">
      <c r="A454" t="s">
        <v>914</v>
      </c>
      <c r="B454" t="s">
        <v>915</v>
      </c>
      <c r="C454" t="s">
        <v>10</v>
      </c>
      <c r="D454">
        <v>1537</v>
      </c>
      <c r="E454">
        <v>444</v>
      </c>
      <c r="F454">
        <f>SUMIFS(Purchases!$C:$C,Purchases!$B:$B,A454)</f>
        <v>511</v>
      </c>
      <c r="G454">
        <f>SUMIFS(Sales!$C:$C,Sales!$B:$B,A454)</f>
        <v>426</v>
      </c>
      <c r="H454">
        <f t="shared" si="14"/>
        <v>529</v>
      </c>
      <c r="I454">
        <f>Table1[[#This Row],[Current Stock]]*Table1[[#This Row],[Unit Cost]]</f>
        <v>813073</v>
      </c>
      <c r="J454" t="str">
        <f t="shared" si="15"/>
        <v>Ok</v>
      </c>
    </row>
    <row r="455" spans="1:10" x14ac:dyDescent="0.3">
      <c r="A455" t="s">
        <v>916</v>
      </c>
      <c r="B455" t="s">
        <v>917</v>
      </c>
      <c r="C455" t="s">
        <v>19</v>
      </c>
      <c r="D455">
        <v>18088</v>
      </c>
      <c r="E455">
        <v>24</v>
      </c>
      <c r="F455">
        <f>SUMIFS(Purchases!$C:$C,Purchases!$B:$B,A455)</f>
        <v>247</v>
      </c>
      <c r="G455">
        <f>SUMIFS(Sales!$C:$C,Sales!$B:$B,A455)</f>
        <v>334</v>
      </c>
      <c r="H455">
        <f t="shared" si="14"/>
        <v>-63</v>
      </c>
      <c r="I455">
        <f>Table1[[#This Row],[Current Stock]]*Table1[[#This Row],[Unit Cost]]</f>
        <v>-1139544</v>
      </c>
      <c r="J455" t="str">
        <f t="shared" si="15"/>
        <v>Recorder</v>
      </c>
    </row>
    <row r="456" spans="1:10" hidden="1" x14ac:dyDescent="0.3">
      <c r="A456" t="s">
        <v>918</v>
      </c>
      <c r="B456" t="s">
        <v>919</v>
      </c>
      <c r="C456" t="s">
        <v>16</v>
      </c>
      <c r="D456">
        <v>45044</v>
      </c>
      <c r="E456">
        <v>418</v>
      </c>
      <c r="F456">
        <f>SUMIFS(Purchases!$C:$C,Purchases!$B:$B,A456)</f>
        <v>427</v>
      </c>
      <c r="G456">
        <f>SUMIFS(Sales!$C:$C,Sales!$B:$B,A456)</f>
        <v>360</v>
      </c>
      <c r="H456">
        <f t="shared" si="14"/>
        <v>485</v>
      </c>
      <c r="I456">
        <f>Table1[[#This Row],[Current Stock]]*Table1[[#This Row],[Unit Cost]]</f>
        <v>21846340</v>
      </c>
      <c r="J456" t="str">
        <f t="shared" si="15"/>
        <v>Ok</v>
      </c>
    </row>
    <row r="457" spans="1:10" hidden="1" x14ac:dyDescent="0.3">
      <c r="A457" t="s">
        <v>920</v>
      </c>
      <c r="B457" t="s">
        <v>921</v>
      </c>
      <c r="C457" t="s">
        <v>7</v>
      </c>
      <c r="D457">
        <v>39841</v>
      </c>
      <c r="E457">
        <v>401</v>
      </c>
      <c r="F457">
        <f>SUMIFS(Purchases!$C:$C,Purchases!$B:$B,A457)</f>
        <v>406</v>
      </c>
      <c r="G457">
        <f>SUMIFS(Sales!$C:$C,Sales!$B:$B,A457)</f>
        <v>311</v>
      </c>
      <c r="H457">
        <f t="shared" si="14"/>
        <v>496</v>
      </c>
      <c r="I457">
        <f>Table1[[#This Row],[Current Stock]]*Table1[[#This Row],[Unit Cost]]</f>
        <v>19761136</v>
      </c>
      <c r="J457" t="str">
        <f t="shared" si="15"/>
        <v>Ok</v>
      </c>
    </row>
    <row r="458" spans="1:10" hidden="1" x14ac:dyDescent="0.3">
      <c r="A458" t="s">
        <v>922</v>
      </c>
      <c r="B458" t="s">
        <v>923</v>
      </c>
      <c r="C458" t="s">
        <v>19</v>
      </c>
      <c r="D458">
        <v>18856</v>
      </c>
      <c r="E458">
        <v>417</v>
      </c>
      <c r="F458">
        <f>SUMIFS(Purchases!$C:$C,Purchases!$B:$B,A458)</f>
        <v>403</v>
      </c>
      <c r="G458">
        <f>SUMIFS(Sales!$C:$C,Sales!$B:$B,A458)</f>
        <v>323</v>
      </c>
      <c r="H458">
        <f t="shared" si="14"/>
        <v>497</v>
      </c>
      <c r="I458">
        <f>Table1[[#This Row],[Current Stock]]*Table1[[#This Row],[Unit Cost]]</f>
        <v>9371432</v>
      </c>
      <c r="J458" t="str">
        <f t="shared" si="15"/>
        <v>Ok</v>
      </c>
    </row>
    <row r="459" spans="1:10" hidden="1" x14ac:dyDescent="0.3">
      <c r="A459" t="s">
        <v>924</v>
      </c>
      <c r="B459" t="s">
        <v>925</v>
      </c>
      <c r="C459" t="s">
        <v>13</v>
      </c>
      <c r="D459">
        <v>39884</v>
      </c>
      <c r="E459">
        <v>430</v>
      </c>
      <c r="F459">
        <f>SUMIFS(Purchases!$C:$C,Purchases!$B:$B,A459)</f>
        <v>704</v>
      </c>
      <c r="G459">
        <f>SUMIFS(Sales!$C:$C,Sales!$B:$B,A459)</f>
        <v>334</v>
      </c>
      <c r="H459">
        <f t="shared" si="14"/>
        <v>800</v>
      </c>
      <c r="I459">
        <f>Table1[[#This Row],[Current Stock]]*Table1[[#This Row],[Unit Cost]]</f>
        <v>31907200</v>
      </c>
      <c r="J459" t="str">
        <f t="shared" si="15"/>
        <v>Ok</v>
      </c>
    </row>
    <row r="460" spans="1:10" hidden="1" x14ac:dyDescent="0.3">
      <c r="A460" t="s">
        <v>926</v>
      </c>
      <c r="B460" t="s">
        <v>927</v>
      </c>
      <c r="C460" t="s">
        <v>10</v>
      </c>
      <c r="D460">
        <v>14452</v>
      </c>
      <c r="E460">
        <v>345</v>
      </c>
      <c r="F460">
        <f>SUMIFS(Purchases!$C:$C,Purchases!$B:$B,A460)</f>
        <v>622</v>
      </c>
      <c r="G460">
        <f>SUMIFS(Sales!$C:$C,Sales!$B:$B,A460)</f>
        <v>273</v>
      </c>
      <c r="H460">
        <f t="shared" si="14"/>
        <v>694</v>
      </c>
      <c r="I460">
        <f>Table1[[#This Row],[Current Stock]]*Table1[[#This Row],[Unit Cost]]</f>
        <v>10029688</v>
      </c>
      <c r="J460" t="str">
        <f t="shared" si="15"/>
        <v>Ok</v>
      </c>
    </row>
    <row r="461" spans="1:10" hidden="1" x14ac:dyDescent="0.3">
      <c r="A461" t="s">
        <v>928</v>
      </c>
      <c r="B461" t="s">
        <v>929</v>
      </c>
      <c r="C461" t="s">
        <v>13</v>
      </c>
      <c r="D461">
        <v>40790</v>
      </c>
      <c r="E461">
        <v>148</v>
      </c>
      <c r="F461">
        <f>SUMIFS(Purchases!$C:$C,Purchases!$B:$B,A461)</f>
        <v>786</v>
      </c>
      <c r="G461">
        <f>SUMIFS(Sales!$C:$C,Sales!$B:$B,A461)</f>
        <v>551</v>
      </c>
      <c r="H461">
        <f t="shared" si="14"/>
        <v>383</v>
      </c>
      <c r="I461">
        <f>Table1[[#This Row],[Current Stock]]*Table1[[#This Row],[Unit Cost]]</f>
        <v>15622570</v>
      </c>
      <c r="J461" t="str">
        <f t="shared" si="15"/>
        <v>Ok</v>
      </c>
    </row>
    <row r="462" spans="1:10" hidden="1" x14ac:dyDescent="0.3">
      <c r="A462" t="s">
        <v>930</v>
      </c>
      <c r="B462" t="s">
        <v>931</v>
      </c>
      <c r="C462" t="s">
        <v>13</v>
      </c>
      <c r="D462">
        <v>41272</v>
      </c>
      <c r="E462">
        <v>69</v>
      </c>
      <c r="F462">
        <f>SUMIFS(Purchases!$C:$C,Purchases!$B:$B,A462)</f>
        <v>453</v>
      </c>
      <c r="G462">
        <f>SUMIFS(Sales!$C:$C,Sales!$B:$B,A462)</f>
        <v>312</v>
      </c>
      <c r="H462">
        <f t="shared" si="14"/>
        <v>210</v>
      </c>
      <c r="I462">
        <f>Table1[[#This Row],[Current Stock]]*Table1[[#This Row],[Unit Cost]]</f>
        <v>8667120</v>
      </c>
      <c r="J462" t="str">
        <f t="shared" si="15"/>
        <v>Ok</v>
      </c>
    </row>
    <row r="463" spans="1:10" hidden="1" x14ac:dyDescent="0.3">
      <c r="A463" t="s">
        <v>932</v>
      </c>
      <c r="B463" t="s">
        <v>933</v>
      </c>
      <c r="C463" t="s">
        <v>7</v>
      </c>
      <c r="D463">
        <v>20346</v>
      </c>
      <c r="E463">
        <v>423</v>
      </c>
      <c r="F463">
        <f>SUMIFS(Purchases!$C:$C,Purchases!$B:$B,A463)</f>
        <v>545</v>
      </c>
      <c r="G463">
        <f>SUMIFS(Sales!$C:$C,Sales!$B:$B,A463)</f>
        <v>262</v>
      </c>
      <c r="H463">
        <f t="shared" si="14"/>
        <v>706</v>
      </c>
      <c r="I463">
        <f>Table1[[#This Row],[Current Stock]]*Table1[[#This Row],[Unit Cost]]</f>
        <v>14364276</v>
      </c>
      <c r="J463" t="str">
        <f t="shared" si="15"/>
        <v>Ok</v>
      </c>
    </row>
    <row r="464" spans="1:10" hidden="1" x14ac:dyDescent="0.3">
      <c r="A464" t="s">
        <v>934</v>
      </c>
      <c r="B464" t="s">
        <v>935</v>
      </c>
      <c r="C464" t="s">
        <v>19</v>
      </c>
      <c r="D464">
        <v>2286</v>
      </c>
      <c r="E464">
        <v>316</v>
      </c>
      <c r="F464">
        <f>SUMIFS(Purchases!$C:$C,Purchases!$B:$B,A464)</f>
        <v>740</v>
      </c>
      <c r="G464">
        <f>SUMIFS(Sales!$C:$C,Sales!$B:$B,A464)</f>
        <v>223</v>
      </c>
      <c r="H464">
        <f t="shared" si="14"/>
        <v>833</v>
      </c>
      <c r="I464">
        <f>Table1[[#This Row],[Current Stock]]*Table1[[#This Row],[Unit Cost]]</f>
        <v>1904238</v>
      </c>
      <c r="J464" t="str">
        <f t="shared" si="15"/>
        <v>Ok</v>
      </c>
    </row>
    <row r="465" spans="1:10" hidden="1" x14ac:dyDescent="0.3">
      <c r="A465" t="s">
        <v>936</v>
      </c>
      <c r="B465" t="s">
        <v>937</v>
      </c>
      <c r="C465" t="s">
        <v>10</v>
      </c>
      <c r="D465">
        <v>48095</v>
      </c>
      <c r="E465">
        <v>87</v>
      </c>
      <c r="F465">
        <f>SUMIFS(Purchases!$C:$C,Purchases!$B:$B,A465)</f>
        <v>471</v>
      </c>
      <c r="G465">
        <f>SUMIFS(Sales!$C:$C,Sales!$B:$B,A465)</f>
        <v>264</v>
      </c>
      <c r="H465">
        <f t="shared" si="14"/>
        <v>294</v>
      </c>
      <c r="I465">
        <f>Table1[[#This Row],[Current Stock]]*Table1[[#This Row],[Unit Cost]]</f>
        <v>14139930</v>
      </c>
      <c r="J465" t="str">
        <f t="shared" si="15"/>
        <v>Ok</v>
      </c>
    </row>
    <row r="466" spans="1:10" hidden="1" x14ac:dyDescent="0.3">
      <c r="A466" t="s">
        <v>938</v>
      </c>
      <c r="B466" t="s">
        <v>939</v>
      </c>
      <c r="C466" t="s">
        <v>7</v>
      </c>
      <c r="D466">
        <v>19440</v>
      </c>
      <c r="E466">
        <v>187</v>
      </c>
      <c r="F466">
        <f>SUMIFS(Purchases!$C:$C,Purchases!$B:$B,A466)</f>
        <v>235</v>
      </c>
      <c r="G466">
        <f>SUMIFS(Sales!$C:$C,Sales!$B:$B,A466)</f>
        <v>192</v>
      </c>
      <c r="H466">
        <f t="shared" si="14"/>
        <v>230</v>
      </c>
      <c r="I466">
        <f>Table1[[#This Row],[Current Stock]]*Table1[[#This Row],[Unit Cost]]</f>
        <v>4471200</v>
      </c>
      <c r="J466" t="str">
        <f t="shared" si="15"/>
        <v>Ok</v>
      </c>
    </row>
    <row r="467" spans="1:10" hidden="1" x14ac:dyDescent="0.3">
      <c r="A467" t="s">
        <v>940</v>
      </c>
      <c r="B467" t="s">
        <v>941</v>
      </c>
      <c r="C467" t="s">
        <v>19</v>
      </c>
      <c r="D467">
        <v>11610</v>
      </c>
      <c r="E467">
        <v>122</v>
      </c>
      <c r="F467">
        <f>SUMIFS(Purchases!$C:$C,Purchases!$B:$B,A467)</f>
        <v>426</v>
      </c>
      <c r="G467">
        <f>SUMIFS(Sales!$C:$C,Sales!$B:$B,A467)</f>
        <v>285</v>
      </c>
      <c r="H467">
        <f t="shared" si="14"/>
        <v>263</v>
      </c>
      <c r="I467">
        <f>Table1[[#This Row],[Current Stock]]*Table1[[#This Row],[Unit Cost]]</f>
        <v>3053430</v>
      </c>
      <c r="J467" t="str">
        <f t="shared" si="15"/>
        <v>Ok</v>
      </c>
    </row>
    <row r="468" spans="1:10" hidden="1" x14ac:dyDescent="0.3">
      <c r="A468" t="s">
        <v>942</v>
      </c>
      <c r="B468" t="s">
        <v>943</v>
      </c>
      <c r="C468" t="s">
        <v>13</v>
      </c>
      <c r="D468">
        <v>35450</v>
      </c>
      <c r="E468">
        <v>468</v>
      </c>
      <c r="F468">
        <f>SUMIFS(Purchases!$C:$C,Purchases!$B:$B,A468)</f>
        <v>514</v>
      </c>
      <c r="G468">
        <f>SUMIFS(Sales!$C:$C,Sales!$B:$B,A468)</f>
        <v>628</v>
      </c>
      <c r="H468">
        <f t="shared" si="14"/>
        <v>354</v>
      </c>
      <c r="I468">
        <f>Table1[[#This Row],[Current Stock]]*Table1[[#This Row],[Unit Cost]]</f>
        <v>12549300</v>
      </c>
      <c r="J468" t="str">
        <f t="shared" si="15"/>
        <v>Ok</v>
      </c>
    </row>
    <row r="469" spans="1:10" hidden="1" x14ac:dyDescent="0.3">
      <c r="A469" t="s">
        <v>944</v>
      </c>
      <c r="B469" t="s">
        <v>945</v>
      </c>
      <c r="C469" t="s">
        <v>10</v>
      </c>
      <c r="D469">
        <v>34889</v>
      </c>
      <c r="E469">
        <v>276</v>
      </c>
      <c r="F469">
        <f>SUMIFS(Purchases!$C:$C,Purchases!$B:$B,A469)</f>
        <v>451</v>
      </c>
      <c r="G469">
        <f>SUMIFS(Sales!$C:$C,Sales!$B:$B,A469)</f>
        <v>461</v>
      </c>
      <c r="H469">
        <f t="shared" si="14"/>
        <v>266</v>
      </c>
      <c r="I469">
        <f>Table1[[#This Row],[Current Stock]]*Table1[[#This Row],[Unit Cost]]</f>
        <v>9280474</v>
      </c>
      <c r="J469" t="str">
        <f t="shared" si="15"/>
        <v>Ok</v>
      </c>
    </row>
    <row r="470" spans="1:10" hidden="1" x14ac:dyDescent="0.3">
      <c r="A470" t="s">
        <v>946</v>
      </c>
      <c r="B470" t="s">
        <v>947</v>
      </c>
      <c r="C470" t="s">
        <v>10</v>
      </c>
      <c r="D470">
        <v>10883</v>
      </c>
      <c r="E470">
        <v>151</v>
      </c>
      <c r="F470">
        <f>SUMIFS(Purchases!$C:$C,Purchases!$B:$B,A470)</f>
        <v>454</v>
      </c>
      <c r="G470">
        <f>SUMIFS(Sales!$C:$C,Sales!$B:$B,A470)</f>
        <v>135</v>
      </c>
      <c r="H470">
        <f t="shared" si="14"/>
        <v>470</v>
      </c>
      <c r="I470">
        <f>Table1[[#This Row],[Current Stock]]*Table1[[#This Row],[Unit Cost]]</f>
        <v>5115010</v>
      </c>
      <c r="J470" t="str">
        <f t="shared" si="15"/>
        <v>Ok</v>
      </c>
    </row>
    <row r="471" spans="1:10" hidden="1" x14ac:dyDescent="0.3">
      <c r="A471" t="s">
        <v>948</v>
      </c>
      <c r="B471" t="s">
        <v>949</v>
      </c>
      <c r="C471" t="s">
        <v>19</v>
      </c>
      <c r="D471">
        <v>19442</v>
      </c>
      <c r="E471">
        <v>402</v>
      </c>
      <c r="F471">
        <f>SUMIFS(Purchases!$C:$C,Purchases!$B:$B,A471)</f>
        <v>413</v>
      </c>
      <c r="G471">
        <f>SUMIFS(Sales!$C:$C,Sales!$B:$B,A471)</f>
        <v>198</v>
      </c>
      <c r="H471">
        <f t="shared" si="14"/>
        <v>617</v>
      </c>
      <c r="I471">
        <f>Table1[[#This Row],[Current Stock]]*Table1[[#This Row],[Unit Cost]]</f>
        <v>11995714</v>
      </c>
      <c r="J471" t="str">
        <f t="shared" si="15"/>
        <v>Ok</v>
      </c>
    </row>
    <row r="472" spans="1:10" hidden="1" x14ac:dyDescent="0.3">
      <c r="A472" t="s">
        <v>950</v>
      </c>
      <c r="B472" t="s">
        <v>951</v>
      </c>
      <c r="C472" t="s">
        <v>10</v>
      </c>
      <c r="D472">
        <v>7647</v>
      </c>
      <c r="E472">
        <v>259</v>
      </c>
      <c r="F472">
        <f>SUMIFS(Purchases!$C:$C,Purchases!$B:$B,A472)</f>
        <v>369</v>
      </c>
      <c r="G472">
        <f>SUMIFS(Sales!$C:$C,Sales!$B:$B,A472)</f>
        <v>397</v>
      </c>
      <c r="H472">
        <f t="shared" si="14"/>
        <v>231</v>
      </c>
      <c r="I472">
        <f>Table1[[#This Row],[Current Stock]]*Table1[[#This Row],[Unit Cost]]</f>
        <v>1766457</v>
      </c>
      <c r="J472" t="str">
        <f t="shared" si="15"/>
        <v>Ok</v>
      </c>
    </row>
    <row r="473" spans="1:10" hidden="1" x14ac:dyDescent="0.3">
      <c r="A473" t="s">
        <v>952</v>
      </c>
      <c r="B473" t="s">
        <v>953</v>
      </c>
      <c r="C473" t="s">
        <v>7</v>
      </c>
      <c r="D473">
        <v>9324</v>
      </c>
      <c r="E473">
        <v>406</v>
      </c>
      <c r="F473">
        <f>SUMIFS(Purchases!$C:$C,Purchases!$B:$B,A473)</f>
        <v>543</v>
      </c>
      <c r="G473">
        <f>SUMIFS(Sales!$C:$C,Sales!$B:$B,A473)</f>
        <v>234</v>
      </c>
      <c r="H473">
        <f t="shared" si="14"/>
        <v>715</v>
      </c>
      <c r="I473">
        <f>Table1[[#This Row],[Current Stock]]*Table1[[#This Row],[Unit Cost]]</f>
        <v>6666660</v>
      </c>
      <c r="J473" t="str">
        <f t="shared" si="15"/>
        <v>Ok</v>
      </c>
    </row>
    <row r="474" spans="1:10" hidden="1" x14ac:dyDescent="0.3">
      <c r="A474" t="s">
        <v>954</v>
      </c>
      <c r="B474" t="s">
        <v>955</v>
      </c>
      <c r="C474" t="s">
        <v>13</v>
      </c>
      <c r="D474">
        <v>44423</v>
      </c>
      <c r="E474">
        <v>390</v>
      </c>
      <c r="F474">
        <f>SUMIFS(Purchases!$C:$C,Purchases!$B:$B,A474)</f>
        <v>618</v>
      </c>
      <c r="G474">
        <f>SUMIFS(Sales!$C:$C,Sales!$B:$B,A474)</f>
        <v>443</v>
      </c>
      <c r="H474">
        <f t="shared" si="14"/>
        <v>565</v>
      </c>
      <c r="I474">
        <f>Table1[[#This Row],[Current Stock]]*Table1[[#This Row],[Unit Cost]]</f>
        <v>25098995</v>
      </c>
      <c r="J474" t="str">
        <f t="shared" si="15"/>
        <v>Ok</v>
      </c>
    </row>
    <row r="475" spans="1:10" hidden="1" x14ac:dyDescent="0.3">
      <c r="A475" t="s">
        <v>956</v>
      </c>
      <c r="B475" t="s">
        <v>957</v>
      </c>
      <c r="C475" t="s">
        <v>19</v>
      </c>
      <c r="D475">
        <v>36624</v>
      </c>
      <c r="E475">
        <v>207</v>
      </c>
      <c r="F475">
        <f>SUMIFS(Purchases!$C:$C,Purchases!$B:$B,A475)</f>
        <v>641</v>
      </c>
      <c r="G475">
        <f>SUMIFS(Sales!$C:$C,Sales!$B:$B,A475)</f>
        <v>292</v>
      </c>
      <c r="H475">
        <f t="shared" si="14"/>
        <v>556</v>
      </c>
      <c r="I475">
        <f>Table1[[#This Row],[Current Stock]]*Table1[[#This Row],[Unit Cost]]</f>
        <v>20362944</v>
      </c>
      <c r="J475" t="str">
        <f t="shared" si="15"/>
        <v>Ok</v>
      </c>
    </row>
    <row r="476" spans="1:10" hidden="1" x14ac:dyDescent="0.3">
      <c r="A476" t="s">
        <v>958</v>
      </c>
      <c r="B476" t="s">
        <v>959</v>
      </c>
      <c r="C476" t="s">
        <v>7</v>
      </c>
      <c r="D476">
        <v>25958</v>
      </c>
      <c r="E476">
        <v>27</v>
      </c>
      <c r="F476">
        <f>SUMIFS(Purchases!$C:$C,Purchases!$B:$B,A476)</f>
        <v>561</v>
      </c>
      <c r="G476">
        <f>SUMIFS(Sales!$C:$C,Sales!$B:$B,A476)</f>
        <v>417</v>
      </c>
      <c r="H476">
        <f t="shared" si="14"/>
        <v>171</v>
      </c>
      <c r="I476">
        <f>Table1[[#This Row],[Current Stock]]*Table1[[#This Row],[Unit Cost]]</f>
        <v>4438818</v>
      </c>
      <c r="J476" t="str">
        <f t="shared" si="15"/>
        <v>Ok</v>
      </c>
    </row>
    <row r="477" spans="1:10" hidden="1" x14ac:dyDescent="0.3">
      <c r="A477" t="s">
        <v>960</v>
      </c>
      <c r="B477" t="s">
        <v>961</v>
      </c>
      <c r="C477" t="s">
        <v>10</v>
      </c>
      <c r="D477">
        <v>35264</v>
      </c>
      <c r="E477">
        <v>83</v>
      </c>
      <c r="F477">
        <f>SUMIFS(Purchases!$C:$C,Purchases!$B:$B,A477)</f>
        <v>541</v>
      </c>
      <c r="G477">
        <f>SUMIFS(Sales!$C:$C,Sales!$B:$B,A477)</f>
        <v>381</v>
      </c>
      <c r="H477">
        <f t="shared" si="14"/>
        <v>243</v>
      </c>
      <c r="I477">
        <f>Table1[[#This Row],[Current Stock]]*Table1[[#This Row],[Unit Cost]]</f>
        <v>8569152</v>
      </c>
      <c r="J477" t="str">
        <f t="shared" si="15"/>
        <v>Ok</v>
      </c>
    </row>
    <row r="478" spans="1:10" hidden="1" x14ac:dyDescent="0.3">
      <c r="A478" t="s">
        <v>962</v>
      </c>
      <c r="B478" t="s">
        <v>963</v>
      </c>
      <c r="C478" t="s">
        <v>19</v>
      </c>
      <c r="D478">
        <v>24255</v>
      </c>
      <c r="E478">
        <v>364</v>
      </c>
      <c r="F478">
        <f>SUMIFS(Purchases!$C:$C,Purchases!$B:$B,A478)</f>
        <v>616</v>
      </c>
      <c r="G478">
        <f>SUMIFS(Sales!$C:$C,Sales!$B:$B,A478)</f>
        <v>342</v>
      </c>
      <c r="H478">
        <f t="shared" si="14"/>
        <v>638</v>
      </c>
      <c r="I478">
        <f>Table1[[#This Row],[Current Stock]]*Table1[[#This Row],[Unit Cost]]</f>
        <v>15474690</v>
      </c>
      <c r="J478" t="str">
        <f t="shared" si="15"/>
        <v>Ok</v>
      </c>
    </row>
    <row r="479" spans="1:10" x14ac:dyDescent="0.3">
      <c r="A479" t="s">
        <v>964</v>
      </c>
      <c r="B479" t="s">
        <v>965</v>
      </c>
      <c r="C479" t="s">
        <v>10</v>
      </c>
      <c r="D479">
        <v>38409</v>
      </c>
      <c r="E479">
        <v>215</v>
      </c>
      <c r="F479">
        <f>SUMIFS(Purchases!$C:$C,Purchases!$B:$B,A479)</f>
        <v>322</v>
      </c>
      <c r="G479">
        <f>SUMIFS(Sales!$C:$C,Sales!$B:$B,A479)</f>
        <v>499</v>
      </c>
      <c r="H479">
        <f t="shared" si="14"/>
        <v>38</v>
      </c>
      <c r="I479">
        <f>Table1[[#This Row],[Current Stock]]*Table1[[#This Row],[Unit Cost]]</f>
        <v>1459542</v>
      </c>
      <c r="J479" t="str">
        <f t="shared" si="15"/>
        <v>Recorder</v>
      </c>
    </row>
    <row r="480" spans="1:10" hidden="1" x14ac:dyDescent="0.3">
      <c r="A480" t="s">
        <v>966</v>
      </c>
      <c r="B480" t="s">
        <v>967</v>
      </c>
      <c r="C480" t="s">
        <v>10</v>
      </c>
      <c r="D480">
        <v>7200</v>
      </c>
      <c r="E480">
        <v>365</v>
      </c>
      <c r="F480">
        <f>SUMIFS(Purchases!$C:$C,Purchases!$B:$B,A480)</f>
        <v>653</v>
      </c>
      <c r="G480">
        <f>SUMIFS(Sales!$C:$C,Sales!$B:$B,A480)</f>
        <v>482</v>
      </c>
      <c r="H480">
        <f t="shared" si="14"/>
        <v>536</v>
      </c>
      <c r="I480">
        <f>Table1[[#This Row],[Current Stock]]*Table1[[#This Row],[Unit Cost]]</f>
        <v>3859200</v>
      </c>
      <c r="J480" t="str">
        <f t="shared" si="15"/>
        <v>Ok</v>
      </c>
    </row>
    <row r="481" spans="1:10" x14ac:dyDescent="0.3">
      <c r="A481" t="s">
        <v>968</v>
      </c>
      <c r="B481" t="s">
        <v>969</v>
      </c>
      <c r="C481" t="s">
        <v>13</v>
      </c>
      <c r="D481">
        <v>30998</v>
      </c>
      <c r="E481">
        <v>32</v>
      </c>
      <c r="F481">
        <f>SUMIFS(Purchases!$C:$C,Purchases!$B:$B,A481)</f>
        <v>320</v>
      </c>
      <c r="G481">
        <f>SUMIFS(Sales!$C:$C,Sales!$B:$B,A481)</f>
        <v>413</v>
      </c>
      <c r="H481">
        <f t="shared" si="14"/>
        <v>-61</v>
      </c>
      <c r="I481">
        <f>Table1[[#This Row],[Current Stock]]*Table1[[#This Row],[Unit Cost]]</f>
        <v>-1890878</v>
      </c>
      <c r="J481" t="str">
        <f t="shared" si="15"/>
        <v>Recorder</v>
      </c>
    </row>
    <row r="482" spans="1:10" hidden="1" x14ac:dyDescent="0.3">
      <c r="A482" t="s">
        <v>970</v>
      </c>
      <c r="B482" t="s">
        <v>971</v>
      </c>
      <c r="C482" t="s">
        <v>16</v>
      </c>
      <c r="D482">
        <v>36892</v>
      </c>
      <c r="E482">
        <v>187</v>
      </c>
      <c r="F482">
        <f>SUMIFS(Purchases!$C:$C,Purchases!$B:$B,A482)</f>
        <v>675</v>
      </c>
      <c r="G482">
        <f>SUMIFS(Sales!$C:$C,Sales!$B:$B,A482)</f>
        <v>306</v>
      </c>
      <c r="H482">
        <f t="shared" si="14"/>
        <v>556</v>
      </c>
      <c r="I482">
        <f>Table1[[#This Row],[Current Stock]]*Table1[[#This Row],[Unit Cost]]</f>
        <v>20511952</v>
      </c>
      <c r="J482" t="str">
        <f t="shared" si="15"/>
        <v>Ok</v>
      </c>
    </row>
    <row r="483" spans="1:10" hidden="1" x14ac:dyDescent="0.3">
      <c r="A483" t="s">
        <v>972</v>
      </c>
      <c r="B483" t="s">
        <v>973</v>
      </c>
      <c r="C483" t="s">
        <v>16</v>
      </c>
      <c r="D483">
        <v>14607</v>
      </c>
      <c r="E483">
        <v>351</v>
      </c>
      <c r="F483">
        <f>SUMIFS(Purchases!$C:$C,Purchases!$B:$B,A483)</f>
        <v>179</v>
      </c>
      <c r="G483">
        <f>SUMIFS(Sales!$C:$C,Sales!$B:$B,A483)</f>
        <v>397</v>
      </c>
      <c r="H483">
        <f t="shared" si="14"/>
        <v>133</v>
      </c>
      <c r="I483">
        <f>Table1[[#This Row],[Current Stock]]*Table1[[#This Row],[Unit Cost]]</f>
        <v>1942731</v>
      </c>
      <c r="J483" t="str">
        <f t="shared" si="15"/>
        <v>Ok</v>
      </c>
    </row>
    <row r="484" spans="1:10" hidden="1" x14ac:dyDescent="0.3">
      <c r="A484" t="s">
        <v>974</v>
      </c>
      <c r="B484" t="s">
        <v>975</v>
      </c>
      <c r="C484" t="s">
        <v>7</v>
      </c>
      <c r="D484">
        <v>41741</v>
      </c>
      <c r="E484">
        <v>441</v>
      </c>
      <c r="F484">
        <f>SUMIFS(Purchases!$C:$C,Purchases!$B:$B,A484)</f>
        <v>692</v>
      </c>
      <c r="G484">
        <f>SUMIFS(Sales!$C:$C,Sales!$B:$B,A484)</f>
        <v>358</v>
      </c>
      <c r="H484">
        <f t="shared" si="14"/>
        <v>775</v>
      </c>
      <c r="I484">
        <f>Table1[[#This Row],[Current Stock]]*Table1[[#This Row],[Unit Cost]]</f>
        <v>32349275</v>
      </c>
      <c r="J484" t="str">
        <f t="shared" si="15"/>
        <v>Ok</v>
      </c>
    </row>
    <row r="485" spans="1:10" hidden="1" x14ac:dyDescent="0.3">
      <c r="A485" t="s">
        <v>976</v>
      </c>
      <c r="B485" t="s">
        <v>977</v>
      </c>
      <c r="C485" t="s">
        <v>19</v>
      </c>
      <c r="D485">
        <v>46045</v>
      </c>
      <c r="E485">
        <v>174</v>
      </c>
      <c r="F485">
        <f>SUMIFS(Purchases!$C:$C,Purchases!$B:$B,A485)</f>
        <v>394</v>
      </c>
      <c r="G485">
        <f>SUMIFS(Sales!$C:$C,Sales!$B:$B,A485)</f>
        <v>285</v>
      </c>
      <c r="H485">
        <f t="shared" si="14"/>
        <v>283</v>
      </c>
      <c r="I485">
        <f>Table1[[#This Row],[Current Stock]]*Table1[[#This Row],[Unit Cost]]</f>
        <v>13030735</v>
      </c>
      <c r="J485" t="str">
        <f t="shared" si="15"/>
        <v>Ok</v>
      </c>
    </row>
    <row r="486" spans="1:10" hidden="1" x14ac:dyDescent="0.3">
      <c r="A486" t="s">
        <v>978</v>
      </c>
      <c r="B486" t="s">
        <v>979</v>
      </c>
      <c r="C486" t="s">
        <v>19</v>
      </c>
      <c r="D486">
        <v>7746</v>
      </c>
      <c r="E486">
        <v>91</v>
      </c>
      <c r="F486">
        <f>SUMIFS(Purchases!$C:$C,Purchases!$B:$B,A486)</f>
        <v>695</v>
      </c>
      <c r="G486">
        <f>SUMIFS(Sales!$C:$C,Sales!$B:$B,A486)</f>
        <v>565</v>
      </c>
      <c r="H486">
        <f t="shared" si="14"/>
        <v>221</v>
      </c>
      <c r="I486">
        <f>Table1[[#This Row],[Current Stock]]*Table1[[#This Row],[Unit Cost]]</f>
        <v>1711866</v>
      </c>
      <c r="J486" t="str">
        <f t="shared" si="15"/>
        <v>Ok</v>
      </c>
    </row>
    <row r="487" spans="1:10" hidden="1" x14ac:dyDescent="0.3">
      <c r="A487" t="s">
        <v>980</v>
      </c>
      <c r="B487" t="s">
        <v>981</v>
      </c>
      <c r="C487" t="s">
        <v>7</v>
      </c>
      <c r="D487">
        <v>2538</v>
      </c>
      <c r="E487">
        <v>175</v>
      </c>
      <c r="F487">
        <f>SUMIFS(Purchases!$C:$C,Purchases!$B:$B,A487)</f>
        <v>1034</v>
      </c>
      <c r="G487">
        <f>SUMIFS(Sales!$C:$C,Sales!$B:$B,A487)</f>
        <v>380</v>
      </c>
      <c r="H487">
        <f t="shared" si="14"/>
        <v>829</v>
      </c>
      <c r="I487">
        <f>Table1[[#This Row],[Current Stock]]*Table1[[#This Row],[Unit Cost]]</f>
        <v>2104002</v>
      </c>
      <c r="J487" t="str">
        <f t="shared" si="15"/>
        <v>Ok</v>
      </c>
    </row>
    <row r="488" spans="1:10" hidden="1" x14ac:dyDescent="0.3">
      <c r="A488" t="s">
        <v>982</v>
      </c>
      <c r="B488" t="s">
        <v>983</v>
      </c>
      <c r="C488" t="s">
        <v>19</v>
      </c>
      <c r="D488">
        <v>7710</v>
      </c>
      <c r="E488">
        <v>69</v>
      </c>
      <c r="F488">
        <f>SUMIFS(Purchases!$C:$C,Purchases!$B:$B,A488)</f>
        <v>594</v>
      </c>
      <c r="G488">
        <f>SUMIFS(Sales!$C:$C,Sales!$B:$B,A488)</f>
        <v>387</v>
      </c>
      <c r="H488">
        <f t="shared" si="14"/>
        <v>276</v>
      </c>
      <c r="I488">
        <f>Table1[[#This Row],[Current Stock]]*Table1[[#This Row],[Unit Cost]]</f>
        <v>2127960</v>
      </c>
      <c r="J488" t="str">
        <f t="shared" si="15"/>
        <v>Ok</v>
      </c>
    </row>
    <row r="489" spans="1:10" x14ac:dyDescent="0.3">
      <c r="A489" t="s">
        <v>984</v>
      </c>
      <c r="B489" t="s">
        <v>985</v>
      </c>
      <c r="C489" t="s">
        <v>13</v>
      </c>
      <c r="D489">
        <v>35328</v>
      </c>
      <c r="E489">
        <v>89</v>
      </c>
      <c r="F489">
        <f>SUMIFS(Purchases!$C:$C,Purchases!$B:$B,A489)</f>
        <v>209</v>
      </c>
      <c r="G489">
        <f>SUMIFS(Sales!$C:$C,Sales!$B:$B,A489)</f>
        <v>410</v>
      </c>
      <c r="H489">
        <f t="shared" si="14"/>
        <v>-112</v>
      </c>
      <c r="I489">
        <f>Table1[[#This Row],[Current Stock]]*Table1[[#This Row],[Unit Cost]]</f>
        <v>-3956736</v>
      </c>
      <c r="J489" t="str">
        <f t="shared" si="15"/>
        <v>Recorder</v>
      </c>
    </row>
    <row r="490" spans="1:10" hidden="1" x14ac:dyDescent="0.3">
      <c r="A490" t="s">
        <v>986</v>
      </c>
      <c r="B490" t="s">
        <v>987</v>
      </c>
      <c r="C490" t="s">
        <v>19</v>
      </c>
      <c r="D490">
        <v>29829</v>
      </c>
      <c r="E490">
        <v>209</v>
      </c>
      <c r="F490">
        <f>SUMIFS(Purchases!$C:$C,Purchases!$B:$B,A490)</f>
        <v>282</v>
      </c>
      <c r="G490">
        <f>SUMIFS(Sales!$C:$C,Sales!$B:$B,A490)</f>
        <v>222</v>
      </c>
      <c r="H490">
        <f t="shared" si="14"/>
        <v>269</v>
      </c>
      <c r="I490">
        <f>Table1[[#This Row],[Current Stock]]*Table1[[#This Row],[Unit Cost]]</f>
        <v>8024001</v>
      </c>
      <c r="J490" t="str">
        <f t="shared" si="15"/>
        <v>Ok</v>
      </c>
    </row>
    <row r="491" spans="1:10" hidden="1" x14ac:dyDescent="0.3">
      <c r="A491" t="s">
        <v>988</v>
      </c>
      <c r="B491" t="s">
        <v>989</v>
      </c>
      <c r="C491" t="s">
        <v>16</v>
      </c>
      <c r="D491">
        <v>27567</v>
      </c>
      <c r="E491">
        <v>320</v>
      </c>
      <c r="F491">
        <f>SUMIFS(Purchases!$C:$C,Purchases!$B:$B,A491)</f>
        <v>484</v>
      </c>
      <c r="G491">
        <f>SUMIFS(Sales!$C:$C,Sales!$B:$B,A491)</f>
        <v>227</v>
      </c>
      <c r="H491">
        <f t="shared" si="14"/>
        <v>577</v>
      </c>
      <c r="I491">
        <f>Table1[[#This Row],[Current Stock]]*Table1[[#This Row],[Unit Cost]]</f>
        <v>15906159</v>
      </c>
      <c r="J491" t="str">
        <f t="shared" si="15"/>
        <v>Ok</v>
      </c>
    </row>
    <row r="492" spans="1:10" hidden="1" x14ac:dyDescent="0.3">
      <c r="A492" t="s">
        <v>990</v>
      </c>
      <c r="B492" t="s">
        <v>991</v>
      </c>
      <c r="C492" t="s">
        <v>13</v>
      </c>
      <c r="D492">
        <v>27289</v>
      </c>
      <c r="E492">
        <v>355</v>
      </c>
      <c r="F492">
        <f>SUMIFS(Purchases!$C:$C,Purchases!$B:$B,A492)</f>
        <v>716</v>
      </c>
      <c r="G492">
        <f>SUMIFS(Sales!$C:$C,Sales!$B:$B,A492)</f>
        <v>431</v>
      </c>
      <c r="H492">
        <f t="shared" si="14"/>
        <v>640</v>
      </c>
      <c r="I492">
        <f>Table1[[#This Row],[Current Stock]]*Table1[[#This Row],[Unit Cost]]</f>
        <v>17464960</v>
      </c>
      <c r="J492" t="str">
        <f t="shared" si="15"/>
        <v>Ok</v>
      </c>
    </row>
    <row r="493" spans="1:10" hidden="1" x14ac:dyDescent="0.3">
      <c r="A493" t="s">
        <v>992</v>
      </c>
      <c r="B493" t="s">
        <v>993</v>
      </c>
      <c r="C493" t="s">
        <v>7</v>
      </c>
      <c r="D493">
        <v>32169</v>
      </c>
      <c r="E493">
        <v>335</v>
      </c>
      <c r="F493">
        <f>SUMIFS(Purchases!$C:$C,Purchases!$B:$B,A493)</f>
        <v>492</v>
      </c>
      <c r="G493">
        <f>SUMIFS(Sales!$C:$C,Sales!$B:$B,A493)</f>
        <v>625</v>
      </c>
      <c r="H493">
        <f t="shared" si="14"/>
        <v>202</v>
      </c>
      <c r="I493">
        <f>Table1[[#This Row],[Current Stock]]*Table1[[#This Row],[Unit Cost]]</f>
        <v>6498138</v>
      </c>
      <c r="J493" t="str">
        <f t="shared" si="15"/>
        <v>Ok</v>
      </c>
    </row>
    <row r="494" spans="1:10" hidden="1" x14ac:dyDescent="0.3">
      <c r="A494" t="s">
        <v>994</v>
      </c>
      <c r="B494" t="s">
        <v>995</v>
      </c>
      <c r="C494" t="s">
        <v>19</v>
      </c>
      <c r="D494">
        <v>18433</v>
      </c>
      <c r="E494">
        <v>36</v>
      </c>
      <c r="F494">
        <f>SUMIFS(Purchases!$C:$C,Purchases!$B:$B,A494)</f>
        <v>605</v>
      </c>
      <c r="G494">
        <f>SUMIFS(Sales!$C:$C,Sales!$B:$B,A494)</f>
        <v>432</v>
      </c>
      <c r="H494">
        <f t="shared" si="14"/>
        <v>209</v>
      </c>
      <c r="I494">
        <f>Table1[[#This Row],[Current Stock]]*Table1[[#This Row],[Unit Cost]]</f>
        <v>3852497</v>
      </c>
      <c r="J494" t="str">
        <f t="shared" si="15"/>
        <v>Ok</v>
      </c>
    </row>
    <row r="495" spans="1:10" hidden="1" x14ac:dyDescent="0.3">
      <c r="A495" t="s">
        <v>996</v>
      </c>
      <c r="B495" t="s">
        <v>997</v>
      </c>
      <c r="C495" t="s">
        <v>10</v>
      </c>
      <c r="D495">
        <v>14338</v>
      </c>
      <c r="E495">
        <v>247</v>
      </c>
      <c r="F495">
        <f>SUMIFS(Purchases!$C:$C,Purchases!$B:$B,A495)</f>
        <v>891</v>
      </c>
      <c r="G495">
        <f>SUMIFS(Sales!$C:$C,Sales!$B:$B,A495)</f>
        <v>209</v>
      </c>
      <c r="H495">
        <f t="shared" si="14"/>
        <v>929</v>
      </c>
      <c r="I495">
        <f>Table1[[#This Row],[Current Stock]]*Table1[[#This Row],[Unit Cost]]</f>
        <v>13320002</v>
      </c>
      <c r="J495" t="str">
        <f t="shared" si="15"/>
        <v>Ok</v>
      </c>
    </row>
    <row r="496" spans="1:10" hidden="1" x14ac:dyDescent="0.3">
      <c r="A496" t="s">
        <v>998</v>
      </c>
      <c r="B496" t="s">
        <v>999</v>
      </c>
      <c r="C496" t="s">
        <v>19</v>
      </c>
      <c r="D496">
        <v>15573</v>
      </c>
      <c r="E496">
        <v>457</v>
      </c>
      <c r="F496">
        <f>SUMIFS(Purchases!$C:$C,Purchases!$B:$B,A496)</f>
        <v>534</v>
      </c>
      <c r="G496">
        <f>SUMIFS(Sales!$C:$C,Sales!$B:$B,A496)</f>
        <v>496</v>
      </c>
      <c r="H496">
        <f t="shared" si="14"/>
        <v>495</v>
      </c>
      <c r="I496">
        <f>Table1[[#This Row],[Current Stock]]*Table1[[#This Row],[Unit Cost]]</f>
        <v>7708635</v>
      </c>
      <c r="J496" t="str">
        <f t="shared" si="15"/>
        <v>Ok</v>
      </c>
    </row>
    <row r="497" spans="1:10" hidden="1" x14ac:dyDescent="0.3">
      <c r="A497" t="s">
        <v>1000</v>
      </c>
      <c r="B497" t="s">
        <v>1001</v>
      </c>
      <c r="C497" t="s">
        <v>10</v>
      </c>
      <c r="D497">
        <v>6611</v>
      </c>
      <c r="E497">
        <v>371</v>
      </c>
      <c r="F497">
        <f>SUMIFS(Purchases!$C:$C,Purchases!$B:$B,A497)</f>
        <v>653</v>
      </c>
      <c r="G497">
        <f>SUMIFS(Sales!$C:$C,Sales!$B:$B,A497)</f>
        <v>308</v>
      </c>
      <c r="H497">
        <f t="shared" si="14"/>
        <v>716</v>
      </c>
      <c r="I497">
        <f>Table1[[#This Row],[Current Stock]]*Table1[[#This Row],[Unit Cost]]</f>
        <v>4733476</v>
      </c>
      <c r="J497" t="str">
        <f t="shared" si="15"/>
        <v>Ok</v>
      </c>
    </row>
    <row r="498" spans="1:10" hidden="1" x14ac:dyDescent="0.3">
      <c r="A498" t="s">
        <v>1002</v>
      </c>
      <c r="B498" t="s">
        <v>1003</v>
      </c>
      <c r="C498" t="s">
        <v>10</v>
      </c>
      <c r="D498">
        <v>35782</v>
      </c>
      <c r="E498">
        <v>481</v>
      </c>
      <c r="F498">
        <f>SUMIFS(Purchases!$C:$C,Purchases!$B:$B,A498)</f>
        <v>437</v>
      </c>
      <c r="G498">
        <f>SUMIFS(Sales!$C:$C,Sales!$B:$B,A498)</f>
        <v>353</v>
      </c>
      <c r="H498">
        <f t="shared" si="14"/>
        <v>565</v>
      </c>
      <c r="I498">
        <f>Table1[[#This Row],[Current Stock]]*Table1[[#This Row],[Unit Cost]]</f>
        <v>20216830</v>
      </c>
      <c r="J498" t="str">
        <f t="shared" si="15"/>
        <v>Ok</v>
      </c>
    </row>
    <row r="499" spans="1:10" hidden="1" x14ac:dyDescent="0.3">
      <c r="A499" t="s">
        <v>1004</v>
      </c>
      <c r="B499" t="s">
        <v>1005</v>
      </c>
      <c r="C499" t="s">
        <v>10</v>
      </c>
      <c r="D499">
        <v>4068</v>
      </c>
      <c r="E499">
        <v>223</v>
      </c>
      <c r="F499">
        <f>SUMIFS(Purchases!$C:$C,Purchases!$B:$B,A499)</f>
        <v>454</v>
      </c>
      <c r="G499">
        <f>SUMIFS(Sales!$C:$C,Sales!$B:$B,A499)</f>
        <v>389</v>
      </c>
      <c r="H499">
        <f t="shared" si="14"/>
        <v>288</v>
      </c>
      <c r="I499">
        <f>Table1[[#This Row],[Current Stock]]*Table1[[#This Row],[Unit Cost]]</f>
        <v>1171584</v>
      </c>
      <c r="J499" t="str">
        <f t="shared" si="15"/>
        <v>Ok</v>
      </c>
    </row>
    <row r="500" spans="1:10" hidden="1" x14ac:dyDescent="0.3">
      <c r="A500" t="s">
        <v>1006</v>
      </c>
      <c r="B500" t="s">
        <v>1007</v>
      </c>
      <c r="C500" t="s">
        <v>10</v>
      </c>
      <c r="D500">
        <v>12539</v>
      </c>
      <c r="E500">
        <v>82</v>
      </c>
      <c r="F500">
        <f>SUMIFS(Purchases!$C:$C,Purchases!$B:$B,A500)</f>
        <v>639</v>
      </c>
      <c r="G500">
        <f>SUMIFS(Sales!$C:$C,Sales!$B:$B,A500)</f>
        <v>399</v>
      </c>
      <c r="H500">
        <f t="shared" si="14"/>
        <v>322</v>
      </c>
      <c r="I500">
        <f>Table1[[#This Row],[Current Stock]]*Table1[[#This Row],[Unit Cost]]</f>
        <v>4037558</v>
      </c>
      <c r="J500" t="str">
        <f t="shared" si="15"/>
        <v>Ok</v>
      </c>
    </row>
    <row r="501" spans="1:10" hidden="1" x14ac:dyDescent="0.3">
      <c r="A501" t="s">
        <v>1008</v>
      </c>
      <c r="B501" t="s">
        <v>1009</v>
      </c>
      <c r="C501" t="s">
        <v>19</v>
      </c>
      <c r="D501">
        <v>6107</v>
      </c>
      <c r="E501">
        <v>359</v>
      </c>
      <c r="F501">
        <f>SUMIFS(Purchases!$C:$C,Purchases!$B:$B,A501)</f>
        <v>526</v>
      </c>
      <c r="G501">
        <f>SUMIFS(Sales!$C:$C,Sales!$B:$B,A501)</f>
        <v>199</v>
      </c>
      <c r="H501">
        <f t="shared" si="14"/>
        <v>686</v>
      </c>
      <c r="I501">
        <f>Table1[[#This Row],[Current Stock]]*Table1[[#This Row],[Unit Cost]]</f>
        <v>4189402</v>
      </c>
      <c r="J501" t="str">
        <f t="shared" si="15"/>
        <v>Ok</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ADE6-8E5D-4C5E-AB14-3C881081BFA1}">
  <dimension ref="B4:O23"/>
  <sheetViews>
    <sheetView tabSelected="1" topLeftCell="B1" workbookViewId="0">
      <selection activeCell="F16" sqref="F16"/>
    </sheetView>
  </sheetViews>
  <sheetFormatPr defaultRowHeight="14.4" x14ac:dyDescent="0.3"/>
  <cols>
    <col min="2" max="2" width="13.109375" bestFit="1" customWidth="1"/>
    <col min="3" max="3" width="19.109375" bestFit="1" customWidth="1"/>
    <col min="4" max="5" width="21.109375" bestFit="1" customWidth="1"/>
    <col min="6" max="6" width="13.109375" bestFit="1" customWidth="1"/>
    <col min="7" max="7" width="21.109375" bestFit="1" customWidth="1"/>
    <col min="10" max="10" width="12.5546875" bestFit="1" customWidth="1"/>
    <col min="11" max="11" width="15.88671875" bestFit="1" customWidth="1"/>
    <col min="14" max="14" width="12.5546875" bestFit="1" customWidth="1"/>
    <col min="15" max="15" width="17.6640625" bestFit="1" customWidth="1"/>
  </cols>
  <sheetData>
    <row r="4" spans="2:15" x14ac:dyDescent="0.3">
      <c r="B4" s="8" t="s">
        <v>13025</v>
      </c>
      <c r="C4" t="s">
        <v>13027</v>
      </c>
      <c r="F4" s="8" t="s">
        <v>13025</v>
      </c>
      <c r="G4" t="s">
        <v>13028</v>
      </c>
      <c r="J4" s="8" t="s">
        <v>13025</v>
      </c>
      <c r="K4" t="s">
        <v>13029</v>
      </c>
      <c r="N4" s="8" t="s">
        <v>13025</v>
      </c>
      <c r="O4" t="s">
        <v>13030</v>
      </c>
    </row>
    <row r="5" spans="2:15" x14ac:dyDescent="0.3">
      <c r="B5" s="9" t="s">
        <v>13</v>
      </c>
      <c r="C5">
        <v>46893</v>
      </c>
      <c r="F5" s="9" t="s">
        <v>13</v>
      </c>
      <c r="G5">
        <v>1220884223</v>
      </c>
      <c r="J5" s="9" t="s">
        <v>393</v>
      </c>
      <c r="K5">
        <v>750</v>
      </c>
      <c r="N5" s="9" t="s">
        <v>13032</v>
      </c>
      <c r="O5">
        <v>459</v>
      </c>
    </row>
    <row r="6" spans="2:15" x14ac:dyDescent="0.3">
      <c r="B6" s="9" t="s">
        <v>7</v>
      </c>
      <c r="C6">
        <v>39920</v>
      </c>
      <c r="F6" s="9" t="s">
        <v>7</v>
      </c>
      <c r="G6">
        <v>1152871710</v>
      </c>
      <c r="J6" s="9" t="s">
        <v>631</v>
      </c>
      <c r="K6">
        <v>736</v>
      </c>
      <c r="N6" s="9" t="s">
        <v>13033</v>
      </c>
      <c r="O6">
        <v>41</v>
      </c>
    </row>
    <row r="7" spans="2:15" x14ac:dyDescent="0.3">
      <c r="B7" s="9" t="s">
        <v>19</v>
      </c>
      <c r="C7">
        <v>46797</v>
      </c>
      <c r="F7" s="9" t="s">
        <v>19</v>
      </c>
      <c r="G7">
        <v>1149764532</v>
      </c>
      <c r="J7" s="9" t="s">
        <v>785</v>
      </c>
      <c r="K7">
        <v>650</v>
      </c>
      <c r="N7" s="9" t="s">
        <v>13026</v>
      </c>
      <c r="O7">
        <v>500</v>
      </c>
    </row>
    <row r="8" spans="2:15" x14ac:dyDescent="0.3">
      <c r="B8" s="9" t="s">
        <v>10</v>
      </c>
      <c r="C8">
        <v>45119</v>
      </c>
      <c r="F8" s="9" t="s">
        <v>10</v>
      </c>
      <c r="G8">
        <v>1193469108</v>
      </c>
      <c r="J8" s="9" t="s">
        <v>197</v>
      </c>
      <c r="K8">
        <v>634</v>
      </c>
    </row>
    <row r="9" spans="2:15" x14ac:dyDescent="0.3">
      <c r="B9" s="9" t="s">
        <v>16</v>
      </c>
      <c r="C9">
        <v>39610</v>
      </c>
      <c r="F9" s="9" t="s">
        <v>16</v>
      </c>
      <c r="G9">
        <v>1004640688</v>
      </c>
      <c r="J9" s="9" t="s">
        <v>943</v>
      </c>
      <c r="K9">
        <v>628</v>
      </c>
    </row>
    <row r="10" spans="2:15" x14ac:dyDescent="0.3">
      <c r="B10" s="9" t="s">
        <v>13026</v>
      </c>
      <c r="C10">
        <v>218339</v>
      </c>
      <c r="F10" s="9" t="s">
        <v>13026</v>
      </c>
      <c r="G10">
        <v>5721630261</v>
      </c>
      <c r="J10" s="9" t="s">
        <v>993</v>
      </c>
      <c r="K10">
        <v>625</v>
      </c>
    </row>
    <row r="11" spans="2:15" x14ac:dyDescent="0.3">
      <c r="J11" s="9" t="s">
        <v>71</v>
      </c>
      <c r="K11">
        <v>616</v>
      </c>
    </row>
    <row r="12" spans="2:15" x14ac:dyDescent="0.3">
      <c r="D12" s="8" t="s">
        <v>13025</v>
      </c>
      <c r="E12" t="s">
        <v>13028</v>
      </c>
      <c r="J12" s="9" t="s">
        <v>225</v>
      </c>
      <c r="K12">
        <v>615</v>
      </c>
    </row>
    <row r="13" spans="2:15" x14ac:dyDescent="0.3">
      <c r="D13" s="9" t="s">
        <v>437</v>
      </c>
      <c r="E13">
        <v>63862925</v>
      </c>
      <c r="J13" s="9" t="s">
        <v>629</v>
      </c>
      <c r="K13">
        <v>608</v>
      </c>
    </row>
    <row r="14" spans="2:15" x14ac:dyDescent="0.3">
      <c r="D14" s="9" t="s">
        <v>521</v>
      </c>
      <c r="E14">
        <v>53636051</v>
      </c>
      <c r="J14" s="9" t="s">
        <v>657</v>
      </c>
      <c r="K14">
        <v>605</v>
      </c>
    </row>
    <row r="15" spans="2:15" x14ac:dyDescent="0.3">
      <c r="D15" s="9" t="s">
        <v>91</v>
      </c>
      <c r="E15">
        <v>53130378</v>
      </c>
      <c r="J15" s="9" t="s">
        <v>13026</v>
      </c>
      <c r="K15">
        <v>6467</v>
      </c>
    </row>
    <row r="16" spans="2:15" x14ac:dyDescent="0.3">
      <c r="D16" s="9" t="s">
        <v>899</v>
      </c>
      <c r="E16">
        <v>43438832</v>
      </c>
    </row>
    <row r="17" spans="4:5" x14ac:dyDescent="0.3">
      <c r="D17" s="9" t="s">
        <v>185</v>
      </c>
      <c r="E17">
        <v>43039530</v>
      </c>
    </row>
    <row r="18" spans="4:5" x14ac:dyDescent="0.3">
      <c r="D18" s="9" t="s">
        <v>859</v>
      </c>
      <c r="E18">
        <v>42389358</v>
      </c>
    </row>
    <row r="19" spans="4:5" x14ac:dyDescent="0.3">
      <c r="D19" s="9" t="s">
        <v>127</v>
      </c>
      <c r="E19">
        <v>42014089</v>
      </c>
    </row>
    <row r="20" spans="4:5" x14ac:dyDescent="0.3">
      <c r="D20" s="9" t="s">
        <v>707</v>
      </c>
      <c r="E20">
        <v>40075560</v>
      </c>
    </row>
    <row r="21" spans="4:5" x14ac:dyDescent="0.3">
      <c r="D21" s="9" t="s">
        <v>225</v>
      </c>
      <c r="E21">
        <v>39894872</v>
      </c>
    </row>
    <row r="22" spans="4:5" x14ac:dyDescent="0.3">
      <c r="D22" s="9" t="s">
        <v>105</v>
      </c>
      <c r="E22">
        <v>38304472</v>
      </c>
    </row>
    <row r="23" spans="4:5" x14ac:dyDescent="0.3">
      <c r="D23" s="9" t="s">
        <v>13026</v>
      </c>
      <c r="E23">
        <v>459786067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5CC6-4E91-4996-8C6E-33BB094A45FF}">
  <dimension ref="A1:AB70"/>
  <sheetViews>
    <sheetView showGridLines="0" zoomScale="90" zoomScaleNormal="90" workbookViewId="0">
      <selection activeCell="A8" sqref="A8"/>
    </sheetView>
  </sheetViews>
  <sheetFormatPr defaultRowHeight="14.4" x14ac:dyDescent="0.3"/>
  <cols>
    <col min="7" max="7" width="10" bestFit="1" customWidth="1"/>
    <col min="8" max="8" width="12.21875" bestFit="1" customWidth="1"/>
    <col min="9" max="10" width="10" bestFit="1" customWidth="1"/>
    <col min="11" max="11" width="10.5546875" bestFit="1" customWidth="1"/>
  </cols>
  <sheetData>
    <row r="1" spans="1:28" x14ac:dyDescent="0.3">
      <c r="A1" s="21" t="s">
        <v>13034</v>
      </c>
      <c r="B1" s="22"/>
      <c r="C1" s="22"/>
      <c r="D1" s="22"/>
      <c r="E1" s="22"/>
      <c r="F1" s="22"/>
      <c r="G1" s="22"/>
      <c r="H1" s="22"/>
      <c r="I1" s="22"/>
      <c r="J1" s="22"/>
      <c r="K1" s="22"/>
      <c r="L1" s="22"/>
      <c r="M1" s="22"/>
      <c r="N1" s="22"/>
      <c r="O1" s="22"/>
      <c r="P1" s="22"/>
      <c r="Q1" s="22"/>
      <c r="R1" s="22"/>
      <c r="S1" s="22"/>
      <c r="T1" s="22"/>
      <c r="U1" s="22"/>
      <c r="V1" s="22"/>
      <c r="W1" s="22"/>
      <c r="X1" s="22"/>
      <c r="Y1" s="22"/>
      <c r="Z1" s="13"/>
      <c r="AA1" s="13"/>
      <c r="AB1" s="13"/>
    </row>
    <row r="2" spans="1:28" x14ac:dyDescent="0.3">
      <c r="A2" s="22"/>
      <c r="B2" s="22"/>
      <c r="C2" s="22"/>
      <c r="D2" s="22"/>
      <c r="E2" s="22"/>
      <c r="F2" s="22"/>
      <c r="G2" s="22"/>
      <c r="H2" s="22"/>
      <c r="I2" s="22"/>
      <c r="J2" s="22"/>
      <c r="K2" s="22"/>
      <c r="L2" s="22"/>
      <c r="M2" s="22"/>
      <c r="N2" s="22"/>
      <c r="O2" s="22"/>
      <c r="P2" s="22"/>
      <c r="Q2" s="22"/>
      <c r="R2" s="22"/>
      <c r="S2" s="22"/>
      <c r="T2" s="22"/>
      <c r="U2" s="22"/>
      <c r="V2" s="22"/>
      <c r="W2" s="22"/>
      <c r="X2" s="22"/>
      <c r="Y2" s="22"/>
      <c r="Z2" s="13"/>
      <c r="AA2" s="13"/>
      <c r="AB2" s="13"/>
    </row>
    <row r="3" spans="1:28" x14ac:dyDescent="0.3">
      <c r="A3" s="22"/>
      <c r="B3" s="22"/>
      <c r="C3" s="22"/>
      <c r="D3" s="22"/>
      <c r="E3" s="22"/>
      <c r="F3" s="22"/>
      <c r="G3" s="22"/>
      <c r="H3" s="22"/>
      <c r="I3" s="22"/>
      <c r="J3" s="22"/>
      <c r="K3" s="22"/>
      <c r="L3" s="22"/>
      <c r="M3" s="22"/>
      <c r="N3" s="22"/>
      <c r="O3" s="22"/>
      <c r="P3" s="22"/>
      <c r="Q3" s="22"/>
      <c r="R3" s="22"/>
      <c r="S3" s="22"/>
      <c r="T3" s="22"/>
      <c r="U3" s="22"/>
      <c r="V3" s="22"/>
      <c r="W3" s="22"/>
      <c r="X3" s="22"/>
      <c r="Y3" s="22"/>
      <c r="Z3" s="13"/>
      <c r="AA3" s="13"/>
      <c r="AB3" s="13"/>
    </row>
    <row r="5" spans="1:28" ht="18.600000000000001" x14ac:dyDescent="0.45">
      <c r="B5" s="23" t="s">
        <v>13021</v>
      </c>
      <c r="C5" s="24"/>
      <c r="D5" s="24"/>
      <c r="F5" s="17" t="s">
        <v>13022</v>
      </c>
      <c r="G5" s="18"/>
      <c r="H5" s="18"/>
      <c r="J5" s="19" t="s">
        <v>13023</v>
      </c>
      <c r="K5" s="20"/>
      <c r="L5" s="19"/>
      <c r="N5" s="25" t="s">
        <v>13024</v>
      </c>
      <c r="O5" s="26"/>
      <c r="P5" s="25"/>
    </row>
    <row r="6" spans="1:28" x14ac:dyDescent="0.3">
      <c r="B6" s="29">
        <f>'Inventory report'!M3</f>
        <v>500</v>
      </c>
      <c r="C6" s="30"/>
      <c r="D6" s="30"/>
      <c r="F6" s="31">
        <f>'Inventory report'!M4</f>
        <v>5721630261</v>
      </c>
      <c r="G6" s="31"/>
      <c r="H6" s="31"/>
      <c r="J6" s="27">
        <f>'Inventory report'!M5</f>
        <v>41</v>
      </c>
      <c r="K6" s="27"/>
      <c r="L6" s="27"/>
      <c r="N6" s="28">
        <f>'Inventory report'!M6</f>
        <v>177821</v>
      </c>
      <c r="O6" s="28"/>
      <c r="P6" s="28"/>
    </row>
    <row r="7" spans="1:28" x14ac:dyDescent="0.3">
      <c r="B7" s="30"/>
      <c r="C7" s="30"/>
      <c r="D7" s="30"/>
      <c r="F7" s="31"/>
      <c r="G7" s="31"/>
      <c r="H7" s="31"/>
      <c r="J7" s="27"/>
      <c r="K7" s="27"/>
      <c r="L7" s="27"/>
      <c r="N7" s="28"/>
      <c r="O7" s="28"/>
      <c r="P7" s="28"/>
    </row>
    <row r="8" spans="1:28" x14ac:dyDescent="0.3">
      <c r="B8" s="30"/>
      <c r="C8" s="30"/>
      <c r="D8" s="30"/>
      <c r="F8" s="31"/>
      <c r="G8" s="31"/>
      <c r="H8" s="31"/>
      <c r="J8" s="27"/>
      <c r="K8" s="27"/>
      <c r="L8" s="27"/>
      <c r="N8" s="28"/>
      <c r="O8" s="28"/>
      <c r="P8" s="28"/>
    </row>
    <row r="9" spans="1:28" ht="25.2" x14ac:dyDescent="0.6">
      <c r="F9" s="10"/>
    </row>
    <row r="28" spans="7:11" x14ac:dyDescent="0.3">
      <c r="G28" s="15" t="s">
        <v>13035</v>
      </c>
      <c r="H28" s="16"/>
      <c r="I28" s="16"/>
      <c r="J28" s="16"/>
      <c r="K28" s="16"/>
    </row>
    <row r="29" spans="7:11" ht="15" thickBot="1" x14ac:dyDescent="0.35">
      <c r="G29" s="14" t="s">
        <v>13016</v>
      </c>
      <c r="H29" s="14" t="s">
        <v>13016</v>
      </c>
      <c r="I29" s="14" t="s">
        <v>13016</v>
      </c>
      <c r="J29" s="14" t="s">
        <v>13016</v>
      </c>
      <c r="K29" s="14" t="s">
        <v>13016</v>
      </c>
    </row>
    <row r="30" spans="7:11" ht="15" thickTop="1" x14ac:dyDescent="0.3">
      <c r="G30" s="4" t="s">
        <v>20</v>
      </c>
      <c r="H30" s="5" t="s">
        <v>21</v>
      </c>
      <c r="I30" s="5">
        <v>14428</v>
      </c>
      <c r="J30" s="5">
        <v>-96</v>
      </c>
      <c r="K30" s="5">
        <v>-1385088</v>
      </c>
    </row>
    <row r="31" spans="7:11" x14ac:dyDescent="0.3">
      <c r="G31" s="6" t="s">
        <v>70</v>
      </c>
      <c r="H31" s="7" t="s">
        <v>71</v>
      </c>
      <c r="I31" s="7">
        <v>10808</v>
      </c>
      <c r="J31" s="7">
        <v>-86</v>
      </c>
      <c r="K31" s="7">
        <v>-929488</v>
      </c>
    </row>
    <row r="32" spans="7:11" x14ac:dyDescent="0.3">
      <c r="G32" s="4" t="s">
        <v>76</v>
      </c>
      <c r="H32" s="5" t="s">
        <v>77</v>
      </c>
      <c r="I32" s="5">
        <v>3765</v>
      </c>
      <c r="J32" s="5">
        <v>-10</v>
      </c>
      <c r="K32" s="5">
        <v>-37650</v>
      </c>
    </row>
    <row r="33" spans="7:11" x14ac:dyDescent="0.3">
      <c r="G33" s="6" t="s">
        <v>116</v>
      </c>
      <c r="H33" s="7" t="s">
        <v>117</v>
      </c>
      <c r="I33" s="7">
        <v>49309</v>
      </c>
      <c r="J33" s="7">
        <v>-21</v>
      </c>
      <c r="K33" s="7">
        <v>-1035489</v>
      </c>
    </row>
    <row r="34" spans="7:11" x14ac:dyDescent="0.3">
      <c r="G34" s="4" t="s">
        <v>158</v>
      </c>
      <c r="H34" s="5" t="s">
        <v>159</v>
      </c>
      <c r="I34" s="5">
        <v>49597</v>
      </c>
      <c r="J34" s="5">
        <v>46</v>
      </c>
      <c r="K34" s="5">
        <v>2281462</v>
      </c>
    </row>
    <row r="35" spans="7:11" x14ac:dyDescent="0.3">
      <c r="G35" s="6" t="s">
        <v>168</v>
      </c>
      <c r="H35" s="7" t="s">
        <v>169</v>
      </c>
      <c r="I35" s="7">
        <v>14825</v>
      </c>
      <c r="J35" s="7">
        <v>-66</v>
      </c>
      <c r="K35" s="7">
        <v>-978450</v>
      </c>
    </row>
    <row r="36" spans="7:11" x14ac:dyDescent="0.3">
      <c r="G36" s="4" t="s">
        <v>176</v>
      </c>
      <c r="H36" s="5" t="s">
        <v>177</v>
      </c>
      <c r="I36" s="5">
        <v>15103</v>
      </c>
      <c r="J36" s="5">
        <v>43</v>
      </c>
      <c r="K36" s="5">
        <v>649429</v>
      </c>
    </row>
    <row r="37" spans="7:11" x14ac:dyDescent="0.3">
      <c r="G37" s="6" t="s">
        <v>196</v>
      </c>
      <c r="H37" s="7" t="s">
        <v>197</v>
      </c>
      <c r="I37" s="7">
        <v>47880</v>
      </c>
      <c r="J37" s="7">
        <v>-431</v>
      </c>
      <c r="K37" s="7">
        <v>-20636280</v>
      </c>
    </row>
    <row r="38" spans="7:11" x14ac:dyDescent="0.3">
      <c r="G38" s="4" t="s">
        <v>206</v>
      </c>
      <c r="H38" s="5" t="s">
        <v>207</v>
      </c>
      <c r="I38" s="5">
        <v>18354</v>
      </c>
      <c r="J38" s="5">
        <v>7</v>
      </c>
      <c r="K38" s="5">
        <v>128478</v>
      </c>
    </row>
    <row r="39" spans="7:11" x14ac:dyDescent="0.3">
      <c r="G39" s="6" t="s">
        <v>210</v>
      </c>
      <c r="H39" s="7" t="s">
        <v>211</v>
      </c>
      <c r="I39" s="7">
        <v>6516</v>
      </c>
      <c r="J39" s="7">
        <v>-187</v>
      </c>
      <c r="K39" s="7">
        <v>-1218492</v>
      </c>
    </row>
    <row r="40" spans="7:11" x14ac:dyDescent="0.3">
      <c r="G40" s="4" t="s">
        <v>218</v>
      </c>
      <c r="H40" s="5" t="s">
        <v>219</v>
      </c>
      <c r="I40" s="5">
        <v>3942</v>
      </c>
      <c r="J40" s="5">
        <v>-85</v>
      </c>
      <c r="K40" s="5">
        <v>-335070</v>
      </c>
    </row>
    <row r="41" spans="7:11" x14ac:dyDescent="0.3">
      <c r="G41" s="6" t="s">
        <v>234</v>
      </c>
      <c r="H41" s="7" t="s">
        <v>235</v>
      </c>
      <c r="I41" s="7">
        <v>49119</v>
      </c>
      <c r="J41" s="7">
        <v>0</v>
      </c>
      <c r="K41" s="7">
        <v>0</v>
      </c>
    </row>
    <row r="42" spans="7:11" x14ac:dyDescent="0.3">
      <c r="G42" s="4" t="s">
        <v>260</v>
      </c>
      <c r="H42" s="5" t="s">
        <v>261</v>
      </c>
      <c r="I42" s="5">
        <v>15742</v>
      </c>
      <c r="J42" s="5">
        <v>-35</v>
      </c>
      <c r="K42" s="5">
        <v>-550970</v>
      </c>
    </row>
    <row r="43" spans="7:11" x14ac:dyDescent="0.3">
      <c r="G43" s="6" t="s">
        <v>272</v>
      </c>
      <c r="H43" s="7" t="s">
        <v>273</v>
      </c>
      <c r="I43" s="7">
        <v>17480</v>
      </c>
      <c r="J43" s="7">
        <v>-183</v>
      </c>
      <c r="K43" s="7">
        <v>-3198840</v>
      </c>
    </row>
    <row r="44" spans="7:11" x14ac:dyDescent="0.3">
      <c r="G44" s="4" t="s">
        <v>312</v>
      </c>
      <c r="H44" s="5" t="s">
        <v>313</v>
      </c>
      <c r="I44" s="5">
        <v>733</v>
      </c>
      <c r="J44" s="5">
        <v>-84</v>
      </c>
      <c r="K44" s="5">
        <v>-61572</v>
      </c>
    </row>
    <row r="45" spans="7:11" x14ac:dyDescent="0.3">
      <c r="G45" s="6" t="s">
        <v>324</v>
      </c>
      <c r="H45" s="7" t="s">
        <v>325</v>
      </c>
      <c r="I45" s="7">
        <v>23549</v>
      </c>
      <c r="J45" s="7">
        <v>44</v>
      </c>
      <c r="K45" s="7">
        <v>1036156</v>
      </c>
    </row>
    <row r="46" spans="7:11" x14ac:dyDescent="0.3">
      <c r="G46" s="4" t="s">
        <v>344</v>
      </c>
      <c r="H46" s="5" t="s">
        <v>345</v>
      </c>
      <c r="I46" s="5">
        <v>30947</v>
      </c>
      <c r="J46" s="5">
        <v>31</v>
      </c>
      <c r="K46" s="5">
        <v>959357</v>
      </c>
    </row>
    <row r="47" spans="7:11" x14ac:dyDescent="0.3">
      <c r="G47" s="6" t="s">
        <v>346</v>
      </c>
      <c r="H47" s="7" t="s">
        <v>347</v>
      </c>
      <c r="I47" s="7">
        <v>30266</v>
      </c>
      <c r="J47" s="7">
        <v>3</v>
      </c>
      <c r="K47" s="7">
        <v>90798</v>
      </c>
    </row>
    <row r="48" spans="7:11" x14ac:dyDescent="0.3">
      <c r="G48" s="4" t="s">
        <v>352</v>
      </c>
      <c r="H48" s="5" t="s">
        <v>353</v>
      </c>
      <c r="I48" s="5">
        <v>21612</v>
      </c>
      <c r="J48" s="5">
        <v>24</v>
      </c>
      <c r="K48" s="5">
        <v>518688</v>
      </c>
    </row>
    <row r="49" spans="7:11" x14ac:dyDescent="0.3">
      <c r="G49" s="6" t="s">
        <v>364</v>
      </c>
      <c r="H49" s="7" t="s">
        <v>365</v>
      </c>
      <c r="I49" s="7">
        <v>2607</v>
      </c>
      <c r="J49" s="7">
        <v>-240</v>
      </c>
      <c r="K49" s="7">
        <v>-625680</v>
      </c>
    </row>
    <row r="50" spans="7:11" x14ac:dyDescent="0.3">
      <c r="G50" s="4" t="s">
        <v>392</v>
      </c>
      <c r="H50" s="5" t="s">
        <v>393</v>
      </c>
      <c r="I50" s="5">
        <v>36433</v>
      </c>
      <c r="J50" s="5">
        <v>-15</v>
      </c>
      <c r="K50" s="5">
        <v>-546495</v>
      </c>
    </row>
    <row r="51" spans="7:11" x14ac:dyDescent="0.3">
      <c r="G51" s="6" t="s">
        <v>410</v>
      </c>
      <c r="H51" s="7" t="s">
        <v>411</v>
      </c>
      <c r="I51" s="7">
        <v>44377</v>
      </c>
      <c r="J51" s="7">
        <v>27</v>
      </c>
      <c r="K51" s="7">
        <v>1198179</v>
      </c>
    </row>
    <row r="52" spans="7:11" x14ac:dyDescent="0.3">
      <c r="G52" s="4" t="s">
        <v>418</v>
      </c>
      <c r="H52" s="5" t="s">
        <v>419</v>
      </c>
      <c r="I52" s="5">
        <v>22066</v>
      </c>
      <c r="J52" s="5">
        <v>45</v>
      </c>
      <c r="K52" s="5">
        <v>992970</v>
      </c>
    </row>
    <row r="53" spans="7:11" x14ac:dyDescent="0.3">
      <c r="G53" s="6" t="s">
        <v>486</v>
      </c>
      <c r="H53" s="7" t="s">
        <v>487</v>
      </c>
      <c r="I53" s="7">
        <v>45681</v>
      </c>
      <c r="J53" s="7">
        <v>-166</v>
      </c>
      <c r="K53" s="7">
        <v>-7583046</v>
      </c>
    </row>
    <row r="54" spans="7:11" x14ac:dyDescent="0.3">
      <c r="G54" s="4" t="s">
        <v>514</v>
      </c>
      <c r="H54" s="5" t="s">
        <v>515</v>
      </c>
      <c r="I54" s="5">
        <v>12009</v>
      </c>
      <c r="J54" s="5">
        <v>-20</v>
      </c>
      <c r="K54" s="5">
        <v>-240180</v>
      </c>
    </row>
    <row r="55" spans="7:11" x14ac:dyDescent="0.3">
      <c r="G55" s="6" t="s">
        <v>530</v>
      </c>
      <c r="H55" s="7" t="s">
        <v>531</v>
      </c>
      <c r="I55" s="7">
        <v>42707</v>
      </c>
      <c r="J55" s="7">
        <v>-162</v>
      </c>
      <c r="K55" s="7">
        <v>-6918534</v>
      </c>
    </row>
    <row r="56" spans="7:11" x14ac:dyDescent="0.3">
      <c r="G56" s="4" t="s">
        <v>574</v>
      </c>
      <c r="H56" s="5" t="s">
        <v>575</v>
      </c>
      <c r="I56" s="5">
        <v>23836</v>
      </c>
      <c r="J56" s="5">
        <v>9</v>
      </c>
      <c r="K56" s="5">
        <v>214524</v>
      </c>
    </row>
    <row r="57" spans="7:11" x14ac:dyDescent="0.3">
      <c r="G57" s="6" t="s">
        <v>604</v>
      </c>
      <c r="H57" s="7" t="s">
        <v>605</v>
      </c>
      <c r="I57" s="7">
        <v>36524</v>
      </c>
      <c r="J57" s="7">
        <v>-330</v>
      </c>
      <c r="K57" s="7">
        <v>-12052920</v>
      </c>
    </row>
    <row r="58" spans="7:11" x14ac:dyDescent="0.3">
      <c r="G58" s="4" t="s">
        <v>690</v>
      </c>
      <c r="H58" s="5" t="s">
        <v>691</v>
      </c>
      <c r="I58" s="5">
        <v>48602</v>
      </c>
      <c r="J58" s="5">
        <v>-112</v>
      </c>
      <c r="K58" s="5">
        <v>-5443424</v>
      </c>
    </row>
    <row r="59" spans="7:11" x14ac:dyDescent="0.3">
      <c r="G59" s="6" t="s">
        <v>694</v>
      </c>
      <c r="H59" s="7" t="s">
        <v>695</v>
      </c>
      <c r="I59" s="7">
        <v>43381</v>
      </c>
      <c r="J59" s="7">
        <v>-183</v>
      </c>
      <c r="K59" s="7">
        <v>-7938723</v>
      </c>
    </row>
    <row r="60" spans="7:11" x14ac:dyDescent="0.3">
      <c r="G60" s="4" t="s">
        <v>714</v>
      </c>
      <c r="H60" s="5" t="s">
        <v>715</v>
      </c>
      <c r="I60" s="5">
        <v>27961</v>
      </c>
      <c r="J60" s="5">
        <v>-3</v>
      </c>
      <c r="K60" s="5">
        <v>-83883</v>
      </c>
    </row>
    <row r="61" spans="7:11" x14ac:dyDescent="0.3">
      <c r="G61" s="6" t="s">
        <v>732</v>
      </c>
      <c r="H61" s="7" t="s">
        <v>733</v>
      </c>
      <c r="I61" s="7">
        <v>28788</v>
      </c>
      <c r="J61" s="7">
        <v>49</v>
      </c>
      <c r="K61" s="7">
        <v>1410612</v>
      </c>
    </row>
    <row r="62" spans="7:11" x14ac:dyDescent="0.3">
      <c r="G62" s="4" t="s">
        <v>742</v>
      </c>
      <c r="H62" s="5" t="s">
        <v>743</v>
      </c>
      <c r="I62" s="5">
        <v>38577</v>
      </c>
      <c r="J62" s="5">
        <v>29</v>
      </c>
      <c r="K62" s="5">
        <v>1118733</v>
      </c>
    </row>
    <row r="63" spans="7:11" x14ac:dyDescent="0.3">
      <c r="G63" s="6" t="s">
        <v>778</v>
      </c>
      <c r="H63" s="7" t="s">
        <v>779</v>
      </c>
      <c r="I63" s="7">
        <v>41086</v>
      </c>
      <c r="J63" s="7">
        <v>-21</v>
      </c>
      <c r="K63" s="7">
        <v>-862806</v>
      </c>
    </row>
    <row r="64" spans="7:11" x14ac:dyDescent="0.3">
      <c r="G64" s="4" t="s">
        <v>840</v>
      </c>
      <c r="H64" s="5" t="s">
        <v>841</v>
      </c>
      <c r="I64" s="5">
        <v>32561</v>
      </c>
      <c r="J64" s="5">
        <v>-6</v>
      </c>
      <c r="K64" s="5">
        <v>-195366</v>
      </c>
    </row>
    <row r="65" spans="7:11" x14ac:dyDescent="0.3">
      <c r="G65" s="6" t="s">
        <v>870</v>
      </c>
      <c r="H65" s="7" t="s">
        <v>871</v>
      </c>
      <c r="I65" s="7">
        <v>29176</v>
      </c>
      <c r="J65" s="7">
        <v>-58</v>
      </c>
      <c r="K65" s="7">
        <v>-1692208</v>
      </c>
    </row>
    <row r="66" spans="7:11" x14ac:dyDescent="0.3">
      <c r="G66" s="4" t="s">
        <v>900</v>
      </c>
      <c r="H66" s="5" t="s">
        <v>901</v>
      </c>
      <c r="I66" s="5">
        <v>4940</v>
      </c>
      <c r="J66" s="5">
        <v>-1</v>
      </c>
      <c r="K66" s="5">
        <v>-4940</v>
      </c>
    </row>
    <row r="67" spans="7:11" x14ac:dyDescent="0.3">
      <c r="G67" s="6" t="s">
        <v>916</v>
      </c>
      <c r="H67" s="7" t="s">
        <v>917</v>
      </c>
      <c r="I67" s="7">
        <v>18088</v>
      </c>
      <c r="J67" s="7">
        <v>-63</v>
      </c>
      <c r="K67" s="7">
        <v>-1139544</v>
      </c>
    </row>
    <row r="68" spans="7:11" x14ac:dyDescent="0.3">
      <c r="G68" s="4" t="s">
        <v>964</v>
      </c>
      <c r="H68" s="5" t="s">
        <v>965</v>
      </c>
      <c r="I68" s="5">
        <v>38409</v>
      </c>
      <c r="J68" s="5">
        <v>38</v>
      </c>
      <c r="K68" s="5">
        <v>1459542</v>
      </c>
    </row>
    <row r="69" spans="7:11" x14ac:dyDescent="0.3">
      <c r="G69" s="6" t="s">
        <v>968</v>
      </c>
      <c r="H69" s="7" t="s">
        <v>969</v>
      </c>
      <c r="I69" s="7">
        <v>30998</v>
      </c>
      <c r="J69" s="7">
        <v>-61</v>
      </c>
      <c r="K69" s="7">
        <v>-1890878</v>
      </c>
    </row>
    <row r="70" spans="7:11" x14ac:dyDescent="0.3">
      <c r="G70" s="11" t="s">
        <v>984</v>
      </c>
      <c r="H70" s="12" t="s">
        <v>985</v>
      </c>
      <c r="I70" s="12">
        <v>35328</v>
      </c>
      <c r="J70" s="12">
        <v>-112</v>
      </c>
      <c r="K70" s="12">
        <v>-3956736</v>
      </c>
    </row>
  </sheetData>
  <mergeCells count="10">
    <mergeCell ref="G28:K28"/>
    <mergeCell ref="F5:H5"/>
    <mergeCell ref="J5:L5"/>
    <mergeCell ref="A1:Y3"/>
    <mergeCell ref="B5:D5"/>
    <mergeCell ref="N5:P5"/>
    <mergeCell ref="J6:L8"/>
    <mergeCell ref="N6:P8"/>
    <mergeCell ref="B6:D8"/>
    <mergeCell ref="F6:H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Purchases</vt:lpstr>
      <vt:lpstr>Sales</vt:lpstr>
      <vt:lpstr>Inventory report</vt:lpstr>
      <vt:lpstr>Pivot 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Anjali K</cp:lastModifiedBy>
  <dcterms:created xsi:type="dcterms:W3CDTF">2026-06-23T05:38:21Z</dcterms:created>
  <dcterms:modified xsi:type="dcterms:W3CDTF">2026-06-23T15:35:01Z</dcterms:modified>
</cp:coreProperties>
</file>